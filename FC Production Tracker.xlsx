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valorep.sharepoint.com/Operations/Operations/1. Projects - Wow Bao/3, Project Work/7, 2025 Flagship/2, Buildout/Metrics/"/>
    </mc:Choice>
  </mc:AlternateContent>
  <xr:revisionPtr revIDLastSave="0" documentId="8_{0FC1E89C-F50F-4BCA-B7CF-409D395B0AB1}" xr6:coauthVersionLast="47" xr6:coauthVersionMax="47" xr10:uidLastSave="{00000000-0000-0000-0000-000000000000}"/>
  <bookViews>
    <workbookView xWindow="-108" yWindow="-108" windowWidth="23256" windowHeight="13896" tabRatio="871" activeTab="2" xr2:uid="{730C2081-EE66-453C-9DF5-E099FCB2CBF0}"/>
  </bookViews>
  <sheets>
    <sheet name="Monthly Summary" sheetId="16" r:id="rId1"/>
    <sheet name="Weekly Summary" sheetId="11" r:id="rId2"/>
    <sheet name="Daily Summary" sheetId="3" r:id="rId3"/>
    <sheet name="Raw Data - Production" sheetId="1" r:id="rId4"/>
    <sheet name="Raw Data - Packing" sheetId="6" r:id="rId5"/>
    <sheet name="OEE - In Process" sheetId="4" r:id="rId6"/>
    <sheet name="Weights" sheetId="5" r:id="rId7"/>
    <sheet name="Don't Change" sheetId="2" r:id="rId8"/>
    <sheet name="Ramp Up Plan" sheetId="13" r:id="rId9"/>
    <sheet name="Prod Schedule ML" sheetId="14" r:id="rId10"/>
    <sheet name="SC Production" sheetId="15" r:id="rId11"/>
  </sheets>
  <externalReferences>
    <externalReference r:id="rId12"/>
    <externalReference r:id="rId13"/>
  </externalReferences>
  <definedNames>
    <definedName name="_xlnm._FilterDatabase" localSheetId="2" hidden="1">'Daily Summary'!$A$1:$S$258</definedName>
    <definedName name="_xlnm._FilterDatabase" localSheetId="9" hidden="1">'Prod Schedule ML'!$A$3:$Y$2675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N82" i="1" l="1"/>
  <c r="L82" i="1"/>
  <c r="F82" i="1"/>
  <c r="H82" i="1"/>
  <c r="F81" i="3" s="1"/>
  <c r="E82" i="1"/>
  <c r="J82" i="1"/>
  <c r="G81" i="3" s="1"/>
  <c r="D82" i="1"/>
  <c r="E81" i="3" s="1"/>
  <c r="D82" i="6"/>
  <c r="F82" i="6"/>
  <c r="R79" i="6"/>
  <c r="F81" i="6"/>
  <c r="D81" i="6"/>
  <c r="C47" i="11"/>
  <c r="C49" i="11"/>
  <c r="D80" i="6"/>
  <c r="F80" i="6"/>
  <c r="H80" i="1"/>
  <c r="AS52" i="4" s="1"/>
  <c r="F80" i="1"/>
  <c r="E80" i="1"/>
  <c r="AP52" i="4" s="1"/>
  <c r="D80" i="1"/>
  <c r="L34" i="11"/>
  <c r="O34" i="11"/>
  <c r="P34" i="11"/>
  <c r="L35" i="11"/>
  <c r="O35" i="11"/>
  <c r="P35" i="11"/>
  <c r="K36" i="11"/>
  <c r="L36" i="11"/>
  <c r="N36" i="11"/>
  <c r="O36" i="11"/>
  <c r="P36" i="11"/>
  <c r="K37" i="11"/>
  <c r="L37" i="11"/>
  <c r="M37" i="11"/>
  <c r="N37" i="11"/>
  <c r="O37" i="11"/>
  <c r="P37" i="11"/>
  <c r="O38" i="11"/>
  <c r="P38" i="11"/>
  <c r="Q38" i="11"/>
  <c r="O39" i="11"/>
  <c r="P39" i="11"/>
  <c r="K40" i="11"/>
  <c r="L40" i="11"/>
  <c r="O40" i="11"/>
  <c r="P40" i="11"/>
  <c r="Q40" i="11"/>
  <c r="S34" i="11"/>
  <c r="S35" i="11"/>
  <c r="S36" i="11"/>
  <c r="S37" i="11"/>
  <c r="S38" i="11"/>
  <c r="S39" i="11"/>
  <c r="S40" i="11"/>
  <c r="R38" i="11"/>
  <c r="R40" i="11"/>
  <c r="R48" i="11"/>
  <c r="R46" i="11"/>
  <c r="C46" i="11" s="1"/>
  <c r="B46" i="11" s="1"/>
  <c r="R45" i="11"/>
  <c r="R43" i="11"/>
  <c r="C43" i="11" s="1"/>
  <c r="B43" i="11" s="1"/>
  <c r="R44" i="11"/>
  <c r="S19" i="11"/>
  <c r="S8" i="11"/>
  <c r="S20" i="11"/>
  <c r="S9" i="11"/>
  <c r="D79" i="6"/>
  <c r="F79" i="6"/>
  <c r="T86" i="3"/>
  <c r="R19" i="11"/>
  <c r="M77" i="3"/>
  <c r="D78" i="6"/>
  <c r="F78" i="6"/>
  <c r="N77" i="1"/>
  <c r="H78" i="1"/>
  <c r="AS50" i="4" s="1"/>
  <c r="F78" i="1"/>
  <c r="K78" i="1"/>
  <c r="J78" i="1"/>
  <c r="G77" i="3" s="1"/>
  <c r="E78" i="1"/>
  <c r="AP50" i="4" s="1"/>
  <c r="D78" i="1"/>
  <c r="AC40" i="4"/>
  <c r="AD40" i="4"/>
  <c r="AE40" i="4"/>
  <c r="AF40" i="4"/>
  <c r="AG40" i="4"/>
  <c r="AC41" i="4"/>
  <c r="AD41" i="4"/>
  <c r="AE41" i="4"/>
  <c r="AF41" i="4"/>
  <c r="AG41" i="4"/>
  <c r="AC42" i="4"/>
  <c r="AD42" i="4"/>
  <c r="AE42" i="4"/>
  <c r="AF42" i="4"/>
  <c r="AG42" i="4"/>
  <c r="AC43" i="4"/>
  <c r="AD43" i="4"/>
  <c r="AE43" i="4"/>
  <c r="AF43" i="4"/>
  <c r="AG43" i="4"/>
  <c r="AC44" i="4"/>
  <c r="AD44" i="4"/>
  <c r="AE44" i="4"/>
  <c r="AF44" i="4"/>
  <c r="AG44" i="4"/>
  <c r="AC45" i="4"/>
  <c r="AD45" i="4"/>
  <c r="AE45" i="4"/>
  <c r="AF45" i="4"/>
  <c r="AG45" i="4"/>
  <c r="AC46" i="4"/>
  <c r="AD46" i="4"/>
  <c r="AE46" i="4"/>
  <c r="AF46" i="4"/>
  <c r="AG46" i="4"/>
  <c r="AC47" i="4"/>
  <c r="AD47" i="4"/>
  <c r="AE47" i="4"/>
  <c r="AF47" i="4"/>
  <c r="AG47" i="4"/>
  <c r="AC48" i="4"/>
  <c r="AD48" i="4"/>
  <c r="AE48" i="4"/>
  <c r="AF48" i="4"/>
  <c r="AG48" i="4"/>
  <c r="AC49" i="4"/>
  <c r="AD49" i="4"/>
  <c r="AE49" i="4"/>
  <c r="AF49" i="4"/>
  <c r="AG49" i="4"/>
  <c r="AC50" i="4"/>
  <c r="AD50" i="4"/>
  <c r="AE50" i="4"/>
  <c r="AF50" i="4"/>
  <c r="AG50" i="4"/>
  <c r="AC51" i="4"/>
  <c r="AD51" i="4"/>
  <c r="AE51" i="4"/>
  <c r="AF51" i="4"/>
  <c r="AG51" i="4"/>
  <c r="AC52" i="4"/>
  <c r="AD52" i="4"/>
  <c r="AE52" i="4"/>
  <c r="AF52" i="4"/>
  <c r="AG52" i="4"/>
  <c r="AC53" i="4"/>
  <c r="AD53" i="4"/>
  <c r="AE53" i="4"/>
  <c r="AF53" i="4"/>
  <c r="AG53" i="4"/>
  <c r="AC54" i="4"/>
  <c r="AD54" i="4"/>
  <c r="AE54" i="4"/>
  <c r="AF54" i="4"/>
  <c r="AG54" i="4"/>
  <c r="AC55" i="4"/>
  <c r="AD55" i="4"/>
  <c r="AE55" i="4"/>
  <c r="AF55" i="4"/>
  <c r="AG55" i="4"/>
  <c r="AC56" i="4"/>
  <c r="AD56" i="4"/>
  <c r="AE56" i="4"/>
  <c r="AF56" i="4"/>
  <c r="AG56" i="4"/>
  <c r="AC57" i="4"/>
  <c r="AD57" i="4"/>
  <c r="AE57" i="4"/>
  <c r="AF57" i="4"/>
  <c r="AG57" i="4"/>
  <c r="AC58" i="4"/>
  <c r="AD58" i="4"/>
  <c r="AE58" i="4"/>
  <c r="AF58" i="4"/>
  <c r="AG58" i="4"/>
  <c r="AC59" i="4"/>
  <c r="AD59" i="4"/>
  <c r="AE59" i="4"/>
  <c r="AF59" i="4"/>
  <c r="AG59" i="4"/>
  <c r="AC60" i="4"/>
  <c r="AD60" i="4"/>
  <c r="AE60" i="4"/>
  <c r="AF60" i="4"/>
  <c r="AG60" i="4"/>
  <c r="AC61" i="4"/>
  <c r="AD61" i="4"/>
  <c r="AE61" i="4"/>
  <c r="AF61" i="4"/>
  <c r="AG61" i="4"/>
  <c r="AC62" i="4"/>
  <c r="AD62" i="4"/>
  <c r="AE62" i="4"/>
  <c r="AF62" i="4"/>
  <c r="AG62" i="4"/>
  <c r="AC63" i="4"/>
  <c r="AD63" i="4"/>
  <c r="AE63" i="4"/>
  <c r="AF63" i="4"/>
  <c r="AG63" i="4"/>
  <c r="AC64" i="4"/>
  <c r="AD64" i="4"/>
  <c r="AE64" i="4"/>
  <c r="AF64" i="4"/>
  <c r="AG64" i="4"/>
  <c r="AC65" i="4"/>
  <c r="AD65" i="4"/>
  <c r="AE65" i="4"/>
  <c r="AF65" i="4"/>
  <c r="AG65" i="4"/>
  <c r="AC66" i="4"/>
  <c r="AD66" i="4"/>
  <c r="AE66" i="4"/>
  <c r="AF66" i="4"/>
  <c r="AG66" i="4"/>
  <c r="AC67" i="4"/>
  <c r="AD67" i="4"/>
  <c r="AE67" i="4"/>
  <c r="AF67" i="4"/>
  <c r="AG67" i="4"/>
  <c r="AC68" i="4"/>
  <c r="AD68" i="4"/>
  <c r="AE68" i="4"/>
  <c r="AF68" i="4"/>
  <c r="AG68" i="4"/>
  <c r="AC69" i="4"/>
  <c r="AD69" i="4"/>
  <c r="AE69" i="4"/>
  <c r="AF69" i="4"/>
  <c r="AG69" i="4"/>
  <c r="AC70" i="4"/>
  <c r="AD70" i="4"/>
  <c r="AE70" i="4"/>
  <c r="AF70" i="4"/>
  <c r="AG70" i="4"/>
  <c r="AC71" i="4"/>
  <c r="AD71" i="4"/>
  <c r="AE71" i="4"/>
  <c r="AF71" i="4"/>
  <c r="AG71" i="4"/>
  <c r="AC72" i="4"/>
  <c r="AD72" i="4"/>
  <c r="AE72" i="4"/>
  <c r="AF72" i="4"/>
  <c r="AG72" i="4"/>
  <c r="AC73" i="4"/>
  <c r="AD73" i="4"/>
  <c r="AE73" i="4"/>
  <c r="AF73" i="4"/>
  <c r="AG73" i="4"/>
  <c r="AC74" i="4"/>
  <c r="AD74" i="4"/>
  <c r="AE74" i="4"/>
  <c r="AF74" i="4"/>
  <c r="AG74" i="4"/>
  <c r="AC75" i="4"/>
  <c r="AD75" i="4"/>
  <c r="AE75" i="4"/>
  <c r="AF75" i="4"/>
  <c r="AG75" i="4"/>
  <c r="AC76" i="4"/>
  <c r="AD76" i="4"/>
  <c r="AE76" i="4"/>
  <c r="AF76" i="4"/>
  <c r="AG76" i="4"/>
  <c r="AC77" i="4"/>
  <c r="AD77" i="4"/>
  <c r="AE77" i="4"/>
  <c r="AF77" i="4"/>
  <c r="AG77" i="4"/>
  <c r="AC78" i="4"/>
  <c r="AD78" i="4"/>
  <c r="AE78" i="4"/>
  <c r="AF78" i="4"/>
  <c r="AG78" i="4"/>
  <c r="AC79" i="4"/>
  <c r="AD79" i="4"/>
  <c r="AE79" i="4"/>
  <c r="AF79" i="4"/>
  <c r="AG79" i="4"/>
  <c r="AC80" i="4"/>
  <c r="AD80" i="4"/>
  <c r="AE80" i="4"/>
  <c r="AF80" i="4"/>
  <c r="AG80" i="4"/>
  <c r="AC81" i="4"/>
  <c r="AD81" i="4"/>
  <c r="AE81" i="4"/>
  <c r="AF81" i="4"/>
  <c r="AG81" i="4"/>
  <c r="AC82" i="4"/>
  <c r="AD82" i="4"/>
  <c r="AE82" i="4"/>
  <c r="AF82" i="4"/>
  <c r="AG82" i="4"/>
  <c r="AC83" i="4"/>
  <c r="AD83" i="4"/>
  <c r="AE83" i="4"/>
  <c r="AF83" i="4"/>
  <c r="AG83" i="4"/>
  <c r="AC84" i="4"/>
  <c r="AD84" i="4"/>
  <c r="AE84" i="4"/>
  <c r="AF84" i="4"/>
  <c r="AG84" i="4"/>
  <c r="AC85" i="4"/>
  <c r="AD85" i="4"/>
  <c r="AE85" i="4"/>
  <c r="AF85" i="4"/>
  <c r="AG85" i="4"/>
  <c r="AC86" i="4"/>
  <c r="AD86" i="4"/>
  <c r="AE86" i="4"/>
  <c r="AF86" i="4"/>
  <c r="AG86" i="4"/>
  <c r="AC87" i="4"/>
  <c r="AD87" i="4"/>
  <c r="AE87" i="4"/>
  <c r="AF87" i="4"/>
  <c r="AG87" i="4"/>
  <c r="AC88" i="4"/>
  <c r="AD88" i="4"/>
  <c r="AE88" i="4"/>
  <c r="AF88" i="4"/>
  <c r="AG88" i="4"/>
  <c r="AC89" i="4"/>
  <c r="AD89" i="4"/>
  <c r="AE89" i="4"/>
  <c r="AF89" i="4"/>
  <c r="AG89" i="4"/>
  <c r="AC90" i="4"/>
  <c r="AD90" i="4"/>
  <c r="AE90" i="4"/>
  <c r="AF90" i="4"/>
  <c r="AG90" i="4"/>
  <c r="AC91" i="4"/>
  <c r="AD91" i="4"/>
  <c r="AE91" i="4"/>
  <c r="AF91" i="4"/>
  <c r="AG91" i="4"/>
  <c r="AC92" i="4"/>
  <c r="AD92" i="4"/>
  <c r="AE92" i="4"/>
  <c r="AF92" i="4"/>
  <c r="AG92" i="4"/>
  <c r="AC93" i="4"/>
  <c r="AD93" i="4"/>
  <c r="AE93" i="4"/>
  <c r="AF93" i="4"/>
  <c r="AG93" i="4"/>
  <c r="AC94" i="4"/>
  <c r="AD94" i="4"/>
  <c r="AE94" i="4"/>
  <c r="AF94" i="4"/>
  <c r="AG94" i="4"/>
  <c r="AC95" i="4"/>
  <c r="AD95" i="4"/>
  <c r="AE95" i="4"/>
  <c r="AF95" i="4"/>
  <c r="AG95" i="4"/>
  <c r="AC96" i="4"/>
  <c r="AD96" i="4"/>
  <c r="AE96" i="4"/>
  <c r="AF96" i="4"/>
  <c r="AG96" i="4"/>
  <c r="AC97" i="4"/>
  <c r="AD97" i="4"/>
  <c r="AE97" i="4"/>
  <c r="AF97" i="4"/>
  <c r="AG97" i="4"/>
  <c r="AC98" i="4"/>
  <c r="AD98" i="4"/>
  <c r="AE98" i="4"/>
  <c r="AF98" i="4"/>
  <c r="AG98" i="4"/>
  <c r="AC99" i="4"/>
  <c r="AD99" i="4"/>
  <c r="AE99" i="4"/>
  <c r="AF99" i="4"/>
  <c r="AG99" i="4"/>
  <c r="AC100" i="4"/>
  <c r="AD100" i="4"/>
  <c r="AE100" i="4"/>
  <c r="AF100" i="4"/>
  <c r="AG100" i="4"/>
  <c r="AC101" i="4"/>
  <c r="AD101" i="4"/>
  <c r="AE101" i="4"/>
  <c r="AF101" i="4"/>
  <c r="AG101" i="4"/>
  <c r="AC102" i="4"/>
  <c r="AD102" i="4"/>
  <c r="AE102" i="4"/>
  <c r="AF102" i="4"/>
  <c r="AG102" i="4"/>
  <c r="AC103" i="4"/>
  <c r="AD103" i="4"/>
  <c r="AE103" i="4"/>
  <c r="AF103" i="4"/>
  <c r="AG103" i="4"/>
  <c r="AC104" i="4"/>
  <c r="AD104" i="4"/>
  <c r="AE104" i="4"/>
  <c r="AF104" i="4"/>
  <c r="AG104" i="4"/>
  <c r="AC105" i="4"/>
  <c r="AD105" i="4"/>
  <c r="AE105" i="4"/>
  <c r="AF105" i="4"/>
  <c r="AG105" i="4"/>
  <c r="AC106" i="4"/>
  <c r="AD106" i="4"/>
  <c r="AE106" i="4"/>
  <c r="AF106" i="4"/>
  <c r="AG106" i="4"/>
  <c r="AC107" i="4"/>
  <c r="AD107" i="4"/>
  <c r="AE107" i="4"/>
  <c r="AF107" i="4"/>
  <c r="AG107" i="4"/>
  <c r="AC108" i="4"/>
  <c r="AD108" i="4"/>
  <c r="AE108" i="4"/>
  <c r="AF108" i="4"/>
  <c r="AG108" i="4"/>
  <c r="AC109" i="4"/>
  <c r="AD109" i="4"/>
  <c r="AE109" i="4"/>
  <c r="AF109" i="4"/>
  <c r="AG109" i="4"/>
  <c r="AC110" i="4"/>
  <c r="AD110" i="4"/>
  <c r="AE110" i="4"/>
  <c r="AF110" i="4"/>
  <c r="AG110" i="4"/>
  <c r="AC111" i="4"/>
  <c r="AD111" i="4"/>
  <c r="AE111" i="4"/>
  <c r="AF111" i="4"/>
  <c r="AG111" i="4"/>
  <c r="AC112" i="4"/>
  <c r="AD112" i="4"/>
  <c r="AE112" i="4"/>
  <c r="AF112" i="4"/>
  <c r="AG112" i="4"/>
  <c r="AC113" i="4"/>
  <c r="AD113" i="4"/>
  <c r="AE113" i="4"/>
  <c r="AF113" i="4"/>
  <c r="AG113" i="4"/>
  <c r="AC114" i="4"/>
  <c r="AD114" i="4"/>
  <c r="AE114" i="4"/>
  <c r="AF114" i="4"/>
  <c r="AG114" i="4"/>
  <c r="AC115" i="4"/>
  <c r="AD115" i="4"/>
  <c r="AE115" i="4"/>
  <c r="AF115" i="4"/>
  <c r="AG115" i="4"/>
  <c r="AC116" i="4"/>
  <c r="AD116" i="4"/>
  <c r="AE116" i="4"/>
  <c r="AF116" i="4"/>
  <c r="AG116" i="4"/>
  <c r="AC117" i="4"/>
  <c r="AD117" i="4"/>
  <c r="AE117" i="4"/>
  <c r="AF117" i="4"/>
  <c r="AG117" i="4"/>
  <c r="AC118" i="4"/>
  <c r="AD118" i="4"/>
  <c r="AE118" i="4"/>
  <c r="AF118" i="4"/>
  <c r="AG118" i="4"/>
  <c r="AC119" i="4"/>
  <c r="AD119" i="4"/>
  <c r="AE119" i="4"/>
  <c r="AF119" i="4"/>
  <c r="AG119" i="4"/>
  <c r="AC120" i="4"/>
  <c r="AD120" i="4"/>
  <c r="AE120" i="4"/>
  <c r="AF120" i="4"/>
  <c r="AG120" i="4"/>
  <c r="AC121" i="4"/>
  <c r="AD121" i="4"/>
  <c r="AE121" i="4"/>
  <c r="AF121" i="4"/>
  <c r="AG121" i="4"/>
  <c r="AC122" i="4"/>
  <c r="AD122" i="4"/>
  <c r="AE122" i="4"/>
  <c r="AF122" i="4"/>
  <c r="AG122" i="4"/>
  <c r="AC123" i="4"/>
  <c r="AD123" i="4"/>
  <c r="AE123" i="4"/>
  <c r="AF123" i="4"/>
  <c r="AG123" i="4"/>
  <c r="AC124" i="4"/>
  <c r="AD124" i="4"/>
  <c r="AE124" i="4"/>
  <c r="AF124" i="4"/>
  <c r="AG124" i="4"/>
  <c r="AC125" i="4"/>
  <c r="AD125" i="4"/>
  <c r="AE125" i="4"/>
  <c r="AF125" i="4"/>
  <c r="AG125" i="4"/>
  <c r="AC126" i="4"/>
  <c r="AD126" i="4"/>
  <c r="AE126" i="4"/>
  <c r="AF126" i="4"/>
  <c r="AG126" i="4"/>
  <c r="AC127" i="4"/>
  <c r="AD127" i="4"/>
  <c r="AE127" i="4"/>
  <c r="AF127" i="4"/>
  <c r="AG127" i="4"/>
  <c r="AC128" i="4"/>
  <c r="AD128" i="4"/>
  <c r="AE128" i="4"/>
  <c r="AF128" i="4"/>
  <c r="AG128" i="4"/>
  <c r="AC129" i="4"/>
  <c r="AD129" i="4"/>
  <c r="AE129" i="4"/>
  <c r="AF129" i="4"/>
  <c r="AG129" i="4"/>
  <c r="AC130" i="4"/>
  <c r="AD130" i="4"/>
  <c r="AE130" i="4"/>
  <c r="AF130" i="4"/>
  <c r="AG130" i="4"/>
  <c r="AC131" i="4"/>
  <c r="AD131" i="4"/>
  <c r="AE131" i="4"/>
  <c r="AF131" i="4"/>
  <c r="AG131" i="4"/>
  <c r="AC132" i="4"/>
  <c r="AD132" i="4"/>
  <c r="AE132" i="4"/>
  <c r="AF132" i="4"/>
  <c r="AG132" i="4"/>
  <c r="AC133" i="4"/>
  <c r="AD133" i="4"/>
  <c r="AE133" i="4"/>
  <c r="AF133" i="4"/>
  <c r="AG133" i="4"/>
  <c r="AC134" i="4"/>
  <c r="AD134" i="4"/>
  <c r="AE134" i="4"/>
  <c r="AF134" i="4"/>
  <c r="AG134" i="4"/>
  <c r="AC135" i="4"/>
  <c r="AD135" i="4"/>
  <c r="AE135" i="4"/>
  <c r="AF135" i="4"/>
  <c r="AG135" i="4"/>
  <c r="AC136" i="4"/>
  <c r="AD136" i="4"/>
  <c r="AE136" i="4"/>
  <c r="AF136" i="4"/>
  <c r="AG136" i="4"/>
  <c r="AC137" i="4"/>
  <c r="AD137" i="4"/>
  <c r="AE137" i="4"/>
  <c r="AF137" i="4"/>
  <c r="AG137" i="4"/>
  <c r="AC138" i="4"/>
  <c r="AD138" i="4"/>
  <c r="AE138" i="4"/>
  <c r="AF138" i="4"/>
  <c r="AG138" i="4"/>
  <c r="AC139" i="4"/>
  <c r="AD139" i="4"/>
  <c r="AE139" i="4"/>
  <c r="AF139" i="4"/>
  <c r="AG139" i="4"/>
  <c r="AC140" i="4"/>
  <c r="AD140" i="4"/>
  <c r="AE140" i="4"/>
  <c r="AF140" i="4"/>
  <c r="AG140" i="4"/>
  <c r="AC141" i="4"/>
  <c r="AD141" i="4"/>
  <c r="AE141" i="4"/>
  <c r="AF141" i="4"/>
  <c r="AG141" i="4"/>
  <c r="AC142" i="4"/>
  <c r="AD142" i="4"/>
  <c r="AE142" i="4"/>
  <c r="AF142" i="4"/>
  <c r="AG142" i="4"/>
  <c r="AC143" i="4"/>
  <c r="AD143" i="4"/>
  <c r="AE143" i="4"/>
  <c r="AF143" i="4"/>
  <c r="AG143" i="4"/>
  <c r="AC144" i="4"/>
  <c r="AD144" i="4"/>
  <c r="AE144" i="4"/>
  <c r="AF144" i="4"/>
  <c r="AG144" i="4"/>
  <c r="AC145" i="4"/>
  <c r="AD145" i="4"/>
  <c r="AE145" i="4"/>
  <c r="AF145" i="4"/>
  <c r="AG145" i="4"/>
  <c r="AC146" i="4"/>
  <c r="AD146" i="4"/>
  <c r="AE146" i="4"/>
  <c r="AF146" i="4"/>
  <c r="AG146" i="4"/>
  <c r="AC147" i="4"/>
  <c r="AD147" i="4"/>
  <c r="AE147" i="4"/>
  <c r="AF147" i="4"/>
  <c r="AG147" i="4"/>
  <c r="AC148" i="4"/>
  <c r="AD148" i="4"/>
  <c r="AE148" i="4"/>
  <c r="AF148" i="4"/>
  <c r="AG148" i="4"/>
  <c r="AC149" i="4"/>
  <c r="AD149" i="4"/>
  <c r="AE149" i="4"/>
  <c r="AF149" i="4"/>
  <c r="AG149" i="4"/>
  <c r="AC150" i="4"/>
  <c r="AD150" i="4"/>
  <c r="AE150" i="4"/>
  <c r="AF150" i="4"/>
  <c r="AG150" i="4"/>
  <c r="AC151" i="4"/>
  <c r="AD151" i="4"/>
  <c r="AE151" i="4"/>
  <c r="AF151" i="4"/>
  <c r="AG151" i="4"/>
  <c r="AC152" i="4"/>
  <c r="AD152" i="4"/>
  <c r="AE152" i="4"/>
  <c r="AF152" i="4"/>
  <c r="AG152" i="4"/>
  <c r="AC153" i="4"/>
  <c r="AD153" i="4"/>
  <c r="AE153" i="4"/>
  <c r="AF153" i="4"/>
  <c r="AG153" i="4"/>
  <c r="AC154" i="4"/>
  <c r="AD154" i="4"/>
  <c r="AE154" i="4"/>
  <c r="AF154" i="4"/>
  <c r="AG154" i="4"/>
  <c r="AC155" i="4"/>
  <c r="AD155" i="4"/>
  <c r="AE155" i="4"/>
  <c r="AF155" i="4"/>
  <c r="AG155" i="4"/>
  <c r="AC156" i="4"/>
  <c r="AD156" i="4"/>
  <c r="AE156" i="4"/>
  <c r="AF156" i="4"/>
  <c r="AG156" i="4"/>
  <c r="AC157" i="4"/>
  <c r="AD157" i="4"/>
  <c r="AE157" i="4"/>
  <c r="AF157" i="4"/>
  <c r="AG157" i="4"/>
  <c r="AC158" i="4"/>
  <c r="AD158" i="4"/>
  <c r="AE158" i="4"/>
  <c r="AF158" i="4"/>
  <c r="AG158" i="4"/>
  <c r="AC159" i="4"/>
  <c r="AD159" i="4"/>
  <c r="AE159" i="4"/>
  <c r="AF159" i="4"/>
  <c r="AG159" i="4"/>
  <c r="AC160" i="4"/>
  <c r="AD160" i="4"/>
  <c r="AE160" i="4"/>
  <c r="AF160" i="4"/>
  <c r="AG160" i="4"/>
  <c r="AC161" i="4"/>
  <c r="AD161" i="4"/>
  <c r="AE161" i="4"/>
  <c r="AF161" i="4"/>
  <c r="AG161" i="4"/>
  <c r="D77" i="6"/>
  <c r="F77" i="6"/>
  <c r="L77" i="1"/>
  <c r="H77" i="1"/>
  <c r="AS49" i="4" s="1"/>
  <c r="F77" i="1"/>
  <c r="J77" i="1"/>
  <c r="K77" i="1"/>
  <c r="E77" i="1"/>
  <c r="AP49" i="4" s="1"/>
  <c r="D77" i="1"/>
  <c r="K76" i="1"/>
  <c r="J76" i="1"/>
  <c r="G75" i="3" s="1"/>
  <c r="E76" i="1"/>
  <c r="AP48" i="4" s="1"/>
  <c r="D76" i="1"/>
  <c r="N76" i="1"/>
  <c r="H75" i="3" s="1"/>
  <c r="H76" i="1"/>
  <c r="AS48" i="4" s="1"/>
  <c r="F76" i="1"/>
  <c r="E6" i="16"/>
  <c r="F67" i="6"/>
  <c r="N67" i="1"/>
  <c r="N65" i="1"/>
  <c r="H67" i="1"/>
  <c r="AS39" i="4" s="1"/>
  <c r="H66" i="1"/>
  <c r="AS38" i="4" s="1"/>
  <c r="H65" i="1"/>
  <c r="AS37" i="4" s="1"/>
  <c r="F68" i="1"/>
  <c r="H68" i="1"/>
  <c r="AS40" i="4" s="1"/>
  <c r="F67" i="1"/>
  <c r="AQ39" i="4" s="1"/>
  <c r="F73" i="6"/>
  <c r="K75" i="1"/>
  <c r="J75" i="1"/>
  <c r="G74" i="3" s="1"/>
  <c r="E75" i="1"/>
  <c r="AP47" i="4" s="1"/>
  <c r="D75" i="1"/>
  <c r="Q46" i="11"/>
  <c r="Q37" i="11" s="1"/>
  <c r="Q43" i="11"/>
  <c r="Q34" i="11" s="1"/>
  <c r="Q48" i="11"/>
  <c r="Q39" i="11" s="1"/>
  <c r="Q45" i="11"/>
  <c r="Q36" i="11" s="1"/>
  <c r="Q44" i="11"/>
  <c r="Q35" i="11" s="1"/>
  <c r="R8" i="11"/>
  <c r="R20" i="11"/>
  <c r="R9" i="11"/>
  <c r="AE4" i="4"/>
  <c r="AF4" i="4"/>
  <c r="AG4" i="4"/>
  <c r="AE5" i="4"/>
  <c r="AF5" i="4"/>
  <c r="AG5" i="4"/>
  <c r="AE6" i="4"/>
  <c r="AF6" i="4"/>
  <c r="AG6" i="4"/>
  <c r="AE7" i="4"/>
  <c r="AF7" i="4"/>
  <c r="AG7" i="4"/>
  <c r="AE8" i="4"/>
  <c r="AF8" i="4"/>
  <c r="AG8" i="4"/>
  <c r="AE9" i="4"/>
  <c r="AF9" i="4"/>
  <c r="AG9" i="4"/>
  <c r="AE10" i="4"/>
  <c r="AF10" i="4"/>
  <c r="AG10" i="4"/>
  <c r="AE11" i="4"/>
  <c r="AF11" i="4"/>
  <c r="AG11" i="4"/>
  <c r="AE12" i="4"/>
  <c r="AF12" i="4"/>
  <c r="AG12" i="4"/>
  <c r="AE13" i="4"/>
  <c r="AF13" i="4"/>
  <c r="AG13" i="4"/>
  <c r="AE14" i="4"/>
  <c r="AF14" i="4"/>
  <c r="AG14" i="4"/>
  <c r="AE15" i="4"/>
  <c r="AF15" i="4"/>
  <c r="AG15" i="4"/>
  <c r="AE16" i="4"/>
  <c r="AF16" i="4"/>
  <c r="AG16" i="4"/>
  <c r="AE17" i="4"/>
  <c r="AF17" i="4"/>
  <c r="AG17" i="4"/>
  <c r="AE18" i="4"/>
  <c r="AF18" i="4"/>
  <c r="AG18" i="4"/>
  <c r="AE19" i="4"/>
  <c r="AF19" i="4"/>
  <c r="AG19" i="4"/>
  <c r="AE20" i="4"/>
  <c r="AF20" i="4"/>
  <c r="AG20" i="4"/>
  <c r="AE21" i="4"/>
  <c r="AF21" i="4"/>
  <c r="AG21" i="4"/>
  <c r="AE22" i="4"/>
  <c r="AF22" i="4"/>
  <c r="AG22" i="4"/>
  <c r="AE23" i="4"/>
  <c r="AF23" i="4"/>
  <c r="AG23" i="4"/>
  <c r="AE24" i="4"/>
  <c r="AF24" i="4"/>
  <c r="AG24" i="4"/>
  <c r="AE25" i="4"/>
  <c r="AF25" i="4"/>
  <c r="AG25" i="4"/>
  <c r="AE26" i="4"/>
  <c r="AF26" i="4"/>
  <c r="AG26" i="4"/>
  <c r="AE27" i="4"/>
  <c r="AF27" i="4"/>
  <c r="AG27" i="4"/>
  <c r="AE28" i="4"/>
  <c r="AF28" i="4"/>
  <c r="AG28" i="4"/>
  <c r="AE29" i="4"/>
  <c r="AF29" i="4"/>
  <c r="AG29" i="4"/>
  <c r="AE30" i="4"/>
  <c r="AF30" i="4"/>
  <c r="AG30" i="4"/>
  <c r="AE31" i="4"/>
  <c r="AF31" i="4"/>
  <c r="AG31" i="4"/>
  <c r="AE32" i="4"/>
  <c r="AF32" i="4"/>
  <c r="AG32" i="4"/>
  <c r="AE33" i="4"/>
  <c r="AF33" i="4"/>
  <c r="AG33" i="4"/>
  <c r="AE34" i="4"/>
  <c r="AF34" i="4"/>
  <c r="AG34" i="4"/>
  <c r="AE35" i="4"/>
  <c r="AF35" i="4"/>
  <c r="AG35" i="4"/>
  <c r="AE36" i="4"/>
  <c r="AF36" i="4"/>
  <c r="AG36" i="4"/>
  <c r="AE37" i="4"/>
  <c r="AF37" i="4"/>
  <c r="AG37" i="4"/>
  <c r="AE38" i="4"/>
  <c r="AF38" i="4"/>
  <c r="AG38" i="4"/>
  <c r="AE39" i="4"/>
  <c r="AF39" i="4"/>
  <c r="AG39" i="4"/>
  <c r="AF3" i="4"/>
  <c r="AG3" i="4"/>
  <c r="AE3" i="4"/>
  <c r="AC4" i="4"/>
  <c r="AD4" i="4"/>
  <c r="AC5" i="4"/>
  <c r="AD5" i="4"/>
  <c r="AC6" i="4"/>
  <c r="AD6" i="4"/>
  <c r="AC7" i="4"/>
  <c r="AD7" i="4"/>
  <c r="AC8" i="4"/>
  <c r="AD8" i="4"/>
  <c r="AC9" i="4"/>
  <c r="AD9" i="4"/>
  <c r="AC10" i="4"/>
  <c r="AD10" i="4"/>
  <c r="AC11" i="4"/>
  <c r="AD11" i="4"/>
  <c r="AC12" i="4"/>
  <c r="AD12" i="4"/>
  <c r="AC13" i="4"/>
  <c r="AD13" i="4"/>
  <c r="AC14" i="4"/>
  <c r="AD14" i="4"/>
  <c r="AC15" i="4"/>
  <c r="AD15" i="4"/>
  <c r="AC16" i="4"/>
  <c r="AD16" i="4"/>
  <c r="AC17" i="4"/>
  <c r="AD17" i="4"/>
  <c r="AC18" i="4"/>
  <c r="AD18" i="4"/>
  <c r="AC19" i="4"/>
  <c r="AD19" i="4"/>
  <c r="AC20" i="4"/>
  <c r="AD20" i="4"/>
  <c r="AC21" i="4"/>
  <c r="AD21" i="4"/>
  <c r="AC22" i="4"/>
  <c r="AD22" i="4"/>
  <c r="AC23" i="4"/>
  <c r="AD23" i="4"/>
  <c r="AC24" i="4"/>
  <c r="AD24" i="4"/>
  <c r="AC25" i="4"/>
  <c r="AD25" i="4"/>
  <c r="AC26" i="4"/>
  <c r="AD26" i="4"/>
  <c r="AC27" i="4"/>
  <c r="AD27" i="4"/>
  <c r="AC28" i="4"/>
  <c r="AD28" i="4"/>
  <c r="AC29" i="4"/>
  <c r="AD29" i="4"/>
  <c r="AC30" i="4"/>
  <c r="AD30" i="4"/>
  <c r="AC31" i="4"/>
  <c r="AD31" i="4"/>
  <c r="AC32" i="4"/>
  <c r="AD32" i="4"/>
  <c r="AC33" i="4"/>
  <c r="AD33" i="4"/>
  <c r="AC34" i="4"/>
  <c r="AD34" i="4"/>
  <c r="AC35" i="4"/>
  <c r="AD35" i="4"/>
  <c r="AC36" i="4"/>
  <c r="AD36" i="4"/>
  <c r="AC37" i="4"/>
  <c r="AD37" i="4"/>
  <c r="AC38" i="4"/>
  <c r="AD38" i="4"/>
  <c r="AC39" i="4"/>
  <c r="AD39" i="4"/>
  <c r="AD3" i="4"/>
  <c r="AC3" i="4"/>
  <c r="Q20" i="11"/>
  <c r="Q9" i="11"/>
  <c r="D70" i="6"/>
  <c r="J65" i="1"/>
  <c r="G64" i="3" s="1"/>
  <c r="F68" i="6"/>
  <c r="L68" i="1"/>
  <c r="H67" i="3" s="1"/>
  <c r="E68" i="1"/>
  <c r="AP40" i="4" s="1"/>
  <c r="D68" i="1"/>
  <c r="W16" i="3"/>
  <c r="AQ4" i="4"/>
  <c r="AS4" i="4"/>
  <c r="AQ5" i="4"/>
  <c r="AS5" i="4"/>
  <c r="AS6" i="4"/>
  <c r="AQ7" i="4"/>
  <c r="AR7" i="4"/>
  <c r="AS7" i="4"/>
  <c r="AQ8" i="4"/>
  <c r="AR8" i="4"/>
  <c r="AS8" i="4"/>
  <c r="AQ9" i="4"/>
  <c r="AR9" i="4"/>
  <c r="AS9" i="4"/>
  <c r="AQ10" i="4"/>
  <c r="AS10" i="4"/>
  <c r="AQ11" i="4"/>
  <c r="AR11" i="4"/>
  <c r="AS11" i="4"/>
  <c r="AQ12" i="4"/>
  <c r="AR12" i="4"/>
  <c r="AS12" i="4"/>
  <c r="AQ13" i="4"/>
  <c r="AR13" i="4"/>
  <c r="AS13" i="4"/>
  <c r="AQ14" i="4"/>
  <c r="AR14" i="4"/>
  <c r="AS14" i="4"/>
  <c r="AQ15" i="4"/>
  <c r="AS15" i="4"/>
  <c r="AQ16" i="4"/>
  <c r="AR16" i="4"/>
  <c r="AS16" i="4"/>
  <c r="AQ17" i="4"/>
  <c r="AR17" i="4"/>
  <c r="AS17" i="4"/>
  <c r="AQ18" i="4"/>
  <c r="AR18" i="4"/>
  <c r="AS18" i="4"/>
  <c r="AQ19" i="4"/>
  <c r="AR19" i="4"/>
  <c r="AS19" i="4"/>
  <c r="AQ20" i="4"/>
  <c r="AR20" i="4"/>
  <c r="AS20" i="4"/>
  <c r="AQ21" i="4"/>
  <c r="AR21" i="4"/>
  <c r="AS21" i="4"/>
  <c r="AQ22" i="4"/>
  <c r="AR22" i="4"/>
  <c r="AS22" i="4"/>
  <c r="AQ23" i="4"/>
  <c r="AR23" i="4"/>
  <c r="AS23" i="4"/>
  <c r="AQ24" i="4"/>
  <c r="AS24" i="4"/>
  <c r="AQ25" i="4"/>
  <c r="AS25" i="4"/>
  <c r="AQ26" i="4"/>
  <c r="AR26" i="4"/>
  <c r="AS26" i="4"/>
  <c r="AQ27" i="4"/>
  <c r="AS27" i="4"/>
  <c r="AQ28" i="4"/>
  <c r="AS28" i="4"/>
  <c r="AR29" i="4"/>
  <c r="AS29" i="4"/>
  <c r="AR30" i="4"/>
  <c r="AS30" i="4"/>
  <c r="AQ31" i="4"/>
  <c r="AR31" i="4"/>
  <c r="AS31" i="4"/>
  <c r="AS32" i="4"/>
  <c r="AS33" i="4"/>
  <c r="AQ34" i="4"/>
  <c r="AS34" i="4"/>
  <c r="AS35" i="4"/>
  <c r="AQ36" i="4"/>
  <c r="AR36" i="4"/>
  <c r="AS36" i="4"/>
  <c r="AR40" i="4"/>
  <c r="AQ41" i="4"/>
  <c r="AR41" i="4"/>
  <c r="AS41" i="4"/>
  <c r="AQ42" i="4"/>
  <c r="AR42" i="4"/>
  <c r="AS42" i="4"/>
  <c r="AQ43" i="4"/>
  <c r="AR43" i="4"/>
  <c r="AS43" i="4"/>
  <c r="AQ44" i="4"/>
  <c r="AR44" i="4"/>
  <c r="AS44" i="4"/>
  <c r="AQ45" i="4"/>
  <c r="AR45" i="4"/>
  <c r="AS45" i="4"/>
  <c r="AQ46" i="4"/>
  <c r="AR46" i="4"/>
  <c r="AS46" i="4"/>
  <c r="AQ47" i="4"/>
  <c r="AR47" i="4"/>
  <c r="AS47" i="4"/>
  <c r="AR48" i="4"/>
  <c r="AR49" i="4"/>
  <c r="AR50" i="4"/>
  <c r="AQ51" i="4"/>
  <c r="AR51" i="4"/>
  <c r="AS51" i="4"/>
  <c r="AR52" i="4"/>
  <c r="AQ53" i="4"/>
  <c r="AR53" i="4"/>
  <c r="AS53" i="4"/>
  <c r="AQ54" i="4"/>
  <c r="AR54" i="4"/>
  <c r="AS54" i="4"/>
  <c r="AQ55" i="4"/>
  <c r="AR55" i="4"/>
  <c r="AS55" i="4"/>
  <c r="AQ56" i="4"/>
  <c r="AR56" i="4"/>
  <c r="AS56" i="4"/>
  <c r="AQ57" i="4"/>
  <c r="AR57" i="4"/>
  <c r="AS57" i="4"/>
  <c r="AQ58" i="4"/>
  <c r="AR58" i="4"/>
  <c r="AS58" i="4"/>
  <c r="AQ59" i="4"/>
  <c r="AR59" i="4"/>
  <c r="AS59" i="4"/>
  <c r="AQ60" i="4"/>
  <c r="AR60" i="4"/>
  <c r="AS60" i="4"/>
  <c r="AQ61" i="4"/>
  <c r="AR61" i="4"/>
  <c r="AS61" i="4"/>
  <c r="AQ62" i="4"/>
  <c r="AR62" i="4"/>
  <c r="AS62" i="4"/>
  <c r="AQ63" i="4"/>
  <c r="AR63" i="4"/>
  <c r="AS63" i="4"/>
  <c r="AQ64" i="4"/>
  <c r="AR64" i="4"/>
  <c r="AS64" i="4"/>
  <c r="AQ65" i="4"/>
  <c r="AR65" i="4"/>
  <c r="AS65" i="4"/>
  <c r="AQ66" i="4"/>
  <c r="AR66" i="4"/>
  <c r="AS66" i="4"/>
  <c r="AQ67" i="4"/>
  <c r="AR67" i="4"/>
  <c r="AS67" i="4"/>
  <c r="AQ68" i="4"/>
  <c r="AR68" i="4"/>
  <c r="AS68" i="4"/>
  <c r="AQ69" i="4"/>
  <c r="AR69" i="4"/>
  <c r="AS69" i="4"/>
  <c r="AQ70" i="4"/>
  <c r="AR70" i="4"/>
  <c r="AS70" i="4"/>
  <c r="AQ71" i="4"/>
  <c r="AR71" i="4"/>
  <c r="AS71" i="4"/>
  <c r="AQ72" i="4"/>
  <c r="AR72" i="4"/>
  <c r="AS72" i="4"/>
  <c r="AQ73" i="4"/>
  <c r="AR73" i="4"/>
  <c r="AS73" i="4"/>
  <c r="AQ74" i="4"/>
  <c r="AR74" i="4"/>
  <c r="AS74" i="4"/>
  <c r="AQ75" i="4"/>
  <c r="AR75" i="4"/>
  <c r="AS75" i="4"/>
  <c r="AQ76" i="4"/>
  <c r="AR76" i="4"/>
  <c r="AS76" i="4"/>
  <c r="AQ77" i="4"/>
  <c r="AR77" i="4"/>
  <c r="AS77" i="4"/>
  <c r="AQ78" i="4"/>
  <c r="AR78" i="4"/>
  <c r="AS78" i="4"/>
  <c r="AQ79" i="4"/>
  <c r="AR79" i="4"/>
  <c r="AS79" i="4"/>
  <c r="AQ80" i="4"/>
  <c r="AR80" i="4"/>
  <c r="AS80" i="4"/>
  <c r="AQ81" i="4"/>
  <c r="AR81" i="4"/>
  <c r="AS81" i="4"/>
  <c r="AQ82" i="4"/>
  <c r="AR82" i="4"/>
  <c r="AS82" i="4"/>
  <c r="AQ83" i="4"/>
  <c r="AR83" i="4"/>
  <c r="AS83" i="4"/>
  <c r="AQ84" i="4"/>
  <c r="AR84" i="4"/>
  <c r="AS84" i="4"/>
  <c r="AQ85" i="4"/>
  <c r="AR85" i="4"/>
  <c r="AS85" i="4"/>
  <c r="AQ86" i="4"/>
  <c r="AR86" i="4"/>
  <c r="AS86" i="4"/>
  <c r="AQ87" i="4"/>
  <c r="AR87" i="4"/>
  <c r="AS87" i="4"/>
  <c r="AQ88" i="4"/>
  <c r="AR88" i="4"/>
  <c r="AS88" i="4"/>
  <c r="AQ89" i="4"/>
  <c r="AR89" i="4"/>
  <c r="AS89" i="4"/>
  <c r="AQ90" i="4"/>
  <c r="AR90" i="4"/>
  <c r="AS90" i="4"/>
  <c r="AQ91" i="4"/>
  <c r="AR91" i="4"/>
  <c r="AS91" i="4"/>
  <c r="AQ92" i="4"/>
  <c r="AR92" i="4"/>
  <c r="AS92" i="4"/>
  <c r="AQ93" i="4"/>
  <c r="AR93" i="4"/>
  <c r="AS93" i="4"/>
  <c r="AQ94" i="4"/>
  <c r="AR94" i="4"/>
  <c r="AS94" i="4"/>
  <c r="AQ95" i="4"/>
  <c r="AR95" i="4"/>
  <c r="AS95" i="4"/>
  <c r="AQ96" i="4"/>
  <c r="AR96" i="4"/>
  <c r="AS96" i="4"/>
  <c r="AQ97" i="4"/>
  <c r="AR97" i="4"/>
  <c r="AS97" i="4"/>
  <c r="AQ98" i="4"/>
  <c r="AR98" i="4"/>
  <c r="AS98" i="4"/>
  <c r="AQ99" i="4"/>
  <c r="AR99" i="4"/>
  <c r="AS99" i="4"/>
  <c r="AQ100" i="4"/>
  <c r="AR100" i="4"/>
  <c r="AS100" i="4"/>
  <c r="AQ101" i="4"/>
  <c r="AR101" i="4"/>
  <c r="AS101" i="4"/>
  <c r="AQ102" i="4"/>
  <c r="AR102" i="4"/>
  <c r="AS102" i="4"/>
  <c r="AQ103" i="4"/>
  <c r="AR103" i="4"/>
  <c r="AS103" i="4"/>
  <c r="AQ104" i="4"/>
  <c r="AR104" i="4"/>
  <c r="AS104" i="4"/>
  <c r="AQ105" i="4"/>
  <c r="AR105" i="4"/>
  <c r="AS105" i="4"/>
  <c r="AQ106" i="4"/>
  <c r="AR106" i="4"/>
  <c r="AS106" i="4"/>
  <c r="AQ107" i="4"/>
  <c r="AR107" i="4"/>
  <c r="AS107" i="4"/>
  <c r="AQ108" i="4"/>
  <c r="AR108" i="4"/>
  <c r="AS108" i="4"/>
  <c r="AQ109" i="4"/>
  <c r="AR109" i="4"/>
  <c r="AS109" i="4"/>
  <c r="AQ110" i="4"/>
  <c r="AR110" i="4"/>
  <c r="AS110" i="4"/>
  <c r="AQ111" i="4"/>
  <c r="AR111" i="4"/>
  <c r="AS111" i="4"/>
  <c r="AQ112" i="4"/>
  <c r="AR112" i="4"/>
  <c r="AS112" i="4"/>
  <c r="AQ113" i="4"/>
  <c r="AR113" i="4"/>
  <c r="AS113" i="4"/>
  <c r="AQ114" i="4"/>
  <c r="AR114" i="4"/>
  <c r="AS114" i="4"/>
  <c r="AQ115" i="4"/>
  <c r="AR115" i="4"/>
  <c r="AS115" i="4"/>
  <c r="AQ116" i="4"/>
  <c r="AR116" i="4"/>
  <c r="AS116" i="4"/>
  <c r="AQ117" i="4"/>
  <c r="AR117" i="4"/>
  <c r="AS117" i="4"/>
  <c r="AQ118" i="4"/>
  <c r="AR118" i="4"/>
  <c r="AS118" i="4"/>
  <c r="AQ119" i="4"/>
  <c r="AR119" i="4"/>
  <c r="AS119" i="4"/>
  <c r="AQ120" i="4"/>
  <c r="AR120" i="4"/>
  <c r="AS120" i="4"/>
  <c r="AQ121" i="4"/>
  <c r="AR121" i="4"/>
  <c r="AS121" i="4"/>
  <c r="AQ122" i="4"/>
  <c r="AR122" i="4"/>
  <c r="AS122" i="4"/>
  <c r="AQ123" i="4"/>
  <c r="AR123" i="4"/>
  <c r="AS123" i="4"/>
  <c r="AQ124" i="4"/>
  <c r="AR124" i="4"/>
  <c r="AS124" i="4"/>
  <c r="AQ125" i="4"/>
  <c r="AR125" i="4"/>
  <c r="AS125" i="4"/>
  <c r="AQ126" i="4"/>
  <c r="AR126" i="4"/>
  <c r="AS126" i="4"/>
  <c r="AQ127" i="4"/>
  <c r="AR127" i="4"/>
  <c r="AS127" i="4"/>
  <c r="AQ128" i="4"/>
  <c r="AR128" i="4"/>
  <c r="AS128" i="4"/>
  <c r="AQ129" i="4"/>
  <c r="AR129" i="4"/>
  <c r="AS129" i="4"/>
  <c r="AQ130" i="4"/>
  <c r="AR130" i="4"/>
  <c r="AS130" i="4"/>
  <c r="AQ131" i="4"/>
  <c r="AR131" i="4"/>
  <c r="AS131" i="4"/>
  <c r="AQ132" i="4"/>
  <c r="AR132" i="4"/>
  <c r="AS132" i="4"/>
  <c r="AQ133" i="4"/>
  <c r="AR133" i="4"/>
  <c r="AS133" i="4"/>
  <c r="AQ134" i="4"/>
  <c r="AR134" i="4"/>
  <c r="AS134" i="4"/>
  <c r="AQ135" i="4"/>
  <c r="AR135" i="4"/>
  <c r="AS135" i="4"/>
  <c r="AQ136" i="4"/>
  <c r="AR136" i="4"/>
  <c r="AS136" i="4"/>
  <c r="AQ137" i="4"/>
  <c r="AR137" i="4"/>
  <c r="AS137" i="4"/>
  <c r="AQ138" i="4"/>
  <c r="AR138" i="4"/>
  <c r="AS138" i="4"/>
  <c r="AQ139" i="4"/>
  <c r="AR139" i="4"/>
  <c r="AS139" i="4"/>
  <c r="AQ140" i="4"/>
  <c r="AR140" i="4"/>
  <c r="AS140" i="4"/>
  <c r="AQ141" i="4"/>
  <c r="AR141" i="4"/>
  <c r="AS141" i="4"/>
  <c r="AQ142" i="4"/>
  <c r="AR142" i="4"/>
  <c r="AS142" i="4"/>
  <c r="AQ143" i="4"/>
  <c r="AR143" i="4"/>
  <c r="AS143" i="4"/>
  <c r="AQ144" i="4"/>
  <c r="AR144" i="4"/>
  <c r="AS144" i="4"/>
  <c r="AQ145" i="4"/>
  <c r="AR145" i="4"/>
  <c r="AS145" i="4"/>
  <c r="AQ146" i="4"/>
  <c r="AR146" i="4"/>
  <c r="AS146" i="4"/>
  <c r="AQ147" i="4"/>
  <c r="AR147" i="4"/>
  <c r="AS147" i="4"/>
  <c r="AQ148" i="4"/>
  <c r="AR148" i="4"/>
  <c r="AS148" i="4"/>
  <c r="AQ149" i="4"/>
  <c r="AR149" i="4"/>
  <c r="AS149" i="4"/>
  <c r="AQ150" i="4"/>
  <c r="AR150" i="4"/>
  <c r="AS150" i="4"/>
  <c r="AQ151" i="4"/>
  <c r="AR151" i="4"/>
  <c r="AS151" i="4"/>
  <c r="AQ152" i="4"/>
  <c r="AR152" i="4"/>
  <c r="AS152" i="4"/>
  <c r="AQ153" i="4"/>
  <c r="AR153" i="4"/>
  <c r="AS153" i="4"/>
  <c r="AQ154" i="4"/>
  <c r="AR154" i="4"/>
  <c r="AS154" i="4"/>
  <c r="AQ155" i="4"/>
  <c r="AR155" i="4"/>
  <c r="AS155" i="4"/>
  <c r="AQ156" i="4"/>
  <c r="AR156" i="4"/>
  <c r="AS156" i="4"/>
  <c r="AQ157" i="4"/>
  <c r="AR157" i="4"/>
  <c r="AS157" i="4"/>
  <c r="AQ158" i="4"/>
  <c r="AR158" i="4"/>
  <c r="AS158" i="4"/>
  <c r="AQ159" i="4"/>
  <c r="AR159" i="4"/>
  <c r="AS159" i="4"/>
  <c r="AQ160" i="4"/>
  <c r="AR160" i="4"/>
  <c r="AS160" i="4"/>
  <c r="AQ161" i="4"/>
  <c r="AR161" i="4"/>
  <c r="AS161" i="4"/>
  <c r="AS3" i="4"/>
  <c r="AQ3" i="4"/>
  <c r="AO7" i="4"/>
  <c r="AP7" i="4"/>
  <c r="AO9" i="4"/>
  <c r="AP9" i="4"/>
  <c r="AO10" i="4"/>
  <c r="AP10" i="4"/>
  <c r="AO12" i="4"/>
  <c r="AP12" i="4"/>
  <c r="AO13" i="4"/>
  <c r="AP13" i="4"/>
  <c r="AO14" i="4"/>
  <c r="AO16" i="4"/>
  <c r="AP16" i="4"/>
  <c r="AO17" i="4"/>
  <c r="AP17" i="4"/>
  <c r="AO18" i="4"/>
  <c r="AP18" i="4"/>
  <c r="AP19" i="4"/>
  <c r="AO20" i="4"/>
  <c r="AP20" i="4"/>
  <c r="AO21" i="4"/>
  <c r="AP21" i="4"/>
  <c r="AP22" i="4"/>
  <c r="AO26" i="4"/>
  <c r="AP26" i="4"/>
  <c r="AP28" i="4"/>
  <c r="AO31" i="4"/>
  <c r="AP31" i="4"/>
  <c r="AO36" i="4"/>
  <c r="AP36" i="4"/>
  <c r="AO38" i="4"/>
  <c r="AP38" i="4"/>
  <c r="AO41" i="4"/>
  <c r="AP41" i="4"/>
  <c r="AO42" i="4"/>
  <c r="AP42" i="4"/>
  <c r="AO43" i="4"/>
  <c r="AP43" i="4"/>
  <c r="AO44" i="4"/>
  <c r="AP44" i="4"/>
  <c r="AO45" i="4"/>
  <c r="AP45" i="4"/>
  <c r="AO46" i="4"/>
  <c r="AP46" i="4"/>
  <c r="AO51" i="4"/>
  <c r="AP51" i="4"/>
  <c r="AO53" i="4"/>
  <c r="AP53" i="4"/>
  <c r="AO54" i="4"/>
  <c r="AP54" i="4"/>
  <c r="AO55" i="4"/>
  <c r="AP55" i="4"/>
  <c r="AO56" i="4"/>
  <c r="AP56" i="4"/>
  <c r="AO57" i="4"/>
  <c r="AP57" i="4"/>
  <c r="AO58" i="4"/>
  <c r="AP58" i="4"/>
  <c r="AO59" i="4"/>
  <c r="AP59" i="4"/>
  <c r="AO60" i="4"/>
  <c r="AP60" i="4"/>
  <c r="AO61" i="4"/>
  <c r="AP61" i="4"/>
  <c r="AO62" i="4"/>
  <c r="AP62" i="4"/>
  <c r="AO63" i="4"/>
  <c r="AP63" i="4"/>
  <c r="AO64" i="4"/>
  <c r="AP64" i="4"/>
  <c r="AO65" i="4"/>
  <c r="AP65" i="4"/>
  <c r="AO66" i="4"/>
  <c r="AP66" i="4"/>
  <c r="AO67" i="4"/>
  <c r="AP67" i="4"/>
  <c r="AO68" i="4"/>
  <c r="AP68" i="4"/>
  <c r="AO69" i="4"/>
  <c r="AP69" i="4"/>
  <c r="AO70" i="4"/>
  <c r="AP70" i="4"/>
  <c r="AO71" i="4"/>
  <c r="AP71" i="4"/>
  <c r="AO72" i="4"/>
  <c r="AP72" i="4"/>
  <c r="AO73" i="4"/>
  <c r="AP73" i="4"/>
  <c r="AO74" i="4"/>
  <c r="AP74" i="4"/>
  <c r="AO75" i="4"/>
  <c r="AP75" i="4"/>
  <c r="AO76" i="4"/>
  <c r="AP76" i="4"/>
  <c r="AO77" i="4"/>
  <c r="AP77" i="4"/>
  <c r="AO78" i="4"/>
  <c r="AP78" i="4"/>
  <c r="AO79" i="4"/>
  <c r="AP79" i="4"/>
  <c r="AO80" i="4"/>
  <c r="AP80" i="4"/>
  <c r="AO81" i="4"/>
  <c r="AP81" i="4"/>
  <c r="AO82" i="4"/>
  <c r="AP82" i="4"/>
  <c r="AO83" i="4"/>
  <c r="AP83" i="4"/>
  <c r="AO84" i="4"/>
  <c r="AP84" i="4"/>
  <c r="AO85" i="4"/>
  <c r="AP85" i="4"/>
  <c r="AO86" i="4"/>
  <c r="AP86" i="4"/>
  <c r="AO87" i="4"/>
  <c r="AP87" i="4"/>
  <c r="AO88" i="4"/>
  <c r="AP88" i="4"/>
  <c r="AO89" i="4"/>
  <c r="AP89" i="4"/>
  <c r="AO90" i="4"/>
  <c r="AP90" i="4"/>
  <c r="AO91" i="4"/>
  <c r="AP91" i="4"/>
  <c r="AO92" i="4"/>
  <c r="AP92" i="4"/>
  <c r="AO93" i="4"/>
  <c r="AP93" i="4"/>
  <c r="AO94" i="4"/>
  <c r="AP94" i="4"/>
  <c r="AO95" i="4"/>
  <c r="AP95" i="4"/>
  <c r="AO96" i="4"/>
  <c r="AP96" i="4"/>
  <c r="AO97" i="4"/>
  <c r="AP97" i="4"/>
  <c r="AO98" i="4"/>
  <c r="AP98" i="4"/>
  <c r="AO99" i="4"/>
  <c r="AP99" i="4"/>
  <c r="AO100" i="4"/>
  <c r="AP100" i="4"/>
  <c r="AO101" i="4"/>
  <c r="AP101" i="4"/>
  <c r="AO102" i="4"/>
  <c r="AP102" i="4"/>
  <c r="AO103" i="4"/>
  <c r="AP103" i="4"/>
  <c r="AO104" i="4"/>
  <c r="AP104" i="4"/>
  <c r="AO105" i="4"/>
  <c r="AP105" i="4"/>
  <c r="AO106" i="4"/>
  <c r="AP106" i="4"/>
  <c r="AO107" i="4"/>
  <c r="AP107" i="4"/>
  <c r="AO108" i="4"/>
  <c r="AP108" i="4"/>
  <c r="AO109" i="4"/>
  <c r="AP109" i="4"/>
  <c r="AO110" i="4"/>
  <c r="AP110" i="4"/>
  <c r="AO111" i="4"/>
  <c r="AP111" i="4"/>
  <c r="AO112" i="4"/>
  <c r="AP112" i="4"/>
  <c r="AO113" i="4"/>
  <c r="AP113" i="4"/>
  <c r="AO114" i="4"/>
  <c r="AP114" i="4"/>
  <c r="AO115" i="4"/>
  <c r="AP115" i="4"/>
  <c r="AO116" i="4"/>
  <c r="AP116" i="4"/>
  <c r="AO117" i="4"/>
  <c r="AP117" i="4"/>
  <c r="AO118" i="4"/>
  <c r="AP118" i="4"/>
  <c r="AO119" i="4"/>
  <c r="AP119" i="4"/>
  <c r="AO120" i="4"/>
  <c r="AP120" i="4"/>
  <c r="AO121" i="4"/>
  <c r="AP121" i="4"/>
  <c r="AO122" i="4"/>
  <c r="AP122" i="4"/>
  <c r="AO123" i="4"/>
  <c r="AP123" i="4"/>
  <c r="AO124" i="4"/>
  <c r="AP124" i="4"/>
  <c r="AO125" i="4"/>
  <c r="AP125" i="4"/>
  <c r="AO126" i="4"/>
  <c r="AP126" i="4"/>
  <c r="AO127" i="4"/>
  <c r="AP127" i="4"/>
  <c r="AO128" i="4"/>
  <c r="AP128" i="4"/>
  <c r="AO129" i="4"/>
  <c r="AP129" i="4"/>
  <c r="AO130" i="4"/>
  <c r="AP130" i="4"/>
  <c r="AO131" i="4"/>
  <c r="AP131" i="4"/>
  <c r="AO132" i="4"/>
  <c r="AP132" i="4"/>
  <c r="AO133" i="4"/>
  <c r="AP133" i="4"/>
  <c r="AO134" i="4"/>
  <c r="AP134" i="4"/>
  <c r="AO135" i="4"/>
  <c r="AP135" i="4"/>
  <c r="AO136" i="4"/>
  <c r="AP136" i="4"/>
  <c r="AO137" i="4"/>
  <c r="AP137" i="4"/>
  <c r="AO138" i="4"/>
  <c r="AP138" i="4"/>
  <c r="AO139" i="4"/>
  <c r="AP139" i="4"/>
  <c r="AO140" i="4"/>
  <c r="AP140" i="4"/>
  <c r="AO141" i="4"/>
  <c r="AP141" i="4"/>
  <c r="AO142" i="4"/>
  <c r="AP142" i="4"/>
  <c r="AO143" i="4"/>
  <c r="AP143" i="4"/>
  <c r="AO144" i="4"/>
  <c r="AP144" i="4"/>
  <c r="AO145" i="4"/>
  <c r="AP145" i="4"/>
  <c r="AO146" i="4"/>
  <c r="AP146" i="4"/>
  <c r="AO147" i="4"/>
  <c r="AP147" i="4"/>
  <c r="AO148" i="4"/>
  <c r="AP148" i="4"/>
  <c r="AO149" i="4"/>
  <c r="AP149" i="4"/>
  <c r="AO150" i="4"/>
  <c r="AP150" i="4"/>
  <c r="AO151" i="4"/>
  <c r="AP151" i="4"/>
  <c r="AO152" i="4"/>
  <c r="AP152" i="4"/>
  <c r="AO153" i="4"/>
  <c r="AP153" i="4"/>
  <c r="AO154" i="4"/>
  <c r="AP154" i="4"/>
  <c r="AO155" i="4"/>
  <c r="AP155" i="4"/>
  <c r="AO156" i="4"/>
  <c r="AP156" i="4"/>
  <c r="AO157" i="4"/>
  <c r="AP157" i="4"/>
  <c r="AO158" i="4"/>
  <c r="AP158" i="4"/>
  <c r="AO159" i="4"/>
  <c r="AP159" i="4"/>
  <c r="AO160" i="4"/>
  <c r="AP160" i="4"/>
  <c r="AO161" i="4"/>
  <c r="AP161" i="4"/>
  <c r="H3" i="3"/>
  <c r="H4" i="3"/>
  <c r="H5" i="3"/>
  <c r="H6" i="3"/>
  <c r="H7" i="3"/>
  <c r="H8" i="3"/>
  <c r="H9" i="3"/>
  <c r="H10" i="3"/>
  <c r="H11" i="3"/>
  <c r="H12" i="3"/>
  <c r="H13" i="3"/>
  <c r="H14" i="3"/>
  <c r="H15" i="3"/>
  <c r="H16" i="3"/>
  <c r="H17" i="3"/>
  <c r="H18" i="3"/>
  <c r="H19" i="3"/>
  <c r="H20" i="3"/>
  <c r="H21" i="3"/>
  <c r="H22" i="3"/>
  <c r="H23" i="3"/>
  <c r="H24" i="3"/>
  <c r="H25" i="3"/>
  <c r="H26" i="3"/>
  <c r="H27" i="3"/>
  <c r="H28" i="3"/>
  <c r="H29" i="3"/>
  <c r="H30" i="3"/>
  <c r="H31" i="3"/>
  <c r="H33" i="3"/>
  <c r="H34" i="3"/>
  <c r="H35" i="3"/>
  <c r="H36" i="3"/>
  <c r="H37" i="3"/>
  <c r="H38" i="3"/>
  <c r="H39" i="3"/>
  <c r="H40" i="3"/>
  <c r="H41" i="3"/>
  <c r="H43" i="3"/>
  <c r="H44" i="3"/>
  <c r="H45" i="3"/>
  <c r="H46" i="3"/>
  <c r="H47" i="3"/>
  <c r="H48" i="3"/>
  <c r="H49" i="3"/>
  <c r="H50" i="3"/>
  <c r="H51" i="3"/>
  <c r="H52" i="3"/>
  <c r="H53" i="3"/>
  <c r="H54" i="3"/>
  <c r="H55" i="3"/>
  <c r="H57" i="3"/>
  <c r="H58" i="3"/>
  <c r="H59" i="3"/>
  <c r="H62" i="3"/>
  <c r="H63" i="3"/>
  <c r="H65" i="3"/>
  <c r="H68" i="3"/>
  <c r="H69" i="3"/>
  <c r="H70" i="3"/>
  <c r="H71" i="3"/>
  <c r="H72" i="3"/>
  <c r="H73" i="3"/>
  <c r="H74" i="3"/>
  <c r="H77" i="3"/>
  <c r="H78" i="3"/>
  <c r="H79" i="3"/>
  <c r="H80" i="3"/>
  <c r="H81" i="3"/>
  <c r="H82" i="3"/>
  <c r="H83" i="3"/>
  <c r="H84" i="3"/>
  <c r="H85" i="3"/>
  <c r="H86" i="3"/>
  <c r="H87" i="3"/>
  <c r="H88" i="3"/>
  <c r="H89" i="3"/>
  <c r="H90" i="3"/>
  <c r="H91" i="3"/>
  <c r="H92" i="3"/>
  <c r="H93" i="3"/>
  <c r="H94" i="3"/>
  <c r="H95" i="3"/>
  <c r="H96" i="3"/>
  <c r="H97" i="3"/>
  <c r="H98" i="3"/>
  <c r="H99" i="3"/>
  <c r="H100" i="3"/>
  <c r="H101" i="3"/>
  <c r="H102" i="3"/>
  <c r="H103" i="3"/>
  <c r="H104" i="3"/>
  <c r="H105" i="3"/>
  <c r="H106" i="3"/>
  <c r="H107" i="3"/>
  <c r="H108" i="3"/>
  <c r="H109" i="3"/>
  <c r="H110" i="3"/>
  <c r="H111" i="3"/>
  <c r="H112" i="3"/>
  <c r="H113" i="3"/>
  <c r="H114" i="3"/>
  <c r="H115" i="3"/>
  <c r="H116" i="3"/>
  <c r="H117" i="3"/>
  <c r="H118" i="3"/>
  <c r="H119" i="3"/>
  <c r="H120" i="3"/>
  <c r="H121" i="3"/>
  <c r="H122" i="3"/>
  <c r="H123" i="3"/>
  <c r="H124" i="3"/>
  <c r="H125" i="3"/>
  <c r="H126" i="3"/>
  <c r="H127" i="3"/>
  <c r="H128" i="3"/>
  <c r="H129" i="3"/>
  <c r="H130" i="3"/>
  <c r="H131" i="3"/>
  <c r="H132" i="3"/>
  <c r="H133" i="3"/>
  <c r="H134" i="3"/>
  <c r="H135" i="3"/>
  <c r="H136" i="3"/>
  <c r="H137" i="3"/>
  <c r="H138" i="3"/>
  <c r="H139" i="3"/>
  <c r="H140" i="3"/>
  <c r="H141" i="3"/>
  <c r="H142" i="3"/>
  <c r="H143" i="3"/>
  <c r="H144" i="3"/>
  <c r="H145" i="3"/>
  <c r="H146" i="3"/>
  <c r="H147" i="3"/>
  <c r="H148" i="3"/>
  <c r="H149" i="3"/>
  <c r="H150" i="3"/>
  <c r="H151" i="3"/>
  <c r="H152" i="3"/>
  <c r="H153" i="3"/>
  <c r="H154" i="3"/>
  <c r="H155" i="3"/>
  <c r="H156" i="3"/>
  <c r="H157" i="3"/>
  <c r="H158" i="3"/>
  <c r="H159" i="3"/>
  <c r="H160" i="3"/>
  <c r="H161" i="3"/>
  <c r="H162" i="3"/>
  <c r="H163" i="3"/>
  <c r="H164" i="3"/>
  <c r="H165" i="3"/>
  <c r="H166" i="3"/>
  <c r="H167" i="3"/>
  <c r="H168" i="3"/>
  <c r="H169" i="3"/>
  <c r="H170" i="3"/>
  <c r="H171" i="3"/>
  <c r="H172" i="3"/>
  <c r="H173" i="3"/>
  <c r="H174" i="3"/>
  <c r="H175" i="3"/>
  <c r="H176" i="3"/>
  <c r="H177" i="3"/>
  <c r="H178" i="3"/>
  <c r="H179" i="3"/>
  <c r="H180" i="3"/>
  <c r="H181" i="3"/>
  <c r="H182" i="3"/>
  <c r="H183" i="3"/>
  <c r="H184" i="3"/>
  <c r="H185" i="3"/>
  <c r="H186" i="3"/>
  <c r="H187" i="3"/>
  <c r="H188" i="3"/>
  <c r="H189" i="3"/>
  <c r="H190" i="3"/>
  <c r="H191" i="3"/>
  <c r="H192" i="3"/>
  <c r="H193" i="3"/>
  <c r="H194" i="3"/>
  <c r="H195" i="3"/>
  <c r="H196" i="3"/>
  <c r="H197" i="3"/>
  <c r="H198" i="3"/>
  <c r="H199" i="3"/>
  <c r="H200" i="3"/>
  <c r="H201" i="3"/>
  <c r="H202" i="3"/>
  <c r="H203" i="3"/>
  <c r="H204" i="3"/>
  <c r="H205" i="3"/>
  <c r="H206" i="3"/>
  <c r="H207" i="3"/>
  <c r="H208" i="3"/>
  <c r="H209" i="3"/>
  <c r="H210" i="3"/>
  <c r="H211" i="3"/>
  <c r="H212" i="3"/>
  <c r="H213" i="3"/>
  <c r="H214" i="3"/>
  <c r="H215" i="3"/>
  <c r="H216" i="3"/>
  <c r="H217" i="3"/>
  <c r="H218" i="3"/>
  <c r="H219" i="3"/>
  <c r="H220" i="3"/>
  <c r="H221" i="3"/>
  <c r="H222" i="3"/>
  <c r="H223" i="3"/>
  <c r="H224" i="3"/>
  <c r="H225" i="3"/>
  <c r="H226" i="3"/>
  <c r="H227" i="3"/>
  <c r="H228" i="3"/>
  <c r="H229" i="3"/>
  <c r="H230" i="3"/>
  <c r="H231" i="3"/>
  <c r="H232" i="3"/>
  <c r="H233" i="3"/>
  <c r="H234" i="3"/>
  <c r="H235" i="3"/>
  <c r="H236" i="3"/>
  <c r="H237" i="3"/>
  <c r="H238" i="3"/>
  <c r="H239" i="3"/>
  <c r="H240" i="3"/>
  <c r="H241" i="3"/>
  <c r="H242" i="3"/>
  <c r="H243" i="3"/>
  <c r="H244" i="3"/>
  <c r="H245" i="3"/>
  <c r="H246" i="3"/>
  <c r="H247" i="3"/>
  <c r="H248" i="3"/>
  <c r="H249" i="3"/>
  <c r="H250" i="3"/>
  <c r="H251" i="3"/>
  <c r="H252" i="3"/>
  <c r="H253" i="3"/>
  <c r="H254" i="3"/>
  <c r="H255" i="3"/>
  <c r="H256" i="3"/>
  <c r="H257" i="3"/>
  <c r="H258" i="3"/>
  <c r="G3" i="3"/>
  <c r="G4" i="3"/>
  <c r="G5" i="3"/>
  <c r="G6" i="3"/>
  <c r="G7" i="3"/>
  <c r="G8" i="3"/>
  <c r="G9" i="3"/>
  <c r="G10" i="3"/>
  <c r="G11" i="3"/>
  <c r="G12" i="3"/>
  <c r="G13" i="3"/>
  <c r="G16" i="3"/>
  <c r="G17" i="3"/>
  <c r="G18" i="3"/>
  <c r="G19" i="3"/>
  <c r="G21" i="3"/>
  <c r="G23" i="3"/>
  <c r="G24" i="3"/>
  <c r="G25" i="3"/>
  <c r="G26" i="3"/>
  <c r="G27" i="3"/>
  <c r="G28" i="3"/>
  <c r="G29" i="3"/>
  <c r="G30" i="3"/>
  <c r="G31" i="3"/>
  <c r="G32" i="3"/>
  <c r="G33" i="3"/>
  <c r="G34" i="3"/>
  <c r="G35" i="3"/>
  <c r="G36" i="3"/>
  <c r="G37" i="3"/>
  <c r="G38" i="3"/>
  <c r="G39" i="3"/>
  <c r="G40" i="3"/>
  <c r="G41" i="3"/>
  <c r="G42" i="3"/>
  <c r="G43" i="3"/>
  <c r="G44" i="3"/>
  <c r="G45" i="3"/>
  <c r="G47" i="3"/>
  <c r="G48" i="3"/>
  <c r="G49" i="3"/>
  <c r="G50" i="3"/>
  <c r="G52" i="3"/>
  <c r="G53" i="3"/>
  <c r="G54" i="3"/>
  <c r="G55" i="3"/>
  <c r="G56" i="3"/>
  <c r="G57" i="3"/>
  <c r="G58" i="3"/>
  <c r="G60" i="3"/>
  <c r="G62" i="3"/>
  <c r="G63" i="3"/>
  <c r="G65" i="3"/>
  <c r="G67" i="3"/>
  <c r="G68" i="3"/>
  <c r="G69" i="3"/>
  <c r="G70" i="3"/>
  <c r="G71" i="3"/>
  <c r="G72" i="3"/>
  <c r="G73" i="3"/>
  <c r="G78" i="3"/>
  <c r="G79" i="3"/>
  <c r="G80"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L67" i="6"/>
  <c r="D67" i="6"/>
  <c r="AR39" i="4"/>
  <c r="J67" i="1"/>
  <c r="G66" i="3" s="1"/>
  <c r="E67" i="1"/>
  <c r="AP39" i="4" s="1"/>
  <c r="D67" i="1"/>
  <c r="AO39" i="4" s="1"/>
  <c r="AR38" i="4"/>
  <c r="F66" i="1"/>
  <c r="AQ38" i="4" s="1"/>
  <c r="F66" i="6"/>
  <c r="D66" i="6"/>
  <c r="E7" i="16"/>
  <c r="E18" i="16"/>
  <c r="P20" i="11"/>
  <c r="O20" i="11"/>
  <c r="D18" i="16" s="1"/>
  <c r="O9" i="11"/>
  <c r="D7" i="16" s="1"/>
  <c r="E17" i="16"/>
  <c r="D65" i="6"/>
  <c r="F65" i="6"/>
  <c r="P9" i="11"/>
  <c r="AR37" i="4"/>
  <c r="L65" i="1"/>
  <c r="F65" i="1"/>
  <c r="E65" i="1"/>
  <c r="AP37" i="4" s="1"/>
  <c r="D65" i="1"/>
  <c r="AO37" i="4" s="1"/>
  <c r="F63" i="6"/>
  <c r="D63" i="6"/>
  <c r="E63" i="1"/>
  <c r="AP35" i="4" s="1"/>
  <c r="D63" i="1"/>
  <c r="G63" i="1"/>
  <c r="AR35" i="4" s="1"/>
  <c r="F63" i="1"/>
  <c r="D62" i="6"/>
  <c r="M61" i="3"/>
  <c r="F62" i="6"/>
  <c r="M62" i="1"/>
  <c r="H61" i="3" s="1"/>
  <c r="J62" i="1"/>
  <c r="G61" i="3" s="1"/>
  <c r="D62" i="1"/>
  <c r="AO34" i="4" s="1"/>
  <c r="G62" i="1"/>
  <c r="E62" i="1"/>
  <c r="AP34" i="4" s="1"/>
  <c r="N47" i="11"/>
  <c r="N38" i="11" s="1"/>
  <c r="N44" i="11"/>
  <c r="N35" i="11" s="1"/>
  <c r="N43" i="11"/>
  <c r="N34" i="11" s="1"/>
  <c r="N49" i="11"/>
  <c r="N40" i="11" s="1"/>
  <c r="N48" i="11"/>
  <c r="N39" i="11" s="1"/>
  <c r="F61" i="6"/>
  <c r="D61" i="6"/>
  <c r="M61" i="1"/>
  <c r="H60" i="3" s="1"/>
  <c r="G61" i="1"/>
  <c r="AR33" i="4" s="1"/>
  <c r="F61" i="1"/>
  <c r="E61" i="1"/>
  <c r="AP33" i="4" s="1"/>
  <c r="D61" i="1"/>
  <c r="AO33" i="4" s="1"/>
  <c r="J60" i="1"/>
  <c r="G59" i="3" s="1"/>
  <c r="I7" i="15"/>
  <c r="I5" i="15"/>
  <c r="I4" i="15"/>
  <c r="I3" i="15"/>
  <c r="F1" i="15"/>
  <c r="E1" i="15"/>
  <c r="D1" i="15"/>
  <c r="C1" i="15"/>
  <c r="I2675" i="14"/>
  <c r="C2675" i="14"/>
  <c r="B2675" i="14"/>
  <c r="I2674" i="14"/>
  <c r="C2674" i="14"/>
  <c r="B2674" i="14"/>
  <c r="I2673" i="14"/>
  <c r="C2673" i="14"/>
  <c r="B2673" i="14"/>
  <c r="I2672" i="14"/>
  <c r="C2672" i="14"/>
  <c r="B2672" i="14"/>
  <c r="I2671" i="14"/>
  <c r="C2671" i="14"/>
  <c r="B2671" i="14"/>
  <c r="I2670" i="14"/>
  <c r="C2670" i="14"/>
  <c r="B2670" i="14"/>
  <c r="I2669" i="14"/>
  <c r="C2669" i="14"/>
  <c r="B2669" i="14"/>
  <c r="I2668" i="14"/>
  <c r="C2668" i="14"/>
  <c r="B2668" i="14"/>
  <c r="I2667" i="14"/>
  <c r="C2667" i="14"/>
  <c r="B2667" i="14"/>
  <c r="I2666" i="14"/>
  <c r="C2666" i="14"/>
  <c r="B2666" i="14"/>
  <c r="I2665" i="14"/>
  <c r="C2665" i="14"/>
  <c r="B2665" i="14"/>
  <c r="I2664" i="14"/>
  <c r="C2664" i="14"/>
  <c r="B2664" i="14"/>
  <c r="I2663" i="14"/>
  <c r="C2663" i="14"/>
  <c r="B2663" i="14"/>
  <c r="I2662" i="14"/>
  <c r="C2662" i="14"/>
  <c r="B2662" i="14"/>
  <c r="I2661" i="14"/>
  <c r="C2661" i="14"/>
  <c r="B2661" i="14"/>
  <c r="I2660" i="14"/>
  <c r="C2660" i="14"/>
  <c r="B2660" i="14"/>
  <c r="I2659" i="14"/>
  <c r="C2659" i="14"/>
  <c r="B2659" i="14"/>
  <c r="I2658" i="14"/>
  <c r="C2658" i="14"/>
  <c r="B2658" i="14"/>
  <c r="I2657" i="14"/>
  <c r="C2657" i="14"/>
  <c r="B2657" i="14"/>
  <c r="I2656" i="14"/>
  <c r="C2656" i="14"/>
  <c r="B2656" i="14"/>
  <c r="I2655" i="14"/>
  <c r="C2655" i="14"/>
  <c r="B2655" i="14"/>
  <c r="I2654" i="14"/>
  <c r="C2654" i="14"/>
  <c r="B2654" i="14"/>
  <c r="I2653" i="14"/>
  <c r="C2653" i="14"/>
  <c r="B2653" i="14"/>
  <c r="I2652" i="14"/>
  <c r="C2652" i="14"/>
  <c r="B2652" i="14"/>
  <c r="I2651" i="14"/>
  <c r="C2651" i="14"/>
  <c r="B2651" i="14"/>
  <c r="I2650" i="14"/>
  <c r="C2650" i="14"/>
  <c r="B2650" i="14"/>
  <c r="I2649" i="14"/>
  <c r="C2649" i="14"/>
  <c r="B2649" i="14"/>
  <c r="I2648" i="14"/>
  <c r="C2648" i="14"/>
  <c r="B2648" i="14"/>
  <c r="I2647" i="14"/>
  <c r="C2647" i="14"/>
  <c r="B2647" i="14"/>
  <c r="I2646" i="14"/>
  <c r="C2646" i="14"/>
  <c r="B2646" i="14"/>
  <c r="I2645" i="14"/>
  <c r="C2645" i="14"/>
  <c r="B2645" i="14"/>
  <c r="I2644" i="14"/>
  <c r="C2644" i="14"/>
  <c r="B2644" i="14"/>
  <c r="I2643" i="14"/>
  <c r="C2643" i="14"/>
  <c r="B2643" i="14"/>
  <c r="I2642" i="14"/>
  <c r="C2642" i="14"/>
  <c r="B2642" i="14"/>
  <c r="I2641" i="14"/>
  <c r="C2641" i="14"/>
  <c r="B2641" i="14"/>
  <c r="I2640" i="14"/>
  <c r="C2640" i="14"/>
  <c r="B2640" i="14"/>
  <c r="I2639" i="14"/>
  <c r="C2639" i="14"/>
  <c r="B2639" i="14"/>
  <c r="I2638" i="14"/>
  <c r="C2638" i="14"/>
  <c r="B2638" i="14"/>
  <c r="I2637" i="14"/>
  <c r="C2637" i="14"/>
  <c r="B2637" i="14"/>
  <c r="I2636" i="14"/>
  <c r="C2636" i="14"/>
  <c r="B2636" i="14"/>
  <c r="I2635" i="14"/>
  <c r="C2635" i="14"/>
  <c r="B2635" i="14"/>
  <c r="I2634" i="14"/>
  <c r="C2634" i="14"/>
  <c r="B2634" i="14"/>
  <c r="I2633" i="14"/>
  <c r="C2633" i="14"/>
  <c r="B2633" i="14"/>
  <c r="I2632" i="14"/>
  <c r="C2632" i="14"/>
  <c r="B2632" i="14"/>
  <c r="I2631" i="14"/>
  <c r="C2631" i="14"/>
  <c r="B2631" i="14"/>
  <c r="I2630" i="14"/>
  <c r="C2630" i="14"/>
  <c r="B2630" i="14"/>
  <c r="I2629" i="14"/>
  <c r="C2629" i="14"/>
  <c r="B2629" i="14"/>
  <c r="I2628" i="14"/>
  <c r="C2628" i="14"/>
  <c r="B2628" i="14"/>
  <c r="I2627" i="14"/>
  <c r="C2627" i="14"/>
  <c r="B2627" i="14"/>
  <c r="I2626" i="14"/>
  <c r="C2626" i="14"/>
  <c r="B2626" i="14"/>
  <c r="I2625" i="14"/>
  <c r="C2625" i="14"/>
  <c r="B2625" i="14"/>
  <c r="I2624" i="14"/>
  <c r="C2624" i="14"/>
  <c r="B2624" i="14"/>
  <c r="I2623" i="14"/>
  <c r="C2623" i="14"/>
  <c r="B2623" i="14"/>
  <c r="I2622" i="14"/>
  <c r="C2622" i="14"/>
  <c r="B2622" i="14"/>
  <c r="I2621" i="14"/>
  <c r="C2621" i="14"/>
  <c r="B2621" i="14"/>
  <c r="I2620" i="14"/>
  <c r="C2620" i="14"/>
  <c r="B2620" i="14"/>
  <c r="I2619" i="14"/>
  <c r="C2619" i="14"/>
  <c r="B2619" i="14"/>
  <c r="I2618" i="14"/>
  <c r="C2618" i="14"/>
  <c r="B2618" i="14"/>
  <c r="I2617" i="14"/>
  <c r="C2617" i="14"/>
  <c r="B2617" i="14"/>
  <c r="I2616" i="14"/>
  <c r="C2616" i="14"/>
  <c r="B2616" i="14"/>
  <c r="I2615" i="14"/>
  <c r="C2615" i="14"/>
  <c r="B2615" i="14"/>
  <c r="I2614" i="14"/>
  <c r="C2614" i="14"/>
  <c r="B2614" i="14"/>
  <c r="I2613" i="14"/>
  <c r="C2613" i="14"/>
  <c r="B2613" i="14"/>
  <c r="I2612" i="14"/>
  <c r="C2612" i="14"/>
  <c r="B2612" i="14"/>
  <c r="I2611" i="14"/>
  <c r="C2611" i="14"/>
  <c r="B2611" i="14"/>
  <c r="I2610" i="14"/>
  <c r="C2610" i="14"/>
  <c r="B2610" i="14"/>
  <c r="I2609" i="14"/>
  <c r="C2609" i="14"/>
  <c r="B2609" i="14"/>
  <c r="I2608" i="14"/>
  <c r="C2608" i="14"/>
  <c r="B2608" i="14"/>
  <c r="I2607" i="14"/>
  <c r="C2607" i="14"/>
  <c r="B2607" i="14"/>
  <c r="I2606" i="14"/>
  <c r="C2606" i="14"/>
  <c r="B2606" i="14"/>
  <c r="I2605" i="14"/>
  <c r="C2605" i="14"/>
  <c r="B2605" i="14"/>
  <c r="I2604" i="14"/>
  <c r="C2604" i="14"/>
  <c r="B2604" i="14"/>
  <c r="I2603" i="14"/>
  <c r="C2603" i="14"/>
  <c r="B2603" i="14"/>
  <c r="I2602" i="14"/>
  <c r="C2602" i="14"/>
  <c r="B2602" i="14"/>
  <c r="I2601" i="14"/>
  <c r="C2601" i="14"/>
  <c r="B2601" i="14"/>
  <c r="I2600" i="14"/>
  <c r="C2600" i="14"/>
  <c r="B2600" i="14"/>
  <c r="I2599" i="14"/>
  <c r="C2599" i="14"/>
  <c r="B2599" i="14"/>
  <c r="I2598" i="14"/>
  <c r="C2598" i="14"/>
  <c r="B2598" i="14"/>
  <c r="I2597" i="14"/>
  <c r="C2597" i="14"/>
  <c r="B2597" i="14"/>
  <c r="I2596" i="14"/>
  <c r="C2596" i="14"/>
  <c r="B2596" i="14"/>
  <c r="I2595" i="14"/>
  <c r="C2595" i="14"/>
  <c r="B2595" i="14"/>
  <c r="I2594" i="14"/>
  <c r="C2594" i="14"/>
  <c r="B2594" i="14"/>
  <c r="I2593" i="14"/>
  <c r="C2593" i="14"/>
  <c r="B2593" i="14"/>
  <c r="I2592" i="14"/>
  <c r="C2592" i="14"/>
  <c r="B2592" i="14"/>
  <c r="I2591" i="14"/>
  <c r="C2591" i="14"/>
  <c r="B2591" i="14"/>
  <c r="I2590" i="14"/>
  <c r="C2590" i="14"/>
  <c r="B2590" i="14"/>
  <c r="I2589" i="14"/>
  <c r="C2589" i="14"/>
  <c r="B2589" i="14"/>
  <c r="I2588" i="14"/>
  <c r="C2588" i="14"/>
  <c r="B2588" i="14"/>
  <c r="I2587" i="14"/>
  <c r="C2587" i="14"/>
  <c r="B2587" i="14"/>
  <c r="I2586" i="14"/>
  <c r="C2586" i="14"/>
  <c r="B2586" i="14"/>
  <c r="I2585" i="14"/>
  <c r="C2585" i="14"/>
  <c r="B2585" i="14"/>
  <c r="I2584" i="14"/>
  <c r="C2584" i="14"/>
  <c r="B2584" i="14"/>
  <c r="I2583" i="14"/>
  <c r="C2583" i="14"/>
  <c r="B2583" i="14"/>
  <c r="I2582" i="14"/>
  <c r="C2582" i="14"/>
  <c r="B2582" i="14"/>
  <c r="I2581" i="14"/>
  <c r="C2581" i="14"/>
  <c r="B2581" i="14"/>
  <c r="I2580" i="14"/>
  <c r="C2580" i="14"/>
  <c r="B2580" i="14"/>
  <c r="I2579" i="14"/>
  <c r="C2579" i="14"/>
  <c r="B2579" i="14"/>
  <c r="I2578" i="14"/>
  <c r="C2578" i="14"/>
  <c r="B2578" i="14"/>
  <c r="I2577" i="14"/>
  <c r="C2577" i="14"/>
  <c r="B2577" i="14"/>
  <c r="I2576" i="14"/>
  <c r="C2576" i="14"/>
  <c r="B2576" i="14"/>
  <c r="I2575" i="14"/>
  <c r="C2575" i="14"/>
  <c r="B2575" i="14"/>
  <c r="I2574" i="14"/>
  <c r="C2574" i="14"/>
  <c r="B2574" i="14"/>
  <c r="I2573" i="14"/>
  <c r="C2573" i="14"/>
  <c r="B2573" i="14"/>
  <c r="I2572" i="14"/>
  <c r="C2572" i="14"/>
  <c r="B2572" i="14"/>
  <c r="I2571" i="14"/>
  <c r="C2571" i="14"/>
  <c r="B2571" i="14"/>
  <c r="I2570" i="14"/>
  <c r="C2570" i="14"/>
  <c r="B2570" i="14"/>
  <c r="I2569" i="14"/>
  <c r="C2569" i="14"/>
  <c r="B2569" i="14"/>
  <c r="I2568" i="14"/>
  <c r="C2568" i="14"/>
  <c r="B2568" i="14"/>
  <c r="I2567" i="14"/>
  <c r="C2567" i="14"/>
  <c r="B2567" i="14"/>
  <c r="I2566" i="14"/>
  <c r="C2566" i="14"/>
  <c r="B2566" i="14"/>
  <c r="I2565" i="14"/>
  <c r="C2565" i="14"/>
  <c r="B2565" i="14"/>
  <c r="I2564" i="14"/>
  <c r="C2564" i="14"/>
  <c r="B2564" i="14"/>
  <c r="I2563" i="14"/>
  <c r="C2563" i="14"/>
  <c r="B2563" i="14"/>
  <c r="I2562" i="14"/>
  <c r="C2562" i="14"/>
  <c r="B2562" i="14"/>
  <c r="I2561" i="14"/>
  <c r="C2561" i="14"/>
  <c r="B2561" i="14"/>
  <c r="I2560" i="14"/>
  <c r="C2560" i="14"/>
  <c r="B2560" i="14"/>
  <c r="I2559" i="14"/>
  <c r="C2559" i="14"/>
  <c r="B2559" i="14"/>
  <c r="I2558" i="14"/>
  <c r="C2558" i="14"/>
  <c r="B2558" i="14"/>
  <c r="I2557" i="14"/>
  <c r="C2557" i="14"/>
  <c r="B2557" i="14"/>
  <c r="I2556" i="14"/>
  <c r="C2556" i="14"/>
  <c r="B2556" i="14"/>
  <c r="I2555" i="14"/>
  <c r="C2555" i="14"/>
  <c r="B2555" i="14"/>
  <c r="I2554" i="14"/>
  <c r="C2554" i="14"/>
  <c r="B2554" i="14"/>
  <c r="I2553" i="14"/>
  <c r="C2553" i="14"/>
  <c r="B2553" i="14"/>
  <c r="I2552" i="14"/>
  <c r="C2552" i="14"/>
  <c r="B2552" i="14"/>
  <c r="I2551" i="14"/>
  <c r="C2551" i="14"/>
  <c r="B2551" i="14"/>
  <c r="I2550" i="14"/>
  <c r="C2550" i="14"/>
  <c r="B2550" i="14"/>
  <c r="I2549" i="14"/>
  <c r="C2549" i="14"/>
  <c r="B2549" i="14"/>
  <c r="I2548" i="14"/>
  <c r="C2548" i="14"/>
  <c r="B2548" i="14"/>
  <c r="I2547" i="14"/>
  <c r="C2547" i="14"/>
  <c r="B2547" i="14"/>
  <c r="I2546" i="14"/>
  <c r="C2546" i="14"/>
  <c r="B2546" i="14"/>
  <c r="I2545" i="14"/>
  <c r="C2545" i="14"/>
  <c r="B2545" i="14"/>
  <c r="I2544" i="14"/>
  <c r="C2544" i="14"/>
  <c r="B2544" i="14"/>
  <c r="I2543" i="14"/>
  <c r="C2543" i="14"/>
  <c r="B2543" i="14"/>
  <c r="I2542" i="14"/>
  <c r="C2542" i="14"/>
  <c r="B2542" i="14"/>
  <c r="I2541" i="14"/>
  <c r="C2541" i="14"/>
  <c r="B2541" i="14"/>
  <c r="I2540" i="14"/>
  <c r="C2540" i="14"/>
  <c r="B2540" i="14"/>
  <c r="I2539" i="14"/>
  <c r="C2539" i="14"/>
  <c r="B2539" i="14"/>
  <c r="I2538" i="14"/>
  <c r="C2538" i="14"/>
  <c r="B2538" i="14"/>
  <c r="I2537" i="14"/>
  <c r="C2537" i="14"/>
  <c r="B2537" i="14"/>
  <c r="I2536" i="14"/>
  <c r="C2536" i="14"/>
  <c r="B2536" i="14"/>
  <c r="I2535" i="14"/>
  <c r="C2535" i="14"/>
  <c r="B2535" i="14"/>
  <c r="I2534" i="14"/>
  <c r="C2534" i="14"/>
  <c r="B2534" i="14"/>
  <c r="I2533" i="14"/>
  <c r="C2533" i="14"/>
  <c r="B2533" i="14"/>
  <c r="I2532" i="14"/>
  <c r="C2532" i="14"/>
  <c r="B2532" i="14"/>
  <c r="I2531" i="14"/>
  <c r="C2531" i="14"/>
  <c r="B2531" i="14"/>
  <c r="I2530" i="14"/>
  <c r="C2530" i="14"/>
  <c r="B2530" i="14"/>
  <c r="I2529" i="14"/>
  <c r="C2529" i="14"/>
  <c r="B2529" i="14"/>
  <c r="I2528" i="14"/>
  <c r="C2528" i="14"/>
  <c r="B2528" i="14"/>
  <c r="I2527" i="14"/>
  <c r="C2527" i="14"/>
  <c r="B2527" i="14"/>
  <c r="I2526" i="14"/>
  <c r="C2526" i="14"/>
  <c r="B2526" i="14"/>
  <c r="I2525" i="14"/>
  <c r="C2525" i="14"/>
  <c r="B2525" i="14"/>
  <c r="I2524" i="14"/>
  <c r="C2524" i="14"/>
  <c r="B2524" i="14"/>
  <c r="I2523" i="14"/>
  <c r="C2523" i="14"/>
  <c r="B2523" i="14"/>
  <c r="I2522" i="14"/>
  <c r="C2522" i="14"/>
  <c r="B2522" i="14"/>
  <c r="I2521" i="14"/>
  <c r="C2521" i="14"/>
  <c r="B2521" i="14"/>
  <c r="I2520" i="14"/>
  <c r="C2520" i="14"/>
  <c r="B2520" i="14"/>
  <c r="I2519" i="14"/>
  <c r="C2519" i="14"/>
  <c r="B2519" i="14"/>
  <c r="I2518" i="14"/>
  <c r="C2518" i="14"/>
  <c r="B2518" i="14"/>
  <c r="I2517" i="14"/>
  <c r="C2517" i="14"/>
  <c r="B2517" i="14"/>
  <c r="I2516" i="14"/>
  <c r="C2516" i="14"/>
  <c r="B2516" i="14"/>
  <c r="I2515" i="14"/>
  <c r="C2515" i="14"/>
  <c r="B2515" i="14"/>
  <c r="I2514" i="14"/>
  <c r="C2514" i="14"/>
  <c r="B2514" i="14"/>
  <c r="I2513" i="14"/>
  <c r="C2513" i="14"/>
  <c r="B2513" i="14"/>
  <c r="I2512" i="14"/>
  <c r="C2512" i="14"/>
  <c r="B2512" i="14"/>
  <c r="I2511" i="14"/>
  <c r="C2511" i="14"/>
  <c r="B2511" i="14"/>
  <c r="I2510" i="14"/>
  <c r="C2510" i="14"/>
  <c r="B2510" i="14"/>
  <c r="I2509" i="14"/>
  <c r="C2509" i="14"/>
  <c r="B2509" i="14"/>
  <c r="I2508" i="14"/>
  <c r="C2508" i="14"/>
  <c r="B2508" i="14"/>
  <c r="I2507" i="14"/>
  <c r="C2507" i="14"/>
  <c r="B2507" i="14"/>
  <c r="I2506" i="14"/>
  <c r="C2506" i="14"/>
  <c r="B2506" i="14"/>
  <c r="I2505" i="14"/>
  <c r="C2505" i="14"/>
  <c r="B2505" i="14"/>
  <c r="I2504" i="14"/>
  <c r="C2504" i="14"/>
  <c r="B2504" i="14"/>
  <c r="I2503" i="14"/>
  <c r="C2503" i="14"/>
  <c r="B2503" i="14"/>
  <c r="I2502" i="14"/>
  <c r="C2502" i="14"/>
  <c r="B2502" i="14"/>
  <c r="I2501" i="14"/>
  <c r="C2501" i="14"/>
  <c r="B2501" i="14"/>
  <c r="I2500" i="14"/>
  <c r="C2500" i="14"/>
  <c r="B2500" i="14"/>
  <c r="I2499" i="14"/>
  <c r="C2499" i="14"/>
  <c r="B2499" i="14"/>
  <c r="I2498" i="14"/>
  <c r="C2498" i="14"/>
  <c r="B2498" i="14"/>
  <c r="I2497" i="14"/>
  <c r="C2497" i="14"/>
  <c r="B2497" i="14"/>
  <c r="I2496" i="14"/>
  <c r="C2496" i="14"/>
  <c r="B2496" i="14"/>
  <c r="I2495" i="14"/>
  <c r="C2495" i="14"/>
  <c r="B2495" i="14"/>
  <c r="I2494" i="14"/>
  <c r="C2494" i="14"/>
  <c r="B2494" i="14"/>
  <c r="I2493" i="14"/>
  <c r="C2493" i="14"/>
  <c r="B2493" i="14"/>
  <c r="I2492" i="14"/>
  <c r="C2492" i="14"/>
  <c r="B2492" i="14"/>
  <c r="I2491" i="14"/>
  <c r="C2491" i="14"/>
  <c r="B2491" i="14"/>
  <c r="I2490" i="14"/>
  <c r="C2490" i="14"/>
  <c r="B2490" i="14"/>
  <c r="I2489" i="14"/>
  <c r="C2489" i="14"/>
  <c r="B2489" i="14"/>
  <c r="I2488" i="14"/>
  <c r="C2488" i="14"/>
  <c r="B2488" i="14"/>
  <c r="I2487" i="14"/>
  <c r="C2487" i="14"/>
  <c r="B2487" i="14"/>
  <c r="I2486" i="14"/>
  <c r="C2486" i="14"/>
  <c r="B2486" i="14"/>
  <c r="I2485" i="14"/>
  <c r="C2485" i="14"/>
  <c r="B2485" i="14"/>
  <c r="I2484" i="14"/>
  <c r="C2484" i="14"/>
  <c r="B2484" i="14"/>
  <c r="I2483" i="14"/>
  <c r="C2483" i="14"/>
  <c r="B2483" i="14"/>
  <c r="I2482" i="14"/>
  <c r="C2482" i="14"/>
  <c r="B2482" i="14"/>
  <c r="I2481" i="14"/>
  <c r="C2481" i="14"/>
  <c r="B2481" i="14"/>
  <c r="I2480" i="14"/>
  <c r="C2480" i="14"/>
  <c r="B2480" i="14"/>
  <c r="I2479" i="14"/>
  <c r="C2479" i="14"/>
  <c r="B2479" i="14"/>
  <c r="I2478" i="14"/>
  <c r="C2478" i="14"/>
  <c r="B2478" i="14"/>
  <c r="I2477" i="14"/>
  <c r="C2477" i="14"/>
  <c r="B2477" i="14"/>
  <c r="I2476" i="14"/>
  <c r="C2476" i="14"/>
  <c r="B2476" i="14"/>
  <c r="I2475" i="14"/>
  <c r="C2475" i="14"/>
  <c r="B2475" i="14"/>
  <c r="I2474" i="14"/>
  <c r="C2474" i="14"/>
  <c r="B2474" i="14"/>
  <c r="I2473" i="14"/>
  <c r="C2473" i="14"/>
  <c r="B2473" i="14"/>
  <c r="I2472" i="14"/>
  <c r="C2472" i="14"/>
  <c r="B2472" i="14"/>
  <c r="I2471" i="14"/>
  <c r="C2471" i="14"/>
  <c r="B2471" i="14"/>
  <c r="I2470" i="14"/>
  <c r="C2470" i="14"/>
  <c r="B2470" i="14"/>
  <c r="I2469" i="14"/>
  <c r="C2469" i="14"/>
  <c r="B2469" i="14"/>
  <c r="I2468" i="14"/>
  <c r="C2468" i="14"/>
  <c r="B2468" i="14"/>
  <c r="I2467" i="14"/>
  <c r="C2467" i="14"/>
  <c r="B2467" i="14"/>
  <c r="I2466" i="14"/>
  <c r="C2466" i="14"/>
  <c r="B2466" i="14"/>
  <c r="I2465" i="14"/>
  <c r="C2465" i="14"/>
  <c r="B2465" i="14"/>
  <c r="I2464" i="14"/>
  <c r="C2464" i="14"/>
  <c r="B2464" i="14"/>
  <c r="I2463" i="14"/>
  <c r="C2463" i="14"/>
  <c r="B2463" i="14"/>
  <c r="I2462" i="14"/>
  <c r="C2462" i="14"/>
  <c r="B2462" i="14"/>
  <c r="I2461" i="14"/>
  <c r="C2461" i="14"/>
  <c r="B2461" i="14"/>
  <c r="I2460" i="14"/>
  <c r="C2460" i="14"/>
  <c r="B2460" i="14"/>
  <c r="I2459" i="14"/>
  <c r="C2459" i="14"/>
  <c r="B2459" i="14"/>
  <c r="I2458" i="14"/>
  <c r="C2458" i="14"/>
  <c r="B2458" i="14"/>
  <c r="I2457" i="14"/>
  <c r="C2457" i="14"/>
  <c r="B2457" i="14"/>
  <c r="I2456" i="14"/>
  <c r="C2456" i="14"/>
  <c r="B2456" i="14"/>
  <c r="I2455" i="14"/>
  <c r="C2455" i="14"/>
  <c r="B2455" i="14"/>
  <c r="I2454" i="14"/>
  <c r="C2454" i="14"/>
  <c r="B2454" i="14"/>
  <c r="I2453" i="14"/>
  <c r="C2453" i="14"/>
  <c r="B2453" i="14"/>
  <c r="I2452" i="14"/>
  <c r="C2452" i="14"/>
  <c r="B2452" i="14"/>
  <c r="I2451" i="14"/>
  <c r="C2451" i="14"/>
  <c r="B2451" i="14"/>
  <c r="I2450" i="14"/>
  <c r="C2450" i="14"/>
  <c r="B2450" i="14"/>
  <c r="I2449" i="14"/>
  <c r="C2449" i="14"/>
  <c r="B2449" i="14"/>
  <c r="I2448" i="14"/>
  <c r="C2448" i="14"/>
  <c r="B2448" i="14"/>
  <c r="I2447" i="14"/>
  <c r="C2447" i="14"/>
  <c r="B2447" i="14"/>
  <c r="I2446" i="14"/>
  <c r="C2446" i="14"/>
  <c r="B2446" i="14"/>
  <c r="I2445" i="14"/>
  <c r="C2445" i="14"/>
  <c r="B2445" i="14"/>
  <c r="I2444" i="14"/>
  <c r="C2444" i="14"/>
  <c r="B2444" i="14"/>
  <c r="I2443" i="14"/>
  <c r="C2443" i="14"/>
  <c r="B2443" i="14"/>
  <c r="I2442" i="14"/>
  <c r="C2442" i="14"/>
  <c r="B2442" i="14"/>
  <c r="I2441" i="14"/>
  <c r="C2441" i="14"/>
  <c r="B2441" i="14"/>
  <c r="I2440" i="14"/>
  <c r="C2440" i="14"/>
  <c r="B2440" i="14"/>
  <c r="I2439" i="14"/>
  <c r="C2439" i="14"/>
  <c r="B2439" i="14"/>
  <c r="I2438" i="14"/>
  <c r="C2438" i="14"/>
  <c r="B2438" i="14"/>
  <c r="I2437" i="14"/>
  <c r="C2437" i="14"/>
  <c r="B2437" i="14"/>
  <c r="I2436" i="14"/>
  <c r="C2436" i="14"/>
  <c r="B2436" i="14"/>
  <c r="I2435" i="14"/>
  <c r="C2435" i="14"/>
  <c r="B2435" i="14"/>
  <c r="I2434" i="14"/>
  <c r="C2434" i="14"/>
  <c r="B2434" i="14"/>
  <c r="I2433" i="14"/>
  <c r="C2433" i="14"/>
  <c r="B2433" i="14"/>
  <c r="I2432" i="14"/>
  <c r="C2432" i="14"/>
  <c r="B2432" i="14"/>
  <c r="I2431" i="14"/>
  <c r="C2431" i="14"/>
  <c r="B2431" i="14"/>
  <c r="I2430" i="14"/>
  <c r="C2430" i="14"/>
  <c r="B2430" i="14"/>
  <c r="I2429" i="14"/>
  <c r="C2429" i="14"/>
  <c r="B2429" i="14"/>
  <c r="I2428" i="14"/>
  <c r="C2428" i="14"/>
  <c r="B2428" i="14"/>
  <c r="I2427" i="14"/>
  <c r="C2427" i="14"/>
  <c r="B2427" i="14"/>
  <c r="I2426" i="14"/>
  <c r="C2426" i="14"/>
  <c r="B2426" i="14"/>
  <c r="I2425" i="14"/>
  <c r="C2425" i="14"/>
  <c r="B2425" i="14"/>
  <c r="I2424" i="14"/>
  <c r="C2424" i="14"/>
  <c r="B2424" i="14"/>
  <c r="I2423" i="14"/>
  <c r="C2423" i="14"/>
  <c r="B2423" i="14"/>
  <c r="I2422" i="14"/>
  <c r="C2422" i="14"/>
  <c r="B2422" i="14"/>
  <c r="I2421" i="14"/>
  <c r="C2421" i="14"/>
  <c r="B2421" i="14"/>
  <c r="I2420" i="14"/>
  <c r="C2420" i="14"/>
  <c r="B2420" i="14"/>
  <c r="I2419" i="14"/>
  <c r="C2419" i="14"/>
  <c r="B2419" i="14"/>
  <c r="I2418" i="14"/>
  <c r="C2418" i="14"/>
  <c r="B2418" i="14"/>
  <c r="I2417" i="14"/>
  <c r="C2417" i="14"/>
  <c r="B2417" i="14"/>
  <c r="I2416" i="14"/>
  <c r="C2416" i="14"/>
  <c r="B2416" i="14"/>
  <c r="I2415" i="14"/>
  <c r="C2415" i="14"/>
  <c r="B2415" i="14"/>
  <c r="I2414" i="14"/>
  <c r="C2414" i="14"/>
  <c r="B2414" i="14"/>
  <c r="I2413" i="14"/>
  <c r="C2413" i="14"/>
  <c r="B2413" i="14"/>
  <c r="I2412" i="14"/>
  <c r="C2412" i="14"/>
  <c r="B2412" i="14"/>
  <c r="I2411" i="14"/>
  <c r="C2411" i="14"/>
  <c r="B2411" i="14"/>
  <c r="I2410" i="14"/>
  <c r="C2410" i="14"/>
  <c r="B2410" i="14"/>
  <c r="I2409" i="14"/>
  <c r="C2409" i="14"/>
  <c r="B2409" i="14"/>
  <c r="I2408" i="14"/>
  <c r="C2408" i="14"/>
  <c r="B2408" i="14"/>
  <c r="I2407" i="14"/>
  <c r="C2407" i="14"/>
  <c r="B2407" i="14"/>
  <c r="I2406" i="14"/>
  <c r="C2406" i="14"/>
  <c r="B2406" i="14"/>
  <c r="I2405" i="14"/>
  <c r="C2405" i="14"/>
  <c r="B2405" i="14"/>
  <c r="I2404" i="14"/>
  <c r="C2404" i="14"/>
  <c r="B2404" i="14"/>
  <c r="I2403" i="14"/>
  <c r="C2403" i="14"/>
  <c r="B2403" i="14"/>
  <c r="I2402" i="14"/>
  <c r="C2402" i="14"/>
  <c r="B2402" i="14"/>
  <c r="I2401" i="14"/>
  <c r="C2401" i="14"/>
  <c r="B2401" i="14"/>
  <c r="I2400" i="14"/>
  <c r="C2400" i="14"/>
  <c r="B2400" i="14"/>
  <c r="I2399" i="14"/>
  <c r="C2399" i="14"/>
  <c r="B2399" i="14"/>
  <c r="I2398" i="14"/>
  <c r="C2398" i="14"/>
  <c r="B2398" i="14"/>
  <c r="I2397" i="14"/>
  <c r="C2397" i="14"/>
  <c r="B2397" i="14"/>
  <c r="I2396" i="14"/>
  <c r="C2396" i="14"/>
  <c r="B2396" i="14"/>
  <c r="I2395" i="14"/>
  <c r="C2395" i="14"/>
  <c r="B2395" i="14"/>
  <c r="I2394" i="14"/>
  <c r="C2394" i="14"/>
  <c r="B2394" i="14"/>
  <c r="I2393" i="14"/>
  <c r="C2393" i="14"/>
  <c r="B2393" i="14"/>
  <c r="I2392" i="14"/>
  <c r="C2392" i="14"/>
  <c r="B2392" i="14"/>
  <c r="I2391" i="14"/>
  <c r="C2391" i="14"/>
  <c r="B2391" i="14"/>
  <c r="I2390" i="14"/>
  <c r="C2390" i="14"/>
  <c r="B2390" i="14"/>
  <c r="I2389" i="14"/>
  <c r="C2389" i="14"/>
  <c r="B2389" i="14"/>
  <c r="I2388" i="14"/>
  <c r="C2388" i="14"/>
  <c r="B2388" i="14"/>
  <c r="I2387" i="14"/>
  <c r="C2387" i="14"/>
  <c r="B2387" i="14"/>
  <c r="I2386" i="14"/>
  <c r="C2386" i="14"/>
  <c r="B2386" i="14"/>
  <c r="I2385" i="14"/>
  <c r="C2385" i="14"/>
  <c r="B2385" i="14"/>
  <c r="I2384" i="14"/>
  <c r="C2384" i="14"/>
  <c r="B2384" i="14"/>
  <c r="I2383" i="14"/>
  <c r="C2383" i="14"/>
  <c r="B2383" i="14"/>
  <c r="I2382" i="14"/>
  <c r="C2382" i="14"/>
  <c r="B2382" i="14"/>
  <c r="I2381" i="14"/>
  <c r="C2381" i="14"/>
  <c r="B2381" i="14"/>
  <c r="I2380" i="14"/>
  <c r="C2380" i="14"/>
  <c r="B2380" i="14"/>
  <c r="I2379" i="14"/>
  <c r="C2379" i="14"/>
  <c r="B2379" i="14"/>
  <c r="I2378" i="14"/>
  <c r="C2378" i="14"/>
  <c r="B2378" i="14"/>
  <c r="I2377" i="14"/>
  <c r="C2377" i="14"/>
  <c r="B2377" i="14"/>
  <c r="I2376" i="14"/>
  <c r="C2376" i="14"/>
  <c r="B2376" i="14"/>
  <c r="I2375" i="14"/>
  <c r="C2375" i="14"/>
  <c r="B2375" i="14"/>
  <c r="I2374" i="14"/>
  <c r="C2374" i="14"/>
  <c r="B2374" i="14"/>
  <c r="I2373" i="14"/>
  <c r="C2373" i="14"/>
  <c r="B2373" i="14"/>
  <c r="I2372" i="14"/>
  <c r="C2372" i="14"/>
  <c r="B2372" i="14"/>
  <c r="I2371" i="14"/>
  <c r="C2371" i="14"/>
  <c r="B2371" i="14"/>
  <c r="I2370" i="14"/>
  <c r="C2370" i="14"/>
  <c r="B2370" i="14"/>
  <c r="I2369" i="14"/>
  <c r="C2369" i="14"/>
  <c r="B2369" i="14"/>
  <c r="I2368" i="14"/>
  <c r="C2368" i="14"/>
  <c r="B2368" i="14"/>
  <c r="I2367" i="14"/>
  <c r="C2367" i="14"/>
  <c r="B2367" i="14"/>
  <c r="I2366" i="14"/>
  <c r="C2366" i="14"/>
  <c r="B2366" i="14"/>
  <c r="I2365" i="14"/>
  <c r="C2365" i="14"/>
  <c r="B2365" i="14"/>
  <c r="I2364" i="14"/>
  <c r="C2364" i="14"/>
  <c r="B2364" i="14"/>
  <c r="I2363" i="14"/>
  <c r="C2363" i="14"/>
  <c r="B2363" i="14"/>
  <c r="I2362" i="14"/>
  <c r="C2362" i="14"/>
  <c r="B2362" i="14"/>
  <c r="I2361" i="14"/>
  <c r="C2361" i="14"/>
  <c r="B2361" i="14"/>
  <c r="I2360" i="14"/>
  <c r="C2360" i="14"/>
  <c r="B2360" i="14"/>
  <c r="I2359" i="14"/>
  <c r="C2359" i="14"/>
  <c r="B2359" i="14"/>
  <c r="I2358" i="14"/>
  <c r="C2358" i="14"/>
  <c r="B2358" i="14"/>
  <c r="I2357" i="14"/>
  <c r="C2357" i="14"/>
  <c r="B2357" i="14"/>
  <c r="I2356" i="14"/>
  <c r="C2356" i="14"/>
  <c r="B2356" i="14"/>
  <c r="I2355" i="14"/>
  <c r="C2355" i="14"/>
  <c r="B2355" i="14"/>
  <c r="I2354" i="14"/>
  <c r="C2354" i="14"/>
  <c r="B2354" i="14"/>
  <c r="I2353" i="14"/>
  <c r="C2353" i="14"/>
  <c r="B2353" i="14"/>
  <c r="I2352" i="14"/>
  <c r="C2352" i="14"/>
  <c r="B2352" i="14"/>
  <c r="I2351" i="14"/>
  <c r="C2351" i="14"/>
  <c r="B2351" i="14"/>
  <c r="I2350" i="14"/>
  <c r="C2350" i="14"/>
  <c r="B2350" i="14"/>
  <c r="I2349" i="14"/>
  <c r="C2349" i="14"/>
  <c r="B2349" i="14"/>
  <c r="I2348" i="14"/>
  <c r="C2348" i="14"/>
  <c r="B2348" i="14"/>
  <c r="I2347" i="14"/>
  <c r="C2347" i="14"/>
  <c r="B2347" i="14"/>
  <c r="I2346" i="14"/>
  <c r="C2346" i="14"/>
  <c r="B2346" i="14"/>
  <c r="I2345" i="14"/>
  <c r="C2345" i="14"/>
  <c r="B2345" i="14"/>
  <c r="I2344" i="14"/>
  <c r="C2344" i="14"/>
  <c r="B2344" i="14"/>
  <c r="I2343" i="14"/>
  <c r="C2343" i="14"/>
  <c r="B2343" i="14"/>
  <c r="I2342" i="14"/>
  <c r="C2342" i="14"/>
  <c r="B2342" i="14"/>
  <c r="I2341" i="14"/>
  <c r="C2341" i="14"/>
  <c r="B2341" i="14"/>
  <c r="I2340" i="14"/>
  <c r="C2340" i="14"/>
  <c r="B2340" i="14"/>
  <c r="I2339" i="14"/>
  <c r="C2339" i="14"/>
  <c r="B2339" i="14"/>
  <c r="I2338" i="14"/>
  <c r="C2338" i="14"/>
  <c r="B2338" i="14"/>
  <c r="I2337" i="14"/>
  <c r="C2337" i="14"/>
  <c r="B2337" i="14"/>
  <c r="I2336" i="14"/>
  <c r="C2336" i="14"/>
  <c r="B2336" i="14"/>
  <c r="I2335" i="14"/>
  <c r="C2335" i="14"/>
  <c r="B2335" i="14"/>
  <c r="I2334" i="14"/>
  <c r="C2334" i="14"/>
  <c r="B2334" i="14"/>
  <c r="I2333" i="14"/>
  <c r="C2333" i="14"/>
  <c r="B2333" i="14"/>
  <c r="I2332" i="14"/>
  <c r="C2332" i="14"/>
  <c r="B2332" i="14"/>
  <c r="I2331" i="14"/>
  <c r="C2331" i="14"/>
  <c r="B2331" i="14"/>
  <c r="I2330" i="14"/>
  <c r="C2330" i="14"/>
  <c r="B2330" i="14"/>
  <c r="I2329" i="14"/>
  <c r="C2329" i="14"/>
  <c r="B2329" i="14"/>
  <c r="I2328" i="14"/>
  <c r="C2328" i="14"/>
  <c r="B2328" i="14"/>
  <c r="I2327" i="14"/>
  <c r="C2327" i="14"/>
  <c r="B2327" i="14"/>
  <c r="I2326" i="14"/>
  <c r="C2326" i="14"/>
  <c r="B2326" i="14"/>
  <c r="I2325" i="14"/>
  <c r="C2325" i="14"/>
  <c r="B2325" i="14"/>
  <c r="I2324" i="14"/>
  <c r="C2324" i="14"/>
  <c r="B2324" i="14"/>
  <c r="I2323" i="14"/>
  <c r="C2323" i="14"/>
  <c r="B2323" i="14"/>
  <c r="I2322" i="14"/>
  <c r="C2322" i="14"/>
  <c r="B2322" i="14"/>
  <c r="I2321" i="14"/>
  <c r="C2321" i="14"/>
  <c r="B2321" i="14"/>
  <c r="I2320" i="14"/>
  <c r="C2320" i="14"/>
  <c r="B2320" i="14"/>
  <c r="I2319" i="14"/>
  <c r="C2319" i="14"/>
  <c r="B2319" i="14"/>
  <c r="I2318" i="14"/>
  <c r="C2318" i="14"/>
  <c r="B2318" i="14"/>
  <c r="I2317" i="14"/>
  <c r="C2317" i="14"/>
  <c r="B2317" i="14"/>
  <c r="I2316" i="14"/>
  <c r="C2316" i="14"/>
  <c r="B2316" i="14"/>
  <c r="I2315" i="14"/>
  <c r="C2315" i="14"/>
  <c r="B2315" i="14"/>
  <c r="I2314" i="14"/>
  <c r="C2314" i="14"/>
  <c r="B2314" i="14"/>
  <c r="I2313" i="14"/>
  <c r="C2313" i="14"/>
  <c r="B2313" i="14"/>
  <c r="I2312" i="14"/>
  <c r="C2312" i="14"/>
  <c r="B2312" i="14"/>
  <c r="I2311" i="14"/>
  <c r="C2311" i="14"/>
  <c r="B2311" i="14"/>
  <c r="I2310" i="14"/>
  <c r="C2310" i="14"/>
  <c r="B2310" i="14"/>
  <c r="I2309" i="14"/>
  <c r="C2309" i="14"/>
  <c r="B2309" i="14"/>
  <c r="I2308" i="14"/>
  <c r="C2308" i="14"/>
  <c r="B2308" i="14"/>
  <c r="I2307" i="14"/>
  <c r="C2307" i="14"/>
  <c r="B2307" i="14"/>
  <c r="I2306" i="14"/>
  <c r="C2306" i="14"/>
  <c r="B2306" i="14"/>
  <c r="I2305" i="14"/>
  <c r="C2305" i="14"/>
  <c r="B2305" i="14"/>
  <c r="I2304" i="14"/>
  <c r="C2304" i="14"/>
  <c r="B2304" i="14"/>
  <c r="I2303" i="14"/>
  <c r="C2303" i="14"/>
  <c r="B2303" i="14"/>
  <c r="I2302" i="14"/>
  <c r="C2302" i="14"/>
  <c r="B2302" i="14"/>
  <c r="I2301" i="14"/>
  <c r="C2301" i="14"/>
  <c r="B2301" i="14"/>
  <c r="I2300" i="14"/>
  <c r="C2300" i="14"/>
  <c r="B2300" i="14"/>
  <c r="I2299" i="14"/>
  <c r="C2299" i="14"/>
  <c r="B2299" i="14"/>
  <c r="I2298" i="14"/>
  <c r="C2298" i="14"/>
  <c r="B2298" i="14"/>
  <c r="I2297" i="14"/>
  <c r="C2297" i="14"/>
  <c r="B2297" i="14"/>
  <c r="I2296" i="14"/>
  <c r="C2296" i="14"/>
  <c r="B2296" i="14"/>
  <c r="I2295" i="14"/>
  <c r="C2295" i="14"/>
  <c r="B2295" i="14"/>
  <c r="I2294" i="14"/>
  <c r="C2294" i="14"/>
  <c r="B2294" i="14"/>
  <c r="I2293" i="14"/>
  <c r="C2293" i="14"/>
  <c r="B2293" i="14"/>
  <c r="I2292" i="14"/>
  <c r="C2292" i="14"/>
  <c r="B2292" i="14"/>
  <c r="I2291" i="14"/>
  <c r="C2291" i="14"/>
  <c r="B2291" i="14"/>
  <c r="I2290" i="14"/>
  <c r="C2290" i="14"/>
  <c r="B2290" i="14"/>
  <c r="I2289" i="14"/>
  <c r="C2289" i="14"/>
  <c r="B2289" i="14"/>
  <c r="I2288" i="14"/>
  <c r="C2288" i="14"/>
  <c r="B2288" i="14"/>
  <c r="I2287" i="14"/>
  <c r="C2287" i="14"/>
  <c r="B2287" i="14"/>
  <c r="I2286" i="14"/>
  <c r="C2286" i="14"/>
  <c r="B2286" i="14"/>
  <c r="I2285" i="14"/>
  <c r="C2285" i="14"/>
  <c r="B2285" i="14"/>
  <c r="I2284" i="14"/>
  <c r="C2284" i="14"/>
  <c r="B2284" i="14"/>
  <c r="I2283" i="14"/>
  <c r="C2283" i="14"/>
  <c r="B2283" i="14"/>
  <c r="I2282" i="14"/>
  <c r="C2282" i="14"/>
  <c r="B2282" i="14"/>
  <c r="I2281" i="14"/>
  <c r="C2281" i="14"/>
  <c r="B2281" i="14"/>
  <c r="I2280" i="14"/>
  <c r="C2280" i="14"/>
  <c r="B2280" i="14"/>
  <c r="I2279" i="14"/>
  <c r="C2279" i="14"/>
  <c r="B2279" i="14"/>
  <c r="I2278" i="14"/>
  <c r="C2278" i="14"/>
  <c r="B2278" i="14"/>
  <c r="I2277" i="14"/>
  <c r="C2277" i="14"/>
  <c r="B2277" i="14"/>
  <c r="I2276" i="14"/>
  <c r="C2276" i="14"/>
  <c r="B2276" i="14"/>
  <c r="I2275" i="14"/>
  <c r="C2275" i="14"/>
  <c r="B2275" i="14"/>
  <c r="I2274" i="14"/>
  <c r="C2274" i="14"/>
  <c r="B2274" i="14"/>
  <c r="I2273" i="14"/>
  <c r="C2273" i="14"/>
  <c r="B2273" i="14"/>
  <c r="I2272" i="14"/>
  <c r="C2272" i="14"/>
  <c r="B2272" i="14"/>
  <c r="I2271" i="14"/>
  <c r="C2271" i="14"/>
  <c r="B2271" i="14"/>
  <c r="I2270" i="14"/>
  <c r="C2270" i="14"/>
  <c r="B2270" i="14"/>
  <c r="I2269" i="14"/>
  <c r="C2269" i="14"/>
  <c r="B2269" i="14"/>
  <c r="I2268" i="14"/>
  <c r="C2268" i="14"/>
  <c r="B2268" i="14"/>
  <c r="I2267" i="14"/>
  <c r="C2267" i="14"/>
  <c r="B2267" i="14"/>
  <c r="I2266" i="14"/>
  <c r="C2266" i="14"/>
  <c r="B2266" i="14"/>
  <c r="I2265" i="14"/>
  <c r="C2265" i="14"/>
  <c r="B2265" i="14"/>
  <c r="I2264" i="14"/>
  <c r="C2264" i="14"/>
  <c r="B2264" i="14"/>
  <c r="I2263" i="14"/>
  <c r="C2263" i="14"/>
  <c r="B2263" i="14"/>
  <c r="I2262" i="14"/>
  <c r="C2262" i="14"/>
  <c r="B2262" i="14"/>
  <c r="I2261" i="14"/>
  <c r="C2261" i="14"/>
  <c r="B2261" i="14"/>
  <c r="I2260" i="14"/>
  <c r="C2260" i="14"/>
  <c r="B2260" i="14"/>
  <c r="I2259" i="14"/>
  <c r="C2259" i="14"/>
  <c r="B2259" i="14"/>
  <c r="I2258" i="14"/>
  <c r="C2258" i="14"/>
  <c r="B2258" i="14"/>
  <c r="I2257" i="14"/>
  <c r="C2257" i="14"/>
  <c r="B2257" i="14"/>
  <c r="I2256" i="14"/>
  <c r="C2256" i="14"/>
  <c r="B2256" i="14"/>
  <c r="I2255" i="14"/>
  <c r="C2255" i="14"/>
  <c r="B2255" i="14"/>
  <c r="I2254" i="14"/>
  <c r="C2254" i="14"/>
  <c r="B2254" i="14"/>
  <c r="I2253" i="14"/>
  <c r="C2253" i="14"/>
  <c r="B2253" i="14"/>
  <c r="I2252" i="14"/>
  <c r="C2252" i="14"/>
  <c r="B2252" i="14"/>
  <c r="I2251" i="14"/>
  <c r="C2251" i="14"/>
  <c r="B2251" i="14"/>
  <c r="I2250" i="14"/>
  <c r="C2250" i="14"/>
  <c r="B2250" i="14"/>
  <c r="I2249" i="14"/>
  <c r="C2249" i="14"/>
  <c r="B2249" i="14"/>
  <c r="I2248" i="14"/>
  <c r="C2248" i="14"/>
  <c r="B2248" i="14"/>
  <c r="I2247" i="14"/>
  <c r="C2247" i="14"/>
  <c r="B2247" i="14"/>
  <c r="I2246" i="14"/>
  <c r="C2246" i="14"/>
  <c r="B2246" i="14"/>
  <c r="I2245" i="14"/>
  <c r="C2245" i="14"/>
  <c r="B2245" i="14"/>
  <c r="I2244" i="14"/>
  <c r="C2244" i="14"/>
  <c r="B2244" i="14"/>
  <c r="I2243" i="14"/>
  <c r="C2243" i="14"/>
  <c r="B2243" i="14"/>
  <c r="I2242" i="14"/>
  <c r="C2242" i="14"/>
  <c r="B2242" i="14"/>
  <c r="I2241" i="14"/>
  <c r="C2241" i="14"/>
  <c r="B2241" i="14"/>
  <c r="I2240" i="14"/>
  <c r="C2240" i="14"/>
  <c r="B2240" i="14"/>
  <c r="I2239" i="14"/>
  <c r="C2239" i="14"/>
  <c r="B2239" i="14"/>
  <c r="I2238" i="14"/>
  <c r="C2238" i="14"/>
  <c r="B2238" i="14"/>
  <c r="I2237" i="14"/>
  <c r="C2237" i="14"/>
  <c r="B2237" i="14"/>
  <c r="I2236" i="14"/>
  <c r="C2236" i="14"/>
  <c r="B2236" i="14"/>
  <c r="I2235" i="14"/>
  <c r="C2235" i="14"/>
  <c r="B2235" i="14"/>
  <c r="I2234" i="14"/>
  <c r="C2234" i="14"/>
  <c r="B2234" i="14"/>
  <c r="I2233" i="14"/>
  <c r="C2233" i="14"/>
  <c r="B2233" i="14"/>
  <c r="I2232" i="14"/>
  <c r="C2232" i="14"/>
  <c r="B2232" i="14"/>
  <c r="I2231" i="14"/>
  <c r="C2231" i="14"/>
  <c r="B2231" i="14"/>
  <c r="I2230" i="14"/>
  <c r="C2230" i="14"/>
  <c r="B2230" i="14"/>
  <c r="I2229" i="14"/>
  <c r="C2229" i="14"/>
  <c r="B2229" i="14"/>
  <c r="I2228" i="14"/>
  <c r="C2228" i="14"/>
  <c r="B2228" i="14"/>
  <c r="I2227" i="14"/>
  <c r="C2227" i="14"/>
  <c r="B2227" i="14"/>
  <c r="I2226" i="14"/>
  <c r="C2226" i="14"/>
  <c r="B2226" i="14"/>
  <c r="I2225" i="14"/>
  <c r="C2225" i="14"/>
  <c r="B2225" i="14"/>
  <c r="I2224" i="14"/>
  <c r="C2224" i="14"/>
  <c r="B2224" i="14"/>
  <c r="I2223" i="14"/>
  <c r="C2223" i="14"/>
  <c r="B2223" i="14"/>
  <c r="I2222" i="14"/>
  <c r="C2222" i="14"/>
  <c r="B2222" i="14"/>
  <c r="I2221" i="14"/>
  <c r="C2221" i="14"/>
  <c r="B2221" i="14"/>
  <c r="I2220" i="14"/>
  <c r="C2220" i="14"/>
  <c r="B2220" i="14"/>
  <c r="I2219" i="14"/>
  <c r="C2219" i="14"/>
  <c r="B2219" i="14"/>
  <c r="I2218" i="14"/>
  <c r="C2218" i="14"/>
  <c r="B2218" i="14"/>
  <c r="I2217" i="14"/>
  <c r="C2217" i="14"/>
  <c r="B2217" i="14"/>
  <c r="I2216" i="14"/>
  <c r="C2216" i="14"/>
  <c r="B2216" i="14"/>
  <c r="I2215" i="14"/>
  <c r="C2215" i="14"/>
  <c r="B2215" i="14"/>
  <c r="I2214" i="14"/>
  <c r="C2214" i="14"/>
  <c r="B2214" i="14"/>
  <c r="I2213" i="14"/>
  <c r="C2213" i="14"/>
  <c r="B2213" i="14"/>
  <c r="I2212" i="14"/>
  <c r="C2212" i="14"/>
  <c r="B2212" i="14"/>
  <c r="I2211" i="14"/>
  <c r="C2211" i="14"/>
  <c r="B2211" i="14"/>
  <c r="I2210" i="14"/>
  <c r="C2210" i="14"/>
  <c r="B2210" i="14"/>
  <c r="I2209" i="14"/>
  <c r="C2209" i="14"/>
  <c r="B2209" i="14"/>
  <c r="I2208" i="14"/>
  <c r="C2208" i="14"/>
  <c r="B2208" i="14"/>
  <c r="I2207" i="14"/>
  <c r="C2207" i="14"/>
  <c r="B2207" i="14"/>
  <c r="I2206" i="14"/>
  <c r="C2206" i="14"/>
  <c r="B2206" i="14"/>
  <c r="I2205" i="14"/>
  <c r="C2205" i="14"/>
  <c r="B2205" i="14"/>
  <c r="I2204" i="14"/>
  <c r="C2204" i="14"/>
  <c r="B2204" i="14"/>
  <c r="I2203" i="14"/>
  <c r="C2203" i="14"/>
  <c r="B2203" i="14"/>
  <c r="I2202" i="14"/>
  <c r="C2202" i="14"/>
  <c r="B2202" i="14"/>
  <c r="I2201" i="14"/>
  <c r="C2201" i="14"/>
  <c r="B2201" i="14"/>
  <c r="I2200" i="14"/>
  <c r="C2200" i="14"/>
  <c r="B2200" i="14"/>
  <c r="I2199" i="14"/>
  <c r="C2199" i="14"/>
  <c r="B2199" i="14"/>
  <c r="I2198" i="14"/>
  <c r="C2198" i="14"/>
  <c r="B2198" i="14"/>
  <c r="I2197" i="14"/>
  <c r="C2197" i="14"/>
  <c r="B2197" i="14"/>
  <c r="I2196" i="14"/>
  <c r="C2196" i="14"/>
  <c r="B2196" i="14"/>
  <c r="I2195" i="14"/>
  <c r="C2195" i="14"/>
  <c r="B2195" i="14"/>
  <c r="I2194" i="14"/>
  <c r="C2194" i="14"/>
  <c r="B2194" i="14"/>
  <c r="I2193" i="14"/>
  <c r="C2193" i="14"/>
  <c r="B2193" i="14"/>
  <c r="I2192" i="14"/>
  <c r="C2192" i="14"/>
  <c r="B2192" i="14"/>
  <c r="I2191" i="14"/>
  <c r="C2191" i="14"/>
  <c r="B2191" i="14"/>
  <c r="I2190" i="14"/>
  <c r="C2190" i="14"/>
  <c r="B2190" i="14"/>
  <c r="I2189" i="14"/>
  <c r="C2189" i="14"/>
  <c r="B2189" i="14"/>
  <c r="I2188" i="14"/>
  <c r="C2188" i="14"/>
  <c r="B2188" i="14"/>
  <c r="I2187" i="14"/>
  <c r="C2187" i="14"/>
  <c r="B2187" i="14"/>
  <c r="I2186" i="14"/>
  <c r="C2186" i="14"/>
  <c r="B2186" i="14"/>
  <c r="I2185" i="14"/>
  <c r="C2185" i="14"/>
  <c r="B2185" i="14"/>
  <c r="I2184" i="14"/>
  <c r="C2184" i="14"/>
  <c r="B2184" i="14"/>
  <c r="I2183" i="14"/>
  <c r="C2183" i="14"/>
  <c r="B2183" i="14"/>
  <c r="I2182" i="14"/>
  <c r="C2182" i="14"/>
  <c r="B2182" i="14"/>
  <c r="I2181" i="14"/>
  <c r="C2181" i="14"/>
  <c r="B2181" i="14"/>
  <c r="I2180" i="14"/>
  <c r="C2180" i="14"/>
  <c r="B2180" i="14"/>
  <c r="I2179" i="14"/>
  <c r="C2179" i="14"/>
  <c r="B2179" i="14"/>
  <c r="I2178" i="14"/>
  <c r="C2178" i="14"/>
  <c r="B2178" i="14"/>
  <c r="I2177" i="14"/>
  <c r="C2177" i="14"/>
  <c r="B2177" i="14"/>
  <c r="I2176" i="14"/>
  <c r="C2176" i="14"/>
  <c r="B2176" i="14"/>
  <c r="I2175" i="14"/>
  <c r="C2175" i="14"/>
  <c r="B2175" i="14"/>
  <c r="I2174" i="14"/>
  <c r="C2174" i="14"/>
  <c r="B2174" i="14"/>
  <c r="I2173" i="14"/>
  <c r="C2173" i="14"/>
  <c r="B2173" i="14"/>
  <c r="I2172" i="14"/>
  <c r="C2172" i="14"/>
  <c r="B2172" i="14"/>
  <c r="I2171" i="14"/>
  <c r="C2171" i="14"/>
  <c r="B2171" i="14"/>
  <c r="I2170" i="14"/>
  <c r="C2170" i="14"/>
  <c r="B2170" i="14"/>
  <c r="I2169" i="14"/>
  <c r="C2169" i="14"/>
  <c r="B2169" i="14"/>
  <c r="I2168" i="14"/>
  <c r="C2168" i="14"/>
  <c r="B2168" i="14"/>
  <c r="I2167" i="14"/>
  <c r="C2167" i="14"/>
  <c r="B2167" i="14"/>
  <c r="I2166" i="14"/>
  <c r="C2166" i="14"/>
  <c r="B2166" i="14"/>
  <c r="I2165" i="14"/>
  <c r="C2165" i="14"/>
  <c r="B2165" i="14"/>
  <c r="I2164" i="14"/>
  <c r="C2164" i="14"/>
  <c r="B2164" i="14"/>
  <c r="I2163" i="14"/>
  <c r="C2163" i="14"/>
  <c r="B2163" i="14"/>
  <c r="I2162" i="14"/>
  <c r="C2162" i="14"/>
  <c r="B2162" i="14"/>
  <c r="I2161" i="14"/>
  <c r="C2161" i="14"/>
  <c r="B2161" i="14"/>
  <c r="I2160" i="14"/>
  <c r="C2160" i="14"/>
  <c r="B2160" i="14"/>
  <c r="I2159" i="14"/>
  <c r="C2159" i="14"/>
  <c r="B2159" i="14"/>
  <c r="I2158" i="14"/>
  <c r="C2158" i="14"/>
  <c r="B2158" i="14"/>
  <c r="I2157" i="14"/>
  <c r="C2157" i="14"/>
  <c r="B2157" i="14"/>
  <c r="I2156" i="14"/>
  <c r="C2156" i="14"/>
  <c r="B2156" i="14"/>
  <c r="I2155" i="14"/>
  <c r="C2155" i="14"/>
  <c r="B2155" i="14"/>
  <c r="I2154" i="14"/>
  <c r="C2154" i="14"/>
  <c r="B2154" i="14"/>
  <c r="I2153" i="14"/>
  <c r="C2153" i="14"/>
  <c r="B2153" i="14"/>
  <c r="I2152" i="14"/>
  <c r="C2152" i="14"/>
  <c r="B2152" i="14"/>
  <c r="I2151" i="14"/>
  <c r="C2151" i="14"/>
  <c r="B2151" i="14"/>
  <c r="I2150" i="14"/>
  <c r="C2150" i="14"/>
  <c r="B2150" i="14"/>
  <c r="I2149" i="14"/>
  <c r="C2149" i="14"/>
  <c r="B2149" i="14"/>
  <c r="I2148" i="14"/>
  <c r="C2148" i="14"/>
  <c r="B2148" i="14"/>
  <c r="I2147" i="14"/>
  <c r="C2147" i="14"/>
  <c r="B2147" i="14"/>
  <c r="I2146" i="14"/>
  <c r="C2146" i="14"/>
  <c r="B2146" i="14"/>
  <c r="I2145" i="14"/>
  <c r="C2145" i="14"/>
  <c r="B2145" i="14"/>
  <c r="I2144" i="14"/>
  <c r="C2144" i="14"/>
  <c r="B2144" i="14"/>
  <c r="I2143" i="14"/>
  <c r="C2143" i="14"/>
  <c r="B2143" i="14"/>
  <c r="I2142" i="14"/>
  <c r="C2142" i="14"/>
  <c r="B2142" i="14"/>
  <c r="I2141" i="14"/>
  <c r="C2141" i="14"/>
  <c r="B2141" i="14"/>
  <c r="I2140" i="14"/>
  <c r="C2140" i="14"/>
  <c r="B2140" i="14"/>
  <c r="I2139" i="14"/>
  <c r="C2139" i="14"/>
  <c r="B2139" i="14"/>
  <c r="I2138" i="14"/>
  <c r="C2138" i="14"/>
  <c r="B2138" i="14"/>
  <c r="I2137" i="14"/>
  <c r="C2137" i="14"/>
  <c r="B2137" i="14"/>
  <c r="I2136" i="14"/>
  <c r="C2136" i="14"/>
  <c r="B2136" i="14"/>
  <c r="I2135" i="14"/>
  <c r="C2135" i="14"/>
  <c r="B2135" i="14"/>
  <c r="I2134" i="14"/>
  <c r="C2134" i="14"/>
  <c r="B2134" i="14"/>
  <c r="I2133" i="14"/>
  <c r="C2133" i="14"/>
  <c r="B2133" i="14"/>
  <c r="I2132" i="14"/>
  <c r="C2132" i="14"/>
  <c r="B2132" i="14"/>
  <c r="I2131" i="14"/>
  <c r="C2131" i="14"/>
  <c r="B2131" i="14"/>
  <c r="I2130" i="14"/>
  <c r="C2130" i="14"/>
  <c r="B2130" i="14"/>
  <c r="I2129" i="14"/>
  <c r="C2129" i="14"/>
  <c r="B2129" i="14"/>
  <c r="I2128" i="14"/>
  <c r="C2128" i="14"/>
  <c r="B2128" i="14"/>
  <c r="I2127" i="14"/>
  <c r="C2127" i="14"/>
  <c r="B2127" i="14"/>
  <c r="I2126" i="14"/>
  <c r="C2126" i="14"/>
  <c r="B2126" i="14"/>
  <c r="I2125" i="14"/>
  <c r="C2125" i="14"/>
  <c r="B2125" i="14"/>
  <c r="I2124" i="14"/>
  <c r="C2124" i="14"/>
  <c r="B2124" i="14"/>
  <c r="I2123" i="14"/>
  <c r="C2123" i="14"/>
  <c r="B2123" i="14"/>
  <c r="I2122" i="14"/>
  <c r="C2122" i="14"/>
  <c r="B2122" i="14"/>
  <c r="I2121" i="14"/>
  <c r="C2121" i="14"/>
  <c r="B2121" i="14"/>
  <c r="I2120" i="14"/>
  <c r="C2120" i="14"/>
  <c r="B2120" i="14"/>
  <c r="I2119" i="14"/>
  <c r="C2119" i="14"/>
  <c r="B2119" i="14"/>
  <c r="I2118" i="14"/>
  <c r="C2118" i="14"/>
  <c r="B2118" i="14"/>
  <c r="I2117" i="14"/>
  <c r="C2117" i="14"/>
  <c r="B2117" i="14"/>
  <c r="I2116" i="14"/>
  <c r="C2116" i="14"/>
  <c r="B2116" i="14"/>
  <c r="I2115" i="14"/>
  <c r="C2115" i="14"/>
  <c r="B2115" i="14"/>
  <c r="I2114" i="14"/>
  <c r="C2114" i="14"/>
  <c r="B2114" i="14"/>
  <c r="I2113" i="14"/>
  <c r="C2113" i="14"/>
  <c r="B2113" i="14"/>
  <c r="I2112" i="14"/>
  <c r="C2112" i="14"/>
  <c r="B2112" i="14"/>
  <c r="I2111" i="14"/>
  <c r="C2111" i="14"/>
  <c r="B2111" i="14"/>
  <c r="I2110" i="14"/>
  <c r="C2110" i="14"/>
  <c r="B2110" i="14"/>
  <c r="I2109" i="14"/>
  <c r="C2109" i="14"/>
  <c r="B2109" i="14"/>
  <c r="I2108" i="14"/>
  <c r="C2108" i="14"/>
  <c r="B2108" i="14"/>
  <c r="I2107" i="14"/>
  <c r="C2107" i="14"/>
  <c r="B2107" i="14"/>
  <c r="I2106" i="14"/>
  <c r="C2106" i="14"/>
  <c r="B2106" i="14"/>
  <c r="I2105" i="14"/>
  <c r="C2105" i="14"/>
  <c r="B2105" i="14"/>
  <c r="I2104" i="14"/>
  <c r="C2104" i="14"/>
  <c r="B2104" i="14"/>
  <c r="I2103" i="14"/>
  <c r="C2103" i="14"/>
  <c r="B2103" i="14"/>
  <c r="I2102" i="14"/>
  <c r="C2102" i="14"/>
  <c r="B2102" i="14"/>
  <c r="I2101" i="14"/>
  <c r="C2101" i="14"/>
  <c r="B2101" i="14"/>
  <c r="I2100" i="14"/>
  <c r="C2100" i="14"/>
  <c r="B2100" i="14"/>
  <c r="I2099" i="14"/>
  <c r="C2099" i="14"/>
  <c r="B2099" i="14"/>
  <c r="I2098" i="14"/>
  <c r="C2098" i="14"/>
  <c r="B2098" i="14"/>
  <c r="I2097" i="14"/>
  <c r="C2097" i="14"/>
  <c r="B2097" i="14"/>
  <c r="I2096" i="14"/>
  <c r="C2096" i="14"/>
  <c r="B2096" i="14"/>
  <c r="I2095" i="14"/>
  <c r="C2095" i="14"/>
  <c r="B2095" i="14"/>
  <c r="I2094" i="14"/>
  <c r="C2094" i="14"/>
  <c r="B2094" i="14"/>
  <c r="I2093" i="14"/>
  <c r="C2093" i="14"/>
  <c r="B2093" i="14"/>
  <c r="I2092" i="14"/>
  <c r="C2092" i="14"/>
  <c r="B2092" i="14"/>
  <c r="I2091" i="14"/>
  <c r="C2091" i="14"/>
  <c r="B2091" i="14"/>
  <c r="I2090" i="14"/>
  <c r="C2090" i="14"/>
  <c r="B2090" i="14"/>
  <c r="I2089" i="14"/>
  <c r="C2089" i="14"/>
  <c r="B2089" i="14"/>
  <c r="I2088" i="14"/>
  <c r="C2088" i="14"/>
  <c r="B2088" i="14"/>
  <c r="I2087" i="14"/>
  <c r="C2087" i="14"/>
  <c r="B2087" i="14"/>
  <c r="I2086" i="14"/>
  <c r="C2086" i="14"/>
  <c r="B2086" i="14"/>
  <c r="I2085" i="14"/>
  <c r="C2085" i="14"/>
  <c r="B2085" i="14"/>
  <c r="I2084" i="14"/>
  <c r="C2084" i="14"/>
  <c r="B2084" i="14"/>
  <c r="I2083" i="14"/>
  <c r="C2083" i="14"/>
  <c r="B2083" i="14"/>
  <c r="I2082" i="14"/>
  <c r="C2082" i="14"/>
  <c r="B2082" i="14"/>
  <c r="I2081" i="14"/>
  <c r="C2081" i="14"/>
  <c r="B2081" i="14"/>
  <c r="I2080" i="14"/>
  <c r="C2080" i="14"/>
  <c r="B2080" i="14"/>
  <c r="I2079" i="14"/>
  <c r="C2079" i="14"/>
  <c r="B2079" i="14"/>
  <c r="I2078" i="14"/>
  <c r="C2078" i="14"/>
  <c r="B2078" i="14"/>
  <c r="I2077" i="14"/>
  <c r="C2077" i="14"/>
  <c r="B2077" i="14"/>
  <c r="I2076" i="14"/>
  <c r="C2076" i="14"/>
  <c r="B2076" i="14"/>
  <c r="I2075" i="14"/>
  <c r="C2075" i="14"/>
  <c r="B2075" i="14"/>
  <c r="I2074" i="14"/>
  <c r="C2074" i="14"/>
  <c r="B2074" i="14"/>
  <c r="I2073" i="14"/>
  <c r="C2073" i="14"/>
  <c r="B2073" i="14"/>
  <c r="I2072" i="14"/>
  <c r="C2072" i="14"/>
  <c r="B2072" i="14"/>
  <c r="I2071" i="14"/>
  <c r="C2071" i="14"/>
  <c r="B2071" i="14"/>
  <c r="I2070" i="14"/>
  <c r="C2070" i="14"/>
  <c r="B2070" i="14"/>
  <c r="I2069" i="14"/>
  <c r="C2069" i="14"/>
  <c r="B2069" i="14"/>
  <c r="I2068" i="14"/>
  <c r="C2068" i="14"/>
  <c r="B2068" i="14"/>
  <c r="I2067" i="14"/>
  <c r="C2067" i="14"/>
  <c r="B2067" i="14"/>
  <c r="I2066" i="14"/>
  <c r="C2066" i="14"/>
  <c r="B2066" i="14"/>
  <c r="I2065" i="14"/>
  <c r="C2065" i="14"/>
  <c r="B2065" i="14"/>
  <c r="I2064" i="14"/>
  <c r="C2064" i="14"/>
  <c r="B2064" i="14"/>
  <c r="I2063" i="14"/>
  <c r="C2063" i="14"/>
  <c r="B2063" i="14"/>
  <c r="I2062" i="14"/>
  <c r="C2062" i="14"/>
  <c r="B2062" i="14"/>
  <c r="I2061" i="14"/>
  <c r="C2061" i="14"/>
  <c r="B2061" i="14"/>
  <c r="I2060" i="14"/>
  <c r="C2060" i="14"/>
  <c r="B2060" i="14"/>
  <c r="I2059" i="14"/>
  <c r="C2059" i="14"/>
  <c r="B2059" i="14"/>
  <c r="I2058" i="14"/>
  <c r="C2058" i="14"/>
  <c r="B2058" i="14"/>
  <c r="I2057" i="14"/>
  <c r="C2057" i="14"/>
  <c r="B2057" i="14"/>
  <c r="I2056" i="14"/>
  <c r="C2056" i="14"/>
  <c r="B2056" i="14"/>
  <c r="I2055" i="14"/>
  <c r="C2055" i="14"/>
  <c r="B2055" i="14"/>
  <c r="I2054" i="14"/>
  <c r="C2054" i="14"/>
  <c r="B2054" i="14"/>
  <c r="I2053" i="14"/>
  <c r="C2053" i="14"/>
  <c r="B2053" i="14"/>
  <c r="I2052" i="14"/>
  <c r="C2052" i="14"/>
  <c r="B2052" i="14"/>
  <c r="I2051" i="14"/>
  <c r="C2051" i="14"/>
  <c r="B2051" i="14"/>
  <c r="I2050" i="14"/>
  <c r="C2050" i="14"/>
  <c r="B2050" i="14"/>
  <c r="I2049" i="14"/>
  <c r="C2049" i="14"/>
  <c r="B2049" i="14"/>
  <c r="I2048" i="14"/>
  <c r="C2048" i="14"/>
  <c r="B2048" i="14"/>
  <c r="I2047" i="14"/>
  <c r="C2047" i="14"/>
  <c r="B2047" i="14"/>
  <c r="I2046" i="14"/>
  <c r="C2046" i="14"/>
  <c r="B2046" i="14"/>
  <c r="I2045" i="14"/>
  <c r="C2045" i="14"/>
  <c r="B2045" i="14"/>
  <c r="I2044" i="14"/>
  <c r="C2044" i="14"/>
  <c r="B2044" i="14"/>
  <c r="I2043" i="14"/>
  <c r="C2043" i="14"/>
  <c r="B2043" i="14"/>
  <c r="I2042" i="14"/>
  <c r="C2042" i="14"/>
  <c r="B2042" i="14"/>
  <c r="I2041" i="14"/>
  <c r="C2041" i="14"/>
  <c r="B2041" i="14"/>
  <c r="I2040" i="14"/>
  <c r="C2040" i="14"/>
  <c r="B2040" i="14"/>
  <c r="I2039" i="14"/>
  <c r="C2039" i="14"/>
  <c r="B2039" i="14"/>
  <c r="I2038" i="14"/>
  <c r="C2038" i="14"/>
  <c r="B2038" i="14"/>
  <c r="I2037" i="14"/>
  <c r="C2037" i="14"/>
  <c r="B2037" i="14"/>
  <c r="I2036" i="14"/>
  <c r="C2036" i="14"/>
  <c r="B2036" i="14"/>
  <c r="I2035" i="14"/>
  <c r="C2035" i="14"/>
  <c r="B2035" i="14"/>
  <c r="I2034" i="14"/>
  <c r="C2034" i="14"/>
  <c r="B2034" i="14"/>
  <c r="I2033" i="14"/>
  <c r="C2033" i="14"/>
  <c r="B2033" i="14"/>
  <c r="I2032" i="14"/>
  <c r="C2032" i="14"/>
  <c r="B2032" i="14"/>
  <c r="I2031" i="14"/>
  <c r="C2031" i="14"/>
  <c r="B2031" i="14"/>
  <c r="I2030" i="14"/>
  <c r="C2030" i="14"/>
  <c r="B2030" i="14"/>
  <c r="I2029" i="14"/>
  <c r="C2029" i="14"/>
  <c r="B2029" i="14"/>
  <c r="I2028" i="14"/>
  <c r="C2028" i="14"/>
  <c r="B2028" i="14"/>
  <c r="I2027" i="14"/>
  <c r="C2027" i="14"/>
  <c r="B2027" i="14"/>
  <c r="I2026" i="14"/>
  <c r="C2026" i="14"/>
  <c r="B2026" i="14"/>
  <c r="I2025" i="14"/>
  <c r="C2025" i="14"/>
  <c r="B2025" i="14"/>
  <c r="I2024" i="14"/>
  <c r="C2024" i="14"/>
  <c r="B2024" i="14"/>
  <c r="I2023" i="14"/>
  <c r="C2023" i="14"/>
  <c r="B2023" i="14"/>
  <c r="I2022" i="14"/>
  <c r="C2022" i="14"/>
  <c r="B2022" i="14"/>
  <c r="I2021" i="14"/>
  <c r="C2021" i="14"/>
  <c r="B2021" i="14"/>
  <c r="I2020" i="14"/>
  <c r="C2020" i="14"/>
  <c r="B2020" i="14"/>
  <c r="I2019" i="14"/>
  <c r="C2019" i="14"/>
  <c r="B2019" i="14"/>
  <c r="I2018" i="14"/>
  <c r="C2018" i="14"/>
  <c r="B2018" i="14"/>
  <c r="I2017" i="14"/>
  <c r="C2017" i="14"/>
  <c r="B2017" i="14"/>
  <c r="I2016" i="14"/>
  <c r="C2016" i="14"/>
  <c r="B2016" i="14"/>
  <c r="I2015" i="14"/>
  <c r="C2015" i="14"/>
  <c r="B2015" i="14"/>
  <c r="I2014" i="14"/>
  <c r="C2014" i="14"/>
  <c r="B2014" i="14"/>
  <c r="I2013" i="14"/>
  <c r="C2013" i="14"/>
  <c r="B2013" i="14"/>
  <c r="I2012" i="14"/>
  <c r="C2012" i="14"/>
  <c r="B2012" i="14"/>
  <c r="I2011" i="14"/>
  <c r="C2011" i="14"/>
  <c r="B2011" i="14"/>
  <c r="I2010" i="14"/>
  <c r="C2010" i="14"/>
  <c r="B2010" i="14"/>
  <c r="I2009" i="14"/>
  <c r="C2009" i="14"/>
  <c r="B2009" i="14"/>
  <c r="I2008" i="14"/>
  <c r="C2008" i="14"/>
  <c r="B2008" i="14"/>
  <c r="I2007" i="14"/>
  <c r="C2007" i="14"/>
  <c r="B2007" i="14"/>
  <c r="I2006" i="14"/>
  <c r="C2006" i="14"/>
  <c r="B2006" i="14"/>
  <c r="I2005" i="14"/>
  <c r="C2005" i="14"/>
  <c r="B2005" i="14"/>
  <c r="I2004" i="14"/>
  <c r="C2004" i="14"/>
  <c r="B2004" i="14"/>
  <c r="I2003" i="14"/>
  <c r="C2003" i="14"/>
  <c r="B2003" i="14"/>
  <c r="I2002" i="14"/>
  <c r="C2002" i="14"/>
  <c r="B2002" i="14"/>
  <c r="I2001" i="14"/>
  <c r="C2001" i="14"/>
  <c r="B2001" i="14"/>
  <c r="I2000" i="14"/>
  <c r="C2000" i="14"/>
  <c r="B2000" i="14"/>
  <c r="I1999" i="14"/>
  <c r="C1999" i="14"/>
  <c r="B1999" i="14"/>
  <c r="I1998" i="14"/>
  <c r="C1998" i="14"/>
  <c r="B1998" i="14"/>
  <c r="I1997" i="14"/>
  <c r="C1997" i="14"/>
  <c r="B1997" i="14"/>
  <c r="I1996" i="14"/>
  <c r="C1996" i="14"/>
  <c r="B1996" i="14"/>
  <c r="I1995" i="14"/>
  <c r="C1995" i="14"/>
  <c r="B1995" i="14"/>
  <c r="I1994" i="14"/>
  <c r="C1994" i="14"/>
  <c r="B1994" i="14"/>
  <c r="I1993" i="14"/>
  <c r="C1993" i="14"/>
  <c r="B1993" i="14"/>
  <c r="I1992" i="14"/>
  <c r="C1992" i="14"/>
  <c r="B1992" i="14"/>
  <c r="I1991" i="14"/>
  <c r="C1991" i="14"/>
  <c r="B1991" i="14"/>
  <c r="I1990" i="14"/>
  <c r="C1990" i="14"/>
  <c r="B1990" i="14"/>
  <c r="I1989" i="14"/>
  <c r="C1989" i="14"/>
  <c r="B1989" i="14"/>
  <c r="I1988" i="14"/>
  <c r="C1988" i="14"/>
  <c r="B1988" i="14"/>
  <c r="I1987" i="14"/>
  <c r="C1987" i="14"/>
  <c r="B1987" i="14"/>
  <c r="I1986" i="14"/>
  <c r="C1986" i="14"/>
  <c r="B1986" i="14"/>
  <c r="I1985" i="14"/>
  <c r="C1985" i="14"/>
  <c r="B1985" i="14"/>
  <c r="I1984" i="14"/>
  <c r="C1984" i="14"/>
  <c r="B1984" i="14"/>
  <c r="I1983" i="14"/>
  <c r="C1983" i="14"/>
  <c r="B1983" i="14"/>
  <c r="I1982" i="14"/>
  <c r="C1982" i="14"/>
  <c r="B1982" i="14"/>
  <c r="I1981" i="14"/>
  <c r="C1981" i="14"/>
  <c r="B1981" i="14"/>
  <c r="I1980" i="14"/>
  <c r="C1980" i="14"/>
  <c r="B1980" i="14"/>
  <c r="I1979" i="14"/>
  <c r="C1979" i="14"/>
  <c r="B1979" i="14"/>
  <c r="I1978" i="14"/>
  <c r="C1978" i="14"/>
  <c r="B1978" i="14"/>
  <c r="I1977" i="14"/>
  <c r="C1977" i="14"/>
  <c r="B1977" i="14"/>
  <c r="I1976" i="14"/>
  <c r="C1976" i="14"/>
  <c r="B1976" i="14"/>
  <c r="I1975" i="14"/>
  <c r="C1975" i="14"/>
  <c r="B1975" i="14"/>
  <c r="I1974" i="14"/>
  <c r="C1974" i="14"/>
  <c r="B1974" i="14"/>
  <c r="I1973" i="14"/>
  <c r="C1973" i="14"/>
  <c r="B1973" i="14"/>
  <c r="I1972" i="14"/>
  <c r="C1972" i="14"/>
  <c r="B1972" i="14"/>
  <c r="I1971" i="14"/>
  <c r="C1971" i="14"/>
  <c r="B1971" i="14"/>
  <c r="I1970" i="14"/>
  <c r="C1970" i="14"/>
  <c r="B1970" i="14"/>
  <c r="I1969" i="14"/>
  <c r="C1969" i="14"/>
  <c r="B1969" i="14"/>
  <c r="I1968" i="14"/>
  <c r="C1968" i="14"/>
  <c r="B1968" i="14"/>
  <c r="I1967" i="14"/>
  <c r="C1967" i="14"/>
  <c r="B1967" i="14"/>
  <c r="I1966" i="14"/>
  <c r="C1966" i="14"/>
  <c r="B1966" i="14"/>
  <c r="I1965" i="14"/>
  <c r="C1965" i="14"/>
  <c r="B1965" i="14"/>
  <c r="I1964" i="14"/>
  <c r="C1964" i="14"/>
  <c r="B1964" i="14"/>
  <c r="I1963" i="14"/>
  <c r="C1963" i="14"/>
  <c r="B1963" i="14"/>
  <c r="I1962" i="14"/>
  <c r="C1962" i="14"/>
  <c r="B1962" i="14"/>
  <c r="I1961" i="14"/>
  <c r="C1961" i="14"/>
  <c r="B1961" i="14"/>
  <c r="I1960" i="14"/>
  <c r="C1960" i="14"/>
  <c r="B1960" i="14"/>
  <c r="I1959" i="14"/>
  <c r="C1959" i="14"/>
  <c r="B1959" i="14"/>
  <c r="I1958" i="14"/>
  <c r="C1958" i="14"/>
  <c r="B1958" i="14"/>
  <c r="I1957" i="14"/>
  <c r="C1957" i="14"/>
  <c r="B1957" i="14"/>
  <c r="I1956" i="14"/>
  <c r="C1956" i="14"/>
  <c r="B1956" i="14"/>
  <c r="I1955" i="14"/>
  <c r="C1955" i="14"/>
  <c r="B1955" i="14"/>
  <c r="I1954" i="14"/>
  <c r="C1954" i="14"/>
  <c r="B1954" i="14"/>
  <c r="I1953" i="14"/>
  <c r="C1953" i="14"/>
  <c r="B1953" i="14"/>
  <c r="I1952" i="14"/>
  <c r="C1952" i="14"/>
  <c r="B1952" i="14"/>
  <c r="I1951" i="14"/>
  <c r="C1951" i="14"/>
  <c r="B1951" i="14"/>
  <c r="I1950" i="14"/>
  <c r="C1950" i="14"/>
  <c r="B1950" i="14"/>
  <c r="I1949" i="14"/>
  <c r="C1949" i="14"/>
  <c r="B1949" i="14"/>
  <c r="I1948" i="14"/>
  <c r="C1948" i="14"/>
  <c r="B1948" i="14"/>
  <c r="I1947" i="14"/>
  <c r="C1947" i="14"/>
  <c r="B1947" i="14"/>
  <c r="I1946" i="14"/>
  <c r="C1946" i="14"/>
  <c r="B1946" i="14"/>
  <c r="I1945" i="14"/>
  <c r="C1945" i="14"/>
  <c r="B1945" i="14"/>
  <c r="I1944" i="14"/>
  <c r="C1944" i="14"/>
  <c r="B1944" i="14"/>
  <c r="I1943" i="14"/>
  <c r="C1943" i="14"/>
  <c r="B1943" i="14"/>
  <c r="I1942" i="14"/>
  <c r="C1942" i="14"/>
  <c r="B1942" i="14"/>
  <c r="I1941" i="14"/>
  <c r="C1941" i="14"/>
  <c r="B1941" i="14"/>
  <c r="I1940" i="14"/>
  <c r="C1940" i="14"/>
  <c r="B1940" i="14"/>
  <c r="I1939" i="14"/>
  <c r="C1939" i="14"/>
  <c r="B1939" i="14"/>
  <c r="I1938" i="14"/>
  <c r="C1938" i="14"/>
  <c r="B1938" i="14"/>
  <c r="I1937" i="14"/>
  <c r="C1937" i="14"/>
  <c r="B1937" i="14"/>
  <c r="I1936" i="14"/>
  <c r="C1936" i="14"/>
  <c r="B1936" i="14"/>
  <c r="I1935" i="14"/>
  <c r="C1935" i="14"/>
  <c r="B1935" i="14"/>
  <c r="I1934" i="14"/>
  <c r="C1934" i="14"/>
  <c r="B1934" i="14"/>
  <c r="I1933" i="14"/>
  <c r="C1933" i="14"/>
  <c r="B1933" i="14"/>
  <c r="I1932" i="14"/>
  <c r="C1932" i="14"/>
  <c r="B1932" i="14"/>
  <c r="I1931" i="14"/>
  <c r="C1931" i="14"/>
  <c r="B1931" i="14"/>
  <c r="I1930" i="14"/>
  <c r="C1930" i="14"/>
  <c r="B1930" i="14"/>
  <c r="I1929" i="14"/>
  <c r="C1929" i="14"/>
  <c r="B1929" i="14"/>
  <c r="I1928" i="14"/>
  <c r="C1928" i="14"/>
  <c r="B1928" i="14"/>
  <c r="I1927" i="14"/>
  <c r="C1927" i="14"/>
  <c r="B1927" i="14"/>
  <c r="I1926" i="14"/>
  <c r="C1926" i="14"/>
  <c r="B1926" i="14"/>
  <c r="I1925" i="14"/>
  <c r="C1925" i="14"/>
  <c r="B1925" i="14"/>
  <c r="I1924" i="14"/>
  <c r="C1924" i="14"/>
  <c r="B1924" i="14"/>
  <c r="I1923" i="14"/>
  <c r="C1923" i="14"/>
  <c r="B1923" i="14"/>
  <c r="I1922" i="14"/>
  <c r="C1922" i="14"/>
  <c r="B1922" i="14"/>
  <c r="I1921" i="14"/>
  <c r="C1921" i="14"/>
  <c r="B1921" i="14"/>
  <c r="I1920" i="14"/>
  <c r="C1920" i="14"/>
  <c r="B1920" i="14"/>
  <c r="I1919" i="14"/>
  <c r="C1919" i="14"/>
  <c r="B1919" i="14"/>
  <c r="I1918" i="14"/>
  <c r="C1918" i="14"/>
  <c r="B1918" i="14"/>
  <c r="I1917" i="14"/>
  <c r="C1917" i="14"/>
  <c r="B1917" i="14"/>
  <c r="I1916" i="14"/>
  <c r="C1916" i="14"/>
  <c r="B1916" i="14"/>
  <c r="I1915" i="14"/>
  <c r="C1915" i="14"/>
  <c r="B1915" i="14"/>
  <c r="I1914" i="14"/>
  <c r="C1914" i="14"/>
  <c r="B1914" i="14"/>
  <c r="I1913" i="14"/>
  <c r="C1913" i="14"/>
  <c r="B1913" i="14"/>
  <c r="I1912" i="14"/>
  <c r="C1912" i="14"/>
  <c r="B1912" i="14"/>
  <c r="I1911" i="14"/>
  <c r="C1911" i="14"/>
  <c r="B1911" i="14"/>
  <c r="I1910" i="14"/>
  <c r="C1910" i="14"/>
  <c r="B1910" i="14"/>
  <c r="I1909" i="14"/>
  <c r="C1909" i="14"/>
  <c r="B1909" i="14"/>
  <c r="I1908" i="14"/>
  <c r="C1908" i="14"/>
  <c r="B1908" i="14"/>
  <c r="I1907" i="14"/>
  <c r="C1907" i="14"/>
  <c r="B1907" i="14"/>
  <c r="I1906" i="14"/>
  <c r="C1906" i="14"/>
  <c r="B1906" i="14"/>
  <c r="I1905" i="14"/>
  <c r="C1905" i="14"/>
  <c r="B1905" i="14"/>
  <c r="I1904" i="14"/>
  <c r="C1904" i="14"/>
  <c r="B1904" i="14"/>
  <c r="I1903" i="14"/>
  <c r="C1903" i="14"/>
  <c r="B1903" i="14"/>
  <c r="I1902" i="14"/>
  <c r="C1902" i="14"/>
  <c r="B1902" i="14"/>
  <c r="I1901" i="14"/>
  <c r="C1901" i="14"/>
  <c r="B1901" i="14"/>
  <c r="I1900" i="14"/>
  <c r="C1900" i="14"/>
  <c r="B1900" i="14"/>
  <c r="I1899" i="14"/>
  <c r="C1899" i="14"/>
  <c r="B1899" i="14"/>
  <c r="I1898" i="14"/>
  <c r="C1898" i="14"/>
  <c r="B1898" i="14"/>
  <c r="I1897" i="14"/>
  <c r="C1897" i="14"/>
  <c r="B1897" i="14"/>
  <c r="I1896" i="14"/>
  <c r="C1896" i="14"/>
  <c r="B1896" i="14"/>
  <c r="I1895" i="14"/>
  <c r="C1895" i="14"/>
  <c r="B1895" i="14"/>
  <c r="I1894" i="14"/>
  <c r="C1894" i="14"/>
  <c r="B1894" i="14"/>
  <c r="I1893" i="14"/>
  <c r="C1893" i="14"/>
  <c r="B1893" i="14"/>
  <c r="I1892" i="14"/>
  <c r="C1892" i="14"/>
  <c r="B1892" i="14"/>
  <c r="I1891" i="14"/>
  <c r="C1891" i="14"/>
  <c r="B1891" i="14"/>
  <c r="I1890" i="14"/>
  <c r="C1890" i="14"/>
  <c r="B1890" i="14"/>
  <c r="I1889" i="14"/>
  <c r="C1889" i="14"/>
  <c r="B1889" i="14"/>
  <c r="I1888" i="14"/>
  <c r="C1888" i="14"/>
  <c r="B1888" i="14"/>
  <c r="I1887" i="14"/>
  <c r="C1887" i="14"/>
  <c r="B1887" i="14"/>
  <c r="I1886" i="14"/>
  <c r="C1886" i="14"/>
  <c r="B1886" i="14"/>
  <c r="I1885" i="14"/>
  <c r="C1885" i="14"/>
  <c r="B1885" i="14"/>
  <c r="I1884" i="14"/>
  <c r="C1884" i="14"/>
  <c r="B1884" i="14"/>
  <c r="I1883" i="14"/>
  <c r="C1883" i="14"/>
  <c r="B1883" i="14"/>
  <c r="I1882" i="14"/>
  <c r="C1882" i="14"/>
  <c r="B1882" i="14"/>
  <c r="I1881" i="14"/>
  <c r="C1881" i="14"/>
  <c r="B1881" i="14"/>
  <c r="I1880" i="14"/>
  <c r="C1880" i="14"/>
  <c r="B1880" i="14"/>
  <c r="I1879" i="14"/>
  <c r="C1879" i="14"/>
  <c r="B1879" i="14"/>
  <c r="I1878" i="14"/>
  <c r="C1878" i="14"/>
  <c r="B1878" i="14"/>
  <c r="I1877" i="14"/>
  <c r="C1877" i="14"/>
  <c r="B1877" i="14"/>
  <c r="I1876" i="14"/>
  <c r="C1876" i="14"/>
  <c r="B1876" i="14"/>
  <c r="I1875" i="14"/>
  <c r="C1875" i="14"/>
  <c r="B1875" i="14"/>
  <c r="I1874" i="14"/>
  <c r="C1874" i="14"/>
  <c r="B1874" i="14"/>
  <c r="I1873" i="14"/>
  <c r="C1873" i="14"/>
  <c r="B1873" i="14"/>
  <c r="I1872" i="14"/>
  <c r="C1872" i="14"/>
  <c r="B1872" i="14"/>
  <c r="I1871" i="14"/>
  <c r="C1871" i="14"/>
  <c r="B1871" i="14"/>
  <c r="I1870" i="14"/>
  <c r="C1870" i="14"/>
  <c r="B1870" i="14"/>
  <c r="I1869" i="14"/>
  <c r="C1869" i="14"/>
  <c r="B1869" i="14"/>
  <c r="I1868" i="14"/>
  <c r="C1868" i="14"/>
  <c r="B1868" i="14"/>
  <c r="I1867" i="14"/>
  <c r="C1867" i="14"/>
  <c r="B1867" i="14"/>
  <c r="I1866" i="14"/>
  <c r="C1866" i="14"/>
  <c r="B1866" i="14"/>
  <c r="I1865" i="14"/>
  <c r="C1865" i="14"/>
  <c r="B1865" i="14"/>
  <c r="I1864" i="14"/>
  <c r="C1864" i="14"/>
  <c r="B1864" i="14"/>
  <c r="I1863" i="14"/>
  <c r="C1863" i="14"/>
  <c r="B1863" i="14"/>
  <c r="I1862" i="14"/>
  <c r="C1862" i="14"/>
  <c r="B1862" i="14"/>
  <c r="I1861" i="14"/>
  <c r="C1861" i="14"/>
  <c r="B1861" i="14"/>
  <c r="I1860" i="14"/>
  <c r="C1860" i="14"/>
  <c r="B1860" i="14"/>
  <c r="I1859" i="14"/>
  <c r="C1859" i="14"/>
  <c r="B1859" i="14"/>
  <c r="I1858" i="14"/>
  <c r="C1858" i="14"/>
  <c r="B1858" i="14"/>
  <c r="I1857" i="14"/>
  <c r="C1857" i="14"/>
  <c r="B1857" i="14"/>
  <c r="I1856" i="14"/>
  <c r="C1856" i="14"/>
  <c r="B1856" i="14"/>
  <c r="I1855" i="14"/>
  <c r="C1855" i="14"/>
  <c r="B1855" i="14"/>
  <c r="I1854" i="14"/>
  <c r="C1854" i="14"/>
  <c r="B1854" i="14"/>
  <c r="I1853" i="14"/>
  <c r="C1853" i="14"/>
  <c r="B1853" i="14"/>
  <c r="I1852" i="14"/>
  <c r="C1852" i="14"/>
  <c r="B1852" i="14"/>
  <c r="I1851" i="14"/>
  <c r="C1851" i="14"/>
  <c r="B1851" i="14"/>
  <c r="I1850" i="14"/>
  <c r="C1850" i="14"/>
  <c r="B1850" i="14"/>
  <c r="I1849" i="14"/>
  <c r="C1849" i="14"/>
  <c r="B1849" i="14"/>
  <c r="I1848" i="14"/>
  <c r="C1848" i="14"/>
  <c r="B1848" i="14"/>
  <c r="I1847" i="14"/>
  <c r="C1847" i="14"/>
  <c r="B1847" i="14"/>
  <c r="I1846" i="14"/>
  <c r="C1846" i="14"/>
  <c r="B1846" i="14"/>
  <c r="I1845" i="14"/>
  <c r="C1845" i="14"/>
  <c r="B1845" i="14"/>
  <c r="I1844" i="14"/>
  <c r="C1844" i="14"/>
  <c r="B1844" i="14"/>
  <c r="I1843" i="14"/>
  <c r="C1843" i="14"/>
  <c r="B1843" i="14"/>
  <c r="I1842" i="14"/>
  <c r="C1842" i="14"/>
  <c r="B1842" i="14"/>
  <c r="I1841" i="14"/>
  <c r="C1841" i="14"/>
  <c r="B1841" i="14"/>
  <c r="I1840" i="14"/>
  <c r="C1840" i="14"/>
  <c r="B1840" i="14"/>
  <c r="I1839" i="14"/>
  <c r="C1839" i="14"/>
  <c r="B1839" i="14"/>
  <c r="I1838" i="14"/>
  <c r="C1838" i="14"/>
  <c r="B1838" i="14"/>
  <c r="I1837" i="14"/>
  <c r="C1837" i="14"/>
  <c r="B1837" i="14"/>
  <c r="I1836" i="14"/>
  <c r="C1836" i="14"/>
  <c r="B1836" i="14"/>
  <c r="I1835" i="14"/>
  <c r="C1835" i="14"/>
  <c r="B1835" i="14"/>
  <c r="I1834" i="14"/>
  <c r="C1834" i="14"/>
  <c r="B1834" i="14"/>
  <c r="I1833" i="14"/>
  <c r="C1833" i="14"/>
  <c r="B1833" i="14"/>
  <c r="I1832" i="14"/>
  <c r="C1832" i="14"/>
  <c r="B1832" i="14"/>
  <c r="I1831" i="14"/>
  <c r="C1831" i="14"/>
  <c r="B1831" i="14"/>
  <c r="I1830" i="14"/>
  <c r="C1830" i="14"/>
  <c r="B1830" i="14"/>
  <c r="I1829" i="14"/>
  <c r="C1829" i="14"/>
  <c r="B1829" i="14"/>
  <c r="I1828" i="14"/>
  <c r="C1828" i="14"/>
  <c r="B1828" i="14"/>
  <c r="I1827" i="14"/>
  <c r="C1827" i="14"/>
  <c r="B1827" i="14"/>
  <c r="I1826" i="14"/>
  <c r="C1826" i="14"/>
  <c r="B1826" i="14"/>
  <c r="I1825" i="14"/>
  <c r="C1825" i="14"/>
  <c r="B1825" i="14"/>
  <c r="I1824" i="14"/>
  <c r="C1824" i="14"/>
  <c r="B1824" i="14"/>
  <c r="I1823" i="14"/>
  <c r="C1823" i="14"/>
  <c r="B1823" i="14"/>
  <c r="I1822" i="14"/>
  <c r="C1822" i="14"/>
  <c r="B1822" i="14"/>
  <c r="I1821" i="14"/>
  <c r="C1821" i="14"/>
  <c r="B1821" i="14"/>
  <c r="I1820" i="14"/>
  <c r="C1820" i="14"/>
  <c r="B1820" i="14"/>
  <c r="I1819" i="14"/>
  <c r="C1819" i="14"/>
  <c r="B1819" i="14"/>
  <c r="I1818" i="14"/>
  <c r="C1818" i="14"/>
  <c r="B1818" i="14"/>
  <c r="I1817" i="14"/>
  <c r="C1817" i="14"/>
  <c r="B1817" i="14"/>
  <c r="I1816" i="14"/>
  <c r="C1816" i="14"/>
  <c r="B1816" i="14"/>
  <c r="I1815" i="14"/>
  <c r="C1815" i="14"/>
  <c r="B1815" i="14"/>
  <c r="I1814" i="14"/>
  <c r="C1814" i="14"/>
  <c r="B1814" i="14"/>
  <c r="I1813" i="14"/>
  <c r="C1813" i="14"/>
  <c r="B1813" i="14"/>
  <c r="I1812" i="14"/>
  <c r="C1812" i="14"/>
  <c r="B1812" i="14"/>
  <c r="I1811" i="14"/>
  <c r="C1811" i="14"/>
  <c r="B1811" i="14"/>
  <c r="I1810" i="14"/>
  <c r="C1810" i="14"/>
  <c r="B1810" i="14"/>
  <c r="I1809" i="14"/>
  <c r="C1809" i="14"/>
  <c r="B1809" i="14"/>
  <c r="I1808" i="14"/>
  <c r="C1808" i="14"/>
  <c r="B1808" i="14"/>
  <c r="I1807" i="14"/>
  <c r="C1807" i="14"/>
  <c r="B1807" i="14"/>
  <c r="I1806" i="14"/>
  <c r="C1806" i="14"/>
  <c r="B1806" i="14"/>
  <c r="I1805" i="14"/>
  <c r="C1805" i="14"/>
  <c r="B1805" i="14"/>
  <c r="I1804" i="14"/>
  <c r="C1804" i="14"/>
  <c r="B1804" i="14"/>
  <c r="I1803" i="14"/>
  <c r="C1803" i="14"/>
  <c r="B1803" i="14"/>
  <c r="I1802" i="14"/>
  <c r="C1802" i="14"/>
  <c r="B1802" i="14"/>
  <c r="I1801" i="14"/>
  <c r="C1801" i="14"/>
  <c r="B1801" i="14"/>
  <c r="I1800" i="14"/>
  <c r="C1800" i="14"/>
  <c r="B1800" i="14"/>
  <c r="I1799" i="14"/>
  <c r="C1799" i="14"/>
  <c r="B1799" i="14"/>
  <c r="I1798" i="14"/>
  <c r="C1798" i="14"/>
  <c r="B1798" i="14"/>
  <c r="I1797" i="14"/>
  <c r="C1797" i="14"/>
  <c r="B1797" i="14"/>
  <c r="I1796" i="14"/>
  <c r="C1796" i="14"/>
  <c r="B1796" i="14"/>
  <c r="I1795" i="14"/>
  <c r="C1795" i="14"/>
  <c r="B1795" i="14"/>
  <c r="I1794" i="14"/>
  <c r="C1794" i="14"/>
  <c r="B1794" i="14"/>
  <c r="I1793" i="14"/>
  <c r="C1793" i="14"/>
  <c r="B1793" i="14"/>
  <c r="I1792" i="14"/>
  <c r="C1792" i="14"/>
  <c r="B1792" i="14"/>
  <c r="I1791" i="14"/>
  <c r="C1791" i="14"/>
  <c r="B1791" i="14"/>
  <c r="I1790" i="14"/>
  <c r="C1790" i="14"/>
  <c r="B1790" i="14"/>
  <c r="I1789" i="14"/>
  <c r="C1789" i="14"/>
  <c r="B1789" i="14"/>
  <c r="I1788" i="14"/>
  <c r="C1788" i="14"/>
  <c r="B1788" i="14"/>
  <c r="I1787" i="14"/>
  <c r="C1787" i="14"/>
  <c r="B1787" i="14"/>
  <c r="I1786" i="14"/>
  <c r="C1786" i="14"/>
  <c r="B1786" i="14"/>
  <c r="I1785" i="14"/>
  <c r="C1785" i="14"/>
  <c r="B1785" i="14"/>
  <c r="I1784" i="14"/>
  <c r="C1784" i="14"/>
  <c r="B1784" i="14"/>
  <c r="I1783" i="14"/>
  <c r="C1783" i="14"/>
  <c r="B1783" i="14"/>
  <c r="I1782" i="14"/>
  <c r="C1782" i="14"/>
  <c r="B1782" i="14"/>
  <c r="I1781" i="14"/>
  <c r="C1781" i="14"/>
  <c r="B1781" i="14"/>
  <c r="I1780" i="14"/>
  <c r="C1780" i="14"/>
  <c r="B1780" i="14"/>
  <c r="I1779" i="14"/>
  <c r="C1779" i="14"/>
  <c r="B1779" i="14"/>
  <c r="I1778" i="14"/>
  <c r="C1778" i="14"/>
  <c r="B1778" i="14"/>
  <c r="I1777" i="14"/>
  <c r="C1777" i="14"/>
  <c r="B1777" i="14"/>
  <c r="I1776" i="14"/>
  <c r="C1776" i="14"/>
  <c r="B1776" i="14"/>
  <c r="I1775" i="14"/>
  <c r="C1775" i="14"/>
  <c r="B1775" i="14"/>
  <c r="I1774" i="14"/>
  <c r="C1774" i="14"/>
  <c r="B1774" i="14"/>
  <c r="I1773" i="14"/>
  <c r="C1773" i="14"/>
  <c r="B1773" i="14"/>
  <c r="I1772" i="14"/>
  <c r="C1772" i="14"/>
  <c r="B1772" i="14"/>
  <c r="I1771" i="14"/>
  <c r="C1771" i="14"/>
  <c r="B1771" i="14"/>
  <c r="I1770" i="14"/>
  <c r="C1770" i="14"/>
  <c r="B1770" i="14"/>
  <c r="I1769" i="14"/>
  <c r="C1769" i="14"/>
  <c r="B1769" i="14"/>
  <c r="I1768" i="14"/>
  <c r="C1768" i="14"/>
  <c r="B1768" i="14"/>
  <c r="I1767" i="14"/>
  <c r="C1767" i="14"/>
  <c r="B1767" i="14"/>
  <c r="I1766" i="14"/>
  <c r="C1766" i="14"/>
  <c r="B1766" i="14"/>
  <c r="I1765" i="14"/>
  <c r="C1765" i="14"/>
  <c r="B1765" i="14"/>
  <c r="I1764" i="14"/>
  <c r="C1764" i="14"/>
  <c r="B1764" i="14"/>
  <c r="I1763" i="14"/>
  <c r="C1763" i="14"/>
  <c r="B1763" i="14"/>
  <c r="I1762" i="14"/>
  <c r="C1762" i="14"/>
  <c r="B1762" i="14"/>
  <c r="I1761" i="14"/>
  <c r="C1761" i="14"/>
  <c r="B1761" i="14"/>
  <c r="I1760" i="14"/>
  <c r="C1760" i="14"/>
  <c r="B1760" i="14"/>
  <c r="I1759" i="14"/>
  <c r="C1759" i="14"/>
  <c r="B1759" i="14"/>
  <c r="I1758" i="14"/>
  <c r="C1758" i="14"/>
  <c r="B1758" i="14"/>
  <c r="I1757" i="14"/>
  <c r="C1757" i="14"/>
  <c r="B1757" i="14"/>
  <c r="I1756" i="14"/>
  <c r="C1756" i="14"/>
  <c r="B1756" i="14"/>
  <c r="I1755" i="14"/>
  <c r="C1755" i="14"/>
  <c r="B1755" i="14"/>
  <c r="I1754" i="14"/>
  <c r="C1754" i="14"/>
  <c r="B1754" i="14"/>
  <c r="I1753" i="14"/>
  <c r="C1753" i="14"/>
  <c r="B1753" i="14"/>
  <c r="I1752" i="14"/>
  <c r="C1752" i="14"/>
  <c r="B1752" i="14"/>
  <c r="I1751" i="14"/>
  <c r="C1751" i="14"/>
  <c r="B1751" i="14"/>
  <c r="I1750" i="14"/>
  <c r="C1750" i="14"/>
  <c r="B1750" i="14"/>
  <c r="I1749" i="14"/>
  <c r="C1749" i="14"/>
  <c r="B1749" i="14"/>
  <c r="I1748" i="14"/>
  <c r="C1748" i="14"/>
  <c r="B1748" i="14"/>
  <c r="I1747" i="14"/>
  <c r="C1747" i="14"/>
  <c r="B1747" i="14"/>
  <c r="I1746" i="14"/>
  <c r="C1746" i="14"/>
  <c r="B1746" i="14"/>
  <c r="I1745" i="14"/>
  <c r="C1745" i="14"/>
  <c r="B1745" i="14"/>
  <c r="I1744" i="14"/>
  <c r="C1744" i="14"/>
  <c r="B1744" i="14"/>
  <c r="I1743" i="14"/>
  <c r="C1743" i="14"/>
  <c r="B1743" i="14"/>
  <c r="I1742" i="14"/>
  <c r="C1742" i="14"/>
  <c r="B1742" i="14"/>
  <c r="I1741" i="14"/>
  <c r="C1741" i="14"/>
  <c r="B1741" i="14"/>
  <c r="I1740" i="14"/>
  <c r="C1740" i="14"/>
  <c r="B1740" i="14"/>
  <c r="I1739" i="14"/>
  <c r="C1739" i="14"/>
  <c r="B1739" i="14"/>
  <c r="I1738" i="14"/>
  <c r="C1738" i="14"/>
  <c r="B1738" i="14"/>
  <c r="I1737" i="14"/>
  <c r="C1737" i="14"/>
  <c r="B1737" i="14"/>
  <c r="I1736" i="14"/>
  <c r="C1736" i="14"/>
  <c r="B1736" i="14"/>
  <c r="I1735" i="14"/>
  <c r="C1735" i="14"/>
  <c r="B1735" i="14"/>
  <c r="I1734" i="14"/>
  <c r="C1734" i="14"/>
  <c r="B1734" i="14"/>
  <c r="I1733" i="14"/>
  <c r="C1733" i="14"/>
  <c r="B1733" i="14"/>
  <c r="I1732" i="14"/>
  <c r="C1732" i="14"/>
  <c r="B1732" i="14"/>
  <c r="I1731" i="14"/>
  <c r="C1731" i="14"/>
  <c r="B1731" i="14"/>
  <c r="I1730" i="14"/>
  <c r="C1730" i="14"/>
  <c r="B1730" i="14"/>
  <c r="I1729" i="14"/>
  <c r="C1729" i="14"/>
  <c r="B1729" i="14"/>
  <c r="I1728" i="14"/>
  <c r="C1728" i="14"/>
  <c r="B1728" i="14"/>
  <c r="I1727" i="14"/>
  <c r="C1727" i="14"/>
  <c r="B1727" i="14"/>
  <c r="I1726" i="14"/>
  <c r="C1726" i="14"/>
  <c r="B1726" i="14"/>
  <c r="I1725" i="14"/>
  <c r="C1725" i="14"/>
  <c r="B1725" i="14"/>
  <c r="I1724" i="14"/>
  <c r="C1724" i="14"/>
  <c r="B1724" i="14"/>
  <c r="I1723" i="14"/>
  <c r="C1723" i="14"/>
  <c r="B1723" i="14"/>
  <c r="I1722" i="14"/>
  <c r="C1722" i="14"/>
  <c r="B1722" i="14"/>
  <c r="I1721" i="14"/>
  <c r="C1721" i="14"/>
  <c r="B1721" i="14"/>
  <c r="I1720" i="14"/>
  <c r="C1720" i="14"/>
  <c r="B1720" i="14"/>
  <c r="I1719" i="14"/>
  <c r="C1719" i="14"/>
  <c r="B1719" i="14"/>
  <c r="I1718" i="14"/>
  <c r="C1718" i="14"/>
  <c r="B1718" i="14"/>
  <c r="I1717" i="14"/>
  <c r="C1717" i="14"/>
  <c r="B1717" i="14"/>
  <c r="I1716" i="14"/>
  <c r="C1716" i="14"/>
  <c r="B1716" i="14"/>
  <c r="I1715" i="14"/>
  <c r="C1715" i="14"/>
  <c r="B1715" i="14"/>
  <c r="I1714" i="14"/>
  <c r="C1714" i="14"/>
  <c r="B1714" i="14"/>
  <c r="I1713" i="14"/>
  <c r="C1713" i="14"/>
  <c r="B1713" i="14"/>
  <c r="I1712" i="14"/>
  <c r="C1712" i="14"/>
  <c r="B1712" i="14"/>
  <c r="I1711" i="14"/>
  <c r="C1711" i="14"/>
  <c r="B1711" i="14"/>
  <c r="I1710" i="14"/>
  <c r="C1710" i="14"/>
  <c r="B1710" i="14"/>
  <c r="I1709" i="14"/>
  <c r="C1709" i="14"/>
  <c r="B1709" i="14"/>
  <c r="I1708" i="14"/>
  <c r="C1708" i="14"/>
  <c r="B1708" i="14"/>
  <c r="I1707" i="14"/>
  <c r="C1707" i="14"/>
  <c r="B1707" i="14"/>
  <c r="I1706" i="14"/>
  <c r="C1706" i="14"/>
  <c r="B1706" i="14"/>
  <c r="I1705" i="14"/>
  <c r="C1705" i="14"/>
  <c r="B1705" i="14"/>
  <c r="I1704" i="14"/>
  <c r="C1704" i="14"/>
  <c r="B1704" i="14"/>
  <c r="I1703" i="14"/>
  <c r="C1703" i="14"/>
  <c r="B1703" i="14"/>
  <c r="I1702" i="14"/>
  <c r="C1702" i="14"/>
  <c r="B1702" i="14"/>
  <c r="I1701" i="14"/>
  <c r="C1701" i="14"/>
  <c r="B1701" i="14"/>
  <c r="I1700" i="14"/>
  <c r="C1700" i="14"/>
  <c r="B1700" i="14"/>
  <c r="I1699" i="14"/>
  <c r="C1699" i="14"/>
  <c r="B1699" i="14"/>
  <c r="I1698" i="14"/>
  <c r="C1698" i="14"/>
  <c r="B1698" i="14"/>
  <c r="I1697" i="14"/>
  <c r="C1697" i="14"/>
  <c r="B1697" i="14"/>
  <c r="I1696" i="14"/>
  <c r="C1696" i="14"/>
  <c r="B1696" i="14"/>
  <c r="I1695" i="14"/>
  <c r="C1695" i="14"/>
  <c r="B1695" i="14"/>
  <c r="I1694" i="14"/>
  <c r="C1694" i="14"/>
  <c r="B1694" i="14"/>
  <c r="I1693" i="14"/>
  <c r="C1693" i="14"/>
  <c r="B1693" i="14"/>
  <c r="I1692" i="14"/>
  <c r="C1692" i="14"/>
  <c r="B1692" i="14"/>
  <c r="I1691" i="14"/>
  <c r="C1691" i="14"/>
  <c r="B1691" i="14"/>
  <c r="I1690" i="14"/>
  <c r="C1690" i="14"/>
  <c r="B1690" i="14"/>
  <c r="I1689" i="14"/>
  <c r="C1689" i="14"/>
  <c r="B1689" i="14"/>
  <c r="I1688" i="14"/>
  <c r="C1688" i="14"/>
  <c r="B1688" i="14"/>
  <c r="I1687" i="14"/>
  <c r="C1687" i="14"/>
  <c r="B1687" i="14"/>
  <c r="I1686" i="14"/>
  <c r="C1686" i="14"/>
  <c r="B1686" i="14"/>
  <c r="I1685" i="14"/>
  <c r="C1685" i="14"/>
  <c r="B1685" i="14"/>
  <c r="I1684" i="14"/>
  <c r="C1684" i="14"/>
  <c r="B1684" i="14"/>
  <c r="I1683" i="14"/>
  <c r="C1683" i="14"/>
  <c r="B1683" i="14"/>
  <c r="I1682" i="14"/>
  <c r="C1682" i="14"/>
  <c r="B1682" i="14"/>
  <c r="I1681" i="14"/>
  <c r="C1681" i="14"/>
  <c r="B1681" i="14"/>
  <c r="I1680" i="14"/>
  <c r="C1680" i="14"/>
  <c r="B1680" i="14"/>
  <c r="I1679" i="14"/>
  <c r="C1679" i="14"/>
  <c r="B1679" i="14"/>
  <c r="I1678" i="14"/>
  <c r="C1678" i="14"/>
  <c r="B1678" i="14"/>
  <c r="I1677" i="14"/>
  <c r="C1677" i="14"/>
  <c r="B1677" i="14"/>
  <c r="I1676" i="14"/>
  <c r="C1676" i="14"/>
  <c r="B1676" i="14"/>
  <c r="I1675" i="14"/>
  <c r="C1675" i="14"/>
  <c r="B1675" i="14"/>
  <c r="I1674" i="14"/>
  <c r="C1674" i="14"/>
  <c r="B1674" i="14"/>
  <c r="I1673" i="14"/>
  <c r="C1673" i="14"/>
  <c r="B1673" i="14"/>
  <c r="I1672" i="14"/>
  <c r="C1672" i="14"/>
  <c r="B1672" i="14"/>
  <c r="I1671" i="14"/>
  <c r="C1671" i="14"/>
  <c r="B1671" i="14"/>
  <c r="I1670" i="14"/>
  <c r="C1670" i="14"/>
  <c r="B1670" i="14"/>
  <c r="I1669" i="14"/>
  <c r="C1669" i="14"/>
  <c r="B1669" i="14"/>
  <c r="I1668" i="14"/>
  <c r="C1668" i="14"/>
  <c r="B1668" i="14"/>
  <c r="I1667" i="14"/>
  <c r="C1667" i="14"/>
  <c r="B1667" i="14"/>
  <c r="I1666" i="14"/>
  <c r="C1666" i="14"/>
  <c r="B1666" i="14"/>
  <c r="I1665" i="14"/>
  <c r="C1665" i="14"/>
  <c r="B1665" i="14"/>
  <c r="I1664" i="14"/>
  <c r="C1664" i="14"/>
  <c r="B1664" i="14"/>
  <c r="I1663" i="14"/>
  <c r="C1663" i="14"/>
  <c r="B1663" i="14"/>
  <c r="I1662" i="14"/>
  <c r="C1662" i="14"/>
  <c r="B1662" i="14"/>
  <c r="I1661" i="14"/>
  <c r="C1661" i="14"/>
  <c r="B1661" i="14"/>
  <c r="I1660" i="14"/>
  <c r="C1660" i="14"/>
  <c r="B1660" i="14"/>
  <c r="I1659" i="14"/>
  <c r="C1659" i="14"/>
  <c r="B1659" i="14"/>
  <c r="I1658" i="14"/>
  <c r="C1658" i="14"/>
  <c r="B1658" i="14"/>
  <c r="I1657" i="14"/>
  <c r="C1657" i="14"/>
  <c r="B1657" i="14"/>
  <c r="I1656" i="14"/>
  <c r="C1656" i="14"/>
  <c r="B1656" i="14"/>
  <c r="I1655" i="14"/>
  <c r="C1655" i="14"/>
  <c r="B1655" i="14"/>
  <c r="I1654" i="14"/>
  <c r="C1654" i="14"/>
  <c r="B1654" i="14"/>
  <c r="I1653" i="14"/>
  <c r="C1653" i="14"/>
  <c r="B1653" i="14"/>
  <c r="I1652" i="14"/>
  <c r="C1652" i="14"/>
  <c r="B1652" i="14"/>
  <c r="I1651" i="14"/>
  <c r="C1651" i="14"/>
  <c r="B1651" i="14"/>
  <c r="I1650" i="14"/>
  <c r="C1650" i="14"/>
  <c r="B1650" i="14"/>
  <c r="I1649" i="14"/>
  <c r="C1649" i="14"/>
  <c r="B1649" i="14"/>
  <c r="I1648" i="14"/>
  <c r="C1648" i="14"/>
  <c r="B1648" i="14"/>
  <c r="I1647" i="14"/>
  <c r="C1647" i="14"/>
  <c r="B1647" i="14"/>
  <c r="I1646" i="14"/>
  <c r="C1646" i="14"/>
  <c r="B1646" i="14"/>
  <c r="I1645" i="14"/>
  <c r="C1645" i="14"/>
  <c r="B1645" i="14"/>
  <c r="I1644" i="14"/>
  <c r="C1644" i="14"/>
  <c r="B1644" i="14"/>
  <c r="I1643" i="14"/>
  <c r="C1643" i="14"/>
  <c r="B1643" i="14"/>
  <c r="I1642" i="14"/>
  <c r="C1642" i="14"/>
  <c r="B1642" i="14"/>
  <c r="I1641" i="14"/>
  <c r="C1641" i="14"/>
  <c r="B1641" i="14"/>
  <c r="I1640" i="14"/>
  <c r="C1640" i="14"/>
  <c r="B1640" i="14"/>
  <c r="I1639" i="14"/>
  <c r="C1639" i="14"/>
  <c r="B1639" i="14"/>
  <c r="I1638" i="14"/>
  <c r="C1638" i="14"/>
  <c r="B1638" i="14"/>
  <c r="I1637" i="14"/>
  <c r="C1637" i="14"/>
  <c r="B1637" i="14"/>
  <c r="I1636" i="14"/>
  <c r="C1636" i="14"/>
  <c r="B1636" i="14"/>
  <c r="I1635" i="14"/>
  <c r="C1635" i="14"/>
  <c r="B1635" i="14"/>
  <c r="I1634" i="14"/>
  <c r="C1634" i="14"/>
  <c r="B1634" i="14"/>
  <c r="I1633" i="14"/>
  <c r="C1633" i="14"/>
  <c r="B1633" i="14"/>
  <c r="I1632" i="14"/>
  <c r="C1632" i="14"/>
  <c r="B1632" i="14"/>
  <c r="I1631" i="14"/>
  <c r="C1631" i="14"/>
  <c r="B1631" i="14"/>
  <c r="I1630" i="14"/>
  <c r="C1630" i="14"/>
  <c r="B1630" i="14"/>
  <c r="I1629" i="14"/>
  <c r="C1629" i="14"/>
  <c r="B1629" i="14"/>
  <c r="I1628" i="14"/>
  <c r="C1628" i="14"/>
  <c r="B1628" i="14"/>
  <c r="I1627" i="14"/>
  <c r="C1627" i="14"/>
  <c r="B1627" i="14"/>
  <c r="I1626" i="14"/>
  <c r="C1626" i="14"/>
  <c r="B1626" i="14"/>
  <c r="I1625" i="14"/>
  <c r="C1625" i="14"/>
  <c r="B1625" i="14"/>
  <c r="I1624" i="14"/>
  <c r="C1624" i="14"/>
  <c r="B1624" i="14"/>
  <c r="I1623" i="14"/>
  <c r="C1623" i="14"/>
  <c r="B1623" i="14"/>
  <c r="I1622" i="14"/>
  <c r="C1622" i="14"/>
  <c r="B1622" i="14"/>
  <c r="I1621" i="14"/>
  <c r="C1621" i="14"/>
  <c r="B1621" i="14"/>
  <c r="I1620" i="14"/>
  <c r="C1620" i="14"/>
  <c r="B1620" i="14"/>
  <c r="I1619" i="14"/>
  <c r="C1619" i="14"/>
  <c r="B1619" i="14"/>
  <c r="I1618" i="14"/>
  <c r="C1618" i="14"/>
  <c r="B1618" i="14"/>
  <c r="I1617" i="14"/>
  <c r="C1617" i="14"/>
  <c r="B1617" i="14"/>
  <c r="I1616" i="14"/>
  <c r="C1616" i="14"/>
  <c r="B1616" i="14"/>
  <c r="I1615" i="14"/>
  <c r="C1615" i="14"/>
  <c r="B1615" i="14"/>
  <c r="I1614" i="14"/>
  <c r="C1614" i="14"/>
  <c r="B1614" i="14"/>
  <c r="I1613" i="14"/>
  <c r="C1613" i="14"/>
  <c r="B1613" i="14"/>
  <c r="I1612" i="14"/>
  <c r="C1612" i="14"/>
  <c r="B1612" i="14"/>
  <c r="I1611" i="14"/>
  <c r="C1611" i="14"/>
  <c r="B1611" i="14"/>
  <c r="I1610" i="14"/>
  <c r="C1610" i="14"/>
  <c r="B1610" i="14"/>
  <c r="I1609" i="14"/>
  <c r="C1609" i="14"/>
  <c r="B1609" i="14"/>
  <c r="I1608" i="14"/>
  <c r="C1608" i="14"/>
  <c r="B1608" i="14"/>
  <c r="I1607" i="14"/>
  <c r="C1607" i="14"/>
  <c r="B1607" i="14"/>
  <c r="I1606" i="14"/>
  <c r="C1606" i="14"/>
  <c r="B1606" i="14"/>
  <c r="I1605" i="14"/>
  <c r="C1605" i="14"/>
  <c r="B1605" i="14"/>
  <c r="I1604" i="14"/>
  <c r="C1604" i="14"/>
  <c r="B1604" i="14"/>
  <c r="I1603" i="14"/>
  <c r="C1603" i="14"/>
  <c r="B1603" i="14"/>
  <c r="I1602" i="14"/>
  <c r="C1602" i="14"/>
  <c r="B1602" i="14"/>
  <c r="I1601" i="14"/>
  <c r="C1601" i="14"/>
  <c r="B1601" i="14"/>
  <c r="I1600" i="14"/>
  <c r="C1600" i="14"/>
  <c r="B1600" i="14"/>
  <c r="I1599" i="14"/>
  <c r="C1599" i="14"/>
  <c r="B1599" i="14"/>
  <c r="I1598" i="14"/>
  <c r="C1598" i="14"/>
  <c r="B1598" i="14"/>
  <c r="I1597" i="14"/>
  <c r="C1597" i="14"/>
  <c r="B1597" i="14"/>
  <c r="I1596" i="14"/>
  <c r="C1596" i="14"/>
  <c r="B1596" i="14"/>
  <c r="I1595" i="14"/>
  <c r="C1595" i="14"/>
  <c r="B1595" i="14"/>
  <c r="I1594" i="14"/>
  <c r="C1594" i="14"/>
  <c r="B1594" i="14"/>
  <c r="I1593" i="14"/>
  <c r="C1593" i="14"/>
  <c r="B1593" i="14"/>
  <c r="I1592" i="14"/>
  <c r="C1592" i="14"/>
  <c r="B1592" i="14"/>
  <c r="I1591" i="14"/>
  <c r="C1591" i="14"/>
  <c r="B1591" i="14"/>
  <c r="I1590" i="14"/>
  <c r="C1590" i="14"/>
  <c r="B1590" i="14"/>
  <c r="I1589" i="14"/>
  <c r="C1589" i="14"/>
  <c r="B1589" i="14"/>
  <c r="I1588" i="14"/>
  <c r="C1588" i="14"/>
  <c r="B1588" i="14"/>
  <c r="I1587" i="14"/>
  <c r="C1587" i="14"/>
  <c r="B1587" i="14"/>
  <c r="I1586" i="14"/>
  <c r="C1586" i="14"/>
  <c r="B1586" i="14"/>
  <c r="I1585" i="14"/>
  <c r="C1585" i="14"/>
  <c r="B1585" i="14"/>
  <c r="I1584" i="14"/>
  <c r="C1584" i="14"/>
  <c r="B1584" i="14"/>
  <c r="I1583" i="14"/>
  <c r="C1583" i="14"/>
  <c r="B1583" i="14"/>
  <c r="I1582" i="14"/>
  <c r="C1582" i="14"/>
  <c r="B1582" i="14"/>
  <c r="I1581" i="14"/>
  <c r="C1581" i="14"/>
  <c r="B1581" i="14"/>
  <c r="I1580" i="14"/>
  <c r="C1580" i="14"/>
  <c r="B1580" i="14"/>
  <c r="I1579" i="14"/>
  <c r="C1579" i="14"/>
  <c r="B1579" i="14"/>
  <c r="I1578" i="14"/>
  <c r="C1578" i="14"/>
  <c r="B1578" i="14"/>
  <c r="I1577" i="14"/>
  <c r="C1577" i="14"/>
  <c r="B1577" i="14"/>
  <c r="I1576" i="14"/>
  <c r="C1576" i="14"/>
  <c r="B1576" i="14"/>
  <c r="I1575" i="14"/>
  <c r="C1575" i="14"/>
  <c r="B1575" i="14"/>
  <c r="I1574" i="14"/>
  <c r="C1574" i="14"/>
  <c r="B1574" i="14"/>
  <c r="I1573" i="14"/>
  <c r="C1573" i="14"/>
  <c r="B1573" i="14"/>
  <c r="I1572" i="14"/>
  <c r="C1572" i="14"/>
  <c r="B1572" i="14"/>
  <c r="I1571" i="14"/>
  <c r="C1571" i="14"/>
  <c r="B1571" i="14"/>
  <c r="I1570" i="14"/>
  <c r="C1570" i="14"/>
  <c r="B1570" i="14"/>
  <c r="I1569" i="14"/>
  <c r="C1569" i="14"/>
  <c r="B1569" i="14"/>
  <c r="I1568" i="14"/>
  <c r="C1568" i="14"/>
  <c r="B1568" i="14"/>
  <c r="I1567" i="14"/>
  <c r="C1567" i="14"/>
  <c r="B1567" i="14"/>
  <c r="I1566" i="14"/>
  <c r="C1566" i="14"/>
  <c r="B1566" i="14"/>
  <c r="I1565" i="14"/>
  <c r="C1565" i="14"/>
  <c r="B1565" i="14"/>
  <c r="I1564" i="14"/>
  <c r="C1564" i="14"/>
  <c r="B1564" i="14"/>
  <c r="I1563" i="14"/>
  <c r="C1563" i="14"/>
  <c r="B1563" i="14"/>
  <c r="I1562" i="14"/>
  <c r="C1562" i="14"/>
  <c r="B1562" i="14"/>
  <c r="I1561" i="14"/>
  <c r="C1561" i="14"/>
  <c r="B1561" i="14"/>
  <c r="I1560" i="14"/>
  <c r="C1560" i="14"/>
  <c r="B1560" i="14"/>
  <c r="I1559" i="14"/>
  <c r="C1559" i="14"/>
  <c r="B1559" i="14"/>
  <c r="I1558" i="14"/>
  <c r="C1558" i="14"/>
  <c r="B1558" i="14"/>
  <c r="I1557" i="14"/>
  <c r="C1557" i="14"/>
  <c r="B1557" i="14"/>
  <c r="I1556" i="14"/>
  <c r="C1556" i="14"/>
  <c r="B1556" i="14"/>
  <c r="I1555" i="14"/>
  <c r="C1555" i="14"/>
  <c r="B1555" i="14"/>
  <c r="I1554" i="14"/>
  <c r="C1554" i="14"/>
  <c r="B1554" i="14"/>
  <c r="I1553" i="14"/>
  <c r="C1553" i="14"/>
  <c r="B1553" i="14"/>
  <c r="I1552" i="14"/>
  <c r="C1552" i="14"/>
  <c r="B1552" i="14"/>
  <c r="I1551" i="14"/>
  <c r="C1551" i="14"/>
  <c r="B1551" i="14"/>
  <c r="I1550" i="14"/>
  <c r="C1550" i="14"/>
  <c r="B1550" i="14"/>
  <c r="I1549" i="14"/>
  <c r="C1549" i="14"/>
  <c r="B1549" i="14"/>
  <c r="I1548" i="14"/>
  <c r="C1548" i="14"/>
  <c r="B1548" i="14"/>
  <c r="I1547" i="14"/>
  <c r="C1547" i="14"/>
  <c r="B1547" i="14"/>
  <c r="I1546" i="14"/>
  <c r="C1546" i="14"/>
  <c r="B1546" i="14"/>
  <c r="I1545" i="14"/>
  <c r="C1545" i="14"/>
  <c r="B1545" i="14"/>
  <c r="I1544" i="14"/>
  <c r="C1544" i="14"/>
  <c r="B1544" i="14"/>
  <c r="I1543" i="14"/>
  <c r="C1543" i="14"/>
  <c r="B1543" i="14"/>
  <c r="I1542" i="14"/>
  <c r="C1542" i="14"/>
  <c r="B1542" i="14"/>
  <c r="I1541" i="14"/>
  <c r="C1541" i="14"/>
  <c r="B1541" i="14"/>
  <c r="I1540" i="14"/>
  <c r="C1540" i="14"/>
  <c r="B1540" i="14"/>
  <c r="I1539" i="14"/>
  <c r="C1539" i="14"/>
  <c r="B1539" i="14"/>
  <c r="I1538" i="14"/>
  <c r="C1538" i="14"/>
  <c r="B1538" i="14"/>
  <c r="I1537" i="14"/>
  <c r="C1537" i="14"/>
  <c r="B1537" i="14"/>
  <c r="I1536" i="14"/>
  <c r="C1536" i="14"/>
  <c r="B1536" i="14"/>
  <c r="I1535" i="14"/>
  <c r="C1535" i="14"/>
  <c r="B1535" i="14"/>
  <c r="I1534" i="14"/>
  <c r="C1534" i="14"/>
  <c r="B1534" i="14"/>
  <c r="I1533" i="14"/>
  <c r="C1533" i="14"/>
  <c r="B1533" i="14"/>
  <c r="I1532" i="14"/>
  <c r="C1532" i="14"/>
  <c r="B1532" i="14"/>
  <c r="I1531" i="14"/>
  <c r="C1531" i="14"/>
  <c r="B1531" i="14"/>
  <c r="I1530" i="14"/>
  <c r="C1530" i="14"/>
  <c r="B1530" i="14"/>
  <c r="I1529" i="14"/>
  <c r="C1529" i="14"/>
  <c r="B1529" i="14"/>
  <c r="I1528" i="14"/>
  <c r="C1528" i="14"/>
  <c r="B1528" i="14"/>
  <c r="I1527" i="14"/>
  <c r="C1527" i="14"/>
  <c r="B1527" i="14"/>
  <c r="I1526" i="14"/>
  <c r="C1526" i="14"/>
  <c r="B1526" i="14"/>
  <c r="I1525" i="14"/>
  <c r="C1525" i="14"/>
  <c r="B1525" i="14"/>
  <c r="I1524" i="14"/>
  <c r="C1524" i="14"/>
  <c r="B1524" i="14"/>
  <c r="I1523" i="14"/>
  <c r="C1523" i="14"/>
  <c r="B1523" i="14"/>
  <c r="I1522" i="14"/>
  <c r="C1522" i="14"/>
  <c r="B1522" i="14"/>
  <c r="I1521" i="14"/>
  <c r="C1521" i="14"/>
  <c r="B1521" i="14"/>
  <c r="I1520" i="14"/>
  <c r="C1520" i="14"/>
  <c r="B1520" i="14"/>
  <c r="I1519" i="14"/>
  <c r="C1519" i="14"/>
  <c r="B1519" i="14"/>
  <c r="I1518" i="14"/>
  <c r="C1518" i="14"/>
  <c r="B1518" i="14"/>
  <c r="I1517" i="14"/>
  <c r="C1517" i="14"/>
  <c r="B1517" i="14"/>
  <c r="I1516" i="14"/>
  <c r="C1516" i="14"/>
  <c r="B1516" i="14"/>
  <c r="I1515" i="14"/>
  <c r="C1515" i="14"/>
  <c r="B1515" i="14"/>
  <c r="I1514" i="14"/>
  <c r="C1514" i="14"/>
  <c r="B1514" i="14"/>
  <c r="I1513" i="14"/>
  <c r="C1513" i="14"/>
  <c r="B1513" i="14"/>
  <c r="I1512" i="14"/>
  <c r="C1512" i="14"/>
  <c r="B1512" i="14"/>
  <c r="I1511" i="14"/>
  <c r="C1511" i="14"/>
  <c r="B1511" i="14"/>
  <c r="I1510" i="14"/>
  <c r="C1510" i="14"/>
  <c r="B1510" i="14"/>
  <c r="I1509" i="14"/>
  <c r="C1509" i="14"/>
  <c r="B1509" i="14"/>
  <c r="I1508" i="14"/>
  <c r="C1508" i="14"/>
  <c r="B1508" i="14"/>
  <c r="I1507" i="14"/>
  <c r="C1507" i="14"/>
  <c r="B1507" i="14"/>
  <c r="I1506" i="14"/>
  <c r="C1506" i="14"/>
  <c r="B1506" i="14"/>
  <c r="I1505" i="14"/>
  <c r="C1505" i="14"/>
  <c r="B1505" i="14"/>
  <c r="I1504" i="14"/>
  <c r="C1504" i="14"/>
  <c r="B1504" i="14"/>
  <c r="I1503" i="14"/>
  <c r="C1503" i="14"/>
  <c r="B1503" i="14"/>
  <c r="I1502" i="14"/>
  <c r="C1502" i="14"/>
  <c r="B1502" i="14"/>
  <c r="I1501" i="14"/>
  <c r="C1501" i="14"/>
  <c r="B1501" i="14"/>
  <c r="I1500" i="14"/>
  <c r="C1500" i="14"/>
  <c r="B1500" i="14"/>
  <c r="I1499" i="14"/>
  <c r="C1499" i="14"/>
  <c r="B1499" i="14"/>
  <c r="I1498" i="14"/>
  <c r="C1498" i="14"/>
  <c r="B1498" i="14"/>
  <c r="I1497" i="14"/>
  <c r="C1497" i="14"/>
  <c r="B1497" i="14"/>
  <c r="I1496" i="14"/>
  <c r="C1496" i="14"/>
  <c r="B1496" i="14"/>
  <c r="I1495" i="14"/>
  <c r="C1495" i="14"/>
  <c r="B1495" i="14"/>
  <c r="I1494" i="14"/>
  <c r="C1494" i="14"/>
  <c r="B1494" i="14"/>
  <c r="I1493" i="14"/>
  <c r="C1493" i="14"/>
  <c r="B1493" i="14"/>
  <c r="I1492" i="14"/>
  <c r="C1492" i="14"/>
  <c r="B1492" i="14"/>
  <c r="I1491" i="14"/>
  <c r="C1491" i="14"/>
  <c r="B1491" i="14"/>
  <c r="I1490" i="14"/>
  <c r="C1490" i="14"/>
  <c r="B1490" i="14"/>
  <c r="I1489" i="14"/>
  <c r="C1489" i="14"/>
  <c r="B1489" i="14"/>
  <c r="I1488" i="14"/>
  <c r="C1488" i="14"/>
  <c r="B1488" i="14"/>
  <c r="I1487" i="14"/>
  <c r="C1487" i="14"/>
  <c r="B1487" i="14"/>
  <c r="I1486" i="14"/>
  <c r="C1486" i="14"/>
  <c r="B1486" i="14"/>
  <c r="I1485" i="14"/>
  <c r="C1485" i="14"/>
  <c r="B1485" i="14"/>
  <c r="I1484" i="14"/>
  <c r="C1484" i="14"/>
  <c r="B1484" i="14"/>
  <c r="I1483" i="14"/>
  <c r="C1483" i="14"/>
  <c r="B1483" i="14"/>
  <c r="I1482" i="14"/>
  <c r="C1482" i="14"/>
  <c r="B1482" i="14"/>
  <c r="I1481" i="14"/>
  <c r="C1481" i="14"/>
  <c r="B1481" i="14"/>
  <c r="I1480" i="14"/>
  <c r="C1480" i="14"/>
  <c r="B1480" i="14"/>
  <c r="I1479" i="14"/>
  <c r="C1479" i="14"/>
  <c r="B1479" i="14"/>
  <c r="I1478" i="14"/>
  <c r="C1478" i="14"/>
  <c r="B1478" i="14"/>
  <c r="I1477" i="14"/>
  <c r="C1477" i="14"/>
  <c r="B1477" i="14"/>
  <c r="I1476" i="14"/>
  <c r="C1476" i="14"/>
  <c r="B1476" i="14"/>
  <c r="I1475" i="14"/>
  <c r="C1475" i="14"/>
  <c r="B1475" i="14"/>
  <c r="I1474" i="14"/>
  <c r="C1474" i="14"/>
  <c r="B1474" i="14"/>
  <c r="I1473" i="14"/>
  <c r="C1473" i="14"/>
  <c r="B1473" i="14"/>
  <c r="I1472" i="14"/>
  <c r="C1472" i="14"/>
  <c r="B1472" i="14"/>
  <c r="I1471" i="14"/>
  <c r="C1471" i="14"/>
  <c r="B1471" i="14"/>
  <c r="I1470" i="14"/>
  <c r="C1470" i="14"/>
  <c r="B1470" i="14"/>
  <c r="I1469" i="14"/>
  <c r="C1469" i="14"/>
  <c r="B1469" i="14"/>
  <c r="I1468" i="14"/>
  <c r="C1468" i="14"/>
  <c r="B1468" i="14"/>
  <c r="I1467" i="14"/>
  <c r="C1467" i="14"/>
  <c r="B1467" i="14"/>
  <c r="I1466" i="14"/>
  <c r="C1466" i="14"/>
  <c r="B1466" i="14"/>
  <c r="I1465" i="14"/>
  <c r="C1465" i="14"/>
  <c r="B1465" i="14"/>
  <c r="I1464" i="14"/>
  <c r="C1464" i="14"/>
  <c r="B1464" i="14"/>
  <c r="I1463" i="14"/>
  <c r="C1463" i="14"/>
  <c r="B1463" i="14"/>
  <c r="I1462" i="14"/>
  <c r="C1462" i="14"/>
  <c r="B1462" i="14"/>
  <c r="I1461" i="14"/>
  <c r="C1461" i="14"/>
  <c r="B1461" i="14"/>
  <c r="I1460" i="14"/>
  <c r="C1460" i="14"/>
  <c r="B1460" i="14"/>
  <c r="I1459" i="14"/>
  <c r="C1459" i="14"/>
  <c r="B1459" i="14"/>
  <c r="I1458" i="14"/>
  <c r="C1458" i="14"/>
  <c r="B1458" i="14"/>
  <c r="I1457" i="14"/>
  <c r="C1457" i="14"/>
  <c r="B1457" i="14"/>
  <c r="I1456" i="14"/>
  <c r="C1456" i="14"/>
  <c r="B1456" i="14"/>
  <c r="I1455" i="14"/>
  <c r="C1455" i="14"/>
  <c r="B1455" i="14"/>
  <c r="I1454" i="14"/>
  <c r="C1454" i="14"/>
  <c r="B1454" i="14"/>
  <c r="I1453" i="14"/>
  <c r="C1453" i="14"/>
  <c r="B1453" i="14"/>
  <c r="I1452" i="14"/>
  <c r="C1452" i="14"/>
  <c r="B1452" i="14"/>
  <c r="I1451" i="14"/>
  <c r="C1451" i="14"/>
  <c r="B1451" i="14"/>
  <c r="I1450" i="14"/>
  <c r="C1450" i="14"/>
  <c r="B1450" i="14"/>
  <c r="I1449" i="14"/>
  <c r="C1449" i="14"/>
  <c r="B1449" i="14"/>
  <c r="I1448" i="14"/>
  <c r="C1448" i="14"/>
  <c r="B1448" i="14"/>
  <c r="I1447" i="14"/>
  <c r="C1447" i="14"/>
  <c r="B1447" i="14"/>
  <c r="I1446" i="14"/>
  <c r="C1446" i="14"/>
  <c r="B1446" i="14"/>
  <c r="I1445" i="14"/>
  <c r="C1445" i="14"/>
  <c r="B1445" i="14"/>
  <c r="I1444" i="14"/>
  <c r="C1444" i="14"/>
  <c r="B1444" i="14"/>
  <c r="I1443" i="14"/>
  <c r="C1443" i="14"/>
  <c r="B1443" i="14"/>
  <c r="I1442" i="14"/>
  <c r="C1442" i="14"/>
  <c r="B1442" i="14"/>
  <c r="I1441" i="14"/>
  <c r="C1441" i="14"/>
  <c r="B1441" i="14"/>
  <c r="I1440" i="14"/>
  <c r="C1440" i="14"/>
  <c r="B1440" i="14"/>
  <c r="I1439" i="14"/>
  <c r="C1439" i="14"/>
  <c r="B1439" i="14"/>
  <c r="I1438" i="14"/>
  <c r="C1438" i="14"/>
  <c r="B1438" i="14"/>
  <c r="I1437" i="14"/>
  <c r="C1437" i="14"/>
  <c r="B1437" i="14"/>
  <c r="I1436" i="14"/>
  <c r="C1436" i="14"/>
  <c r="B1436" i="14"/>
  <c r="I1435" i="14"/>
  <c r="C1435" i="14"/>
  <c r="B1435" i="14"/>
  <c r="I1434" i="14"/>
  <c r="C1434" i="14"/>
  <c r="B1434" i="14"/>
  <c r="I1433" i="14"/>
  <c r="C1433" i="14"/>
  <c r="B1433" i="14"/>
  <c r="I1432" i="14"/>
  <c r="C1432" i="14"/>
  <c r="B1432" i="14"/>
  <c r="I1431" i="14"/>
  <c r="C1431" i="14"/>
  <c r="B1431" i="14"/>
  <c r="I1430" i="14"/>
  <c r="C1430" i="14"/>
  <c r="B1430" i="14"/>
  <c r="I1429" i="14"/>
  <c r="C1429" i="14"/>
  <c r="B1429" i="14"/>
  <c r="I1428" i="14"/>
  <c r="C1428" i="14"/>
  <c r="B1428" i="14"/>
  <c r="I1427" i="14"/>
  <c r="C1427" i="14"/>
  <c r="B1427" i="14"/>
  <c r="I1426" i="14"/>
  <c r="C1426" i="14"/>
  <c r="B1426" i="14"/>
  <c r="I1425" i="14"/>
  <c r="C1425" i="14"/>
  <c r="B1425" i="14"/>
  <c r="I1424" i="14"/>
  <c r="C1424" i="14"/>
  <c r="B1424" i="14"/>
  <c r="I1423" i="14"/>
  <c r="C1423" i="14"/>
  <c r="B1423" i="14"/>
  <c r="I1422" i="14"/>
  <c r="C1422" i="14"/>
  <c r="B1422" i="14"/>
  <c r="I1421" i="14"/>
  <c r="C1421" i="14"/>
  <c r="B1421" i="14"/>
  <c r="I1420" i="14"/>
  <c r="C1420" i="14"/>
  <c r="B1420" i="14"/>
  <c r="I1419" i="14"/>
  <c r="C1419" i="14"/>
  <c r="B1419" i="14"/>
  <c r="I1418" i="14"/>
  <c r="C1418" i="14"/>
  <c r="B1418" i="14"/>
  <c r="I1417" i="14"/>
  <c r="C1417" i="14"/>
  <c r="B1417" i="14"/>
  <c r="I1416" i="14"/>
  <c r="C1416" i="14"/>
  <c r="B1416" i="14"/>
  <c r="I1415" i="14"/>
  <c r="C1415" i="14"/>
  <c r="B1415" i="14"/>
  <c r="I1414" i="14"/>
  <c r="C1414" i="14"/>
  <c r="B1414" i="14"/>
  <c r="I1413" i="14"/>
  <c r="C1413" i="14"/>
  <c r="B1413" i="14"/>
  <c r="I1412" i="14"/>
  <c r="C1412" i="14"/>
  <c r="B1412" i="14"/>
  <c r="I1411" i="14"/>
  <c r="C1411" i="14"/>
  <c r="B1411" i="14"/>
  <c r="I1410" i="14"/>
  <c r="C1410" i="14"/>
  <c r="B1410" i="14"/>
  <c r="I1409" i="14"/>
  <c r="C1409" i="14"/>
  <c r="B1409" i="14"/>
  <c r="I1408" i="14"/>
  <c r="C1408" i="14"/>
  <c r="B1408" i="14"/>
  <c r="I1407" i="14"/>
  <c r="C1407" i="14"/>
  <c r="B1407" i="14"/>
  <c r="I1406" i="14"/>
  <c r="C1406" i="14"/>
  <c r="B1406" i="14"/>
  <c r="I1405" i="14"/>
  <c r="C1405" i="14"/>
  <c r="B1405" i="14"/>
  <c r="I1404" i="14"/>
  <c r="C1404" i="14"/>
  <c r="B1404" i="14"/>
  <c r="I1403" i="14"/>
  <c r="C1403" i="14"/>
  <c r="B1403" i="14"/>
  <c r="I1402" i="14"/>
  <c r="C1402" i="14"/>
  <c r="B1402" i="14"/>
  <c r="I1401" i="14"/>
  <c r="C1401" i="14"/>
  <c r="B1401" i="14"/>
  <c r="I1400" i="14"/>
  <c r="C1400" i="14"/>
  <c r="B1400" i="14"/>
  <c r="I1399" i="14"/>
  <c r="C1399" i="14"/>
  <c r="B1399" i="14"/>
  <c r="I1398" i="14"/>
  <c r="C1398" i="14"/>
  <c r="B1398" i="14"/>
  <c r="I1397" i="14"/>
  <c r="C1397" i="14"/>
  <c r="B1397" i="14"/>
  <c r="I1396" i="14"/>
  <c r="C1396" i="14"/>
  <c r="B1396" i="14"/>
  <c r="I1395" i="14"/>
  <c r="C1395" i="14"/>
  <c r="B1395" i="14"/>
  <c r="I1394" i="14"/>
  <c r="C1394" i="14"/>
  <c r="B1394" i="14"/>
  <c r="I1393" i="14"/>
  <c r="C1393" i="14"/>
  <c r="B1393" i="14"/>
  <c r="I1392" i="14"/>
  <c r="C1392" i="14"/>
  <c r="B1392" i="14"/>
  <c r="I1391" i="14"/>
  <c r="C1391" i="14"/>
  <c r="B1391" i="14"/>
  <c r="I1390" i="14"/>
  <c r="C1390" i="14"/>
  <c r="B1390" i="14"/>
  <c r="I1389" i="14"/>
  <c r="C1389" i="14"/>
  <c r="B1389" i="14"/>
  <c r="I1388" i="14"/>
  <c r="C1388" i="14"/>
  <c r="B1388" i="14"/>
  <c r="I1387" i="14"/>
  <c r="C1387" i="14"/>
  <c r="B1387" i="14"/>
  <c r="I1386" i="14"/>
  <c r="C1386" i="14"/>
  <c r="B1386" i="14"/>
  <c r="I1385" i="14"/>
  <c r="C1385" i="14"/>
  <c r="B1385" i="14"/>
  <c r="I1384" i="14"/>
  <c r="C1384" i="14"/>
  <c r="B1384" i="14"/>
  <c r="I1383" i="14"/>
  <c r="C1383" i="14"/>
  <c r="B1383" i="14"/>
  <c r="I1382" i="14"/>
  <c r="C1382" i="14"/>
  <c r="B1382" i="14"/>
  <c r="I1381" i="14"/>
  <c r="C1381" i="14"/>
  <c r="B1381" i="14"/>
  <c r="I1380" i="14"/>
  <c r="C1380" i="14"/>
  <c r="B1380" i="14"/>
  <c r="I1379" i="14"/>
  <c r="C1379" i="14"/>
  <c r="B1379" i="14"/>
  <c r="I1378" i="14"/>
  <c r="C1378" i="14"/>
  <c r="B1378" i="14"/>
  <c r="I1377" i="14"/>
  <c r="C1377" i="14"/>
  <c r="B1377" i="14"/>
  <c r="I1376" i="14"/>
  <c r="C1376" i="14"/>
  <c r="B1376" i="14"/>
  <c r="I1375" i="14"/>
  <c r="C1375" i="14"/>
  <c r="B1375" i="14"/>
  <c r="I1374" i="14"/>
  <c r="C1374" i="14"/>
  <c r="B1374" i="14"/>
  <c r="I1373" i="14"/>
  <c r="C1373" i="14"/>
  <c r="B1373" i="14"/>
  <c r="I1372" i="14"/>
  <c r="C1372" i="14"/>
  <c r="B1372" i="14"/>
  <c r="I1371" i="14"/>
  <c r="C1371" i="14"/>
  <c r="B1371" i="14"/>
  <c r="I1370" i="14"/>
  <c r="C1370" i="14"/>
  <c r="B1370" i="14"/>
  <c r="I1369" i="14"/>
  <c r="C1369" i="14"/>
  <c r="B1369" i="14"/>
  <c r="I1368" i="14"/>
  <c r="C1368" i="14"/>
  <c r="B1368" i="14"/>
  <c r="I1367" i="14"/>
  <c r="C1367" i="14"/>
  <c r="B1367" i="14"/>
  <c r="I1366" i="14"/>
  <c r="C1366" i="14"/>
  <c r="B1366" i="14"/>
  <c r="I1365" i="14"/>
  <c r="C1365" i="14"/>
  <c r="B1365" i="14"/>
  <c r="I1364" i="14"/>
  <c r="C1364" i="14"/>
  <c r="B1364" i="14"/>
  <c r="I1363" i="14"/>
  <c r="C1363" i="14"/>
  <c r="B1363" i="14"/>
  <c r="I1362" i="14"/>
  <c r="C1362" i="14"/>
  <c r="B1362" i="14"/>
  <c r="I1361" i="14"/>
  <c r="C1361" i="14"/>
  <c r="B1361" i="14"/>
  <c r="I1360" i="14"/>
  <c r="C1360" i="14"/>
  <c r="B1360" i="14"/>
  <c r="I1359" i="14"/>
  <c r="C1359" i="14"/>
  <c r="B1359" i="14"/>
  <c r="I1358" i="14"/>
  <c r="C1358" i="14"/>
  <c r="B1358" i="14"/>
  <c r="I1357" i="14"/>
  <c r="C1357" i="14"/>
  <c r="B1357" i="14"/>
  <c r="I1356" i="14"/>
  <c r="C1356" i="14"/>
  <c r="B1356" i="14"/>
  <c r="I1355" i="14"/>
  <c r="C1355" i="14"/>
  <c r="B1355" i="14"/>
  <c r="I1354" i="14"/>
  <c r="C1354" i="14"/>
  <c r="B1354" i="14"/>
  <c r="I1353" i="14"/>
  <c r="C1353" i="14"/>
  <c r="B1353" i="14"/>
  <c r="I1352" i="14"/>
  <c r="C1352" i="14"/>
  <c r="B1352" i="14"/>
  <c r="I1351" i="14"/>
  <c r="C1351" i="14"/>
  <c r="B1351" i="14"/>
  <c r="I1350" i="14"/>
  <c r="C1350" i="14"/>
  <c r="B1350" i="14"/>
  <c r="I1349" i="14"/>
  <c r="C1349" i="14"/>
  <c r="B1349" i="14"/>
  <c r="I1348" i="14"/>
  <c r="C1348" i="14"/>
  <c r="B1348" i="14"/>
  <c r="I1347" i="14"/>
  <c r="C1347" i="14"/>
  <c r="B1347" i="14"/>
  <c r="I1346" i="14"/>
  <c r="C1346" i="14"/>
  <c r="B1346" i="14"/>
  <c r="I1345" i="14"/>
  <c r="C1345" i="14"/>
  <c r="B1345" i="14"/>
  <c r="I1344" i="14"/>
  <c r="C1344" i="14"/>
  <c r="B1344" i="14"/>
  <c r="I1343" i="14"/>
  <c r="C1343" i="14"/>
  <c r="B1343" i="14"/>
  <c r="I1342" i="14"/>
  <c r="C1342" i="14"/>
  <c r="B1342" i="14"/>
  <c r="I1341" i="14"/>
  <c r="C1341" i="14"/>
  <c r="B1341" i="14"/>
  <c r="I1340" i="14"/>
  <c r="C1340" i="14"/>
  <c r="B1340" i="14"/>
  <c r="I1339" i="14"/>
  <c r="C1339" i="14"/>
  <c r="B1339" i="14"/>
  <c r="I1338" i="14"/>
  <c r="C1338" i="14"/>
  <c r="B1338" i="14"/>
  <c r="I1337" i="14"/>
  <c r="C1337" i="14"/>
  <c r="B1337" i="14"/>
  <c r="I1336" i="14"/>
  <c r="C1336" i="14"/>
  <c r="B1336" i="14"/>
  <c r="I1335" i="14"/>
  <c r="C1335" i="14"/>
  <c r="B1335" i="14"/>
  <c r="I1334" i="14"/>
  <c r="C1334" i="14"/>
  <c r="B1334" i="14"/>
  <c r="I1333" i="14"/>
  <c r="C1333" i="14"/>
  <c r="B1333" i="14"/>
  <c r="I1332" i="14"/>
  <c r="C1332" i="14"/>
  <c r="B1332" i="14"/>
  <c r="I1331" i="14"/>
  <c r="C1331" i="14"/>
  <c r="B1331" i="14"/>
  <c r="I1330" i="14"/>
  <c r="C1330" i="14"/>
  <c r="B1330" i="14"/>
  <c r="I1329" i="14"/>
  <c r="C1329" i="14"/>
  <c r="B1329" i="14"/>
  <c r="I1328" i="14"/>
  <c r="C1328" i="14"/>
  <c r="B1328" i="14"/>
  <c r="I1327" i="14"/>
  <c r="C1327" i="14"/>
  <c r="B1327" i="14"/>
  <c r="I1326" i="14"/>
  <c r="C1326" i="14"/>
  <c r="B1326" i="14"/>
  <c r="I1325" i="14"/>
  <c r="C1325" i="14"/>
  <c r="B1325" i="14"/>
  <c r="I1324" i="14"/>
  <c r="C1324" i="14"/>
  <c r="B1324" i="14"/>
  <c r="I1323" i="14"/>
  <c r="C1323" i="14"/>
  <c r="B1323" i="14"/>
  <c r="I1322" i="14"/>
  <c r="C1322" i="14"/>
  <c r="B1322" i="14"/>
  <c r="I1321" i="14"/>
  <c r="C1321" i="14"/>
  <c r="B1321" i="14"/>
  <c r="I1320" i="14"/>
  <c r="C1320" i="14"/>
  <c r="B1320" i="14"/>
  <c r="I1319" i="14"/>
  <c r="C1319" i="14"/>
  <c r="B1319" i="14"/>
  <c r="I1318" i="14"/>
  <c r="C1318" i="14"/>
  <c r="B1318" i="14"/>
  <c r="I1317" i="14"/>
  <c r="C1317" i="14"/>
  <c r="B1317" i="14"/>
  <c r="I1316" i="14"/>
  <c r="C1316" i="14"/>
  <c r="B1316" i="14"/>
  <c r="I1315" i="14"/>
  <c r="C1315" i="14"/>
  <c r="B1315" i="14"/>
  <c r="I1314" i="14"/>
  <c r="C1314" i="14"/>
  <c r="B1314" i="14"/>
  <c r="I1313" i="14"/>
  <c r="C1313" i="14"/>
  <c r="B1313" i="14"/>
  <c r="I1312" i="14"/>
  <c r="C1312" i="14"/>
  <c r="B1312" i="14"/>
  <c r="I1311" i="14"/>
  <c r="C1311" i="14"/>
  <c r="B1311" i="14"/>
  <c r="I1310" i="14"/>
  <c r="C1310" i="14"/>
  <c r="B1310" i="14"/>
  <c r="I1309" i="14"/>
  <c r="C1309" i="14"/>
  <c r="B1309" i="14"/>
  <c r="I1308" i="14"/>
  <c r="C1308" i="14"/>
  <c r="B1308" i="14"/>
  <c r="I1307" i="14"/>
  <c r="C1307" i="14"/>
  <c r="B1307" i="14"/>
  <c r="I1306" i="14"/>
  <c r="C1306" i="14"/>
  <c r="B1306" i="14"/>
  <c r="I1305" i="14"/>
  <c r="C1305" i="14"/>
  <c r="B1305" i="14"/>
  <c r="I1304" i="14"/>
  <c r="C1304" i="14"/>
  <c r="B1304" i="14"/>
  <c r="I1303" i="14"/>
  <c r="C1303" i="14"/>
  <c r="B1303" i="14"/>
  <c r="I1302" i="14"/>
  <c r="C1302" i="14"/>
  <c r="B1302" i="14"/>
  <c r="I1301" i="14"/>
  <c r="C1301" i="14"/>
  <c r="B1301" i="14"/>
  <c r="I1300" i="14"/>
  <c r="C1300" i="14"/>
  <c r="B1300" i="14"/>
  <c r="I1299" i="14"/>
  <c r="C1299" i="14"/>
  <c r="B1299" i="14"/>
  <c r="I1298" i="14"/>
  <c r="C1298" i="14"/>
  <c r="B1298" i="14"/>
  <c r="I1297" i="14"/>
  <c r="C1297" i="14"/>
  <c r="B1297" i="14"/>
  <c r="I1296" i="14"/>
  <c r="C1296" i="14"/>
  <c r="B1296" i="14"/>
  <c r="I1295" i="14"/>
  <c r="C1295" i="14"/>
  <c r="B1295" i="14"/>
  <c r="I1294" i="14"/>
  <c r="C1294" i="14"/>
  <c r="B1294" i="14"/>
  <c r="I1293" i="14"/>
  <c r="C1293" i="14"/>
  <c r="B1293" i="14"/>
  <c r="I1292" i="14"/>
  <c r="C1292" i="14"/>
  <c r="B1292" i="14"/>
  <c r="I1291" i="14"/>
  <c r="C1291" i="14"/>
  <c r="B1291" i="14"/>
  <c r="I1290" i="14"/>
  <c r="C1290" i="14"/>
  <c r="B1290" i="14"/>
  <c r="I1289" i="14"/>
  <c r="C1289" i="14"/>
  <c r="B1289" i="14"/>
  <c r="I1288" i="14"/>
  <c r="C1288" i="14"/>
  <c r="B1288" i="14"/>
  <c r="I1287" i="14"/>
  <c r="C1287" i="14"/>
  <c r="B1287" i="14"/>
  <c r="I1286" i="14"/>
  <c r="C1286" i="14"/>
  <c r="B1286" i="14"/>
  <c r="I1285" i="14"/>
  <c r="C1285" i="14"/>
  <c r="B1285" i="14"/>
  <c r="I1284" i="14"/>
  <c r="C1284" i="14"/>
  <c r="B1284" i="14"/>
  <c r="I1283" i="14"/>
  <c r="C1283" i="14"/>
  <c r="B1283" i="14"/>
  <c r="I1282" i="14"/>
  <c r="C1282" i="14"/>
  <c r="B1282" i="14"/>
  <c r="I1281" i="14"/>
  <c r="C1281" i="14"/>
  <c r="B1281" i="14"/>
  <c r="I1280" i="14"/>
  <c r="C1280" i="14"/>
  <c r="B1280" i="14"/>
  <c r="I1279" i="14"/>
  <c r="C1279" i="14"/>
  <c r="B1279" i="14"/>
  <c r="I1278" i="14"/>
  <c r="C1278" i="14"/>
  <c r="B1278" i="14"/>
  <c r="I1277" i="14"/>
  <c r="C1277" i="14"/>
  <c r="B1277" i="14"/>
  <c r="I1276" i="14"/>
  <c r="C1276" i="14"/>
  <c r="B1276" i="14"/>
  <c r="I1275" i="14"/>
  <c r="C1275" i="14"/>
  <c r="B1275" i="14"/>
  <c r="I1274" i="14"/>
  <c r="C1274" i="14"/>
  <c r="B1274" i="14"/>
  <c r="I1273" i="14"/>
  <c r="C1273" i="14"/>
  <c r="B1273" i="14"/>
  <c r="I1272" i="14"/>
  <c r="C1272" i="14"/>
  <c r="B1272" i="14"/>
  <c r="I1271" i="14"/>
  <c r="C1271" i="14"/>
  <c r="B1271" i="14"/>
  <c r="I1270" i="14"/>
  <c r="C1270" i="14"/>
  <c r="B1270" i="14"/>
  <c r="I1269" i="14"/>
  <c r="C1269" i="14"/>
  <c r="B1269" i="14"/>
  <c r="I1268" i="14"/>
  <c r="C1268" i="14"/>
  <c r="B1268" i="14"/>
  <c r="I1267" i="14"/>
  <c r="C1267" i="14"/>
  <c r="B1267" i="14"/>
  <c r="I1266" i="14"/>
  <c r="C1266" i="14"/>
  <c r="B1266" i="14"/>
  <c r="I1265" i="14"/>
  <c r="C1265" i="14"/>
  <c r="B1265" i="14"/>
  <c r="I1264" i="14"/>
  <c r="C1264" i="14"/>
  <c r="B1264" i="14"/>
  <c r="I1263" i="14"/>
  <c r="C1263" i="14"/>
  <c r="B1263" i="14"/>
  <c r="I1262" i="14"/>
  <c r="C1262" i="14"/>
  <c r="B1262" i="14"/>
  <c r="I1261" i="14"/>
  <c r="C1261" i="14"/>
  <c r="B1261" i="14"/>
  <c r="I1260" i="14"/>
  <c r="C1260" i="14"/>
  <c r="B1260" i="14"/>
  <c r="I1259" i="14"/>
  <c r="C1259" i="14"/>
  <c r="B1259" i="14"/>
  <c r="I1258" i="14"/>
  <c r="C1258" i="14"/>
  <c r="B1258" i="14"/>
  <c r="I1257" i="14"/>
  <c r="C1257" i="14"/>
  <c r="B1257" i="14"/>
  <c r="I1256" i="14"/>
  <c r="C1256" i="14"/>
  <c r="B1256" i="14"/>
  <c r="I1255" i="14"/>
  <c r="C1255" i="14"/>
  <c r="B1255" i="14"/>
  <c r="I1254" i="14"/>
  <c r="C1254" i="14"/>
  <c r="B1254" i="14"/>
  <c r="I1253" i="14"/>
  <c r="C1253" i="14"/>
  <c r="B1253" i="14"/>
  <c r="I1252" i="14"/>
  <c r="C1252" i="14"/>
  <c r="B1252" i="14"/>
  <c r="I1251" i="14"/>
  <c r="C1251" i="14"/>
  <c r="B1251" i="14"/>
  <c r="I1250" i="14"/>
  <c r="C1250" i="14"/>
  <c r="B1250" i="14"/>
  <c r="I1249" i="14"/>
  <c r="C1249" i="14"/>
  <c r="B1249" i="14"/>
  <c r="I1248" i="14"/>
  <c r="C1248" i="14"/>
  <c r="B1248" i="14"/>
  <c r="I1247" i="14"/>
  <c r="C1247" i="14"/>
  <c r="B1247" i="14"/>
  <c r="I1246" i="14"/>
  <c r="C1246" i="14"/>
  <c r="B1246" i="14"/>
  <c r="I1245" i="14"/>
  <c r="C1245" i="14"/>
  <c r="B1245" i="14"/>
  <c r="W1244" i="14"/>
  <c r="U1244" i="14"/>
  <c r="V1244" i="14" s="1"/>
  <c r="T1244" i="14"/>
  <c r="S1244" i="14"/>
  <c r="J1244" i="14"/>
  <c r="I1244" i="14"/>
  <c r="D1244" i="14"/>
  <c r="C1244" i="14"/>
  <c r="B1244" i="14"/>
  <c r="W1243" i="14"/>
  <c r="U1243" i="14"/>
  <c r="V1243" i="14" s="1"/>
  <c r="T1243" i="14"/>
  <c r="S1243" i="14"/>
  <c r="J1243" i="14"/>
  <c r="I1243" i="14"/>
  <c r="D1243" i="14"/>
  <c r="C1243" i="14"/>
  <c r="B1243" i="14"/>
  <c r="W1242" i="14"/>
  <c r="U1242" i="14"/>
  <c r="V1242" i="14" s="1"/>
  <c r="T1242" i="14"/>
  <c r="S1242" i="14"/>
  <c r="J1242" i="14"/>
  <c r="I1242" i="14"/>
  <c r="D1242" i="14"/>
  <c r="C1242" i="14"/>
  <c r="B1242" i="14"/>
  <c r="W1241" i="14"/>
  <c r="U1241" i="14"/>
  <c r="V1241" i="14" s="1"/>
  <c r="T1241" i="14"/>
  <c r="S1241" i="14"/>
  <c r="J1241" i="14"/>
  <c r="I1241" i="14"/>
  <c r="D1241" i="14"/>
  <c r="C1241" i="14"/>
  <c r="B1241" i="14"/>
  <c r="W1240" i="14"/>
  <c r="U1240" i="14"/>
  <c r="V1240" i="14" s="1"/>
  <c r="T1240" i="14"/>
  <c r="S1240" i="14"/>
  <c r="J1240" i="14"/>
  <c r="I1240" i="14"/>
  <c r="D1240" i="14"/>
  <c r="C1240" i="14"/>
  <c r="B1240" i="14"/>
  <c r="W1239" i="14"/>
  <c r="U1239" i="14"/>
  <c r="V1239" i="14" s="1"/>
  <c r="T1239" i="14"/>
  <c r="S1239" i="14"/>
  <c r="J1239" i="14"/>
  <c r="I1239" i="14"/>
  <c r="D1239" i="14"/>
  <c r="C1239" i="14"/>
  <c r="B1239" i="14"/>
  <c r="W1238" i="14"/>
  <c r="U1238" i="14"/>
  <c r="V1238" i="14" s="1"/>
  <c r="T1238" i="14"/>
  <c r="S1238" i="14"/>
  <c r="J1238" i="14"/>
  <c r="I1238" i="14"/>
  <c r="D1238" i="14"/>
  <c r="C1238" i="14"/>
  <c r="B1238" i="14"/>
  <c r="W1237" i="14"/>
  <c r="U1237" i="14"/>
  <c r="V1237" i="14" s="1"/>
  <c r="T1237" i="14"/>
  <c r="S1237" i="14"/>
  <c r="J1237" i="14"/>
  <c r="I1237" i="14"/>
  <c r="D1237" i="14"/>
  <c r="C1237" i="14"/>
  <c r="B1237" i="14"/>
  <c r="W1236" i="14"/>
  <c r="U1236" i="14"/>
  <c r="V1236" i="14" s="1"/>
  <c r="T1236" i="14"/>
  <c r="S1236" i="14"/>
  <c r="J1236" i="14"/>
  <c r="I1236" i="14"/>
  <c r="D1236" i="14"/>
  <c r="C1236" i="14"/>
  <c r="B1236" i="14"/>
  <c r="W1235" i="14"/>
  <c r="U1235" i="14"/>
  <c r="V1235" i="14" s="1"/>
  <c r="T1235" i="14"/>
  <c r="S1235" i="14"/>
  <c r="J1235" i="14"/>
  <c r="I1235" i="14"/>
  <c r="D1235" i="14"/>
  <c r="C1235" i="14"/>
  <c r="B1235" i="14"/>
  <c r="W1234" i="14"/>
  <c r="U1234" i="14"/>
  <c r="V1234" i="14" s="1"/>
  <c r="T1234" i="14"/>
  <c r="S1234" i="14"/>
  <c r="J1234" i="14"/>
  <c r="I1234" i="14"/>
  <c r="D1234" i="14"/>
  <c r="C1234" i="14"/>
  <c r="B1234" i="14"/>
  <c r="W1233" i="14"/>
  <c r="U1233" i="14"/>
  <c r="V1233" i="14" s="1"/>
  <c r="T1233" i="14"/>
  <c r="S1233" i="14"/>
  <c r="J1233" i="14"/>
  <c r="I1233" i="14"/>
  <c r="D1233" i="14"/>
  <c r="C1233" i="14"/>
  <c r="B1233" i="14"/>
  <c r="W1232" i="14"/>
  <c r="U1232" i="14"/>
  <c r="V1232" i="14" s="1"/>
  <c r="T1232" i="14"/>
  <c r="S1232" i="14"/>
  <c r="J1232" i="14"/>
  <c r="I1232" i="14"/>
  <c r="D1232" i="14"/>
  <c r="C1232" i="14"/>
  <c r="B1232" i="14"/>
  <c r="W1231" i="14"/>
  <c r="U1231" i="14"/>
  <c r="V1231" i="14" s="1"/>
  <c r="T1231" i="14"/>
  <c r="S1231" i="14"/>
  <c r="J1231" i="14"/>
  <c r="I1231" i="14"/>
  <c r="D1231" i="14"/>
  <c r="C1231" i="14"/>
  <c r="B1231" i="14"/>
  <c r="W1230" i="14"/>
  <c r="U1230" i="14"/>
  <c r="V1230" i="14" s="1"/>
  <c r="T1230" i="14"/>
  <c r="S1230" i="14"/>
  <c r="J1230" i="14"/>
  <c r="I1230" i="14"/>
  <c r="D1230" i="14"/>
  <c r="C1230" i="14"/>
  <c r="B1230" i="14"/>
  <c r="W1229" i="14"/>
  <c r="U1229" i="14"/>
  <c r="V1229" i="14" s="1"/>
  <c r="T1229" i="14"/>
  <c r="S1229" i="14"/>
  <c r="J1229" i="14"/>
  <c r="I1229" i="14"/>
  <c r="D1229" i="14"/>
  <c r="C1229" i="14"/>
  <c r="B1229" i="14"/>
  <c r="W1228" i="14"/>
  <c r="U1228" i="14"/>
  <c r="V1228" i="14" s="1"/>
  <c r="T1228" i="14"/>
  <c r="S1228" i="14"/>
  <c r="J1228" i="14"/>
  <c r="I1228" i="14"/>
  <c r="D1228" i="14"/>
  <c r="C1228" i="14"/>
  <c r="B1228" i="14"/>
  <c r="W1227" i="14"/>
  <c r="U1227" i="14"/>
  <c r="V1227" i="14" s="1"/>
  <c r="T1227" i="14"/>
  <c r="S1227" i="14"/>
  <c r="J1227" i="14"/>
  <c r="I1227" i="14"/>
  <c r="D1227" i="14"/>
  <c r="C1227" i="14"/>
  <c r="B1227" i="14"/>
  <c r="W1226" i="14"/>
  <c r="U1226" i="14"/>
  <c r="V1226" i="14" s="1"/>
  <c r="T1226" i="14"/>
  <c r="S1226" i="14"/>
  <c r="J1226" i="14"/>
  <c r="I1226" i="14"/>
  <c r="D1226" i="14"/>
  <c r="C1226" i="14"/>
  <c r="B1226" i="14"/>
  <c r="W1225" i="14"/>
  <c r="U1225" i="14"/>
  <c r="V1225" i="14" s="1"/>
  <c r="T1225" i="14"/>
  <c r="S1225" i="14"/>
  <c r="J1225" i="14"/>
  <c r="I1225" i="14"/>
  <c r="D1225" i="14"/>
  <c r="C1225" i="14"/>
  <c r="B1225" i="14"/>
  <c r="W1224" i="14"/>
  <c r="U1224" i="14"/>
  <c r="V1224" i="14" s="1"/>
  <c r="T1224" i="14"/>
  <c r="S1224" i="14"/>
  <c r="J1224" i="14"/>
  <c r="I1224" i="14"/>
  <c r="D1224" i="14"/>
  <c r="C1224" i="14"/>
  <c r="B1224" i="14"/>
  <c r="W1223" i="14"/>
  <c r="U1223" i="14"/>
  <c r="V1223" i="14" s="1"/>
  <c r="T1223" i="14"/>
  <c r="S1223" i="14"/>
  <c r="J1223" i="14"/>
  <c r="I1223" i="14"/>
  <c r="D1223" i="14"/>
  <c r="C1223" i="14"/>
  <c r="B1223" i="14"/>
  <c r="W1222" i="14"/>
  <c r="U1222" i="14"/>
  <c r="V1222" i="14" s="1"/>
  <c r="T1222" i="14"/>
  <c r="S1222" i="14"/>
  <c r="J1222" i="14"/>
  <c r="I1222" i="14"/>
  <c r="D1222" i="14"/>
  <c r="C1222" i="14"/>
  <c r="B1222" i="14"/>
  <c r="W1221" i="14"/>
  <c r="U1221" i="14"/>
  <c r="V1221" i="14" s="1"/>
  <c r="T1221" i="14"/>
  <c r="S1221" i="14"/>
  <c r="J1221" i="14"/>
  <c r="I1221" i="14"/>
  <c r="D1221" i="14"/>
  <c r="C1221" i="14"/>
  <c r="B1221" i="14"/>
  <c r="W1220" i="14"/>
  <c r="U1220" i="14"/>
  <c r="V1220" i="14" s="1"/>
  <c r="T1220" i="14"/>
  <c r="S1220" i="14"/>
  <c r="J1220" i="14"/>
  <c r="I1220" i="14"/>
  <c r="D1220" i="14"/>
  <c r="C1220" i="14"/>
  <c r="B1220" i="14"/>
  <c r="W1219" i="14"/>
  <c r="U1219" i="14"/>
  <c r="V1219" i="14" s="1"/>
  <c r="T1219" i="14"/>
  <c r="S1219" i="14"/>
  <c r="J1219" i="14"/>
  <c r="I1219" i="14"/>
  <c r="D1219" i="14"/>
  <c r="C1219" i="14"/>
  <c r="B1219" i="14"/>
  <c r="W1218" i="14"/>
  <c r="U1218" i="14"/>
  <c r="V1218" i="14" s="1"/>
  <c r="T1218" i="14"/>
  <c r="S1218" i="14"/>
  <c r="J1218" i="14"/>
  <c r="I1218" i="14"/>
  <c r="D1218" i="14"/>
  <c r="C1218" i="14"/>
  <c r="B1218" i="14"/>
  <c r="W1217" i="14"/>
  <c r="U1217" i="14"/>
  <c r="V1217" i="14" s="1"/>
  <c r="T1217" i="14"/>
  <c r="S1217" i="14"/>
  <c r="J1217" i="14"/>
  <c r="I1217" i="14"/>
  <c r="D1217" i="14"/>
  <c r="C1217" i="14"/>
  <c r="B1217" i="14"/>
  <c r="W1216" i="14"/>
  <c r="U1216" i="14"/>
  <c r="V1216" i="14" s="1"/>
  <c r="T1216" i="14"/>
  <c r="S1216" i="14"/>
  <c r="J1216" i="14"/>
  <c r="I1216" i="14"/>
  <c r="D1216" i="14"/>
  <c r="C1216" i="14"/>
  <c r="B1216" i="14"/>
  <c r="W1215" i="14"/>
  <c r="U1215" i="14"/>
  <c r="V1215" i="14" s="1"/>
  <c r="T1215" i="14"/>
  <c r="S1215" i="14"/>
  <c r="J1215" i="14"/>
  <c r="I1215" i="14"/>
  <c r="D1215" i="14"/>
  <c r="C1215" i="14"/>
  <c r="B1215" i="14"/>
  <c r="W1214" i="14"/>
  <c r="U1214" i="14"/>
  <c r="V1214" i="14" s="1"/>
  <c r="T1214" i="14"/>
  <c r="S1214" i="14"/>
  <c r="J1214" i="14"/>
  <c r="I1214" i="14"/>
  <c r="D1214" i="14"/>
  <c r="C1214" i="14"/>
  <c r="B1214" i="14"/>
  <c r="W1213" i="14"/>
  <c r="U1213" i="14"/>
  <c r="V1213" i="14" s="1"/>
  <c r="T1213" i="14"/>
  <c r="S1213" i="14"/>
  <c r="J1213" i="14"/>
  <c r="I1213" i="14"/>
  <c r="D1213" i="14"/>
  <c r="C1213" i="14"/>
  <c r="B1213" i="14"/>
  <c r="W1212" i="14"/>
  <c r="U1212" i="14"/>
  <c r="V1212" i="14" s="1"/>
  <c r="T1212" i="14"/>
  <c r="S1212" i="14"/>
  <c r="J1212" i="14"/>
  <c r="I1212" i="14"/>
  <c r="D1212" i="14"/>
  <c r="C1212" i="14"/>
  <c r="B1212" i="14"/>
  <c r="W1211" i="14"/>
  <c r="U1211" i="14"/>
  <c r="V1211" i="14" s="1"/>
  <c r="T1211" i="14"/>
  <c r="S1211" i="14"/>
  <c r="J1211" i="14"/>
  <c r="I1211" i="14"/>
  <c r="D1211" i="14"/>
  <c r="C1211" i="14"/>
  <c r="B1211" i="14"/>
  <c r="W1210" i="14"/>
  <c r="U1210" i="14"/>
  <c r="V1210" i="14" s="1"/>
  <c r="T1210" i="14"/>
  <c r="S1210" i="14"/>
  <c r="J1210" i="14"/>
  <c r="I1210" i="14"/>
  <c r="D1210" i="14"/>
  <c r="C1210" i="14"/>
  <c r="B1210" i="14"/>
  <c r="W1209" i="14"/>
  <c r="U1209" i="14"/>
  <c r="V1209" i="14" s="1"/>
  <c r="T1209" i="14"/>
  <c r="S1209" i="14"/>
  <c r="J1209" i="14"/>
  <c r="I1209" i="14"/>
  <c r="D1209" i="14"/>
  <c r="C1209" i="14"/>
  <c r="B1209" i="14"/>
  <c r="W1208" i="14"/>
  <c r="U1208" i="14"/>
  <c r="V1208" i="14" s="1"/>
  <c r="T1208" i="14"/>
  <c r="S1208" i="14"/>
  <c r="J1208" i="14"/>
  <c r="I1208" i="14"/>
  <c r="D1208" i="14"/>
  <c r="C1208" i="14"/>
  <c r="B1208" i="14"/>
  <c r="W1207" i="14"/>
  <c r="U1207" i="14"/>
  <c r="V1207" i="14" s="1"/>
  <c r="T1207" i="14"/>
  <c r="S1207" i="14"/>
  <c r="J1207" i="14"/>
  <c r="I1207" i="14"/>
  <c r="D1207" i="14"/>
  <c r="C1207" i="14"/>
  <c r="B1207" i="14"/>
  <c r="W1206" i="14"/>
  <c r="U1206" i="14"/>
  <c r="V1206" i="14" s="1"/>
  <c r="T1206" i="14"/>
  <c r="S1206" i="14"/>
  <c r="J1206" i="14"/>
  <c r="I1206" i="14"/>
  <c r="D1206" i="14"/>
  <c r="C1206" i="14"/>
  <c r="B1206" i="14"/>
  <c r="W1205" i="14"/>
  <c r="U1205" i="14"/>
  <c r="V1205" i="14" s="1"/>
  <c r="T1205" i="14"/>
  <c r="S1205" i="14"/>
  <c r="J1205" i="14"/>
  <c r="I1205" i="14"/>
  <c r="D1205" i="14"/>
  <c r="C1205" i="14"/>
  <c r="B1205" i="14"/>
  <c r="W1204" i="14"/>
  <c r="U1204" i="14"/>
  <c r="V1204" i="14" s="1"/>
  <c r="T1204" i="14"/>
  <c r="S1204" i="14"/>
  <c r="J1204" i="14"/>
  <c r="I1204" i="14"/>
  <c r="D1204" i="14"/>
  <c r="C1204" i="14"/>
  <c r="B1204" i="14"/>
  <c r="W1203" i="14"/>
  <c r="U1203" i="14"/>
  <c r="V1203" i="14" s="1"/>
  <c r="T1203" i="14"/>
  <c r="S1203" i="14"/>
  <c r="J1203" i="14"/>
  <c r="I1203" i="14"/>
  <c r="D1203" i="14"/>
  <c r="C1203" i="14"/>
  <c r="B1203" i="14"/>
  <c r="W1202" i="14"/>
  <c r="U1202" i="14"/>
  <c r="V1202" i="14" s="1"/>
  <c r="T1202" i="14"/>
  <c r="S1202" i="14"/>
  <c r="J1202" i="14"/>
  <c r="I1202" i="14"/>
  <c r="D1202" i="14"/>
  <c r="C1202" i="14"/>
  <c r="B1202" i="14"/>
  <c r="W1201" i="14"/>
  <c r="U1201" i="14"/>
  <c r="V1201" i="14" s="1"/>
  <c r="T1201" i="14"/>
  <c r="S1201" i="14"/>
  <c r="J1201" i="14"/>
  <c r="I1201" i="14"/>
  <c r="D1201" i="14"/>
  <c r="C1201" i="14"/>
  <c r="B1201" i="14"/>
  <c r="W1200" i="14"/>
  <c r="U1200" i="14"/>
  <c r="V1200" i="14" s="1"/>
  <c r="T1200" i="14"/>
  <c r="S1200" i="14"/>
  <c r="J1200" i="14"/>
  <c r="I1200" i="14"/>
  <c r="D1200" i="14"/>
  <c r="C1200" i="14"/>
  <c r="B1200" i="14"/>
  <c r="W1199" i="14"/>
  <c r="U1199" i="14"/>
  <c r="V1199" i="14" s="1"/>
  <c r="T1199" i="14"/>
  <c r="S1199" i="14"/>
  <c r="J1199" i="14"/>
  <c r="I1199" i="14"/>
  <c r="D1199" i="14"/>
  <c r="C1199" i="14"/>
  <c r="B1199" i="14"/>
  <c r="W1198" i="14"/>
  <c r="U1198" i="14"/>
  <c r="V1198" i="14" s="1"/>
  <c r="T1198" i="14"/>
  <c r="S1198" i="14"/>
  <c r="J1198" i="14"/>
  <c r="I1198" i="14"/>
  <c r="D1198" i="14"/>
  <c r="C1198" i="14"/>
  <c r="B1198" i="14"/>
  <c r="W1197" i="14"/>
  <c r="U1197" i="14"/>
  <c r="V1197" i="14" s="1"/>
  <c r="T1197" i="14"/>
  <c r="S1197" i="14"/>
  <c r="J1197" i="14"/>
  <c r="I1197" i="14"/>
  <c r="D1197" i="14"/>
  <c r="C1197" i="14"/>
  <c r="B1197" i="14"/>
  <c r="W1196" i="14"/>
  <c r="U1196" i="14"/>
  <c r="V1196" i="14" s="1"/>
  <c r="T1196" i="14"/>
  <c r="S1196" i="14"/>
  <c r="J1196" i="14"/>
  <c r="I1196" i="14"/>
  <c r="D1196" i="14"/>
  <c r="C1196" i="14"/>
  <c r="B1196" i="14"/>
  <c r="W1195" i="14"/>
  <c r="U1195" i="14"/>
  <c r="V1195" i="14" s="1"/>
  <c r="T1195" i="14"/>
  <c r="S1195" i="14"/>
  <c r="J1195" i="14"/>
  <c r="I1195" i="14"/>
  <c r="D1195" i="14"/>
  <c r="C1195" i="14"/>
  <c r="B1195" i="14"/>
  <c r="W1194" i="14"/>
  <c r="U1194" i="14"/>
  <c r="V1194" i="14" s="1"/>
  <c r="T1194" i="14"/>
  <c r="S1194" i="14"/>
  <c r="J1194" i="14"/>
  <c r="I1194" i="14"/>
  <c r="D1194" i="14"/>
  <c r="C1194" i="14"/>
  <c r="B1194" i="14"/>
  <c r="W1193" i="14"/>
  <c r="U1193" i="14"/>
  <c r="V1193" i="14" s="1"/>
  <c r="T1193" i="14"/>
  <c r="S1193" i="14"/>
  <c r="J1193" i="14"/>
  <c r="I1193" i="14"/>
  <c r="D1193" i="14"/>
  <c r="C1193" i="14"/>
  <c r="B1193" i="14"/>
  <c r="W1192" i="14"/>
  <c r="U1192" i="14"/>
  <c r="V1192" i="14" s="1"/>
  <c r="T1192" i="14"/>
  <c r="S1192" i="14"/>
  <c r="J1192" i="14"/>
  <c r="I1192" i="14"/>
  <c r="D1192" i="14"/>
  <c r="C1192" i="14"/>
  <c r="B1192" i="14"/>
  <c r="W1191" i="14"/>
  <c r="U1191" i="14"/>
  <c r="V1191" i="14" s="1"/>
  <c r="T1191" i="14"/>
  <c r="S1191" i="14"/>
  <c r="J1191" i="14"/>
  <c r="I1191" i="14"/>
  <c r="D1191" i="14"/>
  <c r="C1191" i="14"/>
  <c r="B1191" i="14"/>
  <c r="W1190" i="14"/>
  <c r="U1190" i="14"/>
  <c r="V1190" i="14" s="1"/>
  <c r="T1190" i="14"/>
  <c r="S1190" i="14"/>
  <c r="J1190" i="14"/>
  <c r="I1190" i="14"/>
  <c r="D1190" i="14"/>
  <c r="C1190" i="14"/>
  <c r="B1190" i="14"/>
  <c r="W1189" i="14"/>
  <c r="U1189" i="14"/>
  <c r="V1189" i="14" s="1"/>
  <c r="T1189" i="14"/>
  <c r="S1189" i="14"/>
  <c r="J1189" i="14"/>
  <c r="I1189" i="14"/>
  <c r="D1189" i="14"/>
  <c r="C1189" i="14"/>
  <c r="B1189" i="14"/>
  <c r="W1188" i="14"/>
  <c r="U1188" i="14"/>
  <c r="V1188" i="14" s="1"/>
  <c r="T1188" i="14"/>
  <c r="S1188" i="14"/>
  <c r="J1188" i="14"/>
  <c r="I1188" i="14"/>
  <c r="D1188" i="14"/>
  <c r="C1188" i="14"/>
  <c r="B1188" i="14"/>
  <c r="W1187" i="14"/>
  <c r="U1187" i="14"/>
  <c r="V1187" i="14" s="1"/>
  <c r="T1187" i="14"/>
  <c r="S1187" i="14"/>
  <c r="J1187" i="14"/>
  <c r="I1187" i="14"/>
  <c r="D1187" i="14"/>
  <c r="C1187" i="14"/>
  <c r="B1187" i="14"/>
  <c r="W1186" i="14"/>
  <c r="U1186" i="14"/>
  <c r="V1186" i="14" s="1"/>
  <c r="T1186" i="14"/>
  <c r="S1186" i="14"/>
  <c r="J1186" i="14"/>
  <c r="I1186" i="14"/>
  <c r="D1186" i="14"/>
  <c r="C1186" i="14"/>
  <c r="B1186" i="14"/>
  <c r="W1185" i="14"/>
  <c r="U1185" i="14"/>
  <c r="V1185" i="14" s="1"/>
  <c r="T1185" i="14"/>
  <c r="S1185" i="14"/>
  <c r="J1185" i="14"/>
  <c r="I1185" i="14"/>
  <c r="D1185" i="14"/>
  <c r="C1185" i="14"/>
  <c r="B1185" i="14"/>
  <c r="W1184" i="14"/>
  <c r="U1184" i="14"/>
  <c r="V1184" i="14" s="1"/>
  <c r="T1184" i="14"/>
  <c r="S1184" i="14"/>
  <c r="J1184" i="14"/>
  <c r="I1184" i="14"/>
  <c r="D1184" i="14"/>
  <c r="C1184" i="14"/>
  <c r="B1184" i="14"/>
  <c r="W1183" i="14"/>
  <c r="U1183" i="14"/>
  <c r="V1183" i="14" s="1"/>
  <c r="T1183" i="14"/>
  <c r="S1183" i="14"/>
  <c r="J1183" i="14"/>
  <c r="I1183" i="14"/>
  <c r="D1183" i="14"/>
  <c r="C1183" i="14"/>
  <c r="B1183" i="14"/>
  <c r="W1182" i="14"/>
  <c r="U1182" i="14"/>
  <c r="V1182" i="14" s="1"/>
  <c r="T1182" i="14"/>
  <c r="S1182" i="14"/>
  <c r="J1182" i="14"/>
  <c r="I1182" i="14"/>
  <c r="D1182" i="14"/>
  <c r="C1182" i="14"/>
  <c r="B1182" i="14"/>
  <c r="W1181" i="14"/>
  <c r="U1181" i="14"/>
  <c r="V1181" i="14" s="1"/>
  <c r="T1181" i="14"/>
  <c r="S1181" i="14"/>
  <c r="J1181" i="14"/>
  <c r="I1181" i="14"/>
  <c r="D1181" i="14"/>
  <c r="C1181" i="14"/>
  <c r="B1181" i="14"/>
  <c r="W1180" i="14"/>
  <c r="U1180" i="14"/>
  <c r="V1180" i="14" s="1"/>
  <c r="T1180" i="14"/>
  <c r="S1180" i="14"/>
  <c r="J1180" i="14"/>
  <c r="I1180" i="14"/>
  <c r="D1180" i="14"/>
  <c r="C1180" i="14"/>
  <c r="B1180" i="14"/>
  <c r="W1179" i="14"/>
  <c r="U1179" i="14"/>
  <c r="V1179" i="14" s="1"/>
  <c r="T1179" i="14"/>
  <c r="S1179" i="14"/>
  <c r="J1179" i="14"/>
  <c r="I1179" i="14"/>
  <c r="D1179" i="14"/>
  <c r="C1179" i="14"/>
  <c r="B1179" i="14"/>
  <c r="W1178" i="14"/>
  <c r="U1178" i="14"/>
  <c r="V1178" i="14" s="1"/>
  <c r="T1178" i="14"/>
  <c r="S1178" i="14"/>
  <c r="J1178" i="14"/>
  <c r="I1178" i="14"/>
  <c r="D1178" i="14"/>
  <c r="C1178" i="14"/>
  <c r="B1178" i="14"/>
  <c r="W1177" i="14"/>
  <c r="U1177" i="14"/>
  <c r="V1177" i="14" s="1"/>
  <c r="T1177" i="14"/>
  <c r="S1177" i="14"/>
  <c r="J1177" i="14"/>
  <c r="I1177" i="14"/>
  <c r="D1177" i="14"/>
  <c r="C1177" i="14"/>
  <c r="B1177" i="14"/>
  <c r="W1176" i="14"/>
  <c r="U1176" i="14"/>
  <c r="V1176" i="14" s="1"/>
  <c r="T1176" i="14"/>
  <c r="S1176" i="14"/>
  <c r="J1176" i="14"/>
  <c r="I1176" i="14"/>
  <c r="D1176" i="14"/>
  <c r="C1176" i="14"/>
  <c r="B1176" i="14"/>
  <c r="W1175" i="14"/>
  <c r="U1175" i="14"/>
  <c r="V1175" i="14" s="1"/>
  <c r="T1175" i="14"/>
  <c r="S1175" i="14"/>
  <c r="J1175" i="14"/>
  <c r="I1175" i="14"/>
  <c r="D1175" i="14"/>
  <c r="C1175" i="14"/>
  <c r="B1175" i="14"/>
  <c r="W1174" i="14"/>
  <c r="U1174" i="14"/>
  <c r="V1174" i="14" s="1"/>
  <c r="T1174" i="14"/>
  <c r="S1174" i="14"/>
  <c r="J1174" i="14"/>
  <c r="I1174" i="14"/>
  <c r="D1174" i="14"/>
  <c r="C1174" i="14"/>
  <c r="B1174" i="14"/>
  <c r="W1173" i="14"/>
  <c r="U1173" i="14"/>
  <c r="V1173" i="14" s="1"/>
  <c r="T1173" i="14"/>
  <c r="S1173" i="14"/>
  <c r="J1173" i="14"/>
  <c r="I1173" i="14"/>
  <c r="D1173" i="14"/>
  <c r="C1173" i="14"/>
  <c r="B1173" i="14"/>
  <c r="W1172" i="14"/>
  <c r="U1172" i="14"/>
  <c r="V1172" i="14" s="1"/>
  <c r="T1172" i="14"/>
  <c r="S1172" i="14"/>
  <c r="J1172" i="14"/>
  <c r="I1172" i="14"/>
  <c r="D1172" i="14"/>
  <c r="C1172" i="14"/>
  <c r="B1172" i="14"/>
  <c r="W1171" i="14"/>
  <c r="U1171" i="14"/>
  <c r="V1171" i="14" s="1"/>
  <c r="T1171" i="14"/>
  <c r="S1171" i="14"/>
  <c r="J1171" i="14"/>
  <c r="I1171" i="14"/>
  <c r="D1171" i="14"/>
  <c r="C1171" i="14"/>
  <c r="B1171" i="14"/>
  <c r="W1170" i="14"/>
  <c r="U1170" i="14"/>
  <c r="V1170" i="14" s="1"/>
  <c r="T1170" i="14"/>
  <c r="S1170" i="14"/>
  <c r="J1170" i="14"/>
  <c r="I1170" i="14"/>
  <c r="D1170" i="14"/>
  <c r="C1170" i="14"/>
  <c r="B1170" i="14"/>
  <c r="W1169" i="14"/>
  <c r="U1169" i="14"/>
  <c r="V1169" i="14" s="1"/>
  <c r="T1169" i="14"/>
  <c r="S1169" i="14"/>
  <c r="J1169" i="14"/>
  <c r="I1169" i="14"/>
  <c r="D1169" i="14"/>
  <c r="C1169" i="14"/>
  <c r="B1169" i="14"/>
  <c r="W1168" i="14"/>
  <c r="U1168" i="14"/>
  <c r="V1168" i="14" s="1"/>
  <c r="T1168" i="14"/>
  <c r="S1168" i="14"/>
  <c r="J1168" i="14"/>
  <c r="I1168" i="14"/>
  <c r="D1168" i="14"/>
  <c r="C1168" i="14"/>
  <c r="B1168" i="14"/>
  <c r="W1167" i="14"/>
  <c r="U1167" i="14"/>
  <c r="V1167" i="14" s="1"/>
  <c r="T1167" i="14"/>
  <c r="S1167" i="14"/>
  <c r="J1167" i="14"/>
  <c r="I1167" i="14"/>
  <c r="D1167" i="14"/>
  <c r="C1167" i="14"/>
  <c r="B1167" i="14"/>
  <c r="W1166" i="14"/>
  <c r="U1166" i="14"/>
  <c r="V1166" i="14" s="1"/>
  <c r="T1166" i="14"/>
  <c r="S1166" i="14"/>
  <c r="J1166" i="14"/>
  <c r="I1166" i="14"/>
  <c r="D1166" i="14"/>
  <c r="C1166" i="14"/>
  <c r="B1166" i="14"/>
  <c r="W1165" i="14"/>
  <c r="U1165" i="14"/>
  <c r="V1165" i="14" s="1"/>
  <c r="T1165" i="14"/>
  <c r="S1165" i="14"/>
  <c r="J1165" i="14"/>
  <c r="I1165" i="14"/>
  <c r="D1165" i="14"/>
  <c r="C1165" i="14"/>
  <c r="B1165" i="14"/>
  <c r="W1164" i="14"/>
  <c r="U1164" i="14"/>
  <c r="V1164" i="14" s="1"/>
  <c r="T1164" i="14"/>
  <c r="S1164" i="14"/>
  <c r="J1164" i="14"/>
  <c r="I1164" i="14"/>
  <c r="D1164" i="14"/>
  <c r="C1164" i="14"/>
  <c r="B1164" i="14"/>
  <c r="W1163" i="14"/>
  <c r="U1163" i="14"/>
  <c r="V1163" i="14" s="1"/>
  <c r="T1163" i="14"/>
  <c r="S1163" i="14"/>
  <c r="J1163" i="14"/>
  <c r="I1163" i="14"/>
  <c r="D1163" i="14"/>
  <c r="C1163" i="14"/>
  <c r="B1163" i="14"/>
  <c r="W1162" i="14"/>
  <c r="U1162" i="14"/>
  <c r="V1162" i="14" s="1"/>
  <c r="T1162" i="14"/>
  <c r="S1162" i="14"/>
  <c r="J1162" i="14"/>
  <c r="I1162" i="14"/>
  <c r="D1162" i="14"/>
  <c r="C1162" i="14"/>
  <c r="B1162" i="14"/>
  <c r="W1161" i="14"/>
  <c r="U1161" i="14"/>
  <c r="V1161" i="14" s="1"/>
  <c r="T1161" i="14"/>
  <c r="S1161" i="14"/>
  <c r="J1161" i="14"/>
  <c r="I1161" i="14"/>
  <c r="D1161" i="14"/>
  <c r="C1161" i="14"/>
  <c r="B1161" i="14"/>
  <c r="W1160" i="14"/>
  <c r="U1160" i="14"/>
  <c r="V1160" i="14" s="1"/>
  <c r="T1160" i="14"/>
  <c r="S1160" i="14"/>
  <c r="J1160" i="14"/>
  <c r="I1160" i="14"/>
  <c r="D1160" i="14"/>
  <c r="C1160" i="14"/>
  <c r="B1160" i="14"/>
  <c r="W1159" i="14"/>
  <c r="U1159" i="14"/>
  <c r="V1159" i="14" s="1"/>
  <c r="T1159" i="14"/>
  <c r="S1159" i="14"/>
  <c r="J1159" i="14"/>
  <c r="I1159" i="14"/>
  <c r="D1159" i="14"/>
  <c r="C1159" i="14"/>
  <c r="B1159" i="14"/>
  <c r="W1158" i="14"/>
  <c r="U1158" i="14"/>
  <c r="V1158" i="14" s="1"/>
  <c r="T1158" i="14"/>
  <c r="S1158" i="14"/>
  <c r="J1158" i="14"/>
  <c r="I1158" i="14"/>
  <c r="D1158" i="14"/>
  <c r="C1158" i="14"/>
  <c r="B1158" i="14"/>
  <c r="W1157" i="14"/>
  <c r="U1157" i="14"/>
  <c r="V1157" i="14" s="1"/>
  <c r="T1157" i="14"/>
  <c r="S1157" i="14"/>
  <c r="J1157" i="14"/>
  <c r="I1157" i="14"/>
  <c r="D1157" i="14"/>
  <c r="C1157" i="14"/>
  <c r="B1157" i="14"/>
  <c r="W1156" i="14"/>
  <c r="U1156" i="14"/>
  <c r="V1156" i="14" s="1"/>
  <c r="T1156" i="14"/>
  <c r="S1156" i="14"/>
  <c r="J1156" i="14"/>
  <c r="I1156" i="14"/>
  <c r="D1156" i="14"/>
  <c r="C1156" i="14"/>
  <c r="B1156" i="14"/>
  <c r="W1155" i="14"/>
  <c r="U1155" i="14"/>
  <c r="V1155" i="14" s="1"/>
  <c r="T1155" i="14"/>
  <c r="S1155" i="14"/>
  <c r="J1155" i="14"/>
  <c r="I1155" i="14"/>
  <c r="D1155" i="14"/>
  <c r="C1155" i="14"/>
  <c r="B1155" i="14"/>
  <c r="W1154" i="14"/>
  <c r="U1154" i="14"/>
  <c r="V1154" i="14" s="1"/>
  <c r="T1154" i="14"/>
  <c r="S1154" i="14"/>
  <c r="J1154" i="14"/>
  <c r="I1154" i="14"/>
  <c r="D1154" i="14"/>
  <c r="C1154" i="14"/>
  <c r="B1154" i="14"/>
  <c r="W1153" i="14"/>
  <c r="U1153" i="14"/>
  <c r="V1153" i="14" s="1"/>
  <c r="T1153" i="14"/>
  <c r="S1153" i="14"/>
  <c r="J1153" i="14"/>
  <c r="I1153" i="14"/>
  <c r="D1153" i="14"/>
  <c r="C1153" i="14"/>
  <c r="B1153" i="14"/>
  <c r="W1152" i="14"/>
  <c r="U1152" i="14"/>
  <c r="V1152" i="14" s="1"/>
  <c r="T1152" i="14"/>
  <c r="S1152" i="14"/>
  <c r="J1152" i="14"/>
  <c r="I1152" i="14"/>
  <c r="D1152" i="14"/>
  <c r="C1152" i="14"/>
  <c r="B1152" i="14"/>
  <c r="W1151" i="14"/>
  <c r="U1151" i="14"/>
  <c r="V1151" i="14" s="1"/>
  <c r="T1151" i="14"/>
  <c r="S1151" i="14"/>
  <c r="J1151" i="14"/>
  <c r="I1151" i="14"/>
  <c r="D1151" i="14"/>
  <c r="C1151" i="14"/>
  <c r="B1151" i="14"/>
  <c r="W1150" i="14"/>
  <c r="U1150" i="14"/>
  <c r="V1150" i="14" s="1"/>
  <c r="T1150" i="14"/>
  <c r="S1150" i="14"/>
  <c r="J1150" i="14"/>
  <c r="I1150" i="14"/>
  <c r="D1150" i="14"/>
  <c r="C1150" i="14"/>
  <c r="B1150" i="14"/>
  <c r="W1149" i="14"/>
  <c r="U1149" i="14"/>
  <c r="V1149" i="14" s="1"/>
  <c r="T1149" i="14"/>
  <c r="S1149" i="14"/>
  <c r="J1149" i="14"/>
  <c r="I1149" i="14"/>
  <c r="D1149" i="14"/>
  <c r="C1149" i="14"/>
  <c r="B1149" i="14"/>
  <c r="W1148" i="14"/>
  <c r="U1148" i="14"/>
  <c r="V1148" i="14" s="1"/>
  <c r="T1148" i="14"/>
  <c r="S1148" i="14"/>
  <c r="J1148" i="14"/>
  <c r="I1148" i="14"/>
  <c r="D1148" i="14"/>
  <c r="C1148" i="14"/>
  <c r="B1148" i="14"/>
  <c r="W1147" i="14"/>
  <c r="U1147" i="14"/>
  <c r="V1147" i="14" s="1"/>
  <c r="T1147" i="14"/>
  <c r="S1147" i="14"/>
  <c r="J1147" i="14"/>
  <c r="I1147" i="14"/>
  <c r="D1147" i="14"/>
  <c r="C1147" i="14"/>
  <c r="B1147" i="14"/>
  <c r="W1146" i="14"/>
  <c r="U1146" i="14"/>
  <c r="V1146" i="14" s="1"/>
  <c r="T1146" i="14"/>
  <c r="S1146" i="14"/>
  <c r="J1146" i="14"/>
  <c r="I1146" i="14"/>
  <c r="D1146" i="14"/>
  <c r="C1146" i="14"/>
  <c r="B1146" i="14"/>
  <c r="W1145" i="14"/>
  <c r="U1145" i="14"/>
  <c r="V1145" i="14" s="1"/>
  <c r="T1145" i="14"/>
  <c r="S1145" i="14"/>
  <c r="J1145" i="14"/>
  <c r="I1145" i="14"/>
  <c r="D1145" i="14"/>
  <c r="C1145" i="14"/>
  <c r="B1145" i="14"/>
  <c r="W1144" i="14"/>
  <c r="U1144" i="14"/>
  <c r="V1144" i="14" s="1"/>
  <c r="T1144" i="14"/>
  <c r="S1144" i="14"/>
  <c r="J1144" i="14"/>
  <c r="I1144" i="14"/>
  <c r="D1144" i="14"/>
  <c r="C1144" i="14"/>
  <c r="B1144" i="14"/>
  <c r="W1143" i="14"/>
  <c r="U1143" i="14"/>
  <c r="V1143" i="14" s="1"/>
  <c r="T1143" i="14"/>
  <c r="S1143" i="14"/>
  <c r="J1143" i="14"/>
  <c r="I1143" i="14"/>
  <c r="D1143" i="14"/>
  <c r="C1143" i="14"/>
  <c r="B1143" i="14"/>
  <c r="W1142" i="14"/>
  <c r="U1142" i="14"/>
  <c r="V1142" i="14" s="1"/>
  <c r="T1142" i="14"/>
  <c r="S1142" i="14"/>
  <c r="J1142" i="14"/>
  <c r="I1142" i="14"/>
  <c r="D1142" i="14"/>
  <c r="C1142" i="14"/>
  <c r="B1142" i="14"/>
  <c r="W1141" i="14"/>
  <c r="U1141" i="14"/>
  <c r="V1141" i="14" s="1"/>
  <c r="T1141" i="14"/>
  <c r="S1141" i="14"/>
  <c r="J1141" i="14"/>
  <c r="I1141" i="14"/>
  <c r="D1141" i="14"/>
  <c r="C1141" i="14"/>
  <c r="B1141" i="14"/>
  <c r="W1140" i="14"/>
  <c r="U1140" i="14"/>
  <c r="V1140" i="14" s="1"/>
  <c r="T1140" i="14"/>
  <c r="S1140" i="14"/>
  <c r="J1140" i="14"/>
  <c r="I1140" i="14"/>
  <c r="D1140" i="14"/>
  <c r="C1140" i="14"/>
  <c r="B1140" i="14"/>
  <c r="W1139" i="14"/>
  <c r="U1139" i="14"/>
  <c r="V1139" i="14" s="1"/>
  <c r="T1139" i="14"/>
  <c r="S1139" i="14"/>
  <c r="J1139" i="14"/>
  <c r="I1139" i="14"/>
  <c r="D1139" i="14"/>
  <c r="C1139" i="14"/>
  <c r="B1139" i="14"/>
  <c r="W1138" i="14"/>
  <c r="U1138" i="14"/>
  <c r="V1138" i="14" s="1"/>
  <c r="T1138" i="14"/>
  <c r="S1138" i="14"/>
  <c r="J1138" i="14"/>
  <c r="I1138" i="14"/>
  <c r="D1138" i="14"/>
  <c r="C1138" i="14"/>
  <c r="B1138" i="14"/>
  <c r="W1137" i="14"/>
  <c r="U1137" i="14"/>
  <c r="V1137" i="14" s="1"/>
  <c r="T1137" i="14"/>
  <c r="S1137" i="14"/>
  <c r="J1137" i="14"/>
  <c r="I1137" i="14"/>
  <c r="D1137" i="14"/>
  <c r="C1137" i="14"/>
  <c r="B1137" i="14"/>
  <c r="W1136" i="14"/>
  <c r="U1136" i="14"/>
  <c r="V1136" i="14" s="1"/>
  <c r="T1136" i="14"/>
  <c r="S1136" i="14"/>
  <c r="J1136" i="14"/>
  <c r="I1136" i="14"/>
  <c r="D1136" i="14"/>
  <c r="C1136" i="14"/>
  <c r="B1136" i="14"/>
  <c r="W1135" i="14"/>
  <c r="U1135" i="14"/>
  <c r="V1135" i="14" s="1"/>
  <c r="T1135" i="14"/>
  <c r="S1135" i="14"/>
  <c r="J1135" i="14"/>
  <c r="I1135" i="14"/>
  <c r="D1135" i="14"/>
  <c r="C1135" i="14"/>
  <c r="B1135" i="14"/>
  <c r="W1134" i="14"/>
  <c r="U1134" i="14"/>
  <c r="V1134" i="14" s="1"/>
  <c r="T1134" i="14"/>
  <c r="S1134" i="14"/>
  <c r="J1134" i="14"/>
  <c r="I1134" i="14"/>
  <c r="D1134" i="14"/>
  <c r="C1134" i="14"/>
  <c r="B1134" i="14"/>
  <c r="W1133" i="14"/>
  <c r="U1133" i="14"/>
  <c r="V1133" i="14" s="1"/>
  <c r="T1133" i="14"/>
  <c r="S1133" i="14"/>
  <c r="J1133" i="14"/>
  <c r="I1133" i="14"/>
  <c r="D1133" i="14"/>
  <c r="C1133" i="14"/>
  <c r="B1133" i="14"/>
  <c r="W1132" i="14"/>
  <c r="U1132" i="14"/>
  <c r="V1132" i="14" s="1"/>
  <c r="T1132" i="14"/>
  <c r="S1132" i="14"/>
  <c r="J1132" i="14"/>
  <c r="I1132" i="14"/>
  <c r="D1132" i="14"/>
  <c r="C1132" i="14"/>
  <c r="B1132" i="14"/>
  <c r="W1131" i="14"/>
  <c r="U1131" i="14"/>
  <c r="V1131" i="14" s="1"/>
  <c r="T1131" i="14"/>
  <c r="S1131" i="14"/>
  <c r="J1131" i="14"/>
  <c r="I1131" i="14"/>
  <c r="D1131" i="14"/>
  <c r="C1131" i="14"/>
  <c r="B1131" i="14"/>
  <c r="W1130" i="14"/>
  <c r="U1130" i="14"/>
  <c r="V1130" i="14" s="1"/>
  <c r="T1130" i="14"/>
  <c r="S1130" i="14"/>
  <c r="J1130" i="14"/>
  <c r="I1130" i="14"/>
  <c r="D1130" i="14"/>
  <c r="C1130" i="14"/>
  <c r="B1130" i="14"/>
  <c r="W1129" i="14"/>
  <c r="U1129" i="14"/>
  <c r="V1129" i="14" s="1"/>
  <c r="T1129" i="14"/>
  <c r="S1129" i="14"/>
  <c r="J1129" i="14"/>
  <c r="I1129" i="14"/>
  <c r="D1129" i="14"/>
  <c r="C1129" i="14"/>
  <c r="B1129" i="14"/>
  <c r="W1128" i="14"/>
  <c r="U1128" i="14"/>
  <c r="V1128" i="14" s="1"/>
  <c r="T1128" i="14"/>
  <c r="S1128" i="14"/>
  <c r="J1128" i="14"/>
  <c r="I1128" i="14"/>
  <c r="D1128" i="14"/>
  <c r="C1128" i="14"/>
  <c r="B1128" i="14"/>
  <c r="W1127" i="14"/>
  <c r="U1127" i="14"/>
  <c r="V1127" i="14" s="1"/>
  <c r="T1127" i="14"/>
  <c r="S1127" i="14"/>
  <c r="J1127" i="14"/>
  <c r="I1127" i="14"/>
  <c r="D1127" i="14"/>
  <c r="C1127" i="14"/>
  <c r="B1127" i="14"/>
  <c r="W1126" i="14"/>
  <c r="U1126" i="14"/>
  <c r="V1126" i="14" s="1"/>
  <c r="T1126" i="14"/>
  <c r="S1126" i="14"/>
  <c r="J1126" i="14"/>
  <c r="I1126" i="14"/>
  <c r="D1126" i="14"/>
  <c r="C1126" i="14"/>
  <c r="B1126" i="14"/>
  <c r="W1125" i="14"/>
  <c r="U1125" i="14"/>
  <c r="V1125" i="14" s="1"/>
  <c r="T1125" i="14"/>
  <c r="S1125" i="14"/>
  <c r="J1125" i="14"/>
  <c r="I1125" i="14"/>
  <c r="D1125" i="14"/>
  <c r="C1125" i="14"/>
  <c r="B1125" i="14"/>
  <c r="W1124" i="14"/>
  <c r="U1124" i="14"/>
  <c r="V1124" i="14" s="1"/>
  <c r="T1124" i="14"/>
  <c r="S1124" i="14"/>
  <c r="J1124" i="14"/>
  <c r="I1124" i="14"/>
  <c r="D1124" i="14"/>
  <c r="C1124" i="14"/>
  <c r="B1124" i="14"/>
  <c r="W1123" i="14"/>
  <c r="U1123" i="14"/>
  <c r="V1123" i="14" s="1"/>
  <c r="T1123" i="14"/>
  <c r="S1123" i="14"/>
  <c r="J1123" i="14"/>
  <c r="I1123" i="14"/>
  <c r="D1123" i="14"/>
  <c r="C1123" i="14"/>
  <c r="B1123" i="14"/>
  <c r="W1122" i="14"/>
  <c r="U1122" i="14"/>
  <c r="V1122" i="14" s="1"/>
  <c r="T1122" i="14"/>
  <c r="S1122" i="14"/>
  <c r="J1122" i="14"/>
  <c r="I1122" i="14"/>
  <c r="D1122" i="14"/>
  <c r="C1122" i="14"/>
  <c r="B1122" i="14"/>
  <c r="W1121" i="14"/>
  <c r="U1121" i="14"/>
  <c r="V1121" i="14" s="1"/>
  <c r="T1121" i="14"/>
  <c r="S1121" i="14"/>
  <c r="J1121" i="14"/>
  <c r="I1121" i="14"/>
  <c r="D1121" i="14"/>
  <c r="C1121" i="14"/>
  <c r="B1121" i="14"/>
  <c r="W1120" i="14"/>
  <c r="U1120" i="14"/>
  <c r="V1120" i="14" s="1"/>
  <c r="T1120" i="14"/>
  <c r="S1120" i="14"/>
  <c r="J1120" i="14"/>
  <c r="I1120" i="14"/>
  <c r="D1120" i="14"/>
  <c r="C1120" i="14"/>
  <c r="B1120" i="14"/>
  <c r="W1119" i="14"/>
  <c r="U1119" i="14"/>
  <c r="V1119" i="14" s="1"/>
  <c r="T1119" i="14"/>
  <c r="S1119" i="14"/>
  <c r="J1119" i="14"/>
  <c r="I1119" i="14"/>
  <c r="D1119" i="14"/>
  <c r="C1119" i="14"/>
  <c r="B1119" i="14"/>
  <c r="W1118" i="14"/>
  <c r="U1118" i="14"/>
  <c r="V1118" i="14" s="1"/>
  <c r="T1118" i="14"/>
  <c r="S1118" i="14"/>
  <c r="J1118" i="14"/>
  <c r="I1118" i="14"/>
  <c r="D1118" i="14"/>
  <c r="C1118" i="14"/>
  <c r="B1118" i="14"/>
  <c r="W1117" i="14"/>
  <c r="U1117" i="14"/>
  <c r="V1117" i="14" s="1"/>
  <c r="T1117" i="14"/>
  <c r="S1117" i="14"/>
  <c r="J1117" i="14"/>
  <c r="I1117" i="14"/>
  <c r="D1117" i="14"/>
  <c r="C1117" i="14"/>
  <c r="B1117" i="14"/>
  <c r="W1116" i="14"/>
  <c r="U1116" i="14"/>
  <c r="V1116" i="14" s="1"/>
  <c r="T1116" i="14"/>
  <c r="S1116" i="14"/>
  <c r="J1116" i="14"/>
  <c r="I1116" i="14"/>
  <c r="D1116" i="14"/>
  <c r="C1116" i="14"/>
  <c r="B1116" i="14"/>
  <c r="W1115" i="14"/>
  <c r="U1115" i="14"/>
  <c r="V1115" i="14" s="1"/>
  <c r="T1115" i="14"/>
  <c r="S1115" i="14"/>
  <c r="J1115" i="14"/>
  <c r="I1115" i="14"/>
  <c r="D1115" i="14"/>
  <c r="C1115" i="14"/>
  <c r="B1115" i="14"/>
  <c r="W1114" i="14"/>
  <c r="U1114" i="14"/>
  <c r="V1114" i="14" s="1"/>
  <c r="T1114" i="14"/>
  <c r="S1114" i="14"/>
  <c r="J1114" i="14"/>
  <c r="I1114" i="14"/>
  <c r="D1114" i="14"/>
  <c r="C1114" i="14"/>
  <c r="B1114" i="14"/>
  <c r="W1113" i="14"/>
  <c r="U1113" i="14"/>
  <c r="V1113" i="14" s="1"/>
  <c r="T1113" i="14"/>
  <c r="S1113" i="14"/>
  <c r="J1113" i="14"/>
  <c r="I1113" i="14"/>
  <c r="D1113" i="14"/>
  <c r="C1113" i="14"/>
  <c r="B1113" i="14"/>
  <c r="W1112" i="14"/>
  <c r="U1112" i="14"/>
  <c r="V1112" i="14" s="1"/>
  <c r="T1112" i="14"/>
  <c r="S1112" i="14"/>
  <c r="J1112" i="14"/>
  <c r="I1112" i="14"/>
  <c r="D1112" i="14"/>
  <c r="C1112" i="14"/>
  <c r="B1112" i="14"/>
  <c r="W1111" i="14"/>
  <c r="U1111" i="14"/>
  <c r="V1111" i="14" s="1"/>
  <c r="T1111" i="14"/>
  <c r="S1111" i="14"/>
  <c r="J1111" i="14"/>
  <c r="I1111" i="14"/>
  <c r="D1111" i="14"/>
  <c r="C1111" i="14"/>
  <c r="B1111" i="14"/>
  <c r="W1110" i="14"/>
  <c r="U1110" i="14"/>
  <c r="V1110" i="14" s="1"/>
  <c r="T1110" i="14"/>
  <c r="S1110" i="14"/>
  <c r="J1110" i="14"/>
  <c r="I1110" i="14"/>
  <c r="D1110" i="14"/>
  <c r="C1110" i="14"/>
  <c r="B1110" i="14"/>
  <c r="W1109" i="14"/>
  <c r="U1109" i="14"/>
  <c r="V1109" i="14" s="1"/>
  <c r="T1109" i="14"/>
  <c r="S1109" i="14"/>
  <c r="J1109" i="14"/>
  <c r="I1109" i="14"/>
  <c r="D1109" i="14"/>
  <c r="C1109" i="14"/>
  <c r="B1109" i="14"/>
  <c r="W1108" i="14"/>
  <c r="U1108" i="14"/>
  <c r="V1108" i="14" s="1"/>
  <c r="T1108" i="14"/>
  <c r="S1108" i="14"/>
  <c r="J1108" i="14"/>
  <c r="I1108" i="14"/>
  <c r="D1108" i="14"/>
  <c r="C1108" i="14"/>
  <c r="B1108" i="14"/>
  <c r="W1107" i="14"/>
  <c r="U1107" i="14"/>
  <c r="V1107" i="14" s="1"/>
  <c r="T1107" i="14"/>
  <c r="S1107" i="14"/>
  <c r="J1107" i="14"/>
  <c r="I1107" i="14"/>
  <c r="D1107" i="14"/>
  <c r="C1107" i="14"/>
  <c r="B1107" i="14"/>
  <c r="W1106" i="14"/>
  <c r="U1106" i="14"/>
  <c r="V1106" i="14" s="1"/>
  <c r="T1106" i="14"/>
  <c r="S1106" i="14"/>
  <c r="J1106" i="14"/>
  <c r="I1106" i="14"/>
  <c r="D1106" i="14"/>
  <c r="C1106" i="14"/>
  <c r="B1106" i="14"/>
  <c r="W1105" i="14"/>
  <c r="U1105" i="14"/>
  <c r="V1105" i="14" s="1"/>
  <c r="T1105" i="14"/>
  <c r="S1105" i="14"/>
  <c r="J1105" i="14"/>
  <c r="I1105" i="14"/>
  <c r="D1105" i="14"/>
  <c r="C1105" i="14"/>
  <c r="B1105" i="14"/>
  <c r="W1104" i="14"/>
  <c r="U1104" i="14"/>
  <c r="V1104" i="14" s="1"/>
  <c r="T1104" i="14"/>
  <c r="S1104" i="14"/>
  <c r="J1104" i="14"/>
  <c r="I1104" i="14"/>
  <c r="D1104" i="14"/>
  <c r="C1104" i="14"/>
  <c r="B1104" i="14"/>
  <c r="W1103" i="14"/>
  <c r="U1103" i="14"/>
  <c r="V1103" i="14" s="1"/>
  <c r="T1103" i="14"/>
  <c r="S1103" i="14"/>
  <c r="J1103" i="14"/>
  <c r="I1103" i="14"/>
  <c r="D1103" i="14"/>
  <c r="C1103" i="14"/>
  <c r="B1103" i="14"/>
  <c r="W1102" i="14"/>
  <c r="U1102" i="14"/>
  <c r="V1102" i="14" s="1"/>
  <c r="T1102" i="14"/>
  <c r="S1102" i="14"/>
  <c r="J1102" i="14"/>
  <c r="I1102" i="14"/>
  <c r="D1102" i="14"/>
  <c r="C1102" i="14"/>
  <c r="B1102" i="14"/>
  <c r="W1101" i="14"/>
  <c r="U1101" i="14"/>
  <c r="V1101" i="14" s="1"/>
  <c r="T1101" i="14"/>
  <c r="S1101" i="14"/>
  <c r="J1101" i="14"/>
  <c r="I1101" i="14"/>
  <c r="D1101" i="14"/>
  <c r="C1101" i="14"/>
  <c r="B1101" i="14"/>
  <c r="W1100" i="14"/>
  <c r="U1100" i="14"/>
  <c r="V1100" i="14" s="1"/>
  <c r="T1100" i="14"/>
  <c r="S1100" i="14"/>
  <c r="J1100" i="14"/>
  <c r="I1100" i="14"/>
  <c r="D1100" i="14"/>
  <c r="C1100" i="14"/>
  <c r="B1100" i="14"/>
  <c r="W1099" i="14"/>
  <c r="U1099" i="14"/>
  <c r="V1099" i="14" s="1"/>
  <c r="T1099" i="14"/>
  <c r="S1099" i="14"/>
  <c r="J1099" i="14"/>
  <c r="I1099" i="14"/>
  <c r="D1099" i="14"/>
  <c r="C1099" i="14"/>
  <c r="B1099" i="14"/>
  <c r="W1098" i="14"/>
  <c r="U1098" i="14"/>
  <c r="V1098" i="14" s="1"/>
  <c r="T1098" i="14"/>
  <c r="S1098" i="14"/>
  <c r="J1098" i="14"/>
  <c r="I1098" i="14"/>
  <c r="D1098" i="14"/>
  <c r="C1098" i="14"/>
  <c r="B1098" i="14"/>
  <c r="W1097" i="14"/>
  <c r="U1097" i="14"/>
  <c r="V1097" i="14" s="1"/>
  <c r="T1097" i="14"/>
  <c r="S1097" i="14"/>
  <c r="J1097" i="14"/>
  <c r="I1097" i="14"/>
  <c r="D1097" i="14"/>
  <c r="C1097" i="14"/>
  <c r="B1097" i="14"/>
  <c r="W1096" i="14"/>
  <c r="U1096" i="14"/>
  <c r="V1096" i="14" s="1"/>
  <c r="T1096" i="14"/>
  <c r="S1096" i="14"/>
  <c r="J1096" i="14"/>
  <c r="I1096" i="14"/>
  <c r="D1096" i="14"/>
  <c r="C1096" i="14"/>
  <c r="B1096" i="14"/>
  <c r="W1095" i="14"/>
  <c r="U1095" i="14"/>
  <c r="V1095" i="14" s="1"/>
  <c r="T1095" i="14"/>
  <c r="S1095" i="14"/>
  <c r="J1095" i="14"/>
  <c r="I1095" i="14"/>
  <c r="D1095" i="14"/>
  <c r="C1095" i="14"/>
  <c r="B1095" i="14"/>
  <c r="W1094" i="14"/>
  <c r="U1094" i="14"/>
  <c r="V1094" i="14" s="1"/>
  <c r="T1094" i="14"/>
  <c r="S1094" i="14"/>
  <c r="J1094" i="14"/>
  <c r="I1094" i="14"/>
  <c r="D1094" i="14"/>
  <c r="C1094" i="14"/>
  <c r="B1094" i="14"/>
  <c r="W1093" i="14"/>
  <c r="U1093" i="14"/>
  <c r="V1093" i="14" s="1"/>
  <c r="T1093" i="14"/>
  <c r="S1093" i="14"/>
  <c r="J1093" i="14"/>
  <c r="I1093" i="14"/>
  <c r="D1093" i="14"/>
  <c r="C1093" i="14"/>
  <c r="B1093" i="14"/>
  <c r="W1092" i="14"/>
  <c r="U1092" i="14"/>
  <c r="V1092" i="14" s="1"/>
  <c r="T1092" i="14"/>
  <c r="S1092" i="14"/>
  <c r="J1092" i="14"/>
  <c r="I1092" i="14"/>
  <c r="D1092" i="14"/>
  <c r="C1092" i="14"/>
  <c r="B1092" i="14"/>
  <c r="W1091" i="14"/>
  <c r="U1091" i="14"/>
  <c r="V1091" i="14" s="1"/>
  <c r="T1091" i="14"/>
  <c r="S1091" i="14"/>
  <c r="J1091" i="14"/>
  <c r="I1091" i="14"/>
  <c r="D1091" i="14"/>
  <c r="C1091" i="14"/>
  <c r="B1091" i="14"/>
  <c r="W1090" i="14"/>
  <c r="U1090" i="14"/>
  <c r="V1090" i="14" s="1"/>
  <c r="T1090" i="14"/>
  <c r="S1090" i="14"/>
  <c r="J1090" i="14"/>
  <c r="I1090" i="14"/>
  <c r="D1090" i="14"/>
  <c r="C1090" i="14"/>
  <c r="B1090" i="14"/>
  <c r="W1089" i="14"/>
  <c r="U1089" i="14"/>
  <c r="V1089" i="14" s="1"/>
  <c r="T1089" i="14"/>
  <c r="S1089" i="14"/>
  <c r="J1089" i="14"/>
  <c r="I1089" i="14"/>
  <c r="D1089" i="14"/>
  <c r="C1089" i="14"/>
  <c r="B1089" i="14"/>
  <c r="W1088" i="14"/>
  <c r="U1088" i="14"/>
  <c r="V1088" i="14" s="1"/>
  <c r="T1088" i="14"/>
  <c r="S1088" i="14"/>
  <c r="J1088" i="14"/>
  <c r="I1088" i="14"/>
  <c r="D1088" i="14"/>
  <c r="C1088" i="14"/>
  <c r="B1088" i="14"/>
  <c r="W1087" i="14"/>
  <c r="U1087" i="14"/>
  <c r="V1087" i="14" s="1"/>
  <c r="T1087" i="14"/>
  <c r="S1087" i="14"/>
  <c r="J1087" i="14"/>
  <c r="I1087" i="14"/>
  <c r="D1087" i="14"/>
  <c r="C1087" i="14"/>
  <c r="B1087" i="14"/>
  <c r="W1086" i="14"/>
  <c r="U1086" i="14"/>
  <c r="V1086" i="14" s="1"/>
  <c r="T1086" i="14"/>
  <c r="S1086" i="14"/>
  <c r="J1086" i="14"/>
  <c r="I1086" i="14"/>
  <c r="D1086" i="14"/>
  <c r="C1086" i="14"/>
  <c r="B1086" i="14"/>
  <c r="W1085" i="14"/>
  <c r="U1085" i="14"/>
  <c r="V1085" i="14" s="1"/>
  <c r="T1085" i="14"/>
  <c r="S1085" i="14"/>
  <c r="J1085" i="14"/>
  <c r="I1085" i="14"/>
  <c r="D1085" i="14"/>
  <c r="C1085" i="14"/>
  <c r="B1085" i="14"/>
  <c r="W1084" i="14"/>
  <c r="U1084" i="14"/>
  <c r="V1084" i="14" s="1"/>
  <c r="T1084" i="14"/>
  <c r="S1084" i="14"/>
  <c r="J1084" i="14"/>
  <c r="I1084" i="14"/>
  <c r="D1084" i="14"/>
  <c r="C1084" i="14"/>
  <c r="B1084" i="14"/>
  <c r="W1083" i="14"/>
  <c r="U1083" i="14"/>
  <c r="V1083" i="14" s="1"/>
  <c r="T1083" i="14"/>
  <c r="S1083" i="14"/>
  <c r="J1083" i="14"/>
  <c r="I1083" i="14"/>
  <c r="D1083" i="14"/>
  <c r="C1083" i="14"/>
  <c r="B1083" i="14"/>
  <c r="W1082" i="14"/>
  <c r="U1082" i="14"/>
  <c r="V1082" i="14" s="1"/>
  <c r="T1082" i="14"/>
  <c r="S1082" i="14"/>
  <c r="J1082" i="14"/>
  <c r="I1082" i="14"/>
  <c r="D1082" i="14"/>
  <c r="C1082" i="14"/>
  <c r="B1082" i="14"/>
  <c r="W1081" i="14"/>
  <c r="U1081" i="14"/>
  <c r="V1081" i="14" s="1"/>
  <c r="T1081" i="14"/>
  <c r="S1081" i="14"/>
  <c r="J1081" i="14"/>
  <c r="I1081" i="14"/>
  <c r="D1081" i="14"/>
  <c r="C1081" i="14"/>
  <c r="B1081" i="14"/>
  <c r="W1080" i="14"/>
  <c r="U1080" i="14"/>
  <c r="V1080" i="14" s="1"/>
  <c r="T1080" i="14"/>
  <c r="S1080" i="14"/>
  <c r="J1080" i="14"/>
  <c r="I1080" i="14"/>
  <c r="D1080" i="14"/>
  <c r="C1080" i="14"/>
  <c r="B1080" i="14"/>
  <c r="W1079" i="14"/>
  <c r="U1079" i="14"/>
  <c r="V1079" i="14" s="1"/>
  <c r="T1079" i="14"/>
  <c r="S1079" i="14"/>
  <c r="J1079" i="14"/>
  <c r="I1079" i="14"/>
  <c r="D1079" i="14"/>
  <c r="C1079" i="14"/>
  <c r="B1079" i="14"/>
  <c r="W1078" i="14"/>
  <c r="U1078" i="14"/>
  <c r="V1078" i="14" s="1"/>
  <c r="T1078" i="14"/>
  <c r="S1078" i="14"/>
  <c r="J1078" i="14"/>
  <c r="I1078" i="14"/>
  <c r="D1078" i="14"/>
  <c r="C1078" i="14"/>
  <c r="B1078" i="14"/>
  <c r="W1077" i="14"/>
  <c r="U1077" i="14"/>
  <c r="V1077" i="14" s="1"/>
  <c r="T1077" i="14"/>
  <c r="S1077" i="14"/>
  <c r="J1077" i="14"/>
  <c r="I1077" i="14"/>
  <c r="D1077" i="14"/>
  <c r="C1077" i="14"/>
  <c r="B1077" i="14"/>
  <c r="W1076" i="14"/>
  <c r="U1076" i="14"/>
  <c r="V1076" i="14" s="1"/>
  <c r="T1076" i="14"/>
  <c r="S1076" i="14"/>
  <c r="J1076" i="14"/>
  <c r="I1076" i="14"/>
  <c r="D1076" i="14"/>
  <c r="C1076" i="14"/>
  <c r="B1076" i="14"/>
  <c r="W1075" i="14"/>
  <c r="U1075" i="14"/>
  <c r="V1075" i="14" s="1"/>
  <c r="T1075" i="14"/>
  <c r="S1075" i="14"/>
  <c r="J1075" i="14"/>
  <c r="I1075" i="14"/>
  <c r="D1075" i="14"/>
  <c r="C1075" i="14"/>
  <c r="B1075" i="14"/>
  <c r="W1074" i="14"/>
  <c r="U1074" i="14"/>
  <c r="V1074" i="14" s="1"/>
  <c r="T1074" i="14"/>
  <c r="S1074" i="14"/>
  <c r="J1074" i="14"/>
  <c r="I1074" i="14"/>
  <c r="D1074" i="14"/>
  <c r="C1074" i="14"/>
  <c r="B1074" i="14"/>
  <c r="W1073" i="14"/>
  <c r="U1073" i="14"/>
  <c r="V1073" i="14" s="1"/>
  <c r="T1073" i="14"/>
  <c r="S1073" i="14"/>
  <c r="J1073" i="14"/>
  <c r="I1073" i="14"/>
  <c r="D1073" i="14"/>
  <c r="C1073" i="14"/>
  <c r="B1073" i="14"/>
  <c r="W1072" i="14"/>
  <c r="U1072" i="14"/>
  <c r="V1072" i="14" s="1"/>
  <c r="T1072" i="14"/>
  <c r="S1072" i="14"/>
  <c r="J1072" i="14"/>
  <c r="I1072" i="14"/>
  <c r="D1072" i="14"/>
  <c r="C1072" i="14"/>
  <c r="B1072" i="14"/>
  <c r="W1071" i="14"/>
  <c r="U1071" i="14"/>
  <c r="V1071" i="14" s="1"/>
  <c r="T1071" i="14"/>
  <c r="S1071" i="14"/>
  <c r="J1071" i="14"/>
  <c r="I1071" i="14"/>
  <c r="D1071" i="14"/>
  <c r="C1071" i="14"/>
  <c r="B1071" i="14"/>
  <c r="W1070" i="14"/>
  <c r="U1070" i="14"/>
  <c r="V1070" i="14" s="1"/>
  <c r="T1070" i="14"/>
  <c r="S1070" i="14"/>
  <c r="J1070" i="14"/>
  <c r="I1070" i="14"/>
  <c r="D1070" i="14"/>
  <c r="C1070" i="14"/>
  <c r="B1070" i="14"/>
  <c r="W1069" i="14"/>
  <c r="U1069" i="14"/>
  <c r="V1069" i="14" s="1"/>
  <c r="T1069" i="14"/>
  <c r="S1069" i="14"/>
  <c r="J1069" i="14"/>
  <c r="I1069" i="14"/>
  <c r="D1069" i="14"/>
  <c r="C1069" i="14"/>
  <c r="B1069" i="14"/>
  <c r="W1068" i="14"/>
  <c r="U1068" i="14"/>
  <c r="V1068" i="14" s="1"/>
  <c r="T1068" i="14"/>
  <c r="S1068" i="14"/>
  <c r="J1068" i="14"/>
  <c r="I1068" i="14"/>
  <c r="D1068" i="14"/>
  <c r="C1068" i="14"/>
  <c r="B1068" i="14"/>
  <c r="W1067" i="14"/>
  <c r="U1067" i="14"/>
  <c r="V1067" i="14" s="1"/>
  <c r="T1067" i="14"/>
  <c r="S1067" i="14"/>
  <c r="J1067" i="14"/>
  <c r="I1067" i="14"/>
  <c r="D1067" i="14"/>
  <c r="C1067" i="14"/>
  <c r="B1067" i="14"/>
  <c r="W1066" i="14"/>
  <c r="U1066" i="14"/>
  <c r="V1066" i="14" s="1"/>
  <c r="T1066" i="14"/>
  <c r="S1066" i="14"/>
  <c r="J1066" i="14"/>
  <c r="I1066" i="14"/>
  <c r="D1066" i="14"/>
  <c r="C1066" i="14"/>
  <c r="B1066" i="14"/>
  <c r="W1065" i="14"/>
  <c r="U1065" i="14"/>
  <c r="V1065" i="14" s="1"/>
  <c r="T1065" i="14"/>
  <c r="S1065" i="14"/>
  <c r="J1065" i="14"/>
  <c r="I1065" i="14"/>
  <c r="D1065" i="14"/>
  <c r="C1065" i="14"/>
  <c r="B1065" i="14"/>
  <c r="W1064" i="14"/>
  <c r="U1064" i="14"/>
  <c r="V1064" i="14" s="1"/>
  <c r="T1064" i="14"/>
  <c r="S1064" i="14"/>
  <c r="J1064" i="14"/>
  <c r="I1064" i="14"/>
  <c r="D1064" i="14"/>
  <c r="C1064" i="14"/>
  <c r="B1064" i="14"/>
  <c r="W1063" i="14"/>
  <c r="U1063" i="14"/>
  <c r="V1063" i="14" s="1"/>
  <c r="T1063" i="14"/>
  <c r="S1063" i="14"/>
  <c r="J1063" i="14"/>
  <c r="I1063" i="14"/>
  <c r="D1063" i="14"/>
  <c r="C1063" i="14"/>
  <c r="B1063" i="14"/>
  <c r="W1062" i="14"/>
  <c r="U1062" i="14"/>
  <c r="V1062" i="14" s="1"/>
  <c r="T1062" i="14"/>
  <c r="S1062" i="14"/>
  <c r="J1062" i="14"/>
  <c r="I1062" i="14"/>
  <c r="D1062" i="14"/>
  <c r="C1062" i="14"/>
  <c r="B1062" i="14"/>
  <c r="W1061" i="14"/>
  <c r="U1061" i="14"/>
  <c r="V1061" i="14" s="1"/>
  <c r="T1061" i="14"/>
  <c r="S1061" i="14"/>
  <c r="J1061" i="14"/>
  <c r="I1061" i="14"/>
  <c r="D1061" i="14"/>
  <c r="C1061" i="14"/>
  <c r="B1061" i="14"/>
  <c r="W1060" i="14"/>
  <c r="U1060" i="14"/>
  <c r="V1060" i="14" s="1"/>
  <c r="T1060" i="14"/>
  <c r="S1060" i="14"/>
  <c r="J1060" i="14"/>
  <c r="I1060" i="14"/>
  <c r="D1060" i="14"/>
  <c r="C1060" i="14"/>
  <c r="B1060" i="14"/>
  <c r="W1059" i="14"/>
  <c r="U1059" i="14"/>
  <c r="V1059" i="14" s="1"/>
  <c r="T1059" i="14"/>
  <c r="S1059" i="14"/>
  <c r="J1059" i="14"/>
  <c r="I1059" i="14"/>
  <c r="D1059" i="14"/>
  <c r="C1059" i="14"/>
  <c r="B1059" i="14"/>
  <c r="W1058" i="14"/>
  <c r="U1058" i="14"/>
  <c r="V1058" i="14" s="1"/>
  <c r="T1058" i="14"/>
  <c r="S1058" i="14"/>
  <c r="J1058" i="14"/>
  <c r="I1058" i="14"/>
  <c r="D1058" i="14"/>
  <c r="C1058" i="14"/>
  <c r="B1058" i="14"/>
  <c r="W1057" i="14"/>
  <c r="U1057" i="14"/>
  <c r="V1057" i="14" s="1"/>
  <c r="T1057" i="14"/>
  <c r="S1057" i="14"/>
  <c r="J1057" i="14"/>
  <c r="I1057" i="14"/>
  <c r="D1057" i="14"/>
  <c r="C1057" i="14"/>
  <c r="B1057" i="14"/>
  <c r="W1056" i="14"/>
  <c r="U1056" i="14"/>
  <c r="V1056" i="14" s="1"/>
  <c r="T1056" i="14"/>
  <c r="S1056" i="14"/>
  <c r="J1056" i="14"/>
  <c r="I1056" i="14"/>
  <c r="D1056" i="14"/>
  <c r="C1056" i="14"/>
  <c r="B1056" i="14"/>
  <c r="W1055" i="14"/>
  <c r="U1055" i="14"/>
  <c r="V1055" i="14" s="1"/>
  <c r="T1055" i="14"/>
  <c r="S1055" i="14"/>
  <c r="J1055" i="14"/>
  <c r="I1055" i="14"/>
  <c r="D1055" i="14"/>
  <c r="C1055" i="14"/>
  <c r="B1055" i="14"/>
  <c r="W1054" i="14"/>
  <c r="U1054" i="14"/>
  <c r="V1054" i="14" s="1"/>
  <c r="T1054" i="14"/>
  <c r="S1054" i="14"/>
  <c r="J1054" i="14"/>
  <c r="I1054" i="14"/>
  <c r="D1054" i="14"/>
  <c r="C1054" i="14"/>
  <c r="B1054" i="14"/>
  <c r="W1053" i="14"/>
  <c r="U1053" i="14"/>
  <c r="V1053" i="14" s="1"/>
  <c r="T1053" i="14"/>
  <c r="S1053" i="14"/>
  <c r="J1053" i="14"/>
  <c r="I1053" i="14"/>
  <c r="D1053" i="14"/>
  <c r="C1053" i="14"/>
  <c r="B1053" i="14"/>
  <c r="W1052" i="14"/>
  <c r="U1052" i="14"/>
  <c r="V1052" i="14" s="1"/>
  <c r="T1052" i="14"/>
  <c r="S1052" i="14"/>
  <c r="J1052" i="14"/>
  <c r="I1052" i="14"/>
  <c r="D1052" i="14"/>
  <c r="C1052" i="14"/>
  <c r="B1052" i="14"/>
  <c r="W1051" i="14"/>
  <c r="U1051" i="14"/>
  <c r="V1051" i="14" s="1"/>
  <c r="T1051" i="14"/>
  <c r="S1051" i="14"/>
  <c r="J1051" i="14"/>
  <c r="I1051" i="14"/>
  <c r="D1051" i="14"/>
  <c r="C1051" i="14"/>
  <c r="B1051" i="14"/>
  <c r="W1050" i="14"/>
  <c r="U1050" i="14"/>
  <c r="V1050" i="14" s="1"/>
  <c r="T1050" i="14"/>
  <c r="S1050" i="14"/>
  <c r="J1050" i="14"/>
  <c r="I1050" i="14"/>
  <c r="D1050" i="14"/>
  <c r="C1050" i="14"/>
  <c r="B1050" i="14"/>
  <c r="W1049" i="14"/>
  <c r="U1049" i="14"/>
  <c r="V1049" i="14" s="1"/>
  <c r="T1049" i="14"/>
  <c r="S1049" i="14"/>
  <c r="J1049" i="14"/>
  <c r="I1049" i="14"/>
  <c r="D1049" i="14"/>
  <c r="C1049" i="14"/>
  <c r="B1049" i="14"/>
  <c r="W1048" i="14"/>
  <c r="U1048" i="14"/>
  <c r="V1048" i="14" s="1"/>
  <c r="T1048" i="14"/>
  <c r="S1048" i="14"/>
  <c r="J1048" i="14"/>
  <c r="I1048" i="14"/>
  <c r="D1048" i="14"/>
  <c r="C1048" i="14"/>
  <c r="B1048" i="14"/>
  <c r="W1047" i="14"/>
  <c r="U1047" i="14"/>
  <c r="V1047" i="14" s="1"/>
  <c r="T1047" i="14"/>
  <c r="S1047" i="14"/>
  <c r="J1047" i="14"/>
  <c r="I1047" i="14"/>
  <c r="D1047" i="14"/>
  <c r="C1047" i="14"/>
  <c r="B1047" i="14"/>
  <c r="W1046" i="14"/>
  <c r="U1046" i="14"/>
  <c r="V1046" i="14" s="1"/>
  <c r="T1046" i="14"/>
  <c r="S1046" i="14"/>
  <c r="J1046" i="14"/>
  <c r="I1046" i="14"/>
  <c r="D1046" i="14"/>
  <c r="C1046" i="14"/>
  <c r="B1046" i="14"/>
  <c r="W1045" i="14"/>
  <c r="U1045" i="14"/>
  <c r="V1045" i="14" s="1"/>
  <c r="T1045" i="14"/>
  <c r="S1045" i="14"/>
  <c r="J1045" i="14"/>
  <c r="I1045" i="14"/>
  <c r="D1045" i="14"/>
  <c r="C1045" i="14"/>
  <c r="B1045" i="14"/>
  <c r="W1044" i="14"/>
  <c r="U1044" i="14"/>
  <c r="V1044" i="14" s="1"/>
  <c r="T1044" i="14"/>
  <c r="S1044" i="14"/>
  <c r="J1044" i="14"/>
  <c r="I1044" i="14"/>
  <c r="D1044" i="14"/>
  <c r="C1044" i="14"/>
  <c r="B1044" i="14"/>
  <c r="W1043" i="14"/>
  <c r="U1043" i="14"/>
  <c r="V1043" i="14" s="1"/>
  <c r="T1043" i="14"/>
  <c r="S1043" i="14"/>
  <c r="J1043" i="14"/>
  <c r="I1043" i="14"/>
  <c r="D1043" i="14"/>
  <c r="C1043" i="14"/>
  <c r="B1043" i="14"/>
  <c r="W1042" i="14"/>
  <c r="U1042" i="14"/>
  <c r="V1042" i="14" s="1"/>
  <c r="T1042" i="14"/>
  <c r="S1042" i="14"/>
  <c r="J1042" i="14"/>
  <c r="I1042" i="14"/>
  <c r="D1042" i="14"/>
  <c r="C1042" i="14"/>
  <c r="B1042" i="14"/>
  <c r="W1041" i="14"/>
  <c r="U1041" i="14"/>
  <c r="V1041" i="14" s="1"/>
  <c r="T1041" i="14"/>
  <c r="S1041" i="14"/>
  <c r="J1041" i="14"/>
  <c r="I1041" i="14"/>
  <c r="D1041" i="14"/>
  <c r="C1041" i="14"/>
  <c r="B1041" i="14"/>
  <c r="W1040" i="14"/>
  <c r="U1040" i="14"/>
  <c r="V1040" i="14" s="1"/>
  <c r="T1040" i="14"/>
  <c r="S1040" i="14"/>
  <c r="J1040" i="14"/>
  <c r="I1040" i="14"/>
  <c r="D1040" i="14"/>
  <c r="C1040" i="14"/>
  <c r="B1040" i="14"/>
  <c r="W1039" i="14"/>
  <c r="U1039" i="14"/>
  <c r="V1039" i="14" s="1"/>
  <c r="T1039" i="14"/>
  <c r="S1039" i="14"/>
  <c r="J1039" i="14"/>
  <c r="I1039" i="14"/>
  <c r="D1039" i="14"/>
  <c r="C1039" i="14"/>
  <c r="B1039" i="14"/>
  <c r="W1038" i="14"/>
  <c r="U1038" i="14"/>
  <c r="V1038" i="14" s="1"/>
  <c r="T1038" i="14"/>
  <c r="S1038" i="14"/>
  <c r="J1038" i="14"/>
  <c r="I1038" i="14"/>
  <c r="D1038" i="14"/>
  <c r="C1038" i="14"/>
  <c r="B1038" i="14"/>
  <c r="W1037" i="14"/>
  <c r="U1037" i="14"/>
  <c r="V1037" i="14" s="1"/>
  <c r="T1037" i="14"/>
  <c r="S1037" i="14"/>
  <c r="J1037" i="14"/>
  <c r="I1037" i="14"/>
  <c r="D1037" i="14"/>
  <c r="C1037" i="14"/>
  <c r="B1037" i="14"/>
  <c r="W1036" i="14"/>
  <c r="U1036" i="14"/>
  <c r="V1036" i="14" s="1"/>
  <c r="T1036" i="14"/>
  <c r="S1036" i="14"/>
  <c r="J1036" i="14"/>
  <c r="I1036" i="14"/>
  <c r="D1036" i="14"/>
  <c r="C1036" i="14"/>
  <c r="B1036" i="14"/>
  <c r="W1035" i="14"/>
  <c r="U1035" i="14"/>
  <c r="V1035" i="14" s="1"/>
  <c r="T1035" i="14"/>
  <c r="S1035" i="14"/>
  <c r="J1035" i="14"/>
  <c r="I1035" i="14"/>
  <c r="D1035" i="14"/>
  <c r="C1035" i="14"/>
  <c r="B1035" i="14"/>
  <c r="W1034" i="14"/>
  <c r="U1034" i="14"/>
  <c r="V1034" i="14" s="1"/>
  <c r="T1034" i="14"/>
  <c r="S1034" i="14"/>
  <c r="J1034" i="14"/>
  <c r="I1034" i="14"/>
  <c r="D1034" i="14"/>
  <c r="C1034" i="14"/>
  <c r="B1034" i="14"/>
  <c r="W1033" i="14"/>
  <c r="U1033" i="14"/>
  <c r="V1033" i="14" s="1"/>
  <c r="T1033" i="14"/>
  <c r="S1033" i="14"/>
  <c r="J1033" i="14"/>
  <c r="I1033" i="14"/>
  <c r="D1033" i="14"/>
  <c r="C1033" i="14"/>
  <c r="B1033" i="14"/>
  <c r="W1032" i="14"/>
  <c r="U1032" i="14"/>
  <c r="V1032" i="14" s="1"/>
  <c r="T1032" i="14"/>
  <c r="S1032" i="14"/>
  <c r="J1032" i="14"/>
  <c r="I1032" i="14"/>
  <c r="D1032" i="14"/>
  <c r="C1032" i="14"/>
  <c r="B1032" i="14"/>
  <c r="W1031" i="14"/>
  <c r="U1031" i="14"/>
  <c r="V1031" i="14" s="1"/>
  <c r="T1031" i="14"/>
  <c r="S1031" i="14"/>
  <c r="J1031" i="14"/>
  <c r="I1031" i="14"/>
  <c r="D1031" i="14"/>
  <c r="C1031" i="14"/>
  <c r="B1031" i="14"/>
  <c r="W1030" i="14"/>
  <c r="U1030" i="14"/>
  <c r="V1030" i="14" s="1"/>
  <c r="T1030" i="14"/>
  <c r="S1030" i="14"/>
  <c r="J1030" i="14"/>
  <c r="I1030" i="14"/>
  <c r="D1030" i="14"/>
  <c r="C1030" i="14"/>
  <c r="B1030" i="14"/>
  <c r="W1029" i="14"/>
  <c r="U1029" i="14"/>
  <c r="V1029" i="14" s="1"/>
  <c r="T1029" i="14"/>
  <c r="S1029" i="14"/>
  <c r="J1029" i="14"/>
  <c r="I1029" i="14"/>
  <c r="D1029" i="14"/>
  <c r="C1029" i="14"/>
  <c r="B1029" i="14"/>
  <c r="W1028" i="14"/>
  <c r="U1028" i="14"/>
  <c r="V1028" i="14" s="1"/>
  <c r="T1028" i="14"/>
  <c r="S1028" i="14"/>
  <c r="J1028" i="14"/>
  <c r="I1028" i="14"/>
  <c r="D1028" i="14"/>
  <c r="C1028" i="14"/>
  <c r="B1028" i="14"/>
  <c r="W1027" i="14"/>
  <c r="U1027" i="14"/>
  <c r="V1027" i="14" s="1"/>
  <c r="T1027" i="14"/>
  <c r="S1027" i="14"/>
  <c r="J1027" i="14"/>
  <c r="I1027" i="14"/>
  <c r="D1027" i="14"/>
  <c r="C1027" i="14"/>
  <c r="B1027" i="14"/>
  <c r="W1026" i="14"/>
  <c r="U1026" i="14"/>
  <c r="V1026" i="14" s="1"/>
  <c r="T1026" i="14"/>
  <c r="S1026" i="14"/>
  <c r="J1026" i="14"/>
  <c r="I1026" i="14"/>
  <c r="D1026" i="14"/>
  <c r="C1026" i="14"/>
  <c r="B1026" i="14"/>
  <c r="W1025" i="14"/>
  <c r="U1025" i="14"/>
  <c r="V1025" i="14" s="1"/>
  <c r="T1025" i="14"/>
  <c r="S1025" i="14"/>
  <c r="J1025" i="14"/>
  <c r="I1025" i="14"/>
  <c r="D1025" i="14"/>
  <c r="C1025" i="14"/>
  <c r="B1025" i="14"/>
  <c r="W1024" i="14"/>
  <c r="U1024" i="14"/>
  <c r="V1024" i="14" s="1"/>
  <c r="T1024" i="14"/>
  <c r="S1024" i="14"/>
  <c r="J1024" i="14"/>
  <c r="I1024" i="14"/>
  <c r="D1024" i="14"/>
  <c r="C1024" i="14"/>
  <c r="B1024" i="14"/>
  <c r="W1023" i="14"/>
  <c r="U1023" i="14"/>
  <c r="V1023" i="14" s="1"/>
  <c r="T1023" i="14"/>
  <c r="S1023" i="14"/>
  <c r="J1023" i="14"/>
  <c r="I1023" i="14"/>
  <c r="D1023" i="14"/>
  <c r="C1023" i="14"/>
  <c r="B1023" i="14"/>
  <c r="W1022" i="14"/>
  <c r="U1022" i="14"/>
  <c r="V1022" i="14" s="1"/>
  <c r="T1022" i="14"/>
  <c r="S1022" i="14"/>
  <c r="J1022" i="14"/>
  <c r="I1022" i="14"/>
  <c r="D1022" i="14"/>
  <c r="C1022" i="14"/>
  <c r="B1022" i="14"/>
  <c r="W1021" i="14"/>
  <c r="U1021" i="14"/>
  <c r="V1021" i="14" s="1"/>
  <c r="T1021" i="14"/>
  <c r="S1021" i="14"/>
  <c r="J1021" i="14"/>
  <c r="I1021" i="14"/>
  <c r="D1021" i="14"/>
  <c r="C1021" i="14"/>
  <c r="B1021" i="14"/>
  <c r="W1020" i="14"/>
  <c r="U1020" i="14"/>
  <c r="V1020" i="14" s="1"/>
  <c r="T1020" i="14"/>
  <c r="S1020" i="14"/>
  <c r="J1020" i="14"/>
  <c r="I1020" i="14"/>
  <c r="D1020" i="14"/>
  <c r="C1020" i="14"/>
  <c r="B1020" i="14"/>
  <c r="W1019" i="14"/>
  <c r="U1019" i="14"/>
  <c r="V1019" i="14" s="1"/>
  <c r="T1019" i="14"/>
  <c r="S1019" i="14"/>
  <c r="J1019" i="14"/>
  <c r="I1019" i="14"/>
  <c r="D1019" i="14"/>
  <c r="C1019" i="14"/>
  <c r="B1019" i="14"/>
  <c r="W1018" i="14"/>
  <c r="U1018" i="14"/>
  <c r="V1018" i="14" s="1"/>
  <c r="T1018" i="14"/>
  <c r="S1018" i="14"/>
  <c r="J1018" i="14"/>
  <c r="I1018" i="14"/>
  <c r="D1018" i="14"/>
  <c r="C1018" i="14"/>
  <c r="B1018" i="14"/>
  <c r="W1017" i="14"/>
  <c r="U1017" i="14"/>
  <c r="V1017" i="14" s="1"/>
  <c r="T1017" i="14"/>
  <c r="S1017" i="14"/>
  <c r="J1017" i="14"/>
  <c r="I1017" i="14"/>
  <c r="D1017" i="14"/>
  <c r="C1017" i="14"/>
  <c r="B1017" i="14"/>
  <c r="W1016" i="14"/>
  <c r="U1016" i="14"/>
  <c r="V1016" i="14" s="1"/>
  <c r="T1016" i="14"/>
  <c r="S1016" i="14"/>
  <c r="J1016" i="14"/>
  <c r="I1016" i="14"/>
  <c r="D1016" i="14"/>
  <c r="C1016" i="14"/>
  <c r="B1016" i="14"/>
  <c r="W1015" i="14"/>
  <c r="U1015" i="14"/>
  <c r="V1015" i="14" s="1"/>
  <c r="T1015" i="14"/>
  <c r="S1015" i="14"/>
  <c r="J1015" i="14"/>
  <c r="I1015" i="14"/>
  <c r="D1015" i="14"/>
  <c r="C1015" i="14"/>
  <c r="B1015" i="14"/>
  <c r="W1014" i="14"/>
  <c r="U1014" i="14"/>
  <c r="V1014" i="14" s="1"/>
  <c r="T1014" i="14"/>
  <c r="S1014" i="14"/>
  <c r="J1014" i="14"/>
  <c r="I1014" i="14"/>
  <c r="D1014" i="14"/>
  <c r="C1014" i="14"/>
  <c r="B1014" i="14"/>
  <c r="W1013" i="14"/>
  <c r="U1013" i="14"/>
  <c r="V1013" i="14" s="1"/>
  <c r="T1013" i="14"/>
  <c r="S1013" i="14"/>
  <c r="J1013" i="14"/>
  <c r="I1013" i="14"/>
  <c r="D1013" i="14"/>
  <c r="C1013" i="14"/>
  <c r="B1013" i="14"/>
  <c r="W1012" i="14"/>
  <c r="U1012" i="14"/>
  <c r="V1012" i="14" s="1"/>
  <c r="T1012" i="14"/>
  <c r="S1012" i="14"/>
  <c r="J1012" i="14"/>
  <c r="I1012" i="14"/>
  <c r="D1012" i="14"/>
  <c r="C1012" i="14"/>
  <c r="B1012" i="14"/>
  <c r="W1011" i="14"/>
  <c r="U1011" i="14"/>
  <c r="V1011" i="14" s="1"/>
  <c r="T1011" i="14"/>
  <c r="S1011" i="14"/>
  <c r="J1011" i="14"/>
  <c r="I1011" i="14"/>
  <c r="D1011" i="14"/>
  <c r="C1011" i="14"/>
  <c r="B1011" i="14"/>
  <c r="W1010" i="14"/>
  <c r="U1010" i="14"/>
  <c r="V1010" i="14" s="1"/>
  <c r="T1010" i="14"/>
  <c r="S1010" i="14"/>
  <c r="J1010" i="14"/>
  <c r="I1010" i="14"/>
  <c r="D1010" i="14"/>
  <c r="C1010" i="14"/>
  <c r="B1010" i="14"/>
  <c r="W1009" i="14"/>
  <c r="U1009" i="14"/>
  <c r="V1009" i="14" s="1"/>
  <c r="T1009" i="14"/>
  <c r="S1009" i="14"/>
  <c r="J1009" i="14"/>
  <c r="I1009" i="14"/>
  <c r="D1009" i="14"/>
  <c r="C1009" i="14"/>
  <c r="B1009" i="14"/>
  <c r="W1008" i="14"/>
  <c r="U1008" i="14"/>
  <c r="V1008" i="14" s="1"/>
  <c r="T1008" i="14"/>
  <c r="S1008" i="14"/>
  <c r="J1008" i="14"/>
  <c r="I1008" i="14"/>
  <c r="D1008" i="14"/>
  <c r="C1008" i="14"/>
  <c r="B1008" i="14"/>
  <c r="W1007" i="14"/>
  <c r="U1007" i="14"/>
  <c r="V1007" i="14" s="1"/>
  <c r="T1007" i="14"/>
  <c r="S1007" i="14"/>
  <c r="J1007" i="14"/>
  <c r="I1007" i="14"/>
  <c r="D1007" i="14"/>
  <c r="C1007" i="14"/>
  <c r="B1007" i="14"/>
  <c r="W1006" i="14"/>
  <c r="U1006" i="14"/>
  <c r="V1006" i="14" s="1"/>
  <c r="T1006" i="14"/>
  <c r="S1006" i="14"/>
  <c r="J1006" i="14"/>
  <c r="I1006" i="14"/>
  <c r="D1006" i="14"/>
  <c r="C1006" i="14"/>
  <c r="B1006" i="14"/>
  <c r="W1005" i="14"/>
  <c r="U1005" i="14"/>
  <c r="V1005" i="14" s="1"/>
  <c r="T1005" i="14"/>
  <c r="S1005" i="14"/>
  <c r="J1005" i="14"/>
  <c r="I1005" i="14"/>
  <c r="D1005" i="14"/>
  <c r="C1005" i="14"/>
  <c r="B1005" i="14"/>
  <c r="W1004" i="14"/>
  <c r="U1004" i="14"/>
  <c r="V1004" i="14" s="1"/>
  <c r="T1004" i="14"/>
  <c r="S1004" i="14"/>
  <c r="J1004" i="14"/>
  <c r="I1004" i="14"/>
  <c r="D1004" i="14"/>
  <c r="C1004" i="14"/>
  <c r="B1004" i="14"/>
  <c r="W1003" i="14"/>
  <c r="U1003" i="14"/>
  <c r="V1003" i="14" s="1"/>
  <c r="T1003" i="14"/>
  <c r="S1003" i="14"/>
  <c r="J1003" i="14"/>
  <c r="I1003" i="14"/>
  <c r="D1003" i="14"/>
  <c r="C1003" i="14"/>
  <c r="B1003" i="14"/>
  <c r="W1002" i="14"/>
  <c r="U1002" i="14"/>
  <c r="V1002" i="14" s="1"/>
  <c r="T1002" i="14"/>
  <c r="S1002" i="14"/>
  <c r="J1002" i="14"/>
  <c r="I1002" i="14"/>
  <c r="D1002" i="14"/>
  <c r="C1002" i="14"/>
  <c r="B1002" i="14"/>
  <c r="W1001" i="14"/>
  <c r="U1001" i="14"/>
  <c r="V1001" i="14" s="1"/>
  <c r="T1001" i="14"/>
  <c r="S1001" i="14"/>
  <c r="J1001" i="14"/>
  <c r="I1001" i="14"/>
  <c r="D1001" i="14"/>
  <c r="C1001" i="14"/>
  <c r="B1001" i="14"/>
  <c r="W1000" i="14"/>
  <c r="U1000" i="14"/>
  <c r="V1000" i="14" s="1"/>
  <c r="T1000" i="14"/>
  <c r="S1000" i="14"/>
  <c r="J1000" i="14"/>
  <c r="I1000" i="14"/>
  <c r="D1000" i="14"/>
  <c r="C1000" i="14"/>
  <c r="B1000" i="14"/>
  <c r="W999" i="14"/>
  <c r="U999" i="14"/>
  <c r="V999" i="14" s="1"/>
  <c r="T999" i="14"/>
  <c r="S999" i="14"/>
  <c r="J999" i="14"/>
  <c r="I999" i="14"/>
  <c r="D999" i="14"/>
  <c r="C999" i="14"/>
  <c r="B999" i="14"/>
  <c r="W998" i="14"/>
  <c r="U998" i="14"/>
  <c r="V998" i="14" s="1"/>
  <c r="T998" i="14"/>
  <c r="S998" i="14"/>
  <c r="J998" i="14"/>
  <c r="I998" i="14"/>
  <c r="D998" i="14"/>
  <c r="C998" i="14"/>
  <c r="B998" i="14"/>
  <c r="W997" i="14"/>
  <c r="U997" i="14"/>
  <c r="V997" i="14" s="1"/>
  <c r="T997" i="14"/>
  <c r="S997" i="14"/>
  <c r="J997" i="14"/>
  <c r="I997" i="14"/>
  <c r="D997" i="14"/>
  <c r="C997" i="14"/>
  <c r="B997" i="14"/>
  <c r="W996" i="14"/>
  <c r="U996" i="14"/>
  <c r="V996" i="14" s="1"/>
  <c r="T996" i="14"/>
  <c r="S996" i="14"/>
  <c r="J996" i="14"/>
  <c r="I996" i="14"/>
  <c r="D996" i="14"/>
  <c r="C996" i="14"/>
  <c r="B996" i="14"/>
  <c r="W995" i="14"/>
  <c r="U995" i="14"/>
  <c r="V995" i="14" s="1"/>
  <c r="T995" i="14"/>
  <c r="S995" i="14"/>
  <c r="J995" i="14"/>
  <c r="I995" i="14"/>
  <c r="D995" i="14"/>
  <c r="C995" i="14"/>
  <c r="B995" i="14"/>
  <c r="W994" i="14"/>
  <c r="U994" i="14"/>
  <c r="V994" i="14" s="1"/>
  <c r="T994" i="14"/>
  <c r="S994" i="14"/>
  <c r="J994" i="14"/>
  <c r="I994" i="14"/>
  <c r="D994" i="14"/>
  <c r="C994" i="14"/>
  <c r="B994" i="14"/>
  <c r="W993" i="14"/>
  <c r="U993" i="14"/>
  <c r="V993" i="14" s="1"/>
  <c r="T993" i="14"/>
  <c r="S993" i="14"/>
  <c r="J993" i="14"/>
  <c r="I993" i="14"/>
  <c r="D993" i="14"/>
  <c r="C993" i="14"/>
  <c r="B993" i="14"/>
  <c r="W992" i="14"/>
  <c r="U992" i="14"/>
  <c r="V992" i="14" s="1"/>
  <c r="T992" i="14"/>
  <c r="S992" i="14"/>
  <c r="J992" i="14"/>
  <c r="I992" i="14"/>
  <c r="D992" i="14"/>
  <c r="C992" i="14"/>
  <c r="B992" i="14"/>
  <c r="W991" i="14"/>
  <c r="U991" i="14"/>
  <c r="V991" i="14" s="1"/>
  <c r="T991" i="14"/>
  <c r="S991" i="14"/>
  <c r="J991" i="14"/>
  <c r="I991" i="14"/>
  <c r="D991" i="14"/>
  <c r="C991" i="14"/>
  <c r="B991" i="14"/>
  <c r="W990" i="14"/>
  <c r="U990" i="14"/>
  <c r="V990" i="14" s="1"/>
  <c r="T990" i="14"/>
  <c r="S990" i="14"/>
  <c r="J990" i="14"/>
  <c r="I990" i="14"/>
  <c r="D990" i="14"/>
  <c r="C990" i="14"/>
  <c r="B990" i="14"/>
  <c r="W989" i="14"/>
  <c r="U989" i="14"/>
  <c r="V989" i="14" s="1"/>
  <c r="T989" i="14"/>
  <c r="S989" i="14"/>
  <c r="J989" i="14"/>
  <c r="I989" i="14"/>
  <c r="D989" i="14"/>
  <c r="C989" i="14"/>
  <c r="B989" i="14"/>
  <c r="W988" i="14"/>
  <c r="U988" i="14"/>
  <c r="V988" i="14" s="1"/>
  <c r="T988" i="14"/>
  <c r="S988" i="14"/>
  <c r="J988" i="14"/>
  <c r="I988" i="14"/>
  <c r="D988" i="14"/>
  <c r="C988" i="14"/>
  <c r="B988" i="14"/>
  <c r="W987" i="14"/>
  <c r="U987" i="14"/>
  <c r="V987" i="14" s="1"/>
  <c r="T987" i="14"/>
  <c r="S987" i="14"/>
  <c r="J987" i="14"/>
  <c r="I987" i="14"/>
  <c r="D987" i="14"/>
  <c r="C987" i="14"/>
  <c r="B987" i="14"/>
  <c r="W986" i="14"/>
  <c r="U986" i="14"/>
  <c r="V986" i="14" s="1"/>
  <c r="T986" i="14"/>
  <c r="S986" i="14"/>
  <c r="J986" i="14"/>
  <c r="I986" i="14"/>
  <c r="D986" i="14"/>
  <c r="C986" i="14"/>
  <c r="B986" i="14"/>
  <c r="W985" i="14"/>
  <c r="U985" i="14"/>
  <c r="V985" i="14" s="1"/>
  <c r="T985" i="14"/>
  <c r="S985" i="14"/>
  <c r="J985" i="14"/>
  <c r="I985" i="14"/>
  <c r="D985" i="14"/>
  <c r="C985" i="14"/>
  <c r="B985" i="14"/>
  <c r="W984" i="14"/>
  <c r="U984" i="14"/>
  <c r="V984" i="14" s="1"/>
  <c r="T984" i="14"/>
  <c r="S984" i="14"/>
  <c r="J984" i="14"/>
  <c r="I984" i="14"/>
  <c r="D984" i="14"/>
  <c r="C984" i="14"/>
  <c r="B984" i="14"/>
  <c r="W983" i="14"/>
  <c r="U983" i="14"/>
  <c r="V983" i="14" s="1"/>
  <c r="T983" i="14"/>
  <c r="S983" i="14"/>
  <c r="J983" i="14"/>
  <c r="I983" i="14"/>
  <c r="D983" i="14"/>
  <c r="C983" i="14"/>
  <c r="B983" i="14"/>
  <c r="W982" i="14"/>
  <c r="U982" i="14"/>
  <c r="V982" i="14" s="1"/>
  <c r="T982" i="14"/>
  <c r="S982" i="14"/>
  <c r="J982" i="14"/>
  <c r="I982" i="14"/>
  <c r="D982" i="14"/>
  <c r="C982" i="14"/>
  <c r="B982" i="14"/>
  <c r="W981" i="14"/>
  <c r="U981" i="14"/>
  <c r="V981" i="14" s="1"/>
  <c r="T981" i="14"/>
  <c r="S981" i="14"/>
  <c r="J981" i="14"/>
  <c r="I981" i="14"/>
  <c r="D981" i="14"/>
  <c r="C981" i="14"/>
  <c r="B981" i="14"/>
  <c r="W980" i="14"/>
  <c r="U980" i="14"/>
  <c r="V980" i="14" s="1"/>
  <c r="T980" i="14"/>
  <c r="S980" i="14"/>
  <c r="J980" i="14"/>
  <c r="I980" i="14"/>
  <c r="D980" i="14"/>
  <c r="C980" i="14"/>
  <c r="B980" i="14"/>
  <c r="W979" i="14"/>
  <c r="U979" i="14"/>
  <c r="V979" i="14" s="1"/>
  <c r="T979" i="14"/>
  <c r="S979" i="14"/>
  <c r="J979" i="14"/>
  <c r="I979" i="14"/>
  <c r="D979" i="14"/>
  <c r="C979" i="14"/>
  <c r="B979" i="14"/>
  <c r="W978" i="14"/>
  <c r="U978" i="14"/>
  <c r="V978" i="14" s="1"/>
  <c r="T978" i="14"/>
  <c r="S978" i="14"/>
  <c r="J978" i="14"/>
  <c r="I978" i="14"/>
  <c r="D978" i="14"/>
  <c r="C978" i="14"/>
  <c r="B978" i="14"/>
  <c r="W977" i="14"/>
  <c r="U977" i="14"/>
  <c r="V977" i="14" s="1"/>
  <c r="T977" i="14"/>
  <c r="S977" i="14"/>
  <c r="J977" i="14"/>
  <c r="I977" i="14"/>
  <c r="D977" i="14"/>
  <c r="C977" i="14"/>
  <c r="B977" i="14"/>
  <c r="W976" i="14"/>
  <c r="U976" i="14"/>
  <c r="V976" i="14" s="1"/>
  <c r="T976" i="14"/>
  <c r="S976" i="14"/>
  <c r="J976" i="14"/>
  <c r="I976" i="14"/>
  <c r="D976" i="14"/>
  <c r="C976" i="14"/>
  <c r="B976" i="14"/>
  <c r="W975" i="14"/>
  <c r="U975" i="14"/>
  <c r="V975" i="14" s="1"/>
  <c r="T975" i="14"/>
  <c r="S975" i="14"/>
  <c r="J975" i="14"/>
  <c r="I975" i="14"/>
  <c r="D975" i="14"/>
  <c r="C975" i="14"/>
  <c r="B975" i="14"/>
  <c r="W974" i="14"/>
  <c r="U974" i="14"/>
  <c r="V974" i="14" s="1"/>
  <c r="T974" i="14"/>
  <c r="S974" i="14"/>
  <c r="J974" i="14"/>
  <c r="I974" i="14"/>
  <c r="D974" i="14"/>
  <c r="C974" i="14"/>
  <c r="B974" i="14"/>
  <c r="W973" i="14"/>
  <c r="U973" i="14"/>
  <c r="V973" i="14" s="1"/>
  <c r="T973" i="14"/>
  <c r="S973" i="14"/>
  <c r="J973" i="14"/>
  <c r="I973" i="14"/>
  <c r="D973" i="14"/>
  <c r="C973" i="14"/>
  <c r="B973" i="14"/>
  <c r="W972" i="14"/>
  <c r="U972" i="14"/>
  <c r="V972" i="14" s="1"/>
  <c r="T972" i="14"/>
  <c r="S972" i="14"/>
  <c r="J972" i="14"/>
  <c r="I972" i="14"/>
  <c r="D972" i="14"/>
  <c r="C972" i="14"/>
  <c r="B972" i="14"/>
  <c r="W971" i="14"/>
  <c r="U971" i="14"/>
  <c r="V971" i="14" s="1"/>
  <c r="T971" i="14"/>
  <c r="S971" i="14"/>
  <c r="J971" i="14"/>
  <c r="I971" i="14"/>
  <c r="D971" i="14"/>
  <c r="C971" i="14"/>
  <c r="B971" i="14"/>
  <c r="W970" i="14"/>
  <c r="U970" i="14"/>
  <c r="V970" i="14" s="1"/>
  <c r="T970" i="14"/>
  <c r="S970" i="14"/>
  <c r="J970" i="14"/>
  <c r="I970" i="14"/>
  <c r="D970" i="14"/>
  <c r="C970" i="14"/>
  <c r="B970" i="14"/>
  <c r="W969" i="14"/>
  <c r="U969" i="14"/>
  <c r="V969" i="14" s="1"/>
  <c r="T969" i="14"/>
  <c r="S969" i="14"/>
  <c r="J969" i="14"/>
  <c r="I969" i="14"/>
  <c r="D969" i="14"/>
  <c r="C969" i="14"/>
  <c r="B969" i="14"/>
  <c r="W968" i="14"/>
  <c r="U968" i="14"/>
  <c r="V968" i="14" s="1"/>
  <c r="T968" i="14"/>
  <c r="S968" i="14"/>
  <c r="J968" i="14"/>
  <c r="I968" i="14"/>
  <c r="D968" i="14"/>
  <c r="C968" i="14"/>
  <c r="B968" i="14"/>
  <c r="W967" i="14"/>
  <c r="U967" i="14"/>
  <c r="V967" i="14" s="1"/>
  <c r="T967" i="14"/>
  <c r="S967" i="14"/>
  <c r="J967" i="14"/>
  <c r="I967" i="14"/>
  <c r="D967" i="14"/>
  <c r="C967" i="14"/>
  <c r="B967" i="14"/>
  <c r="W966" i="14"/>
  <c r="U966" i="14"/>
  <c r="V966" i="14" s="1"/>
  <c r="T966" i="14"/>
  <c r="S966" i="14"/>
  <c r="J966" i="14"/>
  <c r="I966" i="14"/>
  <c r="D966" i="14"/>
  <c r="C966" i="14"/>
  <c r="B966" i="14"/>
  <c r="W965" i="14"/>
  <c r="U965" i="14"/>
  <c r="V965" i="14" s="1"/>
  <c r="T965" i="14"/>
  <c r="S965" i="14"/>
  <c r="J965" i="14"/>
  <c r="I965" i="14"/>
  <c r="D965" i="14"/>
  <c r="C965" i="14"/>
  <c r="B965" i="14"/>
  <c r="W964" i="14"/>
  <c r="U964" i="14"/>
  <c r="V964" i="14" s="1"/>
  <c r="T964" i="14"/>
  <c r="S964" i="14"/>
  <c r="J964" i="14"/>
  <c r="I964" i="14"/>
  <c r="D964" i="14"/>
  <c r="C964" i="14"/>
  <c r="B964" i="14"/>
  <c r="W963" i="14"/>
  <c r="U963" i="14"/>
  <c r="V963" i="14" s="1"/>
  <c r="T963" i="14"/>
  <c r="S963" i="14"/>
  <c r="J963" i="14"/>
  <c r="I963" i="14"/>
  <c r="D963" i="14"/>
  <c r="C963" i="14"/>
  <c r="B963" i="14"/>
  <c r="W962" i="14"/>
  <c r="U962" i="14"/>
  <c r="V962" i="14" s="1"/>
  <c r="T962" i="14"/>
  <c r="S962" i="14"/>
  <c r="J962" i="14"/>
  <c r="I962" i="14"/>
  <c r="D962" i="14"/>
  <c r="C962" i="14"/>
  <c r="B962" i="14"/>
  <c r="W961" i="14"/>
  <c r="U961" i="14"/>
  <c r="V961" i="14" s="1"/>
  <c r="T961" i="14"/>
  <c r="S961" i="14"/>
  <c r="J961" i="14"/>
  <c r="I961" i="14"/>
  <c r="D961" i="14"/>
  <c r="C961" i="14"/>
  <c r="B961" i="14"/>
  <c r="W960" i="14"/>
  <c r="U960" i="14"/>
  <c r="V960" i="14" s="1"/>
  <c r="T960" i="14"/>
  <c r="S960" i="14"/>
  <c r="J960" i="14"/>
  <c r="I960" i="14"/>
  <c r="D960" i="14"/>
  <c r="C960" i="14"/>
  <c r="B960" i="14"/>
  <c r="W959" i="14"/>
  <c r="U959" i="14"/>
  <c r="V959" i="14" s="1"/>
  <c r="T959" i="14"/>
  <c r="S959" i="14"/>
  <c r="J959" i="14"/>
  <c r="I959" i="14"/>
  <c r="D959" i="14"/>
  <c r="C959" i="14"/>
  <c r="B959" i="14"/>
  <c r="W958" i="14"/>
  <c r="U958" i="14"/>
  <c r="V958" i="14" s="1"/>
  <c r="T958" i="14"/>
  <c r="S958" i="14"/>
  <c r="J958" i="14"/>
  <c r="I958" i="14"/>
  <c r="D958" i="14"/>
  <c r="C958" i="14"/>
  <c r="B958" i="14"/>
  <c r="W957" i="14"/>
  <c r="U957" i="14"/>
  <c r="V957" i="14" s="1"/>
  <c r="T957" i="14"/>
  <c r="S957" i="14"/>
  <c r="J957" i="14"/>
  <c r="I957" i="14"/>
  <c r="D957" i="14"/>
  <c r="C957" i="14"/>
  <c r="B957" i="14"/>
  <c r="W956" i="14"/>
  <c r="U956" i="14"/>
  <c r="V956" i="14" s="1"/>
  <c r="T956" i="14"/>
  <c r="S956" i="14"/>
  <c r="J956" i="14"/>
  <c r="I956" i="14"/>
  <c r="D956" i="14"/>
  <c r="C956" i="14"/>
  <c r="B956" i="14"/>
  <c r="W955" i="14"/>
  <c r="U955" i="14"/>
  <c r="V955" i="14" s="1"/>
  <c r="T955" i="14"/>
  <c r="S955" i="14"/>
  <c r="J955" i="14"/>
  <c r="I955" i="14"/>
  <c r="D955" i="14"/>
  <c r="C955" i="14"/>
  <c r="B955" i="14"/>
  <c r="W954" i="14"/>
  <c r="U954" i="14"/>
  <c r="V954" i="14" s="1"/>
  <c r="T954" i="14"/>
  <c r="S954" i="14"/>
  <c r="J954" i="14"/>
  <c r="I954" i="14"/>
  <c r="D954" i="14"/>
  <c r="C954" i="14"/>
  <c r="B954" i="14"/>
  <c r="W953" i="14"/>
  <c r="U953" i="14"/>
  <c r="V953" i="14" s="1"/>
  <c r="T953" i="14"/>
  <c r="S953" i="14"/>
  <c r="J953" i="14"/>
  <c r="I953" i="14"/>
  <c r="D953" i="14"/>
  <c r="C953" i="14"/>
  <c r="B953" i="14"/>
  <c r="W952" i="14"/>
  <c r="U952" i="14"/>
  <c r="V952" i="14" s="1"/>
  <c r="T952" i="14"/>
  <c r="S952" i="14"/>
  <c r="J952" i="14"/>
  <c r="I952" i="14"/>
  <c r="D952" i="14"/>
  <c r="C952" i="14"/>
  <c r="B952" i="14"/>
  <c r="W951" i="14"/>
  <c r="U951" i="14"/>
  <c r="V951" i="14" s="1"/>
  <c r="T951" i="14"/>
  <c r="S951" i="14"/>
  <c r="J951" i="14"/>
  <c r="I951" i="14"/>
  <c r="D951" i="14"/>
  <c r="C951" i="14"/>
  <c r="B951" i="14"/>
  <c r="W950" i="14"/>
  <c r="U950" i="14"/>
  <c r="V950" i="14" s="1"/>
  <c r="T950" i="14"/>
  <c r="S950" i="14"/>
  <c r="J950" i="14"/>
  <c r="I950" i="14"/>
  <c r="D950" i="14"/>
  <c r="C950" i="14"/>
  <c r="B950" i="14"/>
  <c r="W949" i="14"/>
  <c r="U949" i="14"/>
  <c r="V949" i="14" s="1"/>
  <c r="T949" i="14"/>
  <c r="S949" i="14"/>
  <c r="J949" i="14"/>
  <c r="I949" i="14"/>
  <c r="D949" i="14"/>
  <c r="C949" i="14"/>
  <c r="B949" i="14"/>
  <c r="W948" i="14"/>
  <c r="U948" i="14"/>
  <c r="V948" i="14" s="1"/>
  <c r="T948" i="14"/>
  <c r="S948" i="14"/>
  <c r="J948" i="14"/>
  <c r="I948" i="14"/>
  <c r="D948" i="14"/>
  <c r="C948" i="14"/>
  <c r="B948" i="14"/>
  <c r="W947" i="14"/>
  <c r="U947" i="14"/>
  <c r="V947" i="14" s="1"/>
  <c r="T947" i="14"/>
  <c r="S947" i="14"/>
  <c r="J947" i="14"/>
  <c r="I947" i="14"/>
  <c r="D947" i="14"/>
  <c r="C947" i="14"/>
  <c r="B947" i="14"/>
  <c r="W946" i="14"/>
  <c r="U946" i="14"/>
  <c r="V946" i="14" s="1"/>
  <c r="T946" i="14"/>
  <c r="S946" i="14"/>
  <c r="J946" i="14"/>
  <c r="I946" i="14"/>
  <c r="D946" i="14"/>
  <c r="C946" i="14"/>
  <c r="B946" i="14"/>
  <c r="W945" i="14"/>
  <c r="U945" i="14"/>
  <c r="V945" i="14" s="1"/>
  <c r="T945" i="14"/>
  <c r="S945" i="14"/>
  <c r="J945" i="14"/>
  <c r="I945" i="14"/>
  <c r="D945" i="14"/>
  <c r="C945" i="14"/>
  <c r="B945" i="14"/>
  <c r="W944" i="14"/>
  <c r="U944" i="14"/>
  <c r="V944" i="14" s="1"/>
  <c r="T944" i="14"/>
  <c r="S944" i="14"/>
  <c r="J944" i="14"/>
  <c r="I944" i="14"/>
  <c r="D944" i="14"/>
  <c r="C944" i="14"/>
  <c r="B944" i="14"/>
  <c r="W943" i="14"/>
  <c r="U943" i="14"/>
  <c r="V943" i="14" s="1"/>
  <c r="T943" i="14"/>
  <c r="S943" i="14"/>
  <c r="J943" i="14"/>
  <c r="I943" i="14"/>
  <c r="D943" i="14"/>
  <c r="C943" i="14"/>
  <c r="B943" i="14"/>
  <c r="W942" i="14"/>
  <c r="U942" i="14"/>
  <c r="V942" i="14" s="1"/>
  <c r="T942" i="14"/>
  <c r="S942" i="14"/>
  <c r="J942" i="14"/>
  <c r="I942" i="14"/>
  <c r="D942" i="14"/>
  <c r="C942" i="14"/>
  <c r="B942" i="14"/>
  <c r="W941" i="14"/>
  <c r="U941" i="14"/>
  <c r="V941" i="14" s="1"/>
  <c r="T941" i="14"/>
  <c r="S941" i="14"/>
  <c r="J941" i="14"/>
  <c r="I941" i="14"/>
  <c r="D941" i="14"/>
  <c r="C941" i="14"/>
  <c r="B941" i="14"/>
  <c r="W940" i="14"/>
  <c r="U940" i="14"/>
  <c r="V940" i="14" s="1"/>
  <c r="T940" i="14"/>
  <c r="S940" i="14"/>
  <c r="J940" i="14"/>
  <c r="I940" i="14"/>
  <c r="D940" i="14"/>
  <c r="C940" i="14"/>
  <c r="B940" i="14"/>
  <c r="W939" i="14"/>
  <c r="U939" i="14"/>
  <c r="V939" i="14" s="1"/>
  <c r="T939" i="14"/>
  <c r="S939" i="14"/>
  <c r="J939" i="14"/>
  <c r="I939" i="14"/>
  <c r="D939" i="14"/>
  <c r="C939" i="14"/>
  <c r="B939" i="14"/>
  <c r="W938" i="14"/>
  <c r="U938" i="14"/>
  <c r="V938" i="14" s="1"/>
  <c r="T938" i="14"/>
  <c r="S938" i="14"/>
  <c r="J938" i="14"/>
  <c r="I938" i="14"/>
  <c r="D938" i="14"/>
  <c r="C938" i="14"/>
  <c r="B938" i="14"/>
  <c r="W937" i="14"/>
  <c r="U937" i="14"/>
  <c r="V937" i="14" s="1"/>
  <c r="T937" i="14"/>
  <c r="S937" i="14"/>
  <c r="J937" i="14"/>
  <c r="I937" i="14"/>
  <c r="D937" i="14"/>
  <c r="C937" i="14"/>
  <c r="B937" i="14"/>
  <c r="W936" i="14"/>
  <c r="U936" i="14"/>
  <c r="V936" i="14" s="1"/>
  <c r="T936" i="14"/>
  <c r="S936" i="14"/>
  <c r="J936" i="14"/>
  <c r="I936" i="14"/>
  <c r="D936" i="14"/>
  <c r="C936" i="14"/>
  <c r="B936" i="14"/>
  <c r="W935" i="14"/>
  <c r="U935" i="14"/>
  <c r="V935" i="14" s="1"/>
  <c r="T935" i="14"/>
  <c r="S935" i="14"/>
  <c r="J935" i="14"/>
  <c r="I935" i="14"/>
  <c r="D935" i="14"/>
  <c r="C935" i="14"/>
  <c r="B935" i="14"/>
  <c r="W934" i="14"/>
  <c r="U934" i="14"/>
  <c r="V934" i="14" s="1"/>
  <c r="T934" i="14"/>
  <c r="S934" i="14"/>
  <c r="J934" i="14"/>
  <c r="I934" i="14"/>
  <c r="D934" i="14"/>
  <c r="C934" i="14"/>
  <c r="B934" i="14"/>
  <c r="W933" i="14"/>
  <c r="U933" i="14"/>
  <c r="V933" i="14" s="1"/>
  <c r="T933" i="14"/>
  <c r="S933" i="14"/>
  <c r="J933" i="14"/>
  <c r="I933" i="14"/>
  <c r="D933" i="14"/>
  <c r="C933" i="14"/>
  <c r="B933" i="14"/>
  <c r="W932" i="14"/>
  <c r="U932" i="14"/>
  <c r="V932" i="14" s="1"/>
  <c r="T932" i="14"/>
  <c r="S932" i="14"/>
  <c r="J932" i="14"/>
  <c r="I932" i="14"/>
  <c r="D932" i="14"/>
  <c r="C932" i="14"/>
  <c r="B932" i="14"/>
  <c r="W931" i="14"/>
  <c r="U931" i="14"/>
  <c r="V931" i="14" s="1"/>
  <c r="T931" i="14"/>
  <c r="S931" i="14"/>
  <c r="J931" i="14"/>
  <c r="I931" i="14"/>
  <c r="D931" i="14"/>
  <c r="C931" i="14"/>
  <c r="B931" i="14"/>
  <c r="W930" i="14"/>
  <c r="U930" i="14"/>
  <c r="V930" i="14" s="1"/>
  <c r="T930" i="14"/>
  <c r="S930" i="14"/>
  <c r="J930" i="14"/>
  <c r="I930" i="14"/>
  <c r="D930" i="14"/>
  <c r="C930" i="14"/>
  <c r="B930" i="14"/>
  <c r="W929" i="14"/>
  <c r="U929" i="14"/>
  <c r="V929" i="14" s="1"/>
  <c r="T929" i="14"/>
  <c r="S929" i="14"/>
  <c r="J929" i="14"/>
  <c r="I929" i="14"/>
  <c r="D929" i="14"/>
  <c r="C929" i="14"/>
  <c r="B929" i="14"/>
  <c r="W928" i="14"/>
  <c r="U928" i="14"/>
  <c r="V928" i="14" s="1"/>
  <c r="T928" i="14"/>
  <c r="S928" i="14"/>
  <c r="J928" i="14"/>
  <c r="I928" i="14"/>
  <c r="D928" i="14"/>
  <c r="C928" i="14"/>
  <c r="B928" i="14"/>
  <c r="W927" i="14"/>
  <c r="U927" i="14"/>
  <c r="V927" i="14" s="1"/>
  <c r="T927" i="14"/>
  <c r="S927" i="14"/>
  <c r="J927" i="14"/>
  <c r="I927" i="14"/>
  <c r="D927" i="14"/>
  <c r="C927" i="14"/>
  <c r="B927" i="14"/>
  <c r="W926" i="14"/>
  <c r="U926" i="14"/>
  <c r="V926" i="14" s="1"/>
  <c r="T926" i="14"/>
  <c r="S926" i="14"/>
  <c r="J926" i="14"/>
  <c r="I926" i="14"/>
  <c r="D926" i="14"/>
  <c r="C926" i="14"/>
  <c r="B926" i="14"/>
  <c r="W925" i="14"/>
  <c r="U925" i="14"/>
  <c r="V925" i="14" s="1"/>
  <c r="T925" i="14"/>
  <c r="S925" i="14"/>
  <c r="J925" i="14"/>
  <c r="I925" i="14"/>
  <c r="D925" i="14"/>
  <c r="C925" i="14"/>
  <c r="B925" i="14"/>
  <c r="W924" i="14"/>
  <c r="U924" i="14"/>
  <c r="V924" i="14" s="1"/>
  <c r="T924" i="14"/>
  <c r="S924" i="14"/>
  <c r="J924" i="14"/>
  <c r="I924" i="14"/>
  <c r="D924" i="14"/>
  <c r="C924" i="14"/>
  <c r="B924" i="14"/>
  <c r="W923" i="14"/>
  <c r="U923" i="14"/>
  <c r="V923" i="14" s="1"/>
  <c r="T923" i="14"/>
  <c r="S923" i="14"/>
  <c r="J923" i="14"/>
  <c r="I923" i="14"/>
  <c r="D923" i="14"/>
  <c r="C923" i="14"/>
  <c r="B923" i="14"/>
  <c r="W922" i="14"/>
  <c r="U922" i="14"/>
  <c r="V922" i="14" s="1"/>
  <c r="T922" i="14"/>
  <c r="S922" i="14"/>
  <c r="J922" i="14"/>
  <c r="I922" i="14"/>
  <c r="D922" i="14"/>
  <c r="C922" i="14"/>
  <c r="B922" i="14"/>
  <c r="W921" i="14"/>
  <c r="U921" i="14"/>
  <c r="V921" i="14" s="1"/>
  <c r="T921" i="14"/>
  <c r="S921" i="14"/>
  <c r="J921" i="14"/>
  <c r="I921" i="14"/>
  <c r="D921" i="14"/>
  <c r="C921" i="14"/>
  <c r="B921" i="14"/>
  <c r="W920" i="14"/>
  <c r="U920" i="14"/>
  <c r="V920" i="14" s="1"/>
  <c r="T920" i="14"/>
  <c r="S920" i="14"/>
  <c r="J920" i="14"/>
  <c r="I920" i="14"/>
  <c r="D920" i="14"/>
  <c r="C920" i="14"/>
  <c r="B920" i="14"/>
  <c r="W919" i="14"/>
  <c r="U919" i="14"/>
  <c r="V919" i="14" s="1"/>
  <c r="T919" i="14"/>
  <c r="S919" i="14"/>
  <c r="J919" i="14"/>
  <c r="I919" i="14"/>
  <c r="D919" i="14"/>
  <c r="C919" i="14"/>
  <c r="B919" i="14"/>
  <c r="W918" i="14"/>
  <c r="U918" i="14"/>
  <c r="V918" i="14" s="1"/>
  <c r="T918" i="14"/>
  <c r="S918" i="14"/>
  <c r="J918" i="14"/>
  <c r="I918" i="14"/>
  <c r="D918" i="14"/>
  <c r="C918" i="14"/>
  <c r="B918" i="14"/>
  <c r="W917" i="14"/>
  <c r="U917" i="14"/>
  <c r="V917" i="14" s="1"/>
  <c r="T917" i="14"/>
  <c r="S917" i="14"/>
  <c r="J917" i="14"/>
  <c r="I917" i="14"/>
  <c r="D917" i="14"/>
  <c r="C917" i="14"/>
  <c r="B917" i="14"/>
  <c r="W916" i="14"/>
  <c r="U916" i="14"/>
  <c r="V916" i="14" s="1"/>
  <c r="T916" i="14"/>
  <c r="S916" i="14"/>
  <c r="J916" i="14"/>
  <c r="I916" i="14"/>
  <c r="D916" i="14"/>
  <c r="C916" i="14"/>
  <c r="B916" i="14"/>
  <c r="W915" i="14"/>
  <c r="U915" i="14"/>
  <c r="V915" i="14" s="1"/>
  <c r="T915" i="14"/>
  <c r="S915" i="14"/>
  <c r="J915" i="14"/>
  <c r="I915" i="14"/>
  <c r="D915" i="14"/>
  <c r="C915" i="14"/>
  <c r="B915" i="14"/>
  <c r="W914" i="14"/>
  <c r="U914" i="14"/>
  <c r="V914" i="14" s="1"/>
  <c r="T914" i="14"/>
  <c r="S914" i="14"/>
  <c r="J914" i="14"/>
  <c r="I914" i="14"/>
  <c r="D914" i="14"/>
  <c r="C914" i="14"/>
  <c r="B914" i="14"/>
  <c r="W913" i="14"/>
  <c r="U913" i="14"/>
  <c r="V913" i="14" s="1"/>
  <c r="T913" i="14"/>
  <c r="S913" i="14"/>
  <c r="J913" i="14"/>
  <c r="I913" i="14"/>
  <c r="D913" i="14"/>
  <c r="C913" i="14"/>
  <c r="B913" i="14"/>
  <c r="W912" i="14"/>
  <c r="U912" i="14"/>
  <c r="V912" i="14" s="1"/>
  <c r="T912" i="14"/>
  <c r="S912" i="14"/>
  <c r="J912" i="14"/>
  <c r="I912" i="14"/>
  <c r="D912" i="14"/>
  <c r="C912" i="14"/>
  <c r="B912" i="14"/>
  <c r="W911" i="14"/>
  <c r="U911" i="14"/>
  <c r="V911" i="14" s="1"/>
  <c r="T911" i="14"/>
  <c r="S911" i="14"/>
  <c r="J911" i="14"/>
  <c r="I911" i="14"/>
  <c r="D911" i="14"/>
  <c r="C911" i="14"/>
  <c r="B911" i="14"/>
  <c r="W910" i="14"/>
  <c r="U910" i="14"/>
  <c r="V910" i="14" s="1"/>
  <c r="T910" i="14"/>
  <c r="S910" i="14"/>
  <c r="J910" i="14"/>
  <c r="I910" i="14"/>
  <c r="D910" i="14"/>
  <c r="C910" i="14"/>
  <c r="B910" i="14"/>
  <c r="W909" i="14"/>
  <c r="U909" i="14"/>
  <c r="V909" i="14" s="1"/>
  <c r="T909" i="14"/>
  <c r="S909" i="14"/>
  <c r="J909" i="14"/>
  <c r="I909" i="14"/>
  <c r="D909" i="14"/>
  <c r="C909" i="14"/>
  <c r="B909" i="14"/>
  <c r="W908" i="14"/>
  <c r="U908" i="14"/>
  <c r="V908" i="14" s="1"/>
  <c r="T908" i="14"/>
  <c r="S908" i="14"/>
  <c r="J908" i="14"/>
  <c r="I908" i="14"/>
  <c r="D908" i="14"/>
  <c r="C908" i="14"/>
  <c r="B908" i="14"/>
  <c r="W907" i="14"/>
  <c r="U907" i="14"/>
  <c r="V907" i="14" s="1"/>
  <c r="T907" i="14"/>
  <c r="S907" i="14"/>
  <c r="J907" i="14"/>
  <c r="I907" i="14"/>
  <c r="D907" i="14"/>
  <c r="C907" i="14"/>
  <c r="B907" i="14"/>
  <c r="W906" i="14"/>
  <c r="U906" i="14"/>
  <c r="V906" i="14" s="1"/>
  <c r="T906" i="14"/>
  <c r="S906" i="14"/>
  <c r="J906" i="14"/>
  <c r="I906" i="14"/>
  <c r="D906" i="14"/>
  <c r="C906" i="14"/>
  <c r="B906" i="14"/>
  <c r="W905" i="14"/>
  <c r="U905" i="14"/>
  <c r="V905" i="14" s="1"/>
  <c r="T905" i="14"/>
  <c r="S905" i="14"/>
  <c r="J905" i="14"/>
  <c r="I905" i="14"/>
  <c r="D905" i="14"/>
  <c r="C905" i="14"/>
  <c r="B905" i="14"/>
  <c r="W904" i="14"/>
  <c r="U904" i="14"/>
  <c r="V904" i="14" s="1"/>
  <c r="T904" i="14"/>
  <c r="S904" i="14"/>
  <c r="J904" i="14"/>
  <c r="I904" i="14"/>
  <c r="D904" i="14"/>
  <c r="C904" i="14"/>
  <c r="B904" i="14"/>
  <c r="W903" i="14"/>
  <c r="U903" i="14"/>
  <c r="V903" i="14" s="1"/>
  <c r="T903" i="14"/>
  <c r="S903" i="14"/>
  <c r="J903" i="14"/>
  <c r="I903" i="14"/>
  <c r="D903" i="14"/>
  <c r="C903" i="14"/>
  <c r="B903" i="14"/>
  <c r="W902" i="14"/>
  <c r="U902" i="14"/>
  <c r="V902" i="14" s="1"/>
  <c r="T902" i="14"/>
  <c r="S902" i="14"/>
  <c r="J902" i="14"/>
  <c r="I902" i="14"/>
  <c r="D902" i="14"/>
  <c r="C902" i="14"/>
  <c r="B902" i="14"/>
  <c r="W901" i="14"/>
  <c r="U901" i="14"/>
  <c r="V901" i="14" s="1"/>
  <c r="T901" i="14"/>
  <c r="S901" i="14"/>
  <c r="J901" i="14"/>
  <c r="I901" i="14"/>
  <c r="D901" i="14"/>
  <c r="C901" i="14"/>
  <c r="B901" i="14"/>
  <c r="W900" i="14"/>
  <c r="U900" i="14"/>
  <c r="V900" i="14" s="1"/>
  <c r="T900" i="14"/>
  <c r="S900" i="14"/>
  <c r="J900" i="14"/>
  <c r="I900" i="14"/>
  <c r="D900" i="14"/>
  <c r="C900" i="14"/>
  <c r="B900" i="14"/>
  <c r="W899" i="14"/>
  <c r="U899" i="14"/>
  <c r="V899" i="14" s="1"/>
  <c r="T899" i="14"/>
  <c r="S899" i="14"/>
  <c r="J899" i="14"/>
  <c r="I899" i="14"/>
  <c r="D899" i="14"/>
  <c r="C899" i="14"/>
  <c r="B899" i="14"/>
  <c r="W898" i="14"/>
  <c r="U898" i="14"/>
  <c r="V898" i="14" s="1"/>
  <c r="T898" i="14"/>
  <c r="S898" i="14"/>
  <c r="J898" i="14"/>
  <c r="I898" i="14"/>
  <c r="D898" i="14"/>
  <c r="C898" i="14"/>
  <c r="B898" i="14"/>
  <c r="W897" i="14"/>
  <c r="U897" i="14"/>
  <c r="V897" i="14" s="1"/>
  <c r="T897" i="14"/>
  <c r="S897" i="14"/>
  <c r="J897" i="14"/>
  <c r="I897" i="14"/>
  <c r="D897" i="14"/>
  <c r="C897" i="14"/>
  <c r="B897" i="14"/>
  <c r="W896" i="14"/>
  <c r="U896" i="14"/>
  <c r="V896" i="14" s="1"/>
  <c r="T896" i="14"/>
  <c r="S896" i="14"/>
  <c r="J896" i="14"/>
  <c r="I896" i="14"/>
  <c r="D896" i="14"/>
  <c r="C896" i="14"/>
  <c r="B896" i="14"/>
  <c r="W895" i="14"/>
  <c r="U895" i="14"/>
  <c r="V895" i="14" s="1"/>
  <c r="T895" i="14"/>
  <c r="S895" i="14"/>
  <c r="J895" i="14"/>
  <c r="I895" i="14"/>
  <c r="D895" i="14"/>
  <c r="C895" i="14"/>
  <c r="B895" i="14"/>
  <c r="W894" i="14"/>
  <c r="U894" i="14"/>
  <c r="V894" i="14" s="1"/>
  <c r="T894" i="14"/>
  <c r="S894" i="14"/>
  <c r="J894" i="14"/>
  <c r="I894" i="14"/>
  <c r="D894" i="14"/>
  <c r="C894" i="14"/>
  <c r="B894" i="14"/>
  <c r="W893" i="14"/>
  <c r="U893" i="14"/>
  <c r="V893" i="14" s="1"/>
  <c r="T893" i="14"/>
  <c r="S893" i="14"/>
  <c r="J893" i="14"/>
  <c r="I893" i="14"/>
  <c r="D893" i="14"/>
  <c r="C893" i="14"/>
  <c r="B893" i="14"/>
  <c r="W892" i="14"/>
  <c r="U892" i="14"/>
  <c r="V892" i="14" s="1"/>
  <c r="T892" i="14"/>
  <c r="S892" i="14"/>
  <c r="J892" i="14"/>
  <c r="I892" i="14"/>
  <c r="D892" i="14"/>
  <c r="C892" i="14"/>
  <c r="B892" i="14"/>
  <c r="W891" i="14"/>
  <c r="U891" i="14"/>
  <c r="V891" i="14" s="1"/>
  <c r="T891" i="14"/>
  <c r="S891" i="14"/>
  <c r="J891" i="14"/>
  <c r="I891" i="14"/>
  <c r="D891" i="14"/>
  <c r="C891" i="14"/>
  <c r="B891" i="14"/>
  <c r="W890" i="14"/>
  <c r="U890" i="14"/>
  <c r="V890" i="14" s="1"/>
  <c r="T890" i="14"/>
  <c r="S890" i="14"/>
  <c r="J890" i="14"/>
  <c r="I890" i="14"/>
  <c r="D890" i="14"/>
  <c r="C890" i="14"/>
  <c r="B890" i="14"/>
  <c r="W889" i="14"/>
  <c r="U889" i="14"/>
  <c r="V889" i="14" s="1"/>
  <c r="T889" i="14"/>
  <c r="S889" i="14"/>
  <c r="J889" i="14"/>
  <c r="I889" i="14"/>
  <c r="D889" i="14"/>
  <c r="C889" i="14"/>
  <c r="B889" i="14"/>
  <c r="W888" i="14"/>
  <c r="U888" i="14"/>
  <c r="V888" i="14" s="1"/>
  <c r="T888" i="14"/>
  <c r="S888" i="14"/>
  <c r="J888" i="14"/>
  <c r="I888" i="14"/>
  <c r="D888" i="14"/>
  <c r="C888" i="14"/>
  <c r="B888" i="14"/>
  <c r="W887" i="14"/>
  <c r="U887" i="14"/>
  <c r="V887" i="14" s="1"/>
  <c r="T887" i="14"/>
  <c r="S887" i="14"/>
  <c r="J887" i="14"/>
  <c r="I887" i="14"/>
  <c r="D887" i="14"/>
  <c r="C887" i="14"/>
  <c r="B887" i="14"/>
  <c r="W886" i="14"/>
  <c r="U886" i="14"/>
  <c r="V886" i="14" s="1"/>
  <c r="T886" i="14"/>
  <c r="S886" i="14"/>
  <c r="J886" i="14"/>
  <c r="I886" i="14"/>
  <c r="D886" i="14"/>
  <c r="C886" i="14"/>
  <c r="B886" i="14"/>
  <c r="W885" i="14"/>
  <c r="U885" i="14"/>
  <c r="V885" i="14" s="1"/>
  <c r="T885" i="14"/>
  <c r="S885" i="14"/>
  <c r="J885" i="14"/>
  <c r="I885" i="14"/>
  <c r="D885" i="14"/>
  <c r="C885" i="14"/>
  <c r="B885" i="14"/>
  <c r="W884" i="14"/>
  <c r="U884" i="14"/>
  <c r="V884" i="14" s="1"/>
  <c r="T884" i="14"/>
  <c r="S884" i="14"/>
  <c r="J884" i="14"/>
  <c r="I884" i="14"/>
  <c r="D884" i="14"/>
  <c r="C884" i="14"/>
  <c r="B884" i="14"/>
  <c r="W883" i="14"/>
  <c r="U883" i="14"/>
  <c r="V883" i="14" s="1"/>
  <c r="T883" i="14"/>
  <c r="S883" i="14"/>
  <c r="J883" i="14"/>
  <c r="I883" i="14"/>
  <c r="D883" i="14"/>
  <c r="C883" i="14"/>
  <c r="B883" i="14"/>
  <c r="W882" i="14"/>
  <c r="U882" i="14"/>
  <c r="V882" i="14" s="1"/>
  <c r="T882" i="14"/>
  <c r="S882" i="14"/>
  <c r="J882" i="14"/>
  <c r="I882" i="14"/>
  <c r="D882" i="14"/>
  <c r="C882" i="14"/>
  <c r="B882" i="14"/>
  <c r="W881" i="14"/>
  <c r="U881" i="14"/>
  <c r="V881" i="14" s="1"/>
  <c r="T881" i="14"/>
  <c r="S881" i="14"/>
  <c r="J881" i="14"/>
  <c r="I881" i="14"/>
  <c r="D881" i="14"/>
  <c r="C881" i="14"/>
  <c r="B881" i="14"/>
  <c r="W880" i="14"/>
  <c r="U880" i="14"/>
  <c r="V880" i="14" s="1"/>
  <c r="T880" i="14"/>
  <c r="S880" i="14"/>
  <c r="J880" i="14"/>
  <c r="I880" i="14"/>
  <c r="D880" i="14"/>
  <c r="C880" i="14"/>
  <c r="B880" i="14"/>
  <c r="W879" i="14"/>
  <c r="U879" i="14"/>
  <c r="V879" i="14" s="1"/>
  <c r="T879" i="14"/>
  <c r="S879" i="14"/>
  <c r="J879" i="14"/>
  <c r="I879" i="14"/>
  <c r="D879" i="14"/>
  <c r="C879" i="14"/>
  <c r="B879" i="14"/>
  <c r="W878" i="14"/>
  <c r="U878" i="14"/>
  <c r="V878" i="14" s="1"/>
  <c r="T878" i="14"/>
  <c r="S878" i="14"/>
  <c r="J878" i="14"/>
  <c r="I878" i="14"/>
  <c r="D878" i="14"/>
  <c r="C878" i="14"/>
  <c r="B878" i="14"/>
  <c r="W877" i="14"/>
  <c r="U877" i="14"/>
  <c r="V877" i="14" s="1"/>
  <c r="T877" i="14"/>
  <c r="S877" i="14"/>
  <c r="J877" i="14"/>
  <c r="I877" i="14"/>
  <c r="D877" i="14"/>
  <c r="C877" i="14"/>
  <c r="B877" i="14"/>
  <c r="W876" i="14"/>
  <c r="U876" i="14"/>
  <c r="V876" i="14" s="1"/>
  <c r="T876" i="14"/>
  <c r="S876" i="14"/>
  <c r="J876" i="14"/>
  <c r="I876" i="14"/>
  <c r="D876" i="14"/>
  <c r="C876" i="14"/>
  <c r="B876" i="14"/>
  <c r="W875" i="14"/>
  <c r="U875" i="14"/>
  <c r="V875" i="14" s="1"/>
  <c r="T875" i="14"/>
  <c r="S875" i="14"/>
  <c r="J875" i="14"/>
  <c r="I875" i="14"/>
  <c r="D875" i="14"/>
  <c r="C875" i="14"/>
  <c r="B875" i="14"/>
  <c r="W874" i="14"/>
  <c r="U874" i="14"/>
  <c r="V874" i="14" s="1"/>
  <c r="T874" i="14"/>
  <c r="S874" i="14"/>
  <c r="J874" i="14"/>
  <c r="I874" i="14"/>
  <c r="D874" i="14"/>
  <c r="C874" i="14"/>
  <c r="B874" i="14"/>
  <c r="W873" i="14"/>
  <c r="U873" i="14"/>
  <c r="V873" i="14" s="1"/>
  <c r="T873" i="14"/>
  <c r="S873" i="14"/>
  <c r="J873" i="14"/>
  <c r="I873" i="14"/>
  <c r="D873" i="14"/>
  <c r="C873" i="14"/>
  <c r="B873" i="14"/>
  <c r="W872" i="14"/>
  <c r="U872" i="14"/>
  <c r="V872" i="14" s="1"/>
  <c r="T872" i="14"/>
  <c r="S872" i="14"/>
  <c r="J872" i="14"/>
  <c r="I872" i="14"/>
  <c r="D872" i="14"/>
  <c r="C872" i="14"/>
  <c r="B872" i="14"/>
  <c r="W871" i="14"/>
  <c r="U871" i="14"/>
  <c r="V871" i="14" s="1"/>
  <c r="T871" i="14"/>
  <c r="S871" i="14"/>
  <c r="J871" i="14"/>
  <c r="I871" i="14"/>
  <c r="D871" i="14"/>
  <c r="C871" i="14"/>
  <c r="B871" i="14"/>
  <c r="W870" i="14"/>
  <c r="U870" i="14"/>
  <c r="V870" i="14" s="1"/>
  <c r="T870" i="14"/>
  <c r="S870" i="14"/>
  <c r="J870" i="14"/>
  <c r="I870" i="14"/>
  <c r="D870" i="14"/>
  <c r="C870" i="14"/>
  <c r="B870" i="14"/>
  <c r="W869" i="14"/>
  <c r="U869" i="14"/>
  <c r="V869" i="14" s="1"/>
  <c r="T869" i="14"/>
  <c r="S869" i="14"/>
  <c r="J869" i="14"/>
  <c r="I869" i="14"/>
  <c r="D869" i="14"/>
  <c r="C869" i="14"/>
  <c r="B869" i="14"/>
  <c r="W868" i="14"/>
  <c r="U868" i="14"/>
  <c r="V868" i="14" s="1"/>
  <c r="T868" i="14"/>
  <c r="S868" i="14"/>
  <c r="J868" i="14"/>
  <c r="I868" i="14"/>
  <c r="D868" i="14"/>
  <c r="C868" i="14"/>
  <c r="B868" i="14"/>
  <c r="W867" i="14"/>
  <c r="U867" i="14"/>
  <c r="V867" i="14" s="1"/>
  <c r="T867" i="14"/>
  <c r="S867" i="14"/>
  <c r="J867" i="14"/>
  <c r="I867" i="14"/>
  <c r="D867" i="14"/>
  <c r="C867" i="14"/>
  <c r="B867" i="14"/>
  <c r="W866" i="14"/>
  <c r="U866" i="14"/>
  <c r="V866" i="14" s="1"/>
  <c r="T866" i="14"/>
  <c r="S866" i="14"/>
  <c r="J866" i="14"/>
  <c r="I866" i="14"/>
  <c r="D866" i="14"/>
  <c r="C866" i="14"/>
  <c r="B866" i="14"/>
  <c r="W865" i="14"/>
  <c r="U865" i="14"/>
  <c r="V865" i="14" s="1"/>
  <c r="T865" i="14"/>
  <c r="S865" i="14"/>
  <c r="J865" i="14"/>
  <c r="I865" i="14"/>
  <c r="D865" i="14"/>
  <c r="C865" i="14"/>
  <c r="B865" i="14"/>
  <c r="W864" i="14"/>
  <c r="U864" i="14"/>
  <c r="V864" i="14" s="1"/>
  <c r="T864" i="14"/>
  <c r="S864" i="14"/>
  <c r="J864" i="14"/>
  <c r="I864" i="14"/>
  <c r="D864" i="14"/>
  <c r="C864" i="14"/>
  <c r="B864" i="14"/>
  <c r="W863" i="14"/>
  <c r="U863" i="14"/>
  <c r="V863" i="14" s="1"/>
  <c r="T863" i="14"/>
  <c r="S863" i="14"/>
  <c r="J863" i="14"/>
  <c r="I863" i="14"/>
  <c r="D863" i="14"/>
  <c r="C863" i="14"/>
  <c r="B863" i="14"/>
  <c r="W862" i="14"/>
  <c r="U862" i="14"/>
  <c r="V862" i="14" s="1"/>
  <c r="T862" i="14"/>
  <c r="S862" i="14"/>
  <c r="J862" i="14"/>
  <c r="I862" i="14"/>
  <c r="D862" i="14"/>
  <c r="C862" i="14"/>
  <c r="B862" i="14"/>
  <c r="W861" i="14"/>
  <c r="U861" i="14"/>
  <c r="V861" i="14" s="1"/>
  <c r="T861" i="14"/>
  <c r="S861" i="14"/>
  <c r="J861" i="14"/>
  <c r="I861" i="14"/>
  <c r="D861" i="14"/>
  <c r="C861" i="14"/>
  <c r="B861" i="14"/>
  <c r="W860" i="14"/>
  <c r="U860" i="14"/>
  <c r="V860" i="14" s="1"/>
  <c r="T860" i="14"/>
  <c r="S860" i="14"/>
  <c r="J860" i="14"/>
  <c r="I860" i="14"/>
  <c r="D860" i="14"/>
  <c r="C860" i="14"/>
  <c r="B860" i="14"/>
  <c r="W859" i="14"/>
  <c r="U859" i="14"/>
  <c r="V859" i="14" s="1"/>
  <c r="T859" i="14"/>
  <c r="S859" i="14"/>
  <c r="J859" i="14"/>
  <c r="I859" i="14"/>
  <c r="D859" i="14"/>
  <c r="C859" i="14"/>
  <c r="B859" i="14"/>
  <c r="W858" i="14"/>
  <c r="U858" i="14"/>
  <c r="V858" i="14" s="1"/>
  <c r="T858" i="14"/>
  <c r="S858" i="14"/>
  <c r="J858" i="14"/>
  <c r="I858" i="14"/>
  <c r="D858" i="14"/>
  <c r="C858" i="14"/>
  <c r="B858" i="14"/>
  <c r="W857" i="14"/>
  <c r="U857" i="14"/>
  <c r="V857" i="14" s="1"/>
  <c r="T857" i="14"/>
  <c r="S857" i="14"/>
  <c r="J857" i="14"/>
  <c r="I857" i="14"/>
  <c r="D857" i="14"/>
  <c r="C857" i="14"/>
  <c r="B857" i="14"/>
  <c r="W856" i="14"/>
  <c r="U856" i="14"/>
  <c r="V856" i="14" s="1"/>
  <c r="T856" i="14"/>
  <c r="S856" i="14"/>
  <c r="J856" i="14"/>
  <c r="I856" i="14"/>
  <c r="D856" i="14"/>
  <c r="C856" i="14"/>
  <c r="B856" i="14"/>
  <c r="W855" i="14"/>
  <c r="U855" i="14"/>
  <c r="V855" i="14" s="1"/>
  <c r="T855" i="14"/>
  <c r="S855" i="14"/>
  <c r="J855" i="14"/>
  <c r="I855" i="14"/>
  <c r="D855" i="14"/>
  <c r="C855" i="14"/>
  <c r="B855" i="14"/>
  <c r="W854" i="14"/>
  <c r="U854" i="14"/>
  <c r="V854" i="14" s="1"/>
  <c r="T854" i="14"/>
  <c r="S854" i="14"/>
  <c r="J854" i="14"/>
  <c r="I854" i="14"/>
  <c r="D854" i="14"/>
  <c r="C854" i="14"/>
  <c r="B854" i="14"/>
  <c r="W853" i="14"/>
  <c r="U853" i="14"/>
  <c r="V853" i="14" s="1"/>
  <c r="T853" i="14"/>
  <c r="S853" i="14"/>
  <c r="J853" i="14"/>
  <c r="I853" i="14"/>
  <c r="D853" i="14"/>
  <c r="C853" i="14"/>
  <c r="B853" i="14"/>
  <c r="W852" i="14"/>
  <c r="U852" i="14"/>
  <c r="V852" i="14" s="1"/>
  <c r="T852" i="14"/>
  <c r="S852" i="14"/>
  <c r="J852" i="14"/>
  <c r="I852" i="14"/>
  <c r="D852" i="14"/>
  <c r="C852" i="14"/>
  <c r="B852" i="14"/>
  <c r="W851" i="14"/>
  <c r="U851" i="14"/>
  <c r="V851" i="14" s="1"/>
  <c r="T851" i="14"/>
  <c r="S851" i="14"/>
  <c r="J851" i="14"/>
  <c r="I851" i="14"/>
  <c r="D851" i="14"/>
  <c r="C851" i="14"/>
  <c r="B851" i="14"/>
  <c r="W850" i="14"/>
  <c r="U850" i="14"/>
  <c r="V850" i="14" s="1"/>
  <c r="T850" i="14"/>
  <c r="S850" i="14"/>
  <c r="J850" i="14"/>
  <c r="I850" i="14"/>
  <c r="D850" i="14"/>
  <c r="C850" i="14"/>
  <c r="B850" i="14"/>
  <c r="W849" i="14"/>
  <c r="U849" i="14"/>
  <c r="V849" i="14" s="1"/>
  <c r="T849" i="14"/>
  <c r="S849" i="14"/>
  <c r="J849" i="14"/>
  <c r="I849" i="14"/>
  <c r="D849" i="14"/>
  <c r="C849" i="14"/>
  <c r="B849" i="14"/>
  <c r="W848" i="14"/>
  <c r="U848" i="14"/>
  <c r="V848" i="14" s="1"/>
  <c r="T848" i="14"/>
  <c r="S848" i="14"/>
  <c r="J848" i="14"/>
  <c r="I848" i="14"/>
  <c r="D848" i="14"/>
  <c r="C848" i="14"/>
  <c r="B848" i="14"/>
  <c r="W847" i="14"/>
  <c r="U847" i="14"/>
  <c r="V847" i="14" s="1"/>
  <c r="T847" i="14"/>
  <c r="S847" i="14"/>
  <c r="J847" i="14"/>
  <c r="I847" i="14"/>
  <c r="D847" i="14"/>
  <c r="C847" i="14"/>
  <c r="B847" i="14"/>
  <c r="W846" i="14"/>
  <c r="U846" i="14"/>
  <c r="V846" i="14" s="1"/>
  <c r="T846" i="14"/>
  <c r="S846" i="14"/>
  <c r="J846" i="14"/>
  <c r="I846" i="14"/>
  <c r="D846" i="14"/>
  <c r="C846" i="14"/>
  <c r="B846" i="14"/>
  <c r="W845" i="14"/>
  <c r="U845" i="14"/>
  <c r="V845" i="14" s="1"/>
  <c r="T845" i="14"/>
  <c r="S845" i="14"/>
  <c r="J845" i="14"/>
  <c r="I845" i="14"/>
  <c r="D845" i="14"/>
  <c r="C845" i="14"/>
  <c r="B845" i="14"/>
  <c r="W844" i="14"/>
  <c r="U844" i="14"/>
  <c r="V844" i="14" s="1"/>
  <c r="T844" i="14"/>
  <c r="S844" i="14"/>
  <c r="J844" i="14"/>
  <c r="I844" i="14"/>
  <c r="D844" i="14"/>
  <c r="C844" i="14"/>
  <c r="B844" i="14"/>
  <c r="W843" i="14"/>
  <c r="U843" i="14"/>
  <c r="V843" i="14" s="1"/>
  <c r="T843" i="14"/>
  <c r="S843" i="14"/>
  <c r="J843" i="14"/>
  <c r="I843" i="14"/>
  <c r="D843" i="14"/>
  <c r="C843" i="14"/>
  <c r="B843" i="14"/>
  <c r="W842" i="14"/>
  <c r="U842" i="14"/>
  <c r="V842" i="14" s="1"/>
  <c r="T842" i="14"/>
  <c r="S842" i="14"/>
  <c r="J842" i="14"/>
  <c r="I842" i="14"/>
  <c r="D842" i="14"/>
  <c r="C842" i="14"/>
  <c r="B842" i="14"/>
  <c r="W841" i="14"/>
  <c r="U841" i="14"/>
  <c r="V841" i="14" s="1"/>
  <c r="T841" i="14"/>
  <c r="S841" i="14"/>
  <c r="J841" i="14"/>
  <c r="I841" i="14"/>
  <c r="D841" i="14"/>
  <c r="C841" i="14"/>
  <c r="B841" i="14"/>
  <c r="W840" i="14"/>
  <c r="U840" i="14"/>
  <c r="V840" i="14" s="1"/>
  <c r="T840" i="14"/>
  <c r="S840" i="14"/>
  <c r="J840" i="14"/>
  <c r="I840" i="14"/>
  <c r="D840" i="14"/>
  <c r="C840" i="14"/>
  <c r="B840" i="14"/>
  <c r="W839" i="14"/>
  <c r="U839" i="14"/>
  <c r="V839" i="14" s="1"/>
  <c r="T839" i="14"/>
  <c r="S839" i="14"/>
  <c r="J839" i="14"/>
  <c r="I839" i="14"/>
  <c r="D839" i="14"/>
  <c r="C839" i="14"/>
  <c r="B839" i="14"/>
  <c r="W838" i="14"/>
  <c r="U838" i="14"/>
  <c r="V838" i="14" s="1"/>
  <c r="T838" i="14"/>
  <c r="S838" i="14"/>
  <c r="J838" i="14"/>
  <c r="I838" i="14"/>
  <c r="D838" i="14"/>
  <c r="C838" i="14"/>
  <c r="B838" i="14"/>
  <c r="W837" i="14"/>
  <c r="U837" i="14"/>
  <c r="V837" i="14" s="1"/>
  <c r="T837" i="14"/>
  <c r="S837" i="14"/>
  <c r="J837" i="14"/>
  <c r="I837" i="14"/>
  <c r="D837" i="14"/>
  <c r="C837" i="14"/>
  <c r="B837" i="14"/>
  <c r="W836" i="14"/>
  <c r="U836" i="14"/>
  <c r="V836" i="14" s="1"/>
  <c r="T836" i="14"/>
  <c r="S836" i="14"/>
  <c r="J836" i="14"/>
  <c r="I836" i="14"/>
  <c r="D836" i="14"/>
  <c r="C836" i="14"/>
  <c r="B836" i="14"/>
  <c r="W835" i="14"/>
  <c r="U835" i="14"/>
  <c r="V835" i="14" s="1"/>
  <c r="T835" i="14"/>
  <c r="S835" i="14"/>
  <c r="J835" i="14"/>
  <c r="I835" i="14"/>
  <c r="D835" i="14"/>
  <c r="C835" i="14"/>
  <c r="B835" i="14"/>
  <c r="W834" i="14"/>
  <c r="U834" i="14"/>
  <c r="V834" i="14" s="1"/>
  <c r="T834" i="14"/>
  <c r="S834" i="14"/>
  <c r="J834" i="14"/>
  <c r="I834" i="14"/>
  <c r="D834" i="14"/>
  <c r="C834" i="14"/>
  <c r="B834" i="14"/>
  <c r="W833" i="14"/>
  <c r="U833" i="14"/>
  <c r="V833" i="14" s="1"/>
  <c r="T833" i="14"/>
  <c r="S833" i="14"/>
  <c r="J833" i="14"/>
  <c r="I833" i="14"/>
  <c r="D833" i="14"/>
  <c r="C833" i="14"/>
  <c r="B833" i="14"/>
  <c r="W832" i="14"/>
  <c r="U832" i="14"/>
  <c r="V832" i="14" s="1"/>
  <c r="T832" i="14"/>
  <c r="S832" i="14"/>
  <c r="J832" i="14"/>
  <c r="I832" i="14"/>
  <c r="D832" i="14"/>
  <c r="C832" i="14"/>
  <c r="B832" i="14"/>
  <c r="W831" i="14"/>
  <c r="U831" i="14"/>
  <c r="V831" i="14" s="1"/>
  <c r="T831" i="14"/>
  <c r="S831" i="14"/>
  <c r="J831" i="14"/>
  <c r="I831" i="14"/>
  <c r="D831" i="14"/>
  <c r="C831" i="14"/>
  <c r="B831" i="14"/>
  <c r="W830" i="14"/>
  <c r="U830" i="14"/>
  <c r="V830" i="14" s="1"/>
  <c r="T830" i="14"/>
  <c r="S830" i="14"/>
  <c r="J830" i="14"/>
  <c r="I830" i="14"/>
  <c r="D830" i="14"/>
  <c r="C830" i="14"/>
  <c r="B830" i="14"/>
  <c r="W829" i="14"/>
  <c r="U829" i="14"/>
  <c r="V829" i="14" s="1"/>
  <c r="T829" i="14"/>
  <c r="S829" i="14"/>
  <c r="J829" i="14"/>
  <c r="I829" i="14"/>
  <c r="D829" i="14"/>
  <c r="C829" i="14"/>
  <c r="B829" i="14"/>
  <c r="W828" i="14"/>
  <c r="U828" i="14"/>
  <c r="V828" i="14" s="1"/>
  <c r="T828" i="14"/>
  <c r="S828" i="14"/>
  <c r="J828" i="14"/>
  <c r="I828" i="14"/>
  <c r="D828" i="14"/>
  <c r="C828" i="14"/>
  <c r="B828" i="14"/>
  <c r="W827" i="14"/>
  <c r="U827" i="14"/>
  <c r="V827" i="14" s="1"/>
  <c r="T827" i="14"/>
  <c r="S827" i="14"/>
  <c r="J827" i="14"/>
  <c r="I827" i="14"/>
  <c r="D827" i="14"/>
  <c r="C827" i="14"/>
  <c r="B827" i="14"/>
  <c r="W826" i="14"/>
  <c r="U826" i="14"/>
  <c r="V826" i="14" s="1"/>
  <c r="T826" i="14"/>
  <c r="S826" i="14"/>
  <c r="J826" i="14"/>
  <c r="I826" i="14"/>
  <c r="D826" i="14"/>
  <c r="C826" i="14"/>
  <c r="B826" i="14"/>
  <c r="W825" i="14"/>
  <c r="U825" i="14"/>
  <c r="V825" i="14" s="1"/>
  <c r="T825" i="14"/>
  <c r="S825" i="14"/>
  <c r="J825" i="14"/>
  <c r="I825" i="14"/>
  <c r="D825" i="14"/>
  <c r="C825" i="14"/>
  <c r="B825" i="14"/>
  <c r="W824" i="14"/>
  <c r="U824" i="14"/>
  <c r="V824" i="14" s="1"/>
  <c r="T824" i="14"/>
  <c r="S824" i="14"/>
  <c r="J824" i="14"/>
  <c r="I824" i="14"/>
  <c r="D824" i="14"/>
  <c r="C824" i="14"/>
  <c r="B824" i="14"/>
  <c r="W823" i="14"/>
  <c r="U823" i="14"/>
  <c r="V823" i="14" s="1"/>
  <c r="T823" i="14"/>
  <c r="S823" i="14"/>
  <c r="J823" i="14"/>
  <c r="I823" i="14"/>
  <c r="D823" i="14"/>
  <c r="C823" i="14"/>
  <c r="B823" i="14"/>
  <c r="W822" i="14"/>
  <c r="U822" i="14"/>
  <c r="V822" i="14" s="1"/>
  <c r="T822" i="14"/>
  <c r="S822" i="14"/>
  <c r="J822" i="14"/>
  <c r="I822" i="14"/>
  <c r="D822" i="14"/>
  <c r="C822" i="14"/>
  <c r="B822" i="14"/>
  <c r="W821" i="14"/>
  <c r="U821" i="14"/>
  <c r="V821" i="14" s="1"/>
  <c r="T821" i="14"/>
  <c r="S821" i="14"/>
  <c r="J821" i="14"/>
  <c r="I821" i="14"/>
  <c r="D821" i="14"/>
  <c r="C821" i="14"/>
  <c r="B821" i="14"/>
  <c r="W820" i="14"/>
  <c r="U820" i="14"/>
  <c r="V820" i="14" s="1"/>
  <c r="T820" i="14"/>
  <c r="S820" i="14"/>
  <c r="J820" i="14"/>
  <c r="I820" i="14"/>
  <c r="D820" i="14"/>
  <c r="C820" i="14"/>
  <c r="B820" i="14"/>
  <c r="W819" i="14"/>
  <c r="U819" i="14"/>
  <c r="V819" i="14" s="1"/>
  <c r="T819" i="14"/>
  <c r="S819" i="14"/>
  <c r="J819" i="14"/>
  <c r="I819" i="14"/>
  <c r="D819" i="14"/>
  <c r="C819" i="14"/>
  <c r="B819" i="14"/>
  <c r="W818" i="14"/>
  <c r="U818" i="14"/>
  <c r="V818" i="14" s="1"/>
  <c r="T818" i="14"/>
  <c r="S818" i="14"/>
  <c r="J818" i="14"/>
  <c r="I818" i="14"/>
  <c r="D818" i="14"/>
  <c r="C818" i="14"/>
  <c r="B818" i="14"/>
  <c r="W817" i="14"/>
  <c r="U817" i="14"/>
  <c r="V817" i="14" s="1"/>
  <c r="T817" i="14"/>
  <c r="S817" i="14"/>
  <c r="J817" i="14"/>
  <c r="I817" i="14"/>
  <c r="D817" i="14"/>
  <c r="C817" i="14"/>
  <c r="B817" i="14"/>
  <c r="W816" i="14"/>
  <c r="U816" i="14"/>
  <c r="V816" i="14" s="1"/>
  <c r="T816" i="14"/>
  <c r="S816" i="14"/>
  <c r="J816" i="14"/>
  <c r="I816" i="14"/>
  <c r="D816" i="14"/>
  <c r="C816" i="14"/>
  <c r="B816" i="14"/>
  <c r="W815" i="14"/>
  <c r="U815" i="14"/>
  <c r="V815" i="14" s="1"/>
  <c r="T815" i="14"/>
  <c r="S815" i="14"/>
  <c r="J815" i="14"/>
  <c r="I815" i="14"/>
  <c r="D815" i="14"/>
  <c r="C815" i="14"/>
  <c r="B815" i="14"/>
  <c r="W814" i="14"/>
  <c r="U814" i="14"/>
  <c r="V814" i="14" s="1"/>
  <c r="T814" i="14"/>
  <c r="S814" i="14"/>
  <c r="J814" i="14"/>
  <c r="I814" i="14"/>
  <c r="D814" i="14"/>
  <c r="C814" i="14"/>
  <c r="B814" i="14"/>
  <c r="W813" i="14"/>
  <c r="U813" i="14"/>
  <c r="V813" i="14" s="1"/>
  <c r="T813" i="14"/>
  <c r="S813" i="14"/>
  <c r="J813" i="14"/>
  <c r="I813" i="14"/>
  <c r="D813" i="14"/>
  <c r="C813" i="14"/>
  <c r="B813" i="14"/>
  <c r="W812" i="14"/>
  <c r="U812" i="14"/>
  <c r="V812" i="14" s="1"/>
  <c r="T812" i="14"/>
  <c r="S812" i="14"/>
  <c r="J812" i="14"/>
  <c r="I812" i="14"/>
  <c r="D812" i="14"/>
  <c r="C812" i="14"/>
  <c r="B812" i="14"/>
  <c r="W811" i="14"/>
  <c r="U811" i="14"/>
  <c r="V811" i="14" s="1"/>
  <c r="T811" i="14"/>
  <c r="S811" i="14"/>
  <c r="J811" i="14"/>
  <c r="I811" i="14"/>
  <c r="D811" i="14"/>
  <c r="C811" i="14"/>
  <c r="B811" i="14"/>
  <c r="W810" i="14"/>
  <c r="U810" i="14"/>
  <c r="V810" i="14" s="1"/>
  <c r="T810" i="14"/>
  <c r="S810" i="14"/>
  <c r="J810" i="14"/>
  <c r="I810" i="14"/>
  <c r="D810" i="14"/>
  <c r="C810" i="14"/>
  <c r="B810" i="14"/>
  <c r="W809" i="14"/>
  <c r="U809" i="14"/>
  <c r="V809" i="14" s="1"/>
  <c r="T809" i="14"/>
  <c r="S809" i="14"/>
  <c r="J809" i="14"/>
  <c r="I809" i="14"/>
  <c r="D809" i="14"/>
  <c r="C809" i="14"/>
  <c r="B809" i="14"/>
  <c r="Z808" i="14"/>
  <c r="W808" i="14"/>
  <c r="U808" i="14"/>
  <c r="V808" i="14" s="1"/>
  <c r="T808" i="14"/>
  <c r="S808" i="14"/>
  <c r="J808" i="14"/>
  <c r="I808" i="14"/>
  <c r="D808" i="14"/>
  <c r="C808" i="14"/>
  <c r="B808" i="14"/>
  <c r="Z807" i="14"/>
  <c r="W807" i="14"/>
  <c r="U807" i="14"/>
  <c r="V807" i="14" s="1"/>
  <c r="T807" i="14"/>
  <c r="S807" i="14"/>
  <c r="J807" i="14"/>
  <c r="I807" i="14"/>
  <c r="D807" i="14"/>
  <c r="C807" i="14"/>
  <c r="B807" i="14"/>
  <c r="Z806" i="14"/>
  <c r="W806" i="14"/>
  <c r="U806" i="14"/>
  <c r="V806" i="14" s="1"/>
  <c r="T806" i="14"/>
  <c r="S806" i="14"/>
  <c r="J806" i="14"/>
  <c r="I806" i="14"/>
  <c r="D806" i="14"/>
  <c r="C806" i="14"/>
  <c r="B806" i="14"/>
  <c r="Z805" i="14"/>
  <c r="W805" i="14"/>
  <c r="U805" i="14"/>
  <c r="V805" i="14" s="1"/>
  <c r="T805" i="14"/>
  <c r="S805" i="14"/>
  <c r="J805" i="14"/>
  <c r="I805" i="14"/>
  <c r="D805" i="14"/>
  <c r="C805" i="14"/>
  <c r="B805" i="14"/>
  <c r="Z804" i="14"/>
  <c r="W804" i="14"/>
  <c r="U804" i="14"/>
  <c r="V804" i="14" s="1"/>
  <c r="T804" i="14"/>
  <c r="S804" i="14"/>
  <c r="J804" i="14"/>
  <c r="I804" i="14"/>
  <c r="D804" i="14"/>
  <c r="C804" i="14"/>
  <c r="B804" i="14"/>
  <c r="Z803" i="14"/>
  <c r="W803" i="14"/>
  <c r="U803" i="14"/>
  <c r="V803" i="14" s="1"/>
  <c r="T803" i="14"/>
  <c r="S803" i="14"/>
  <c r="J803" i="14"/>
  <c r="I803" i="14"/>
  <c r="D803" i="14"/>
  <c r="C803" i="14"/>
  <c r="B803" i="14"/>
  <c r="Z802" i="14"/>
  <c r="W802" i="14"/>
  <c r="U802" i="14"/>
  <c r="V802" i="14" s="1"/>
  <c r="T802" i="14"/>
  <c r="S802" i="14"/>
  <c r="J802" i="14"/>
  <c r="I802" i="14"/>
  <c r="D802" i="14"/>
  <c r="C802" i="14"/>
  <c r="B802" i="14"/>
  <c r="Z801" i="14"/>
  <c r="W801" i="14"/>
  <c r="U801" i="14"/>
  <c r="V801" i="14" s="1"/>
  <c r="T801" i="14"/>
  <c r="S801" i="14"/>
  <c r="J801" i="14"/>
  <c r="I801" i="14"/>
  <c r="D801" i="14"/>
  <c r="C801" i="14"/>
  <c r="B801" i="14"/>
  <c r="Z800" i="14"/>
  <c r="W800" i="14"/>
  <c r="U800" i="14"/>
  <c r="V800" i="14" s="1"/>
  <c r="T800" i="14"/>
  <c r="S800" i="14"/>
  <c r="J800" i="14"/>
  <c r="I800" i="14"/>
  <c r="D800" i="14"/>
  <c r="C800" i="14"/>
  <c r="B800" i="14"/>
  <c r="Z799" i="14"/>
  <c r="W799" i="14"/>
  <c r="U799" i="14"/>
  <c r="V799" i="14" s="1"/>
  <c r="T799" i="14"/>
  <c r="S799" i="14"/>
  <c r="J799" i="14"/>
  <c r="I799" i="14"/>
  <c r="D799" i="14"/>
  <c r="C799" i="14"/>
  <c r="B799" i="14"/>
  <c r="Z798" i="14"/>
  <c r="W798" i="14"/>
  <c r="U798" i="14"/>
  <c r="V798" i="14" s="1"/>
  <c r="T798" i="14"/>
  <c r="S798" i="14"/>
  <c r="J798" i="14"/>
  <c r="I798" i="14"/>
  <c r="D798" i="14"/>
  <c r="C798" i="14"/>
  <c r="B798" i="14"/>
  <c r="Z797" i="14"/>
  <c r="W797" i="14"/>
  <c r="U797" i="14"/>
  <c r="V797" i="14" s="1"/>
  <c r="T797" i="14"/>
  <c r="S797" i="14"/>
  <c r="J797" i="14"/>
  <c r="I797" i="14"/>
  <c r="D797" i="14"/>
  <c r="C797" i="14"/>
  <c r="B797" i="14"/>
  <c r="Z796" i="14"/>
  <c r="W796" i="14"/>
  <c r="U796" i="14"/>
  <c r="V796" i="14" s="1"/>
  <c r="T796" i="14"/>
  <c r="S796" i="14"/>
  <c r="J796" i="14"/>
  <c r="I796" i="14"/>
  <c r="D796" i="14"/>
  <c r="C796" i="14"/>
  <c r="B796" i="14"/>
  <c r="Z795" i="14"/>
  <c r="W795" i="14"/>
  <c r="U795" i="14"/>
  <c r="V795" i="14" s="1"/>
  <c r="T795" i="14"/>
  <c r="S795" i="14"/>
  <c r="J795" i="14"/>
  <c r="I795" i="14"/>
  <c r="D795" i="14"/>
  <c r="C795" i="14"/>
  <c r="B795" i="14"/>
  <c r="Z794" i="14"/>
  <c r="W794" i="14"/>
  <c r="U794" i="14"/>
  <c r="V794" i="14" s="1"/>
  <c r="T794" i="14"/>
  <c r="S794" i="14"/>
  <c r="J794" i="14"/>
  <c r="I794" i="14"/>
  <c r="D794" i="14"/>
  <c r="C794" i="14"/>
  <c r="B794" i="14"/>
  <c r="Z793" i="14"/>
  <c r="W793" i="14"/>
  <c r="U793" i="14"/>
  <c r="V793" i="14" s="1"/>
  <c r="T793" i="14"/>
  <c r="S793" i="14"/>
  <c r="J793" i="14"/>
  <c r="I793" i="14"/>
  <c r="D793" i="14"/>
  <c r="C793" i="14"/>
  <c r="B793" i="14"/>
  <c r="Z792" i="14"/>
  <c r="W792" i="14"/>
  <c r="U792" i="14"/>
  <c r="V792" i="14" s="1"/>
  <c r="T792" i="14"/>
  <c r="S792" i="14"/>
  <c r="J792" i="14"/>
  <c r="I792" i="14"/>
  <c r="D792" i="14"/>
  <c r="C792" i="14"/>
  <c r="B792" i="14"/>
  <c r="Z791" i="14"/>
  <c r="W791" i="14"/>
  <c r="U791" i="14"/>
  <c r="V791" i="14" s="1"/>
  <c r="T791" i="14"/>
  <c r="S791" i="14"/>
  <c r="J791" i="14"/>
  <c r="I791" i="14"/>
  <c r="D791" i="14"/>
  <c r="C791" i="14"/>
  <c r="B791" i="14"/>
  <c r="Z790" i="14"/>
  <c r="W790" i="14"/>
  <c r="U790" i="14"/>
  <c r="V790" i="14" s="1"/>
  <c r="T790" i="14"/>
  <c r="S790" i="14"/>
  <c r="J790" i="14"/>
  <c r="I790" i="14"/>
  <c r="D790" i="14"/>
  <c r="C790" i="14"/>
  <c r="B790" i="14"/>
  <c r="Z789" i="14"/>
  <c r="W789" i="14"/>
  <c r="U789" i="14"/>
  <c r="V789" i="14" s="1"/>
  <c r="T789" i="14"/>
  <c r="S789" i="14"/>
  <c r="J789" i="14"/>
  <c r="I789" i="14"/>
  <c r="D789" i="14"/>
  <c r="C789" i="14"/>
  <c r="B789" i="14"/>
  <c r="Z788" i="14"/>
  <c r="W788" i="14"/>
  <c r="U788" i="14"/>
  <c r="V788" i="14" s="1"/>
  <c r="T788" i="14"/>
  <c r="S788" i="14"/>
  <c r="J788" i="14"/>
  <c r="I788" i="14"/>
  <c r="D788" i="14"/>
  <c r="C788" i="14"/>
  <c r="B788" i="14"/>
  <c r="Z787" i="14"/>
  <c r="W787" i="14"/>
  <c r="U787" i="14"/>
  <c r="V787" i="14" s="1"/>
  <c r="T787" i="14"/>
  <c r="S787" i="14"/>
  <c r="J787" i="14"/>
  <c r="I787" i="14"/>
  <c r="D787" i="14"/>
  <c r="C787" i="14"/>
  <c r="B787" i="14"/>
  <c r="Z786" i="14"/>
  <c r="W786" i="14"/>
  <c r="U786" i="14"/>
  <c r="V786" i="14" s="1"/>
  <c r="T786" i="14"/>
  <c r="S786" i="14"/>
  <c r="J786" i="14"/>
  <c r="I786" i="14"/>
  <c r="D786" i="14"/>
  <c r="C786" i="14"/>
  <c r="B786" i="14"/>
  <c r="Z785" i="14"/>
  <c r="W785" i="14"/>
  <c r="U785" i="14"/>
  <c r="V785" i="14" s="1"/>
  <c r="T785" i="14"/>
  <c r="S785" i="14"/>
  <c r="J785" i="14"/>
  <c r="I785" i="14"/>
  <c r="D785" i="14"/>
  <c r="C785" i="14"/>
  <c r="B785" i="14"/>
  <c r="Z784" i="14"/>
  <c r="W784" i="14"/>
  <c r="U784" i="14"/>
  <c r="V784" i="14" s="1"/>
  <c r="T784" i="14"/>
  <c r="S784" i="14"/>
  <c r="J784" i="14"/>
  <c r="I784" i="14"/>
  <c r="D784" i="14"/>
  <c r="C784" i="14"/>
  <c r="B784" i="14"/>
  <c r="Z783" i="14"/>
  <c r="W783" i="14"/>
  <c r="U783" i="14"/>
  <c r="V783" i="14" s="1"/>
  <c r="T783" i="14"/>
  <c r="S783" i="14"/>
  <c r="J783" i="14"/>
  <c r="I783" i="14"/>
  <c r="D783" i="14"/>
  <c r="C783" i="14"/>
  <c r="B783" i="14"/>
  <c r="Z782" i="14"/>
  <c r="W782" i="14"/>
  <c r="U782" i="14"/>
  <c r="V782" i="14" s="1"/>
  <c r="T782" i="14"/>
  <c r="S782" i="14"/>
  <c r="J782" i="14"/>
  <c r="I782" i="14"/>
  <c r="D782" i="14"/>
  <c r="C782" i="14"/>
  <c r="B782" i="14"/>
  <c r="Z781" i="14"/>
  <c r="W781" i="14"/>
  <c r="U781" i="14"/>
  <c r="V781" i="14" s="1"/>
  <c r="T781" i="14"/>
  <c r="S781" i="14"/>
  <c r="J781" i="14"/>
  <c r="I781" i="14"/>
  <c r="D781" i="14"/>
  <c r="C781" i="14"/>
  <c r="B781" i="14"/>
  <c r="Z780" i="14"/>
  <c r="W780" i="14"/>
  <c r="U780" i="14"/>
  <c r="V780" i="14" s="1"/>
  <c r="T780" i="14"/>
  <c r="S780" i="14"/>
  <c r="J780" i="14"/>
  <c r="I780" i="14"/>
  <c r="D780" i="14"/>
  <c r="C780" i="14"/>
  <c r="B780" i="14"/>
  <c r="Z779" i="14"/>
  <c r="W779" i="14"/>
  <c r="U779" i="14"/>
  <c r="V779" i="14" s="1"/>
  <c r="T779" i="14"/>
  <c r="S779" i="14"/>
  <c r="J779" i="14"/>
  <c r="I779" i="14"/>
  <c r="D779" i="14"/>
  <c r="C779" i="14"/>
  <c r="B779" i="14"/>
  <c r="Z778" i="14"/>
  <c r="W778" i="14"/>
  <c r="U778" i="14"/>
  <c r="V778" i="14" s="1"/>
  <c r="T778" i="14"/>
  <c r="S778" i="14"/>
  <c r="J778" i="14"/>
  <c r="I778" i="14"/>
  <c r="D778" i="14"/>
  <c r="C778" i="14"/>
  <c r="B778" i="14"/>
  <c r="Z777" i="14"/>
  <c r="W777" i="14"/>
  <c r="U777" i="14"/>
  <c r="V777" i="14" s="1"/>
  <c r="T777" i="14"/>
  <c r="S777" i="14"/>
  <c r="J777" i="14"/>
  <c r="I777" i="14"/>
  <c r="D777" i="14"/>
  <c r="C777" i="14"/>
  <c r="B777" i="14"/>
  <c r="Z776" i="14"/>
  <c r="W776" i="14"/>
  <c r="U776" i="14"/>
  <c r="V776" i="14" s="1"/>
  <c r="T776" i="14"/>
  <c r="S776" i="14"/>
  <c r="J776" i="14"/>
  <c r="I776" i="14"/>
  <c r="D776" i="14"/>
  <c r="C776" i="14"/>
  <c r="B776" i="14"/>
  <c r="Z775" i="14"/>
  <c r="W775" i="14"/>
  <c r="U775" i="14"/>
  <c r="V775" i="14" s="1"/>
  <c r="T775" i="14"/>
  <c r="S775" i="14"/>
  <c r="J775" i="14"/>
  <c r="I775" i="14"/>
  <c r="D775" i="14"/>
  <c r="C775" i="14"/>
  <c r="B775" i="14"/>
  <c r="Z774" i="14"/>
  <c r="W774" i="14"/>
  <c r="U774" i="14"/>
  <c r="V774" i="14" s="1"/>
  <c r="T774" i="14"/>
  <c r="S774" i="14"/>
  <c r="J774" i="14"/>
  <c r="I774" i="14"/>
  <c r="D774" i="14"/>
  <c r="C774" i="14"/>
  <c r="B774" i="14"/>
  <c r="Z773" i="14"/>
  <c r="W773" i="14"/>
  <c r="U773" i="14"/>
  <c r="V773" i="14" s="1"/>
  <c r="T773" i="14"/>
  <c r="S773" i="14"/>
  <c r="J773" i="14"/>
  <c r="I773" i="14"/>
  <c r="D773" i="14"/>
  <c r="C773" i="14"/>
  <c r="B773" i="14"/>
  <c r="Z772" i="14"/>
  <c r="W772" i="14"/>
  <c r="U772" i="14"/>
  <c r="V772" i="14" s="1"/>
  <c r="T772" i="14"/>
  <c r="S772" i="14"/>
  <c r="J772" i="14"/>
  <c r="I772" i="14"/>
  <c r="D772" i="14"/>
  <c r="C772" i="14"/>
  <c r="B772" i="14"/>
  <c r="Z771" i="14"/>
  <c r="W771" i="14"/>
  <c r="U771" i="14"/>
  <c r="V771" i="14" s="1"/>
  <c r="T771" i="14"/>
  <c r="S771" i="14"/>
  <c r="J771" i="14"/>
  <c r="I771" i="14"/>
  <c r="D771" i="14"/>
  <c r="C771" i="14"/>
  <c r="B771" i="14"/>
  <c r="Z770" i="14"/>
  <c r="W770" i="14"/>
  <c r="U770" i="14"/>
  <c r="V770" i="14" s="1"/>
  <c r="T770" i="14"/>
  <c r="S770" i="14"/>
  <c r="J770" i="14"/>
  <c r="I770" i="14"/>
  <c r="D770" i="14"/>
  <c r="C770" i="14"/>
  <c r="B770" i="14"/>
  <c r="Z769" i="14"/>
  <c r="W769" i="14"/>
  <c r="U769" i="14"/>
  <c r="V769" i="14" s="1"/>
  <c r="T769" i="14"/>
  <c r="S769" i="14"/>
  <c r="J769" i="14"/>
  <c r="I769" i="14"/>
  <c r="D769" i="14"/>
  <c r="C769" i="14"/>
  <c r="B769" i="14"/>
  <c r="Z768" i="14"/>
  <c r="W768" i="14"/>
  <c r="U768" i="14"/>
  <c r="V768" i="14" s="1"/>
  <c r="T768" i="14"/>
  <c r="S768" i="14"/>
  <c r="J768" i="14"/>
  <c r="I768" i="14"/>
  <c r="D768" i="14"/>
  <c r="C768" i="14"/>
  <c r="B768" i="14"/>
  <c r="Z767" i="14"/>
  <c r="W767" i="14"/>
  <c r="U767" i="14"/>
  <c r="V767" i="14" s="1"/>
  <c r="T767" i="14"/>
  <c r="S767" i="14"/>
  <c r="J767" i="14"/>
  <c r="I767" i="14"/>
  <c r="D767" i="14"/>
  <c r="C767" i="14"/>
  <c r="B767" i="14"/>
  <c r="Z766" i="14"/>
  <c r="W766" i="14"/>
  <c r="U766" i="14"/>
  <c r="V766" i="14" s="1"/>
  <c r="T766" i="14"/>
  <c r="S766" i="14"/>
  <c r="J766" i="14"/>
  <c r="I766" i="14"/>
  <c r="D766" i="14"/>
  <c r="C766" i="14"/>
  <c r="B766" i="14"/>
  <c r="Z765" i="14"/>
  <c r="W765" i="14"/>
  <c r="U765" i="14"/>
  <c r="V765" i="14" s="1"/>
  <c r="T765" i="14"/>
  <c r="S765" i="14"/>
  <c r="J765" i="14"/>
  <c r="I765" i="14"/>
  <c r="D765" i="14"/>
  <c r="C765" i="14"/>
  <c r="B765" i="14"/>
  <c r="Z764" i="14"/>
  <c r="W764" i="14"/>
  <c r="U764" i="14"/>
  <c r="V764" i="14" s="1"/>
  <c r="T764" i="14"/>
  <c r="S764" i="14"/>
  <c r="J764" i="14"/>
  <c r="I764" i="14"/>
  <c r="D764" i="14"/>
  <c r="C764" i="14"/>
  <c r="B764" i="14"/>
  <c r="Z763" i="14"/>
  <c r="W763" i="14"/>
  <c r="U763" i="14"/>
  <c r="V763" i="14" s="1"/>
  <c r="T763" i="14"/>
  <c r="S763" i="14"/>
  <c r="J763" i="14"/>
  <c r="I763" i="14"/>
  <c r="D763" i="14"/>
  <c r="C763" i="14"/>
  <c r="B763" i="14"/>
  <c r="Z762" i="14"/>
  <c r="W762" i="14"/>
  <c r="U762" i="14"/>
  <c r="V762" i="14" s="1"/>
  <c r="T762" i="14"/>
  <c r="S762" i="14"/>
  <c r="J762" i="14"/>
  <c r="I762" i="14"/>
  <c r="D762" i="14"/>
  <c r="C762" i="14"/>
  <c r="B762" i="14"/>
  <c r="Z761" i="14"/>
  <c r="W761" i="14"/>
  <c r="U761" i="14"/>
  <c r="V761" i="14" s="1"/>
  <c r="T761" i="14"/>
  <c r="S761" i="14"/>
  <c r="J761" i="14"/>
  <c r="I761" i="14"/>
  <c r="D761" i="14"/>
  <c r="C761" i="14"/>
  <c r="B761" i="14"/>
  <c r="Z760" i="14"/>
  <c r="W760" i="14"/>
  <c r="U760" i="14"/>
  <c r="V760" i="14" s="1"/>
  <c r="T760" i="14"/>
  <c r="S760" i="14"/>
  <c r="J760" i="14"/>
  <c r="I760" i="14"/>
  <c r="D760" i="14"/>
  <c r="C760" i="14"/>
  <c r="B760" i="14"/>
  <c r="Z759" i="14"/>
  <c r="W759" i="14"/>
  <c r="U759" i="14"/>
  <c r="V759" i="14" s="1"/>
  <c r="T759" i="14"/>
  <c r="S759" i="14"/>
  <c r="J759" i="14"/>
  <c r="I759" i="14"/>
  <c r="D759" i="14"/>
  <c r="C759" i="14"/>
  <c r="B759" i="14"/>
  <c r="Z758" i="14"/>
  <c r="W758" i="14"/>
  <c r="U758" i="14"/>
  <c r="V758" i="14" s="1"/>
  <c r="T758" i="14"/>
  <c r="S758" i="14"/>
  <c r="J758" i="14"/>
  <c r="I758" i="14"/>
  <c r="D758" i="14"/>
  <c r="C758" i="14"/>
  <c r="B758" i="14"/>
  <c r="Z757" i="14"/>
  <c r="W757" i="14"/>
  <c r="U757" i="14"/>
  <c r="V757" i="14" s="1"/>
  <c r="T757" i="14"/>
  <c r="S757" i="14"/>
  <c r="J757" i="14"/>
  <c r="I757" i="14"/>
  <c r="D757" i="14"/>
  <c r="C757" i="14"/>
  <c r="B757" i="14"/>
  <c r="Z756" i="14"/>
  <c r="W756" i="14"/>
  <c r="U756" i="14"/>
  <c r="V756" i="14" s="1"/>
  <c r="T756" i="14"/>
  <c r="S756" i="14"/>
  <c r="J756" i="14"/>
  <c r="I756" i="14"/>
  <c r="D756" i="14"/>
  <c r="C756" i="14"/>
  <c r="B756" i="14"/>
  <c r="Z755" i="14"/>
  <c r="W755" i="14"/>
  <c r="U755" i="14"/>
  <c r="V755" i="14" s="1"/>
  <c r="T755" i="14"/>
  <c r="S755" i="14"/>
  <c r="J755" i="14"/>
  <c r="I755" i="14"/>
  <c r="D755" i="14"/>
  <c r="C755" i="14"/>
  <c r="B755" i="14"/>
  <c r="Z754" i="14"/>
  <c r="W754" i="14"/>
  <c r="U754" i="14"/>
  <c r="V754" i="14" s="1"/>
  <c r="T754" i="14"/>
  <c r="S754" i="14"/>
  <c r="J754" i="14"/>
  <c r="I754" i="14"/>
  <c r="D754" i="14"/>
  <c r="C754" i="14"/>
  <c r="B754" i="14"/>
  <c r="Z753" i="14"/>
  <c r="W753" i="14"/>
  <c r="U753" i="14"/>
  <c r="V753" i="14" s="1"/>
  <c r="T753" i="14"/>
  <c r="S753" i="14"/>
  <c r="J753" i="14"/>
  <c r="I753" i="14"/>
  <c r="D753" i="14"/>
  <c r="C753" i="14"/>
  <c r="B753" i="14"/>
  <c r="Z752" i="14"/>
  <c r="W752" i="14"/>
  <c r="U752" i="14"/>
  <c r="V752" i="14" s="1"/>
  <c r="T752" i="14"/>
  <c r="S752" i="14"/>
  <c r="J752" i="14"/>
  <c r="I752" i="14"/>
  <c r="D752" i="14"/>
  <c r="C752" i="14"/>
  <c r="B752" i="14"/>
  <c r="Z751" i="14"/>
  <c r="W751" i="14"/>
  <c r="U751" i="14"/>
  <c r="V751" i="14" s="1"/>
  <c r="T751" i="14"/>
  <c r="S751" i="14"/>
  <c r="J751" i="14"/>
  <c r="I751" i="14"/>
  <c r="D751" i="14"/>
  <c r="C751" i="14"/>
  <c r="B751" i="14"/>
  <c r="Z750" i="14"/>
  <c r="W750" i="14"/>
  <c r="U750" i="14"/>
  <c r="V750" i="14" s="1"/>
  <c r="T750" i="14"/>
  <c r="S750" i="14"/>
  <c r="J750" i="14"/>
  <c r="I750" i="14"/>
  <c r="D750" i="14"/>
  <c r="C750" i="14"/>
  <c r="B750" i="14"/>
  <c r="Z749" i="14"/>
  <c r="W749" i="14"/>
  <c r="U749" i="14"/>
  <c r="V749" i="14" s="1"/>
  <c r="T749" i="14"/>
  <c r="S749" i="14"/>
  <c r="J749" i="14"/>
  <c r="I749" i="14"/>
  <c r="D749" i="14"/>
  <c r="C749" i="14"/>
  <c r="B749" i="14"/>
  <c r="Z748" i="14"/>
  <c r="W748" i="14"/>
  <c r="U748" i="14"/>
  <c r="V748" i="14" s="1"/>
  <c r="T748" i="14"/>
  <c r="S748" i="14"/>
  <c r="J748" i="14"/>
  <c r="I748" i="14"/>
  <c r="D748" i="14"/>
  <c r="C748" i="14"/>
  <c r="B748" i="14"/>
  <c r="Z747" i="14"/>
  <c r="W747" i="14"/>
  <c r="U747" i="14"/>
  <c r="V747" i="14" s="1"/>
  <c r="T747" i="14"/>
  <c r="S747" i="14"/>
  <c r="J747" i="14"/>
  <c r="I747" i="14"/>
  <c r="D747" i="14"/>
  <c r="C747" i="14"/>
  <c r="B747" i="14"/>
  <c r="Z746" i="14"/>
  <c r="W746" i="14"/>
  <c r="U746" i="14"/>
  <c r="V746" i="14" s="1"/>
  <c r="T746" i="14"/>
  <c r="S746" i="14"/>
  <c r="J746" i="14"/>
  <c r="I746" i="14"/>
  <c r="D746" i="14"/>
  <c r="C746" i="14"/>
  <c r="B746" i="14"/>
  <c r="Z745" i="14"/>
  <c r="W745" i="14"/>
  <c r="U745" i="14"/>
  <c r="V745" i="14" s="1"/>
  <c r="T745" i="14"/>
  <c r="S745" i="14"/>
  <c r="J745" i="14"/>
  <c r="I745" i="14"/>
  <c r="D745" i="14"/>
  <c r="C745" i="14"/>
  <c r="B745" i="14"/>
  <c r="Z744" i="14"/>
  <c r="W744" i="14"/>
  <c r="U744" i="14"/>
  <c r="V744" i="14" s="1"/>
  <c r="T744" i="14"/>
  <c r="S744" i="14"/>
  <c r="J744" i="14"/>
  <c r="I744" i="14"/>
  <c r="D744" i="14"/>
  <c r="C744" i="14"/>
  <c r="B744" i="14"/>
  <c r="Z743" i="14"/>
  <c r="W743" i="14"/>
  <c r="U743" i="14"/>
  <c r="V743" i="14" s="1"/>
  <c r="T743" i="14"/>
  <c r="S743" i="14"/>
  <c r="J743" i="14"/>
  <c r="I743" i="14"/>
  <c r="D743" i="14"/>
  <c r="C743" i="14"/>
  <c r="B743" i="14"/>
  <c r="Z742" i="14"/>
  <c r="W742" i="14"/>
  <c r="U742" i="14"/>
  <c r="V742" i="14" s="1"/>
  <c r="T742" i="14"/>
  <c r="S742" i="14"/>
  <c r="J742" i="14"/>
  <c r="I742" i="14"/>
  <c r="D742" i="14"/>
  <c r="C742" i="14"/>
  <c r="B742" i="14"/>
  <c r="Z741" i="14"/>
  <c r="W741" i="14"/>
  <c r="U741" i="14"/>
  <c r="V741" i="14" s="1"/>
  <c r="T741" i="14"/>
  <c r="S741" i="14"/>
  <c r="J741" i="14"/>
  <c r="I741" i="14"/>
  <c r="D741" i="14"/>
  <c r="C741" i="14"/>
  <c r="B741" i="14"/>
  <c r="Z740" i="14"/>
  <c r="W740" i="14"/>
  <c r="U740" i="14"/>
  <c r="V740" i="14" s="1"/>
  <c r="T740" i="14"/>
  <c r="S740" i="14"/>
  <c r="J740" i="14"/>
  <c r="I740" i="14"/>
  <c r="D740" i="14"/>
  <c r="C740" i="14"/>
  <c r="B740" i="14"/>
  <c r="Z739" i="14"/>
  <c r="W739" i="14"/>
  <c r="U739" i="14"/>
  <c r="V739" i="14" s="1"/>
  <c r="T739" i="14"/>
  <c r="S739" i="14"/>
  <c r="J739" i="14"/>
  <c r="I739" i="14"/>
  <c r="D739" i="14"/>
  <c r="C739" i="14"/>
  <c r="B739" i="14"/>
  <c r="Z738" i="14"/>
  <c r="W738" i="14"/>
  <c r="U738" i="14"/>
  <c r="V738" i="14" s="1"/>
  <c r="T738" i="14"/>
  <c r="S738" i="14"/>
  <c r="J738" i="14"/>
  <c r="I738" i="14"/>
  <c r="D738" i="14"/>
  <c r="C738" i="14"/>
  <c r="B738" i="14"/>
  <c r="Z737" i="14"/>
  <c r="W737" i="14"/>
  <c r="U737" i="14"/>
  <c r="V737" i="14" s="1"/>
  <c r="T737" i="14"/>
  <c r="S737" i="14"/>
  <c r="J737" i="14"/>
  <c r="I737" i="14"/>
  <c r="D737" i="14"/>
  <c r="C737" i="14"/>
  <c r="B737" i="14"/>
  <c r="Z736" i="14"/>
  <c r="W736" i="14"/>
  <c r="U736" i="14"/>
  <c r="V736" i="14" s="1"/>
  <c r="T736" i="14"/>
  <c r="S736" i="14"/>
  <c r="J736" i="14"/>
  <c r="I736" i="14"/>
  <c r="D736" i="14"/>
  <c r="C736" i="14"/>
  <c r="B736" i="14"/>
  <c r="Z735" i="14"/>
  <c r="W735" i="14"/>
  <c r="U735" i="14"/>
  <c r="V735" i="14" s="1"/>
  <c r="T735" i="14"/>
  <c r="S735" i="14"/>
  <c r="J735" i="14"/>
  <c r="I735" i="14"/>
  <c r="D735" i="14"/>
  <c r="C735" i="14"/>
  <c r="B735" i="14"/>
  <c r="Z734" i="14"/>
  <c r="W734" i="14"/>
  <c r="U734" i="14"/>
  <c r="V734" i="14" s="1"/>
  <c r="T734" i="14"/>
  <c r="S734" i="14"/>
  <c r="J734" i="14"/>
  <c r="I734" i="14"/>
  <c r="D734" i="14"/>
  <c r="C734" i="14"/>
  <c r="B734" i="14"/>
  <c r="Z733" i="14"/>
  <c r="W733" i="14"/>
  <c r="U733" i="14"/>
  <c r="V733" i="14" s="1"/>
  <c r="T733" i="14"/>
  <c r="S733" i="14"/>
  <c r="J733" i="14"/>
  <c r="I733" i="14"/>
  <c r="D733" i="14"/>
  <c r="C733" i="14"/>
  <c r="B733" i="14"/>
  <c r="Z732" i="14"/>
  <c r="W732" i="14"/>
  <c r="U732" i="14"/>
  <c r="V732" i="14" s="1"/>
  <c r="T732" i="14"/>
  <c r="S732" i="14"/>
  <c r="J732" i="14"/>
  <c r="I732" i="14"/>
  <c r="D732" i="14"/>
  <c r="C732" i="14"/>
  <c r="B732" i="14"/>
  <c r="Z731" i="14"/>
  <c r="W731" i="14"/>
  <c r="U731" i="14"/>
  <c r="V731" i="14" s="1"/>
  <c r="T731" i="14"/>
  <c r="S731" i="14"/>
  <c r="J731" i="14"/>
  <c r="I731" i="14"/>
  <c r="D731" i="14"/>
  <c r="C731" i="14"/>
  <c r="B731" i="14"/>
  <c r="Z730" i="14"/>
  <c r="W730" i="14"/>
  <c r="U730" i="14"/>
  <c r="V730" i="14" s="1"/>
  <c r="T730" i="14"/>
  <c r="S730" i="14"/>
  <c r="J730" i="14"/>
  <c r="I730" i="14"/>
  <c r="D730" i="14"/>
  <c r="C730" i="14"/>
  <c r="B730" i="14"/>
  <c r="Z729" i="14"/>
  <c r="W729" i="14"/>
  <c r="U729" i="14"/>
  <c r="V729" i="14" s="1"/>
  <c r="T729" i="14"/>
  <c r="S729" i="14"/>
  <c r="J729" i="14"/>
  <c r="I729" i="14"/>
  <c r="D729" i="14"/>
  <c r="C729" i="14"/>
  <c r="B729" i="14"/>
  <c r="Z728" i="14"/>
  <c r="W728" i="14"/>
  <c r="U728" i="14"/>
  <c r="V728" i="14" s="1"/>
  <c r="T728" i="14"/>
  <c r="S728" i="14"/>
  <c r="J728" i="14"/>
  <c r="I728" i="14"/>
  <c r="D728" i="14"/>
  <c r="C728" i="14"/>
  <c r="B728" i="14"/>
  <c r="Z727" i="14"/>
  <c r="W727" i="14"/>
  <c r="U727" i="14"/>
  <c r="V727" i="14" s="1"/>
  <c r="T727" i="14"/>
  <c r="S727" i="14"/>
  <c r="J727" i="14"/>
  <c r="I727" i="14"/>
  <c r="D727" i="14"/>
  <c r="C727" i="14"/>
  <c r="B727" i="14"/>
  <c r="Z726" i="14"/>
  <c r="W726" i="14"/>
  <c r="U726" i="14"/>
  <c r="V726" i="14" s="1"/>
  <c r="T726" i="14"/>
  <c r="S726" i="14"/>
  <c r="J726" i="14"/>
  <c r="I726" i="14"/>
  <c r="D726" i="14"/>
  <c r="C726" i="14"/>
  <c r="B726" i="14"/>
  <c r="Z725" i="14"/>
  <c r="W725" i="14"/>
  <c r="U725" i="14"/>
  <c r="V725" i="14" s="1"/>
  <c r="T725" i="14"/>
  <c r="S725" i="14"/>
  <c r="J725" i="14"/>
  <c r="I725" i="14"/>
  <c r="D725" i="14"/>
  <c r="C725" i="14"/>
  <c r="B725" i="14"/>
  <c r="Z724" i="14"/>
  <c r="W724" i="14"/>
  <c r="U724" i="14"/>
  <c r="V724" i="14" s="1"/>
  <c r="T724" i="14"/>
  <c r="S724" i="14"/>
  <c r="J724" i="14"/>
  <c r="I724" i="14"/>
  <c r="D724" i="14"/>
  <c r="C724" i="14"/>
  <c r="B724" i="14"/>
  <c r="Z723" i="14"/>
  <c r="W723" i="14"/>
  <c r="U723" i="14"/>
  <c r="V723" i="14" s="1"/>
  <c r="T723" i="14"/>
  <c r="S723" i="14"/>
  <c r="J723" i="14"/>
  <c r="I723" i="14"/>
  <c r="D723" i="14"/>
  <c r="C723" i="14"/>
  <c r="B723" i="14"/>
  <c r="Z722" i="14"/>
  <c r="W722" i="14"/>
  <c r="U722" i="14"/>
  <c r="V722" i="14" s="1"/>
  <c r="T722" i="14"/>
  <c r="S722" i="14"/>
  <c r="J722" i="14"/>
  <c r="I722" i="14"/>
  <c r="D722" i="14"/>
  <c r="C722" i="14"/>
  <c r="B722" i="14"/>
  <c r="Z721" i="14"/>
  <c r="W721" i="14"/>
  <c r="U721" i="14"/>
  <c r="V721" i="14" s="1"/>
  <c r="T721" i="14"/>
  <c r="S721" i="14"/>
  <c r="J721" i="14"/>
  <c r="I721" i="14"/>
  <c r="D721" i="14"/>
  <c r="C721" i="14"/>
  <c r="B721" i="14"/>
  <c r="Z720" i="14"/>
  <c r="W720" i="14"/>
  <c r="U720" i="14"/>
  <c r="V720" i="14" s="1"/>
  <c r="T720" i="14"/>
  <c r="S720" i="14"/>
  <c r="J720" i="14"/>
  <c r="I720" i="14"/>
  <c r="D720" i="14"/>
  <c r="C720" i="14"/>
  <c r="B720" i="14"/>
  <c r="Z719" i="14"/>
  <c r="W719" i="14"/>
  <c r="U719" i="14"/>
  <c r="V719" i="14" s="1"/>
  <c r="T719" i="14"/>
  <c r="S719" i="14"/>
  <c r="J719" i="14"/>
  <c r="I719" i="14"/>
  <c r="D719" i="14"/>
  <c r="C719" i="14"/>
  <c r="B719" i="14"/>
  <c r="Z718" i="14"/>
  <c r="W718" i="14"/>
  <c r="U718" i="14"/>
  <c r="V718" i="14" s="1"/>
  <c r="T718" i="14"/>
  <c r="S718" i="14"/>
  <c r="J718" i="14"/>
  <c r="I718" i="14"/>
  <c r="D718" i="14"/>
  <c r="C718" i="14"/>
  <c r="B718" i="14"/>
  <c r="Z717" i="14"/>
  <c r="W717" i="14"/>
  <c r="U717" i="14"/>
  <c r="V717" i="14" s="1"/>
  <c r="T717" i="14"/>
  <c r="S717" i="14"/>
  <c r="J717" i="14"/>
  <c r="I717" i="14"/>
  <c r="D717" i="14"/>
  <c r="C717" i="14"/>
  <c r="B717" i="14"/>
  <c r="Z716" i="14"/>
  <c r="W716" i="14"/>
  <c r="U716" i="14"/>
  <c r="V716" i="14" s="1"/>
  <c r="T716" i="14"/>
  <c r="S716" i="14"/>
  <c r="J716" i="14"/>
  <c r="I716" i="14"/>
  <c r="D716" i="14"/>
  <c r="C716" i="14"/>
  <c r="B716" i="14"/>
  <c r="Z715" i="14"/>
  <c r="W715" i="14"/>
  <c r="U715" i="14"/>
  <c r="V715" i="14" s="1"/>
  <c r="T715" i="14"/>
  <c r="S715" i="14"/>
  <c r="J715" i="14"/>
  <c r="I715" i="14"/>
  <c r="D715" i="14"/>
  <c r="C715" i="14"/>
  <c r="B715" i="14"/>
  <c r="Z714" i="14"/>
  <c r="W714" i="14"/>
  <c r="U714" i="14"/>
  <c r="V714" i="14" s="1"/>
  <c r="T714" i="14"/>
  <c r="S714" i="14"/>
  <c r="J714" i="14"/>
  <c r="I714" i="14"/>
  <c r="D714" i="14"/>
  <c r="C714" i="14"/>
  <c r="B714" i="14"/>
  <c r="Z713" i="14"/>
  <c r="W713" i="14"/>
  <c r="U713" i="14"/>
  <c r="V713" i="14" s="1"/>
  <c r="T713" i="14"/>
  <c r="S713" i="14"/>
  <c r="J713" i="14"/>
  <c r="I713" i="14"/>
  <c r="D713" i="14"/>
  <c r="C713" i="14"/>
  <c r="B713" i="14"/>
  <c r="Z712" i="14"/>
  <c r="W712" i="14"/>
  <c r="U712" i="14"/>
  <c r="V712" i="14" s="1"/>
  <c r="T712" i="14"/>
  <c r="S712" i="14"/>
  <c r="J712" i="14"/>
  <c r="I712" i="14"/>
  <c r="D712" i="14"/>
  <c r="C712" i="14"/>
  <c r="B712" i="14"/>
  <c r="Z711" i="14"/>
  <c r="W711" i="14"/>
  <c r="U711" i="14"/>
  <c r="V711" i="14" s="1"/>
  <c r="T711" i="14"/>
  <c r="S711" i="14"/>
  <c r="J711" i="14"/>
  <c r="I711" i="14"/>
  <c r="D711" i="14"/>
  <c r="C711" i="14"/>
  <c r="B711" i="14"/>
  <c r="Z710" i="14"/>
  <c r="W710" i="14"/>
  <c r="U710" i="14"/>
  <c r="V710" i="14" s="1"/>
  <c r="T710" i="14"/>
  <c r="S710" i="14"/>
  <c r="J710" i="14"/>
  <c r="I710" i="14"/>
  <c r="D710" i="14"/>
  <c r="C710" i="14"/>
  <c r="B710" i="14"/>
  <c r="Z709" i="14"/>
  <c r="W709" i="14"/>
  <c r="U709" i="14"/>
  <c r="V709" i="14" s="1"/>
  <c r="T709" i="14"/>
  <c r="S709" i="14"/>
  <c r="J709" i="14"/>
  <c r="I709" i="14"/>
  <c r="D709" i="14"/>
  <c r="C709" i="14"/>
  <c r="B709" i="14"/>
  <c r="Z708" i="14"/>
  <c r="W708" i="14"/>
  <c r="U708" i="14"/>
  <c r="V708" i="14" s="1"/>
  <c r="T708" i="14"/>
  <c r="S708" i="14"/>
  <c r="J708" i="14"/>
  <c r="I708" i="14"/>
  <c r="D708" i="14"/>
  <c r="C708" i="14"/>
  <c r="B708" i="14"/>
  <c r="Z707" i="14"/>
  <c r="W707" i="14"/>
  <c r="U707" i="14"/>
  <c r="V707" i="14" s="1"/>
  <c r="T707" i="14"/>
  <c r="S707" i="14"/>
  <c r="J707" i="14"/>
  <c r="I707" i="14"/>
  <c r="D707" i="14"/>
  <c r="C707" i="14"/>
  <c r="B707" i="14"/>
  <c r="Z706" i="14"/>
  <c r="W706" i="14"/>
  <c r="U706" i="14"/>
  <c r="V706" i="14" s="1"/>
  <c r="T706" i="14"/>
  <c r="S706" i="14"/>
  <c r="J706" i="14"/>
  <c r="I706" i="14"/>
  <c r="D706" i="14"/>
  <c r="C706" i="14"/>
  <c r="B706" i="14"/>
  <c r="Z705" i="14"/>
  <c r="W705" i="14"/>
  <c r="U705" i="14"/>
  <c r="V705" i="14" s="1"/>
  <c r="T705" i="14"/>
  <c r="S705" i="14"/>
  <c r="J705" i="14"/>
  <c r="I705" i="14"/>
  <c r="D705" i="14"/>
  <c r="C705" i="14"/>
  <c r="B705" i="14"/>
  <c r="Z704" i="14"/>
  <c r="W704" i="14"/>
  <c r="U704" i="14"/>
  <c r="V704" i="14" s="1"/>
  <c r="T704" i="14"/>
  <c r="S704" i="14"/>
  <c r="J704" i="14"/>
  <c r="I704" i="14"/>
  <c r="D704" i="14"/>
  <c r="C704" i="14"/>
  <c r="B704" i="14"/>
  <c r="Z703" i="14"/>
  <c r="W703" i="14"/>
  <c r="U703" i="14"/>
  <c r="V703" i="14" s="1"/>
  <c r="T703" i="14"/>
  <c r="S703" i="14"/>
  <c r="J703" i="14"/>
  <c r="I703" i="14"/>
  <c r="D703" i="14"/>
  <c r="C703" i="14"/>
  <c r="B703" i="14"/>
  <c r="Z702" i="14"/>
  <c r="W702" i="14"/>
  <c r="U702" i="14"/>
  <c r="V702" i="14" s="1"/>
  <c r="T702" i="14"/>
  <c r="S702" i="14"/>
  <c r="J702" i="14"/>
  <c r="I702" i="14"/>
  <c r="D702" i="14"/>
  <c r="C702" i="14"/>
  <c r="B702" i="14"/>
  <c r="Z701" i="14"/>
  <c r="W701" i="14"/>
  <c r="U701" i="14"/>
  <c r="V701" i="14" s="1"/>
  <c r="T701" i="14"/>
  <c r="S701" i="14"/>
  <c r="J701" i="14"/>
  <c r="I701" i="14"/>
  <c r="D701" i="14"/>
  <c r="C701" i="14"/>
  <c r="B701" i="14"/>
  <c r="Z700" i="14"/>
  <c r="W700" i="14"/>
  <c r="U700" i="14"/>
  <c r="V700" i="14" s="1"/>
  <c r="T700" i="14"/>
  <c r="S700" i="14"/>
  <c r="J700" i="14"/>
  <c r="I700" i="14"/>
  <c r="D700" i="14"/>
  <c r="C700" i="14"/>
  <c r="B700" i="14"/>
  <c r="Z699" i="14"/>
  <c r="W699" i="14"/>
  <c r="U699" i="14"/>
  <c r="V699" i="14" s="1"/>
  <c r="T699" i="14"/>
  <c r="S699" i="14"/>
  <c r="J699" i="14"/>
  <c r="I699" i="14"/>
  <c r="D699" i="14"/>
  <c r="C699" i="14"/>
  <c r="B699" i="14"/>
  <c r="Z698" i="14"/>
  <c r="W698" i="14"/>
  <c r="U698" i="14"/>
  <c r="V698" i="14" s="1"/>
  <c r="T698" i="14"/>
  <c r="S698" i="14"/>
  <c r="J698" i="14"/>
  <c r="I698" i="14"/>
  <c r="D698" i="14"/>
  <c r="C698" i="14"/>
  <c r="B698" i="14"/>
  <c r="Z697" i="14"/>
  <c r="W697" i="14"/>
  <c r="U697" i="14"/>
  <c r="V697" i="14" s="1"/>
  <c r="T697" i="14"/>
  <c r="S697" i="14"/>
  <c r="J697" i="14"/>
  <c r="I697" i="14"/>
  <c r="D697" i="14"/>
  <c r="C697" i="14"/>
  <c r="B697" i="14"/>
  <c r="Z696" i="14"/>
  <c r="W696" i="14"/>
  <c r="U696" i="14"/>
  <c r="V696" i="14" s="1"/>
  <c r="T696" i="14"/>
  <c r="S696" i="14"/>
  <c r="J696" i="14"/>
  <c r="I696" i="14"/>
  <c r="D696" i="14"/>
  <c r="C696" i="14"/>
  <c r="B696" i="14"/>
  <c r="Z695" i="14"/>
  <c r="W695" i="14"/>
  <c r="U695" i="14"/>
  <c r="V695" i="14" s="1"/>
  <c r="T695" i="14"/>
  <c r="S695" i="14"/>
  <c r="J695" i="14"/>
  <c r="I695" i="14"/>
  <c r="D695" i="14"/>
  <c r="C695" i="14"/>
  <c r="B695" i="14"/>
  <c r="Z694" i="14"/>
  <c r="W694" i="14"/>
  <c r="U694" i="14"/>
  <c r="V694" i="14" s="1"/>
  <c r="T694" i="14"/>
  <c r="S694" i="14"/>
  <c r="J694" i="14"/>
  <c r="I694" i="14"/>
  <c r="D694" i="14"/>
  <c r="C694" i="14"/>
  <c r="B694" i="14"/>
  <c r="Z693" i="14"/>
  <c r="W693" i="14"/>
  <c r="U693" i="14"/>
  <c r="V693" i="14" s="1"/>
  <c r="T693" i="14"/>
  <c r="S693" i="14"/>
  <c r="J693" i="14"/>
  <c r="I693" i="14"/>
  <c r="D693" i="14"/>
  <c r="C693" i="14"/>
  <c r="B693" i="14"/>
  <c r="Z692" i="14"/>
  <c r="W692" i="14"/>
  <c r="U692" i="14"/>
  <c r="V692" i="14" s="1"/>
  <c r="T692" i="14"/>
  <c r="S692" i="14"/>
  <c r="J692" i="14"/>
  <c r="I692" i="14"/>
  <c r="D692" i="14"/>
  <c r="C692" i="14"/>
  <c r="B692" i="14"/>
  <c r="Z691" i="14"/>
  <c r="W691" i="14"/>
  <c r="U691" i="14"/>
  <c r="V691" i="14" s="1"/>
  <c r="T691" i="14"/>
  <c r="S691" i="14"/>
  <c r="J691" i="14"/>
  <c r="I691" i="14"/>
  <c r="D691" i="14"/>
  <c r="C691" i="14"/>
  <c r="B691" i="14"/>
  <c r="Z690" i="14"/>
  <c r="W690" i="14"/>
  <c r="U690" i="14"/>
  <c r="V690" i="14" s="1"/>
  <c r="T690" i="14"/>
  <c r="S690" i="14"/>
  <c r="J690" i="14"/>
  <c r="I690" i="14"/>
  <c r="D690" i="14"/>
  <c r="C690" i="14"/>
  <c r="B690" i="14"/>
  <c r="Z689" i="14"/>
  <c r="W689" i="14"/>
  <c r="U689" i="14"/>
  <c r="V689" i="14" s="1"/>
  <c r="T689" i="14"/>
  <c r="S689" i="14"/>
  <c r="J689" i="14"/>
  <c r="I689" i="14"/>
  <c r="D689" i="14"/>
  <c r="C689" i="14"/>
  <c r="B689" i="14"/>
  <c r="Z688" i="14"/>
  <c r="W688" i="14"/>
  <c r="U688" i="14"/>
  <c r="V688" i="14" s="1"/>
  <c r="T688" i="14"/>
  <c r="S688" i="14"/>
  <c r="J688" i="14"/>
  <c r="I688" i="14"/>
  <c r="D688" i="14"/>
  <c r="C688" i="14"/>
  <c r="B688" i="14"/>
  <c r="Z687" i="14"/>
  <c r="W687" i="14"/>
  <c r="U687" i="14"/>
  <c r="V687" i="14" s="1"/>
  <c r="T687" i="14"/>
  <c r="S687" i="14"/>
  <c r="J687" i="14"/>
  <c r="I687" i="14"/>
  <c r="D687" i="14"/>
  <c r="C687" i="14"/>
  <c r="B687" i="14"/>
  <c r="Z686" i="14"/>
  <c r="W686" i="14"/>
  <c r="U686" i="14"/>
  <c r="V686" i="14" s="1"/>
  <c r="T686" i="14"/>
  <c r="S686" i="14"/>
  <c r="J686" i="14"/>
  <c r="I686" i="14"/>
  <c r="D686" i="14"/>
  <c r="C686" i="14"/>
  <c r="B686" i="14"/>
  <c r="Z685" i="14"/>
  <c r="W685" i="14"/>
  <c r="U685" i="14"/>
  <c r="V685" i="14" s="1"/>
  <c r="T685" i="14"/>
  <c r="S685" i="14"/>
  <c r="J685" i="14"/>
  <c r="I685" i="14"/>
  <c r="D685" i="14"/>
  <c r="C685" i="14"/>
  <c r="B685" i="14"/>
  <c r="Z684" i="14"/>
  <c r="W684" i="14"/>
  <c r="U684" i="14"/>
  <c r="V684" i="14" s="1"/>
  <c r="T684" i="14"/>
  <c r="S684" i="14"/>
  <c r="J684" i="14"/>
  <c r="I684" i="14"/>
  <c r="D684" i="14"/>
  <c r="C684" i="14"/>
  <c r="B684" i="14"/>
  <c r="Z683" i="14"/>
  <c r="W683" i="14"/>
  <c r="U683" i="14"/>
  <c r="V683" i="14" s="1"/>
  <c r="T683" i="14"/>
  <c r="S683" i="14"/>
  <c r="J683" i="14"/>
  <c r="I683" i="14"/>
  <c r="D683" i="14"/>
  <c r="C683" i="14"/>
  <c r="B683" i="14"/>
  <c r="Z682" i="14"/>
  <c r="W682" i="14"/>
  <c r="U682" i="14"/>
  <c r="V682" i="14" s="1"/>
  <c r="T682" i="14"/>
  <c r="S682" i="14"/>
  <c r="J682" i="14"/>
  <c r="I682" i="14"/>
  <c r="D682" i="14"/>
  <c r="C682" i="14"/>
  <c r="B682" i="14"/>
  <c r="Z681" i="14"/>
  <c r="W681" i="14"/>
  <c r="U681" i="14"/>
  <c r="V681" i="14" s="1"/>
  <c r="T681" i="14"/>
  <c r="S681" i="14"/>
  <c r="J681" i="14"/>
  <c r="I681" i="14"/>
  <c r="D681" i="14"/>
  <c r="C681" i="14"/>
  <c r="B681" i="14"/>
  <c r="Z680" i="14"/>
  <c r="W680" i="14"/>
  <c r="U680" i="14"/>
  <c r="V680" i="14" s="1"/>
  <c r="T680" i="14"/>
  <c r="S680" i="14"/>
  <c r="J680" i="14"/>
  <c r="I680" i="14"/>
  <c r="D680" i="14"/>
  <c r="C680" i="14"/>
  <c r="B680" i="14"/>
  <c r="Z679" i="14"/>
  <c r="W679" i="14"/>
  <c r="U679" i="14"/>
  <c r="V679" i="14" s="1"/>
  <c r="T679" i="14"/>
  <c r="S679" i="14"/>
  <c r="J679" i="14"/>
  <c r="I679" i="14"/>
  <c r="D679" i="14"/>
  <c r="C679" i="14"/>
  <c r="B679" i="14"/>
  <c r="Z678" i="14"/>
  <c r="W678" i="14"/>
  <c r="U678" i="14"/>
  <c r="V678" i="14" s="1"/>
  <c r="T678" i="14"/>
  <c r="S678" i="14"/>
  <c r="J678" i="14"/>
  <c r="I678" i="14"/>
  <c r="D678" i="14"/>
  <c r="C678" i="14"/>
  <c r="B678" i="14"/>
  <c r="Z677" i="14"/>
  <c r="W677" i="14"/>
  <c r="U677" i="14"/>
  <c r="V677" i="14" s="1"/>
  <c r="T677" i="14"/>
  <c r="S677" i="14"/>
  <c r="J677" i="14"/>
  <c r="I677" i="14"/>
  <c r="D677" i="14"/>
  <c r="C677" i="14"/>
  <c r="B677" i="14"/>
  <c r="Z676" i="14"/>
  <c r="W676" i="14"/>
  <c r="U676" i="14"/>
  <c r="V676" i="14" s="1"/>
  <c r="T676" i="14"/>
  <c r="S676" i="14"/>
  <c r="J676" i="14"/>
  <c r="I676" i="14"/>
  <c r="D676" i="14"/>
  <c r="C676" i="14"/>
  <c r="B676" i="14"/>
  <c r="Z675" i="14"/>
  <c r="W675" i="14"/>
  <c r="U675" i="14"/>
  <c r="V675" i="14" s="1"/>
  <c r="T675" i="14"/>
  <c r="S675" i="14"/>
  <c r="J675" i="14"/>
  <c r="I675" i="14"/>
  <c r="D675" i="14"/>
  <c r="C675" i="14"/>
  <c r="B675" i="14"/>
  <c r="Z674" i="14"/>
  <c r="W674" i="14"/>
  <c r="U674" i="14"/>
  <c r="V674" i="14" s="1"/>
  <c r="T674" i="14"/>
  <c r="S674" i="14"/>
  <c r="J674" i="14"/>
  <c r="I674" i="14"/>
  <c r="D674" i="14"/>
  <c r="C674" i="14"/>
  <c r="B674" i="14"/>
  <c r="Z673" i="14"/>
  <c r="W673" i="14"/>
  <c r="U673" i="14"/>
  <c r="V673" i="14" s="1"/>
  <c r="T673" i="14"/>
  <c r="S673" i="14"/>
  <c r="J673" i="14"/>
  <c r="I673" i="14"/>
  <c r="D673" i="14"/>
  <c r="C673" i="14"/>
  <c r="B673" i="14"/>
  <c r="Z672" i="14"/>
  <c r="W672" i="14"/>
  <c r="U672" i="14"/>
  <c r="V672" i="14" s="1"/>
  <c r="T672" i="14"/>
  <c r="S672" i="14"/>
  <c r="J672" i="14"/>
  <c r="I672" i="14"/>
  <c r="D672" i="14"/>
  <c r="C672" i="14"/>
  <c r="B672" i="14"/>
  <c r="Z671" i="14"/>
  <c r="W671" i="14"/>
  <c r="U671" i="14"/>
  <c r="V671" i="14" s="1"/>
  <c r="T671" i="14"/>
  <c r="S671" i="14"/>
  <c r="J671" i="14"/>
  <c r="I671" i="14"/>
  <c r="D671" i="14"/>
  <c r="C671" i="14"/>
  <c r="B671" i="14"/>
  <c r="Z670" i="14"/>
  <c r="W670" i="14"/>
  <c r="U670" i="14"/>
  <c r="V670" i="14" s="1"/>
  <c r="T670" i="14"/>
  <c r="S670" i="14"/>
  <c r="J670" i="14"/>
  <c r="I670" i="14"/>
  <c r="D670" i="14"/>
  <c r="C670" i="14"/>
  <c r="B670" i="14"/>
  <c r="Z669" i="14"/>
  <c r="W669" i="14"/>
  <c r="U669" i="14"/>
  <c r="V669" i="14" s="1"/>
  <c r="T669" i="14"/>
  <c r="S669" i="14"/>
  <c r="J669" i="14"/>
  <c r="I669" i="14"/>
  <c r="D669" i="14"/>
  <c r="C669" i="14"/>
  <c r="B669" i="14"/>
  <c r="Z668" i="14"/>
  <c r="W668" i="14"/>
  <c r="U668" i="14"/>
  <c r="V668" i="14" s="1"/>
  <c r="T668" i="14"/>
  <c r="S668" i="14"/>
  <c r="J668" i="14"/>
  <c r="I668" i="14"/>
  <c r="D668" i="14"/>
  <c r="C668" i="14"/>
  <c r="B668" i="14"/>
  <c r="Z667" i="14"/>
  <c r="W667" i="14"/>
  <c r="U667" i="14"/>
  <c r="V667" i="14" s="1"/>
  <c r="T667" i="14"/>
  <c r="S667" i="14"/>
  <c r="J667" i="14"/>
  <c r="I667" i="14"/>
  <c r="D667" i="14"/>
  <c r="C667" i="14"/>
  <c r="B667" i="14"/>
  <c r="Z666" i="14"/>
  <c r="W666" i="14"/>
  <c r="U666" i="14"/>
  <c r="V666" i="14" s="1"/>
  <c r="T666" i="14"/>
  <c r="S666" i="14"/>
  <c r="J666" i="14"/>
  <c r="I666" i="14"/>
  <c r="D666" i="14"/>
  <c r="C666" i="14"/>
  <c r="B666" i="14"/>
  <c r="Z665" i="14"/>
  <c r="W665" i="14"/>
  <c r="U665" i="14"/>
  <c r="V665" i="14" s="1"/>
  <c r="T665" i="14"/>
  <c r="S665" i="14"/>
  <c r="J665" i="14"/>
  <c r="I665" i="14"/>
  <c r="D665" i="14"/>
  <c r="C665" i="14"/>
  <c r="B665" i="14"/>
  <c r="Z664" i="14"/>
  <c r="W664" i="14"/>
  <c r="U664" i="14"/>
  <c r="V664" i="14" s="1"/>
  <c r="T664" i="14"/>
  <c r="S664" i="14"/>
  <c r="J664" i="14"/>
  <c r="I664" i="14"/>
  <c r="D664" i="14"/>
  <c r="C664" i="14"/>
  <c r="B664" i="14"/>
  <c r="Z663" i="14"/>
  <c r="W663" i="14"/>
  <c r="U663" i="14"/>
  <c r="V663" i="14" s="1"/>
  <c r="T663" i="14"/>
  <c r="S663" i="14"/>
  <c r="J663" i="14"/>
  <c r="I663" i="14"/>
  <c r="D663" i="14"/>
  <c r="C663" i="14"/>
  <c r="B663" i="14"/>
  <c r="Z662" i="14"/>
  <c r="W662" i="14"/>
  <c r="U662" i="14"/>
  <c r="V662" i="14" s="1"/>
  <c r="T662" i="14"/>
  <c r="S662" i="14"/>
  <c r="J662" i="14"/>
  <c r="I662" i="14"/>
  <c r="D662" i="14"/>
  <c r="C662" i="14"/>
  <c r="B662" i="14"/>
  <c r="Z661" i="14"/>
  <c r="W661" i="14"/>
  <c r="U661" i="14"/>
  <c r="V661" i="14" s="1"/>
  <c r="T661" i="14"/>
  <c r="S661" i="14"/>
  <c r="J661" i="14"/>
  <c r="I661" i="14"/>
  <c r="D661" i="14"/>
  <c r="C661" i="14"/>
  <c r="B661" i="14"/>
  <c r="Z660" i="14"/>
  <c r="W660" i="14"/>
  <c r="U660" i="14"/>
  <c r="V660" i="14" s="1"/>
  <c r="T660" i="14"/>
  <c r="S660" i="14"/>
  <c r="J660" i="14"/>
  <c r="I660" i="14"/>
  <c r="D660" i="14"/>
  <c r="C660" i="14"/>
  <c r="B660" i="14"/>
  <c r="Z659" i="14"/>
  <c r="W659" i="14"/>
  <c r="U659" i="14"/>
  <c r="V659" i="14" s="1"/>
  <c r="T659" i="14"/>
  <c r="S659" i="14"/>
  <c r="J659" i="14"/>
  <c r="I659" i="14"/>
  <c r="D659" i="14"/>
  <c r="C659" i="14"/>
  <c r="B659" i="14"/>
  <c r="Z658" i="14"/>
  <c r="W658" i="14"/>
  <c r="U658" i="14"/>
  <c r="V658" i="14" s="1"/>
  <c r="T658" i="14"/>
  <c r="S658" i="14"/>
  <c r="J658" i="14"/>
  <c r="I658" i="14"/>
  <c r="D658" i="14"/>
  <c r="C658" i="14"/>
  <c r="B658" i="14"/>
  <c r="Z657" i="14"/>
  <c r="W657" i="14"/>
  <c r="U657" i="14"/>
  <c r="V657" i="14" s="1"/>
  <c r="T657" i="14"/>
  <c r="S657" i="14"/>
  <c r="J657" i="14"/>
  <c r="I657" i="14"/>
  <c r="D657" i="14"/>
  <c r="C657" i="14"/>
  <c r="B657" i="14"/>
  <c r="Z656" i="14"/>
  <c r="W656" i="14"/>
  <c r="U656" i="14"/>
  <c r="V656" i="14" s="1"/>
  <c r="T656" i="14"/>
  <c r="S656" i="14"/>
  <c r="J656" i="14"/>
  <c r="I656" i="14"/>
  <c r="D656" i="14"/>
  <c r="C656" i="14"/>
  <c r="B656" i="14"/>
  <c r="Z655" i="14"/>
  <c r="W655" i="14"/>
  <c r="U655" i="14"/>
  <c r="V655" i="14" s="1"/>
  <c r="T655" i="14"/>
  <c r="S655" i="14"/>
  <c r="J655" i="14"/>
  <c r="I655" i="14"/>
  <c r="D655" i="14"/>
  <c r="C655" i="14"/>
  <c r="B655" i="14"/>
  <c r="Z654" i="14"/>
  <c r="W654" i="14"/>
  <c r="U654" i="14"/>
  <c r="V654" i="14" s="1"/>
  <c r="T654" i="14"/>
  <c r="S654" i="14"/>
  <c r="J654" i="14"/>
  <c r="I654" i="14"/>
  <c r="D654" i="14"/>
  <c r="C654" i="14"/>
  <c r="B654" i="14"/>
  <c r="Z653" i="14"/>
  <c r="W653" i="14"/>
  <c r="U653" i="14"/>
  <c r="V653" i="14" s="1"/>
  <c r="T653" i="14"/>
  <c r="S653" i="14"/>
  <c r="J653" i="14"/>
  <c r="I653" i="14"/>
  <c r="D653" i="14"/>
  <c r="C653" i="14"/>
  <c r="B653" i="14"/>
  <c r="Z652" i="14"/>
  <c r="W652" i="14"/>
  <c r="U652" i="14"/>
  <c r="V652" i="14" s="1"/>
  <c r="T652" i="14"/>
  <c r="S652" i="14"/>
  <c r="J652" i="14"/>
  <c r="I652" i="14"/>
  <c r="D652" i="14"/>
  <c r="C652" i="14"/>
  <c r="B652" i="14"/>
  <c r="Z651" i="14"/>
  <c r="W651" i="14"/>
  <c r="U651" i="14"/>
  <c r="V651" i="14" s="1"/>
  <c r="T651" i="14"/>
  <c r="S651" i="14"/>
  <c r="J651" i="14"/>
  <c r="I651" i="14"/>
  <c r="D651" i="14"/>
  <c r="C651" i="14"/>
  <c r="B651" i="14"/>
  <c r="Z650" i="14"/>
  <c r="W650" i="14"/>
  <c r="U650" i="14"/>
  <c r="V650" i="14" s="1"/>
  <c r="T650" i="14"/>
  <c r="S650" i="14"/>
  <c r="J650" i="14"/>
  <c r="I650" i="14"/>
  <c r="D650" i="14"/>
  <c r="C650" i="14"/>
  <c r="B650" i="14"/>
  <c r="Z649" i="14"/>
  <c r="W649" i="14"/>
  <c r="U649" i="14"/>
  <c r="V649" i="14" s="1"/>
  <c r="T649" i="14"/>
  <c r="S649" i="14"/>
  <c r="J649" i="14"/>
  <c r="I649" i="14"/>
  <c r="D649" i="14"/>
  <c r="C649" i="14"/>
  <c r="B649" i="14"/>
  <c r="Z648" i="14"/>
  <c r="W648" i="14"/>
  <c r="U648" i="14"/>
  <c r="V648" i="14" s="1"/>
  <c r="T648" i="14"/>
  <c r="S648" i="14"/>
  <c r="J648" i="14"/>
  <c r="I648" i="14"/>
  <c r="D648" i="14"/>
  <c r="C648" i="14"/>
  <c r="B648" i="14"/>
  <c r="Z647" i="14"/>
  <c r="W647" i="14"/>
  <c r="U647" i="14"/>
  <c r="V647" i="14" s="1"/>
  <c r="T647" i="14"/>
  <c r="S647" i="14"/>
  <c r="J647" i="14"/>
  <c r="I647" i="14"/>
  <c r="D647" i="14"/>
  <c r="C647" i="14"/>
  <c r="B647" i="14"/>
  <c r="Z646" i="14"/>
  <c r="W646" i="14"/>
  <c r="U646" i="14"/>
  <c r="V646" i="14" s="1"/>
  <c r="T646" i="14"/>
  <c r="S646" i="14"/>
  <c r="J646" i="14"/>
  <c r="I646" i="14"/>
  <c r="D646" i="14"/>
  <c r="C646" i="14"/>
  <c r="B646" i="14"/>
  <c r="Z645" i="14"/>
  <c r="W645" i="14"/>
  <c r="U645" i="14"/>
  <c r="V645" i="14" s="1"/>
  <c r="T645" i="14"/>
  <c r="S645" i="14"/>
  <c r="J645" i="14"/>
  <c r="I645" i="14"/>
  <c r="D645" i="14"/>
  <c r="C645" i="14"/>
  <c r="B645" i="14"/>
  <c r="Z644" i="14"/>
  <c r="W644" i="14"/>
  <c r="U644" i="14"/>
  <c r="V644" i="14" s="1"/>
  <c r="T644" i="14"/>
  <c r="S644" i="14"/>
  <c r="J644" i="14"/>
  <c r="I644" i="14"/>
  <c r="D644" i="14"/>
  <c r="C644" i="14"/>
  <c r="B644" i="14"/>
  <c r="Z643" i="14"/>
  <c r="W643" i="14"/>
  <c r="U643" i="14"/>
  <c r="V643" i="14" s="1"/>
  <c r="T643" i="14"/>
  <c r="S643" i="14"/>
  <c r="J643" i="14"/>
  <c r="I643" i="14"/>
  <c r="D643" i="14"/>
  <c r="C643" i="14"/>
  <c r="B643" i="14"/>
  <c r="Z642" i="14"/>
  <c r="W642" i="14"/>
  <c r="U642" i="14"/>
  <c r="V642" i="14" s="1"/>
  <c r="T642" i="14"/>
  <c r="S642" i="14"/>
  <c r="J642" i="14"/>
  <c r="I642" i="14"/>
  <c r="D642" i="14"/>
  <c r="C642" i="14"/>
  <c r="B642" i="14"/>
  <c r="Z641" i="14"/>
  <c r="W641" i="14"/>
  <c r="U641" i="14"/>
  <c r="V641" i="14" s="1"/>
  <c r="T641" i="14"/>
  <c r="S641" i="14"/>
  <c r="J641" i="14"/>
  <c r="I641" i="14"/>
  <c r="D641" i="14"/>
  <c r="C641" i="14"/>
  <c r="B641" i="14"/>
  <c r="Z640" i="14"/>
  <c r="W640" i="14"/>
  <c r="U640" i="14"/>
  <c r="V640" i="14" s="1"/>
  <c r="T640" i="14"/>
  <c r="S640" i="14"/>
  <c r="J640" i="14"/>
  <c r="I640" i="14"/>
  <c r="D640" i="14"/>
  <c r="C640" i="14"/>
  <c r="B640" i="14"/>
  <c r="Z639" i="14"/>
  <c r="W639" i="14"/>
  <c r="U639" i="14"/>
  <c r="V639" i="14" s="1"/>
  <c r="T639" i="14"/>
  <c r="S639" i="14"/>
  <c r="J639" i="14"/>
  <c r="I639" i="14"/>
  <c r="D639" i="14"/>
  <c r="C639" i="14"/>
  <c r="B639" i="14"/>
  <c r="Z638" i="14"/>
  <c r="W638" i="14"/>
  <c r="U638" i="14"/>
  <c r="V638" i="14" s="1"/>
  <c r="T638" i="14"/>
  <c r="S638" i="14"/>
  <c r="J638" i="14"/>
  <c r="I638" i="14"/>
  <c r="D638" i="14"/>
  <c r="C638" i="14"/>
  <c r="B638" i="14"/>
  <c r="Z637" i="14"/>
  <c r="W637" i="14"/>
  <c r="U637" i="14"/>
  <c r="V637" i="14" s="1"/>
  <c r="T637" i="14"/>
  <c r="S637" i="14"/>
  <c r="J637" i="14"/>
  <c r="I637" i="14"/>
  <c r="D637" i="14"/>
  <c r="C637" i="14"/>
  <c r="B637" i="14"/>
  <c r="Z636" i="14"/>
  <c r="W636" i="14"/>
  <c r="U636" i="14"/>
  <c r="V636" i="14" s="1"/>
  <c r="T636" i="14"/>
  <c r="S636" i="14"/>
  <c r="J636" i="14"/>
  <c r="I636" i="14"/>
  <c r="D636" i="14"/>
  <c r="C636" i="14"/>
  <c r="B636" i="14"/>
  <c r="Z635" i="14"/>
  <c r="W635" i="14"/>
  <c r="U635" i="14"/>
  <c r="V635" i="14" s="1"/>
  <c r="T635" i="14"/>
  <c r="S635" i="14"/>
  <c r="J635" i="14"/>
  <c r="I635" i="14"/>
  <c r="D635" i="14"/>
  <c r="C635" i="14"/>
  <c r="B635" i="14"/>
  <c r="Z634" i="14"/>
  <c r="W634" i="14"/>
  <c r="U634" i="14"/>
  <c r="V634" i="14" s="1"/>
  <c r="T634" i="14"/>
  <c r="S634" i="14"/>
  <c r="J634" i="14"/>
  <c r="I634" i="14"/>
  <c r="D634" i="14"/>
  <c r="C634" i="14"/>
  <c r="B634" i="14"/>
  <c r="Z633" i="14"/>
  <c r="W633" i="14"/>
  <c r="U633" i="14"/>
  <c r="V633" i="14" s="1"/>
  <c r="T633" i="14"/>
  <c r="S633" i="14"/>
  <c r="J633" i="14"/>
  <c r="I633" i="14"/>
  <c r="D633" i="14"/>
  <c r="C633" i="14"/>
  <c r="B633" i="14"/>
  <c r="Z632" i="14"/>
  <c r="W632" i="14"/>
  <c r="U632" i="14"/>
  <c r="V632" i="14" s="1"/>
  <c r="T632" i="14"/>
  <c r="S632" i="14"/>
  <c r="J632" i="14"/>
  <c r="I632" i="14"/>
  <c r="D632" i="14"/>
  <c r="C632" i="14"/>
  <c r="B632" i="14"/>
  <c r="Z631" i="14"/>
  <c r="W631" i="14"/>
  <c r="U631" i="14"/>
  <c r="V631" i="14" s="1"/>
  <c r="T631" i="14"/>
  <c r="S631" i="14"/>
  <c r="J631" i="14"/>
  <c r="I631" i="14"/>
  <c r="D631" i="14"/>
  <c r="C631" i="14"/>
  <c r="B631" i="14"/>
  <c r="Z630" i="14"/>
  <c r="W630" i="14"/>
  <c r="U630" i="14"/>
  <c r="V630" i="14" s="1"/>
  <c r="T630" i="14"/>
  <c r="S630" i="14"/>
  <c r="J630" i="14"/>
  <c r="I630" i="14"/>
  <c r="D630" i="14"/>
  <c r="C630" i="14"/>
  <c r="B630" i="14"/>
  <c r="Z629" i="14"/>
  <c r="W629" i="14"/>
  <c r="U629" i="14"/>
  <c r="V629" i="14" s="1"/>
  <c r="T629" i="14"/>
  <c r="S629" i="14"/>
  <c r="J629" i="14"/>
  <c r="I629" i="14"/>
  <c r="D629" i="14"/>
  <c r="C629" i="14"/>
  <c r="B629" i="14"/>
  <c r="Z628" i="14"/>
  <c r="W628" i="14"/>
  <c r="U628" i="14"/>
  <c r="V628" i="14" s="1"/>
  <c r="T628" i="14"/>
  <c r="S628" i="14"/>
  <c r="J628" i="14"/>
  <c r="I628" i="14"/>
  <c r="D628" i="14"/>
  <c r="C628" i="14"/>
  <c r="B628" i="14"/>
  <c r="Z627" i="14"/>
  <c r="W627" i="14"/>
  <c r="U627" i="14"/>
  <c r="V627" i="14" s="1"/>
  <c r="T627" i="14"/>
  <c r="S627" i="14"/>
  <c r="J627" i="14"/>
  <c r="I627" i="14"/>
  <c r="D627" i="14"/>
  <c r="C627" i="14"/>
  <c r="B627" i="14"/>
  <c r="Z626" i="14"/>
  <c r="W626" i="14"/>
  <c r="U626" i="14"/>
  <c r="V626" i="14" s="1"/>
  <c r="T626" i="14"/>
  <c r="S626" i="14"/>
  <c r="J626" i="14"/>
  <c r="I626" i="14"/>
  <c r="D626" i="14"/>
  <c r="C626" i="14"/>
  <c r="B626" i="14"/>
  <c r="Z625" i="14"/>
  <c r="W625" i="14"/>
  <c r="U625" i="14"/>
  <c r="V625" i="14" s="1"/>
  <c r="T625" i="14"/>
  <c r="S625" i="14"/>
  <c r="J625" i="14"/>
  <c r="I625" i="14"/>
  <c r="D625" i="14"/>
  <c r="C625" i="14"/>
  <c r="B625" i="14"/>
  <c r="Z624" i="14"/>
  <c r="W624" i="14"/>
  <c r="U624" i="14"/>
  <c r="V624" i="14" s="1"/>
  <c r="T624" i="14"/>
  <c r="S624" i="14"/>
  <c r="J624" i="14"/>
  <c r="I624" i="14"/>
  <c r="D624" i="14"/>
  <c r="C624" i="14"/>
  <c r="B624" i="14"/>
  <c r="Z623" i="14"/>
  <c r="W623" i="14"/>
  <c r="U623" i="14"/>
  <c r="V623" i="14" s="1"/>
  <c r="T623" i="14"/>
  <c r="S623" i="14"/>
  <c r="J623" i="14"/>
  <c r="I623" i="14"/>
  <c r="D623" i="14"/>
  <c r="C623" i="14"/>
  <c r="B623" i="14"/>
  <c r="Z622" i="14"/>
  <c r="W622" i="14"/>
  <c r="U622" i="14"/>
  <c r="V622" i="14" s="1"/>
  <c r="T622" i="14"/>
  <c r="S622" i="14"/>
  <c r="J622" i="14"/>
  <c r="I622" i="14"/>
  <c r="D622" i="14"/>
  <c r="C622" i="14"/>
  <c r="B622" i="14"/>
  <c r="Z621" i="14"/>
  <c r="W621" i="14"/>
  <c r="U621" i="14"/>
  <c r="V621" i="14" s="1"/>
  <c r="T621" i="14"/>
  <c r="S621" i="14"/>
  <c r="J621" i="14"/>
  <c r="I621" i="14"/>
  <c r="D621" i="14"/>
  <c r="C621" i="14"/>
  <c r="B621" i="14"/>
  <c r="Z620" i="14"/>
  <c r="W620" i="14"/>
  <c r="U620" i="14"/>
  <c r="V620" i="14" s="1"/>
  <c r="T620" i="14"/>
  <c r="S620" i="14"/>
  <c r="J620" i="14"/>
  <c r="I620" i="14"/>
  <c r="D620" i="14"/>
  <c r="C620" i="14"/>
  <c r="B620" i="14"/>
  <c r="Z619" i="14"/>
  <c r="W619" i="14"/>
  <c r="U619" i="14"/>
  <c r="V619" i="14" s="1"/>
  <c r="T619" i="14"/>
  <c r="S619" i="14"/>
  <c r="J619" i="14"/>
  <c r="I619" i="14"/>
  <c r="D619" i="14"/>
  <c r="C619" i="14"/>
  <c r="B619" i="14"/>
  <c r="Z618" i="14"/>
  <c r="W618" i="14"/>
  <c r="U618" i="14"/>
  <c r="V618" i="14" s="1"/>
  <c r="T618" i="14"/>
  <c r="S618" i="14"/>
  <c r="J618" i="14"/>
  <c r="I618" i="14"/>
  <c r="D618" i="14"/>
  <c r="C618" i="14"/>
  <c r="B618" i="14"/>
  <c r="Z617" i="14"/>
  <c r="W617" i="14"/>
  <c r="U617" i="14"/>
  <c r="V617" i="14" s="1"/>
  <c r="T617" i="14"/>
  <c r="S617" i="14"/>
  <c r="J617" i="14"/>
  <c r="I617" i="14"/>
  <c r="D617" i="14"/>
  <c r="C617" i="14"/>
  <c r="B617" i="14"/>
  <c r="Z616" i="14"/>
  <c r="W616" i="14"/>
  <c r="U616" i="14"/>
  <c r="V616" i="14" s="1"/>
  <c r="T616" i="14"/>
  <c r="S616" i="14"/>
  <c r="J616" i="14"/>
  <c r="I616" i="14"/>
  <c r="D616" i="14"/>
  <c r="C616" i="14"/>
  <c r="B616" i="14"/>
  <c r="Z615" i="14"/>
  <c r="W615" i="14"/>
  <c r="U615" i="14"/>
  <c r="V615" i="14" s="1"/>
  <c r="T615" i="14"/>
  <c r="S615" i="14"/>
  <c r="J615" i="14"/>
  <c r="I615" i="14"/>
  <c r="D615" i="14"/>
  <c r="C615" i="14"/>
  <c r="B615" i="14"/>
  <c r="Z614" i="14"/>
  <c r="W614" i="14"/>
  <c r="U614" i="14"/>
  <c r="V614" i="14" s="1"/>
  <c r="T614" i="14"/>
  <c r="S614" i="14"/>
  <c r="J614" i="14"/>
  <c r="I614" i="14"/>
  <c r="D614" i="14"/>
  <c r="C614" i="14"/>
  <c r="B614" i="14"/>
  <c r="Z613" i="14"/>
  <c r="W613" i="14"/>
  <c r="U613" i="14"/>
  <c r="V613" i="14" s="1"/>
  <c r="T613" i="14"/>
  <c r="S613" i="14"/>
  <c r="J613" i="14"/>
  <c r="I613" i="14"/>
  <c r="D613" i="14"/>
  <c r="C613" i="14"/>
  <c r="B613" i="14"/>
  <c r="Z612" i="14"/>
  <c r="W612" i="14"/>
  <c r="U612" i="14"/>
  <c r="V612" i="14" s="1"/>
  <c r="T612" i="14"/>
  <c r="S612" i="14"/>
  <c r="J612" i="14"/>
  <c r="I612" i="14"/>
  <c r="D612" i="14"/>
  <c r="C612" i="14"/>
  <c r="B612" i="14"/>
  <c r="Z611" i="14"/>
  <c r="W611" i="14"/>
  <c r="U611" i="14"/>
  <c r="V611" i="14" s="1"/>
  <c r="T611" i="14"/>
  <c r="S611" i="14"/>
  <c r="J611" i="14"/>
  <c r="I611" i="14"/>
  <c r="D611" i="14"/>
  <c r="C611" i="14"/>
  <c r="B611" i="14"/>
  <c r="Z610" i="14"/>
  <c r="W610" i="14"/>
  <c r="U610" i="14"/>
  <c r="V610" i="14" s="1"/>
  <c r="T610" i="14"/>
  <c r="S610" i="14"/>
  <c r="J610" i="14"/>
  <c r="I610" i="14"/>
  <c r="D610" i="14"/>
  <c r="C610" i="14"/>
  <c r="B610" i="14"/>
  <c r="Z609" i="14"/>
  <c r="W609" i="14"/>
  <c r="U609" i="14"/>
  <c r="V609" i="14" s="1"/>
  <c r="T609" i="14"/>
  <c r="S609" i="14"/>
  <c r="J609" i="14"/>
  <c r="I609" i="14"/>
  <c r="D609" i="14"/>
  <c r="C609" i="14"/>
  <c r="B609" i="14"/>
  <c r="Z608" i="14"/>
  <c r="W608" i="14"/>
  <c r="U608" i="14"/>
  <c r="V608" i="14" s="1"/>
  <c r="T608" i="14"/>
  <c r="S608" i="14"/>
  <c r="J608" i="14"/>
  <c r="I608" i="14"/>
  <c r="D608" i="14"/>
  <c r="C608" i="14"/>
  <c r="B608" i="14"/>
  <c r="Z607" i="14"/>
  <c r="W607" i="14"/>
  <c r="U607" i="14"/>
  <c r="V607" i="14" s="1"/>
  <c r="T607" i="14"/>
  <c r="S607" i="14"/>
  <c r="J607" i="14"/>
  <c r="I607" i="14"/>
  <c r="D607" i="14"/>
  <c r="C607" i="14"/>
  <c r="B607" i="14"/>
  <c r="Z606" i="14"/>
  <c r="W606" i="14"/>
  <c r="U606" i="14"/>
  <c r="V606" i="14" s="1"/>
  <c r="T606" i="14"/>
  <c r="S606" i="14"/>
  <c r="J606" i="14"/>
  <c r="I606" i="14"/>
  <c r="D606" i="14"/>
  <c r="C606" i="14"/>
  <c r="B606" i="14"/>
  <c r="Z605" i="14"/>
  <c r="W605" i="14"/>
  <c r="U605" i="14"/>
  <c r="V605" i="14" s="1"/>
  <c r="T605" i="14"/>
  <c r="S605" i="14"/>
  <c r="J605" i="14"/>
  <c r="I605" i="14"/>
  <c r="D605" i="14"/>
  <c r="C605" i="14"/>
  <c r="B605" i="14"/>
  <c r="Z604" i="14"/>
  <c r="W604" i="14"/>
  <c r="U604" i="14"/>
  <c r="V604" i="14" s="1"/>
  <c r="T604" i="14"/>
  <c r="S604" i="14"/>
  <c r="J604" i="14"/>
  <c r="I604" i="14"/>
  <c r="D604" i="14"/>
  <c r="C604" i="14"/>
  <c r="B604" i="14"/>
  <c r="Z603" i="14"/>
  <c r="W603" i="14"/>
  <c r="U603" i="14"/>
  <c r="V603" i="14" s="1"/>
  <c r="T603" i="14"/>
  <c r="S603" i="14"/>
  <c r="J603" i="14"/>
  <c r="I603" i="14"/>
  <c r="D603" i="14"/>
  <c r="C603" i="14"/>
  <c r="B603" i="14"/>
  <c r="Z602" i="14"/>
  <c r="W602" i="14"/>
  <c r="U602" i="14"/>
  <c r="V602" i="14" s="1"/>
  <c r="T602" i="14"/>
  <c r="S602" i="14"/>
  <c r="J602" i="14"/>
  <c r="I602" i="14"/>
  <c r="D602" i="14"/>
  <c r="C602" i="14"/>
  <c r="B602" i="14"/>
  <c r="Z601" i="14"/>
  <c r="W601" i="14"/>
  <c r="U601" i="14"/>
  <c r="V601" i="14" s="1"/>
  <c r="T601" i="14"/>
  <c r="S601" i="14"/>
  <c r="J601" i="14"/>
  <c r="I601" i="14"/>
  <c r="D601" i="14"/>
  <c r="C601" i="14"/>
  <c r="B601" i="14"/>
  <c r="Z600" i="14"/>
  <c r="W600" i="14"/>
  <c r="U600" i="14"/>
  <c r="V600" i="14" s="1"/>
  <c r="T600" i="14"/>
  <c r="S600" i="14"/>
  <c r="J600" i="14"/>
  <c r="I600" i="14"/>
  <c r="D600" i="14"/>
  <c r="C600" i="14"/>
  <c r="B600" i="14"/>
  <c r="Z599" i="14"/>
  <c r="W599" i="14"/>
  <c r="U599" i="14"/>
  <c r="V599" i="14" s="1"/>
  <c r="T599" i="14"/>
  <c r="S599" i="14"/>
  <c r="J599" i="14"/>
  <c r="I599" i="14"/>
  <c r="D599" i="14"/>
  <c r="C599" i="14"/>
  <c r="B599" i="14"/>
  <c r="Z598" i="14"/>
  <c r="W598" i="14"/>
  <c r="U598" i="14"/>
  <c r="V598" i="14" s="1"/>
  <c r="T598" i="14"/>
  <c r="S598" i="14"/>
  <c r="J598" i="14"/>
  <c r="I598" i="14"/>
  <c r="D598" i="14"/>
  <c r="C598" i="14"/>
  <c r="B598" i="14"/>
  <c r="Z597" i="14"/>
  <c r="W597" i="14"/>
  <c r="U597" i="14"/>
  <c r="V597" i="14" s="1"/>
  <c r="T597" i="14"/>
  <c r="S597" i="14"/>
  <c r="J597" i="14"/>
  <c r="I597" i="14"/>
  <c r="D597" i="14"/>
  <c r="C597" i="14"/>
  <c r="B597" i="14"/>
  <c r="Z596" i="14"/>
  <c r="W596" i="14"/>
  <c r="U596" i="14"/>
  <c r="V596" i="14" s="1"/>
  <c r="T596" i="14"/>
  <c r="S596" i="14"/>
  <c r="J596" i="14"/>
  <c r="I596" i="14"/>
  <c r="D596" i="14"/>
  <c r="C596" i="14"/>
  <c r="B596" i="14"/>
  <c r="Z595" i="14"/>
  <c r="W595" i="14"/>
  <c r="U595" i="14"/>
  <c r="V595" i="14" s="1"/>
  <c r="T595" i="14"/>
  <c r="S595" i="14"/>
  <c r="J595" i="14"/>
  <c r="I595" i="14"/>
  <c r="D595" i="14"/>
  <c r="C595" i="14"/>
  <c r="B595" i="14"/>
  <c r="Z594" i="14"/>
  <c r="W594" i="14"/>
  <c r="U594" i="14"/>
  <c r="V594" i="14" s="1"/>
  <c r="T594" i="14"/>
  <c r="S594" i="14"/>
  <c r="J594" i="14"/>
  <c r="I594" i="14"/>
  <c r="D594" i="14"/>
  <c r="C594" i="14"/>
  <c r="B594" i="14"/>
  <c r="Z593" i="14"/>
  <c r="W593" i="14"/>
  <c r="U593" i="14"/>
  <c r="V593" i="14" s="1"/>
  <c r="T593" i="14"/>
  <c r="S593" i="14"/>
  <c r="J593" i="14"/>
  <c r="I593" i="14"/>
  <c r="D593" i="14"/>
  <c r="C593" i="14"/>
  <c r="B593" i="14"/>
  <c r="Z592" i="14"/>
  <c r="W592" i="14"/>
  <c r="U592" i="14"/>
  <c r="V592" i="14" s="1"/>
  <c r="T592" i="14"/>
  <c r="S592" i="14"/>
  <c r="J592" i="14"/>
  <c r="I592" i="14"/>
  <c r="D592" i="14"/>
  <c r="C592" i="14"/>
  <c r="B592" i="14"/>
  <c r="Z591" i="14"/>
  <c r="W591" i="14"/>
  <c r="U591" i="14"/>
  <c r="V591" i="14" s="1"/>
  <c r="T591" i="14"/>
  <c r="S591" i="14"/>
  <c r="J591" i="14"/>
  <c r="I591" i="14"/>
  <c r="D591" i="14"/>
  <c r="C591" i="14"/>
  <c r="B591" i="14"/>
  <c r="Z590" i="14"/>
  <c r="W590" i="14"/>
  <c r="U590" i="14"/>
  <c r="V590" i="14" s="1"/>
  <c r="T590" i="14"/>
  <c r="S590" i="14"/>
  <c r="J590" i="14"/>
  <c r="I590" i="14"/>
  <c r="D590" i="14"/>
  <c r="C590" i="14"/>
  <c r="B590" i="14"/>
  <c r="Z589" i="14"/>
  <c r="W589" i="14"/>
  <c r="U589" i="14"/>
  <c r="V589" i="14" s="1"/>
  <c r="T589" i="14"/>
  <c r="S589" i="14"/>
  <c r="J589" i="14"/>
  <c r="I589" i="14"/>
  <c r="D589" i="14"/>
  <c r="C589" i="14"/>
  <c r="B589" i="14"/>
  <c r="Z588" i="14"/>
  <c r="W588" i="14"/>
  <c r="U588" i="14"/>
  <c r="V588" i="14" s="1"/>
  <c r="T588" i="14"/>
  <c r="S588" i="14"/>
  <c r="J588" i="14"/>
  <c r="I588" i="14"/>
  <c r="D588" i="14"/>
  <c r="C588" i="14"/>
  <c r="B588" i="14"/>
  <c r="Z587" i="14"/>
  <c r="W587" i="14"/>
  <c r="U587" i="14"/>
  <c r="V587" i="14" s="1"/>
  <c r="T587" i="14"/>
  <c r="S587" i="14"/>
  <c r="J587" i="14"/>
  <c r="I587" i="14"/>
  <c r="D587" i="14"/>
  <c r="C587" i="14"/>
  <c r="B587" i="14"/>
  <c r="Z586" i="14"/>
  <c r="W586" i="14"/>
  <c r="U586" i="14"/>
  <c r="V586" i="14" s="1"/>
  <c r="T586" i="14"/>
  <c r="S586" i="14"/>
  <c r="J586" i="14"/>
  <c r="I586" i="14"/>
  <c r="D586" i="14"/>
  <c r="C586" i="14"/>
  <c r="B586" i="14"/>
  <c r="Z585" i="14"/>
  <c r="W585" i="14"/>
  <c r="U585" i="14"/>
  <c r="V585" i="14" s="1"/>
  <c r="T585" i="14"/>
  <c r="S585" i="14"/>
  <c r="J585" i="14"/>
  <c r="I585" i="14"/>
  <c r="D585" i="14"/>
  <c r="C585" i="14"/>
  <c r="B585" i="14"/>
  <c r="Z584" i="14"/>
  <c r="W584" i="14"/>
  <c r="U584" i="14"/>
  <c r="V584" i="14" s="1"/>
  <c r="T584" i="14"/>
  <c r="S584" i="14"/>
  <c r="J584" i="14"/>
  <c r="I584" i="14"/>
  <c r="D584" i="14"/>
  <c r="C584" i="14"/>
  <c r="B584" i="14"/>
  <c r="Z583" i="14"/>
  <c r="W583" i="14"/>
  <c r="U583" i="14"/>
  <c r="V583" i="14" s="1"/>
  <c r="T583" i="14"/>
  <c r="S583" i="14"/>
  <c r="J583" i="14"/>
  <c r="I583" i="14"/>
  <c r="D583" i="14"/>
  <c r="C583" i="14"/>
  <c r="B583" i="14"/>
  <c r="Z582" i="14"/>
  <c r="W582" i="14"/>
  <c r="U582" i="14"/>
  <c r="V582" i="14" s="1"/>
  <c r="T582" i="14"/>
  <c r="S582" i="14"/>
  <c r="J582" i="14"/>
  <c r="I582" i="14"/>
  <c r="D582" i="14"/>
  <c r="C582" i="14"/>
  <c r="B582" i="14"/>
  <c r="Z581" i="14"/>
  <c r="W581" i="14"/>
  <c r="U581" i="14"/>
  <c r="V581" i="14" s="1"/>
  <c r="T581" i="14"/>
  <c r="S581" i="14"/>
  <c r="J581" i="14"/>
  <c r="I581" i="14"/>
  <c r="D581" i="14"/>
  <c r="C581" i="14"/>
  <c r="B581" i="14"/>
  <c r="Z580" i="14"/>
  <c r="W580" i="14"/>
  <c r="U580" i="14"/>
  <c r="V580" i="14" s="1"/>
  <c r="T580" i="14"/>
  <c r="S580" i="14"/>
  <c r="J580" i="14"/>
  <c r="I580" i="14"/>
  <c r="D580" i="14"/>
  <c r="C580" i="14"/>
  <c r="B580" i="14"/>
  <c r="Z579" i="14"/>
  <c r="W579" i="14"/>
  <c r="U579" i="14"/>
  <c r="V579" i="14" s="1"/>
  <c r="T579" i="14"/>
  <c r="S579" i="14"/>
  <c r="J579" i="14"/>
  <c r="I579" i="14"/>
  <c r="D579" i="14"/>
  <c r="C579" i="14"/>
  <c r="B579" i="14"/>
  <c r="Z578" i="14"/>
  <c r="W578" i="14"/>
  <c r="U578" i="14"/>
  <c r="V578" i="14" s="1"/>
  <c r="T578" i="14"/>
  <c r="S578" i="14"/>
  <c r="J578" i="14"/>
  <c r="I578" i="14"/>
  <c r="D578" i="14"/>
  <c r="C578" i="14"/>
  <c r="B578" i="14"/>
  <c r="Z577" i="14"/>
  <c r="W577" i="14"/>
  <c r="U577" i="14"/>
  <c r="V577" i="14" s="1"/>
  <c r="T577" i="14"/>
  <c r="S577" i="14"/>
  <c r="J577" i="14"/>
  <c r="I577" i="14"/>
  <c r="D577" i="14"/>
  <c r="C577" i="14"/>
  <c r="B577" i="14"/>
  <c r="Z576" i="14"/>
  <c r="W576" i="14"/>
  <c r="U576" i="14"/>
  <c r="V576" i="14" s="1"/>
  <c r="T576" i="14"/>
  <c r="S576" i="14"/>
  <c r="J576" i="14"/>
  <c r="I576" i="14"/>
  <c r="D576" i="14"/>
  <c r="C576" i="14"/>
  <c r="B576" i="14"/>
  <c r="Z575" i="14"/>
  <c r="W575" i="14"/>
  <c r="U575" i="14"/>
  <c r="V575" i="14" s="1"/>
  <c r="T575" i="14"/>
  <c r="S575" i="14"/>
  <c r="J575" i="14"/>
  <c r="I575" i="14"/>
  <c r="D575" i="14"/>
  <c r="C575" i="14"/>
  <c r="B575" i="14"/>
  <c r="Z574" i="14"/>
  <c r="W574" i="14"/>
  <c r="U574" i="14"/>
  <c r="V574" i="14" s="1"/>
  <c r="T574" i="14"/>
  <c r="S574" i="14"/>
  <c r="J574" i="14"/>
  <c r="I574" i="14"/>
  <c r="D574" i="14"/>
  <c r="C574" i="14"/>
  <c r="B574" i="14"/>
  <c r="Z573" i="14"/>
  <c r="W573" i="14"/>
  <c r="U573" i="14"/>
  <c r="V573" i="14" s="1"/>
  <c r="T573" i="14"/>
  <c r="S573" i="14"/>
  <c r="J573" i="14"/>
  <c r="I573" i="14"/>
  <c r="D573" i="14"/>
  <c r="C573" i="14"/>
  <c r="B573" i="14"/>
  <c r="Z572" i="14"/>
  <c r="W572" i="14"/>
  <c r="U572" i="14"/>
  <c r="V572" i="14" s="1"/>
  <c r="T572" i="14"/>
  <c r="S572" i="14"/>
  <c r="J572" i="14"/>
  <c r="I572" i="14"/>
  <c r="D572" i="14"/>
  <c r="C572" i="14"/>
  <c r="B572" i="14"/>
  <c r="Z571" i="14"/>
  <c r="W571" i="14"/>
  <c r="U571" i="14"/>
  <c r="V571" i="14" s="1"/>
  <c r="T571" i="14"/>
  <c r="S571" i="14"/>
  <c r="J571" i="14"/>
  <c r="I571" i="14"/>
  <c r="D571" i="14"/>
  <c r="C571" i="14"/>
  <c r="B571" i="14"/>
  <c r="Z570" i="14"/>
  <c r="W570" i="14"/>
  <c r="U570" i="14"/>
  <c r="V570" i="14" s="1"/>
  <c r="T570" i="14"/>
  <c r="S570" i="14"/>
  <c r="J570" i="14"/>
  <c r="I570" i="14"/>
  <c r="D570" i="14"/>
  <c r="C570" i="14"/>
  <c r="B570" i="14"/>
  <c r="Z569" i="14"/>
  <c r="W569" i="14"/>
  <c r="U569" i="14"/>
  <c r="V569" i="14" s="1"/>
  <c r="T569" i="14"/>
  <c r="S569" i="14"/>
  <c r="J569" i="14"/>
  <c r="I569" i="14"/>
  <c r="D569" i="14"/>
  <c r="C569" i="14"/>
  <c r="B569" i="14"/>
  <c r="Z568" i="14"/>
  <c r="W568" i="14"/>
  <c r="U568" i="14"/>
  <c r="V568" i="14" s="1"/>
  <c r="T568" i="14"/>
  <c r="S568" i="14"/>
  <c r="J568" i="14"/>
  <c r="I568" i="14"/>
  <c r="D568" i="14"/>
  <c r="C568" i="14"/>
  <c r="B568" i="14"/>
  <c r="Z567" i="14"/>
  <c r="W567" i="14"/>
  <c r="U567" i="14"/>
  <c r="V567" i="14" s="1"/>
  <c r="T567" i="14"/>
  <c r="S567" i="14"/>
  <c r="J567" i="14"/>
  <c r="I567" i="14"/>
  <c r="D567" i="14"/>
  <c r="C567" i="14"/>
  <c r="B567" i="14"/>
  <c r="Z566" i="14"/>
  <c r="W566" i="14"/>
  <c r="U566" i="14"/>
  <c r="V566" i="14" s="1"/>
  <c r="T566" i="14"/>
  <c r="S566" i="14"/>
  <c r="J566" i="14"/>
  <c r="I566" i="14"/>
  <c r="D566" i="14"/>
  <c r="C566" i="14"/>
  <c r="B566" i="14"/>
  <c r="Z565" i="14"/>
  <c r="W565" i="14"/>
  <c r="U565" i="14"/>
  <c r="V565" i="14" s="1"/>
  <c r="T565" i="14"/>
  <c r="S565" i="14"/>
  <c r="J565" i="14"/>
  <c r="I565" i="14"/>
  <c r="D565" i="14"/>
  <c r="C565" i="14"/>
  <c r="B565" i="14"/>
  <c r="Z564" i="14"/>
  <c r="W564" i="14"/>
  <c r="U564" i="14"/>
  <c r="V564" i="14" s="1"/>
  <c r="T564" i="14"/>
  <c r="S564" i="14"/>
  <c r="J564" i="14"/>
  <c r="I564" i="14"/>
  <c r="D564" i="14"/>
  <c r="C564" i="14"/>
  <c r="B564" i="14"/>
  <c r="Z563" i="14"/>
  <c r="W563" i="14"/>
  <c r="U563" i="14"/>
  <c r="V563" i="14" s="1"/>
  <c r="T563" i="14"/>
  <c r="S563" i="14"/>
  <c r="J563" i="14"/>
  <c r="I563" i="14"/>
  <c r="D563" i="14"/>
  <c r="C563" i="14"/>
  <c r="B563" i="14"/>
  <c r="Z562" i="14"/>
  <c r="W562" i="14"/>
  <c r="U562" i="14"/>
  <c r="V562" i="14" s="1"/>
  <c r="T562" i="14"/>
  <c r="S562" i="14"/>
  <c r="J562" i="14"/>
  <c r="I562" i="14"/>
  <c r="D562" i="14"/>
  <c r="C562" i="14"/>
  <c r="B562" i="14"/>
  <c r="Z561" i="14"/>
  <c r="W561" i="14"/>
  <c r="U561" i="14"/>
  <c r="V561" i="14" s="1"/>
  <c r="T561" i="14"/>
  <c r="S561" i="14"/>
  <c r="J561" i="14"/>
  <c r="I561" i="14"/>
  <c r="D561" i="14"/>
  <c r="C561" i="14"/>
  <c r="B561" i="14"/>
  <c r="Z560" i="14"/>
  <c r="W560" i="14"/>
  <c r="U560" i="14"/>
  <c r="V560" i="14" s="1"/>
  <c r="T560" i="14"/>
  <c r="S560" i="14"/>
  <c r="J560" i="14"/>
  <c r="I560" i="14"/>
  <c r="D560" i="14"/>
  <c r="C560" i="14"/>
  <c r="B560" i="14"/>
  <c r="Z559" i="14"/>
  <c r="W559" i="14"/>
  <c r="U559" i="14"/>
  <c r="V559" i="14" s="1"/>
  <c r="T559" i="14"/>
  <c r="S559" i="14"/>
  <c r="J559" i="14"/>
  <c r="I559" i="14"/>
  <c r="D559" i="14"/>
  <c r="C559" i="14"/>
  <c r="B559" i="14"/>
  <c r="Z558" i="14"/>
  <c r="W558" i="14"/>
  <c r="U558" i="14"/>
  <c r="V558" i="14" s="1"/>
  <c r="T558" i="14"/>
  <c r="S558" i="14"/>
  <c r="J558" i="14"/>
  <c r="I558" i="14"/>
  <c r="D558" i="14"/>
  <c r="C558" i="14"/>
  <c r="B558" i="14"/>
  <c r="Z557" i="14"/>
  <c r="W557" i="14"/>
  <c r="U557" i="14"/>
  <c r="V557" i="14" s="1"/>
  <c r="T557" i="14"/>
  <c r="S557" i="14"/>
  <c r="J557" i="14"/>
  <c r="I557" i="14"/>
  <c r="D557" i="14"/>
  <c r="C557" i="14"/>
  <c r="B557" i="14"/>
  <c r="Z556" i="14"/>
  <c r="W556" i="14"/>
  <c r="U556" i="14"/>
  <c r="V556" i="14" s="1"/>
  <c r="T556" i="14"/>
  <c r="S556" i="14"/>
  <c r="J556" i="14"/>
  <c r="I556" i="14"/>
  <c r="D556" i="14"/>
  <c r="C556" i="14"/>
  <c r="B556" i="14"/>
  <c r="Z555" i="14"/>
  <c r="W555" i="14"/>
  <c r="U555" i="14"/>
  <c r="V555" i="14" s="1"/>
  <c r="T555" i="14"/>
  <c r="S555" i="14"/>
  <c r="J555" i="14"/>
  <c r="I555" i="14"/>
  <c r="D555" i="14"/>
  <c r="C555" i="14"/>
  <c r="B555" i="14"/>
  <c r="Z554" i="14"/>
  <c r="W554" i="14"/>
  <c r="U554" i="14"/>
  <c r="V554" i="14" s="1"/>
  <c r="T554" i="14"/>
  <c r="S554" i="14"/>
  <c r="J554" i="14"/>
  <c r="I554" i="14"/>
  <c r="D554" i="14"/>
  <c r="C554" i="14"/>
  <c r="B554" i="14"/>
  <c r="Z553" i="14"/>
  <c r="W553" i="14"/>
  <c r="U553" i="14"/>
  <c r="V553" i="14" s="1"/>
  <c r="T553" i="14"/>
  <c r="S553" i="14"/>
  <c r="J553" i="14"/>
  <c r="I553" i="14"/>
  <c r="D553" i="14"/>
  <c r="C553" i="14"/>
  <c r="B553" i="14"/>
  <c r="Z552" i="14"/>
  <c r="W552" i="14"/>
  <c r="U552" i="14"/>
  <c r="V552" i="14" s="1"/>
  <c r="T552" i="14"/>
  <c r="S552" i="14"/>
  <c r="J552" i="14"/>
  <c r="I552" i="14"/>
  <c r="D552" i="14"/>
  <c r="C552" i="14"/>
  <c r="B552" i="14"/>
  <c r="Z551" i="14"/>
  <c r="W551" i="14"/>
  <c r="U551" i="14"/>
  <c r="V551" i="14" s="1"/>
  <c r="T551" i="14"/>
  <c r="S551" i="14"/>
  <c r="J551" i="14"/>
  <c r="I551" i="14"/>
  <c r="D551" i="14"/>
  <c r="C551" i="14"/>
  <c r="B551" i="14"/>
  <c r="Z550" i="14"/>
  <c r="W550" i="14"/>
  <c r="U550" i="14"/>
  <c r="V550" i="14" s="1"/>
  <c r="T550" i="14"/>
  <c r="S550" i="14"/>
  <c r="J550" i="14"/>
  <c r="I550" i="14"/>
  <c r="D550" i="14"/>
  <c r="C550" i="14"/>
  <c r="B550" i="14"/>
  <c r="Z549" i="14"/>
  <c r="W549" i="14"/>
  <c r="U549" i="14"/>
  <c r="V549" i="14" s="1"/>
  <c r="T549" i="14"/>
  <c r="S549" i="14"/>
  <c r="J549" i="14"/>
  <c r="I549" i="14"/>
  <c r="D549" i="14"/>
  <c r="C549" i="14"/>
  <c r="B549" i="14"/>
  <c r="Z548" i="14"/>
  <c r="W548" i="14"/>
  <c r="U548" i="14"/>
  <c r="V548" i="14" s="1"/>
  <c r="T548" i="14"/>
  <c r="S548" i="14"/>
  <c r="J548" i="14"/>
  <c r="I548" i="14"/>
  <c r="D548" i="14"/>
  <c r="C548" i="14"/>
  <c r="B548" i="14"/>
  <c r="Z547" i="14"/>
  <c r="W547" i="14"/>
  <c r="U547" i="14"/>
  <c r="V547" i="14" s="1"/>
  <c r="T547" i="14"/>
  <c r="S547" i="14"/>
  <c r="J547" i="14"/>
  <c r="I547" i="14"/>
  <c r="D547" i="14"/>
  <c r="C547" i="14"/>
  <c r="B547" i="14"/>
  <c r="Z546" i="14"/>
  <c r="W546" i="14"/>
  <c r="U546" i="14"/>
  <c r="V546" i="14" s="1"/>
  <c r="T546" i="14"/>
  <c r="S546" i="14"/>
  <c r="J546" i="14"/>
  <c r="I546" i="14"/>
  <c r="D546" i="14"/>
  <c r="C546" i="14"/>
  <c r="B546" i="14"/>
  <c r="Z545" i="14"/>
  <c r="W545" i="14"/>
  <c r="U545" i="14"/>
  <c r="V545" i="14" s="1"/>
  <c r="T545" i="14"/>
  <c r="S545" i="14"/>
  <c r="J545" i="14"/>
  <c r="I545" i="14"/>
  <c r="D545" i="14"/>
  <c r="C545" i="14"/>
  <c r="B545" i="14"/>
  <c r="Z544" i="14"/>
  <c r="W544" i="14"/>
  <c r="U544" i="14"/>
  <c r="V544" i="14" s="1"/>
  <c r="T544" i="14"/>
  <c r="S544" i="14"/>
  <c r="J544" i="14"/>
  <c r="I544" i="14"/>
  <c r="D544" i="14"/>
  <c r="C544" i="14"/>
  <c r="B544" i="14"/>
  <c r="Z543" i="14"/>
  <c r="W543" i="14"/>
  <c r="U543" i="14"/>
  <c r="V543" i="14" s="1"/>
  <c r="T543" i="14"/>
  <c r="S543" i="14"/>
  <c r="J543" i="14"/>
  <c r="I543" i="14"/>
  <c r="D543" i="14"/>
  <c r="C543" i="14"/>
  <c r="B543" i="14"/>
  <c r="Z542" i="14"/>
  <c r="W542" i="14"/>
  <c r="U542" i="14"/>
  <c r="V542" i="14" s="1"/>
  <c r="T542" i="14"/>
  <c r="S542" i="14"/>
  <c r="J542" i="14"/>
  <c r="I542" i="14"/>
  <c r="D542" i="14"/>
  <c r="C542" i="14"/>
  <c r="B542" i="14"/>
  <c r="Z541" i="14"/>
  <c r="W541" i="14"/>
  <c r="U541" i="14"/>
  <c r="V541" i="14" s="1"/>
  <c r="T541" i="14"/>
  <c r="S541" i="14"/>
  <c r="J541" i="14"/>
  <c r="I541" i="14"/>
  <c r="D541" i="14"/>
  <c r="C541" i="14"/>
  <c r="B541" i="14"/>
  <c r="Z540" i="14"/>
  <c r="W540" i="14"/>
  <c r="U540" i="14"/>
  <c r="V540" i="14" s="1"/>
  <c r="T540" i="14"/>
  <c r="S540" i="14"/>
  <c r="J540" i="14"/>
  <c r="I540" i="14"/>
  <c r="D540" i="14"/>
  <c r="C540" i="14"/>
  <c r="B540" i="14"/>
  <c r="Z539" i="14"/>
  <c r="W539" i="14"/>
  <c r="U539" i="14"/>
  <c r="V539" i="14" s="1"/>
  <c r="T539" i="14"/>
  <c r="S539" i="14"/>
  <c r="J539" i="14"/>
  <c r="I539" i="14"/>
  <c r="D539" i="14"/>
  <c r="C539" i="14"/>
  <c r="B539" i="14"/>
  <c r="Z538" i="14"/>
  <c r="W538" i="14"/>
  <c r="U538" i="14"/>
  <c r="V538" i="14" s="1"/>
  <c r="T538" i="14"/>
  <c r="S538" i="14"/>
  <c r="J538" i="14"/>
  <c r="I538" i="14"/>
  <c r="D538" i="14"/>
  <c r="C538" i="14"/>
  <c r="B538" i="14"/>
  <c r="Z537" i="14"/>
  <c r="W537" i="14"/>
  <c r="U537" i="14"/>
  <c r="V537" i="14" s="1"/>
  <c r="T537" i="14"/>
  <c r="S537" i="14"/>
  <c r="J537" i="14"/>
  <c r="I537" i="14"/>
  <c r="D537" i="14"/>
  <c r="C537" i="14"/>
  <c r="B537" i="14"/>
  <c r="Z536" i="14"/>
  <c r="W536" i="14"/>
  <c r="U536" i="14"/>
  <c r="V536" i="14" s="1"/>
  <c r="T536" i="14"/>
  <c r="S536" i="14"/>
  <c r="J536" i="14"/>
  <c r="I536" i="14"/>
  <c r="D536" i="14"/>
  <c r="C536" i="14"/>
  <c r="B536" i="14"/>
  <c r="Z535" i="14"/>
  <c r="W535" i="14"/>
  <c r="U535" i="14"/>
  <c r="V535" i="14" s="1"/>
  <c r="T535" i="14"/>
  <c r="S535" i="14"/>
  <c r="J535" i="14"/>
  <c r="I535" i="14"/>
  <c r="D535" i="14"/>
  <c r="C535" i="14"/>
  <c r="B535" i="14"/>
  <c r="Z534" i="14"/>
  <c r="W534" i="14"/>
  <c r="U534" i="14"/>
  <c r="V534" i="14" s="1"/>
  <c r="T534" i="14"/>
  <c r="S534" i="14"/>
  <c r="J534" i="14"/>
  <c r="I534" i="14"/>
  <c r="D534" i="14"/>
  <c r="C534" i="14"/>
  <c r="B534" i="14"/>
  <c r="Z533" i="14"/>
  <c r="W533" i="14"/>
  <c r="U533" i="14"/>
  <c r="V533" i="14" s="1"/>
  <c r="T533" i="14"/>
  <c r="S533" i="14"/>
  <c r="J533" i="14"/>
  <c r="I533" i="14"/>
  <c r="D533" i="14"/>
  <c r="C533" i="14"/>
  <c r="B533" i="14"/>
  <c r="Z532" i="14"/>
  <c r="W532" i="14"/>
  <c r="U532" i="14"/>
  <c r="V532" i="14" s="1"/>
  <c r="T532" i="14"/>
  <c r="S532" i="14"/>
  <c r="J532" i="14"/>
  <c r="I532" i="14"/>
  <c r="D532" i="14"/>
  <c r="C532" i="14"/>
  <c r="B532" i="14"/>
  <c r="Z531" i="14"/>
  <c r="W531" i="14"/>
  <c r="U531" i="14"/>
  <c r="V531" i="14" s="1"/>
  <c r="T531" i="14"/>
  <c r="S531" i="14"/>
  <c r="J531" i="14"/>
  <c r="I531" i="14"/>
  <c r="D531" i="14"/>
  <c r="C531" i="14"/>
  <c r="B531" i="14"/>
  <c r="Z530" i="14"/>
  <c r="W530" i="14"/>
  <c r="U530" i="14"/>
  <c r="V530" i="14" s="1"/>
  <c r="T530" i="14"/>
  <c r="S530" i="14"/>
  <c r="J530" i="14"/>
  <c r="I530" i="14"/>
  <c r="D530" i="14"/>
  <c r="C530" i="14"/>
  <c r="B530" i="14"/>
  <c r="Z529" i="14"/>
  <c r="W529" i="14"/>
  <c r="U529" i="14"/>
  <c r="V529" i="14" s="1"/>
  <c r="T529" i="14"/>
  <c r="S529" i="14"/>
  <c r="J529" i="14"/>
  <c r="I529" i="14"/>
  <c r="D529" i="14"/>
  <c r="C529" i="14"/>
  <c r="B529" i="14"/>
  <c r="Z528" i="14"/>
  <c r="W528" i="14"/>
  <c r="U528" i="14"/>
  <c r="V528" i="14" s="1"/>
  <c r="T528" i="14"/>
  <c r="S528" i="14"/>
  <c r="J528" i="14"/>
  <c r="I528" i="14"/>
  <c r="D528" i="14"/>
  <c r="C528" i="14"/>
  <c r="B528" i="14"/>
  <c r="Z527" i="14"/>
  <c r="W527" i="14"/>
  <c r="U527" i="14"/>
  <c r="V527" i="14" s="1"/>
  <c r="T527" i="14"/>
  <c r="S527" i="14"/>
  <c r="J527" i="14"/>
  <c r="I527" i="14"/>
  <c r="D527" i="14"/>
  <c r="C527" i="14"/>
  <c r="B527" i="14"/>
  <c r="Z526" i="14"/>
  <c r="W526" i="14"/>
  <c r="U526" i="14"/>
  <c r="V526" i="14" s="1"/>
  <c r="T526" i="14"/>
  <c r="S526" i="14"/>
  <c r="J526" i="14"/>
  <c r="I526" i="14"/>
  <c r="D526" i="14"/>
  <c r="C526" i="14"/>
  <c r="B526" i="14"/>
  <c r="Z525" i="14"/>
  <c r="W525" i="14"/>
  <c r="U525" i="14"/>
  <c r="V525" i="14" s="1"/>
  <c r="T525" i="14"/>
  <c r="S525" i="14"/>
  <c r="J525" i="14"/>
  <c r="I525" i="14"/>
  <c r="D525" i="14"/>
  <c r="C525" i="14"/>
  <c r="B525" i="14"/>
  <c r="Z524" i="14"/>
  <c r="W524" i="14"/>
  <c r="U524" i="14"/>
  <c r="V524" i="14" s="1"/>
  <c r="T524" i="14"/>
  <c r="S524" i="14"/>
  <c r="J524" i="14"/>
  <c r="I524" i="14"/>
  <c r="D524" i="14"/>
  <c r="C524" i="14"/>
  <c r="B524" i="14"/>
  <c r="Z523" i="14"/>
  <c r="W523" i="14"/>
  <c r="U523" i="14"/>
  <c r="V523" i="14" s="1"/>
  <c r="T523" i="14"/>
  <c r="S523" i="14"/>
  <c r="J523" i="14"/>
  <c r="I523" i="14"/>
  <c r="D523" i="14"/>
  <c r="C523" i="14"/>
  <c r="B523" i="14"/>
  <c r="Z522" i="14"/>
  <c r="W522" i="14"/>
  <c r="U522" i="14"/>
  <c r="V522" i="14" s="1"/>
  <c r="T522" i="14"/>
  <c r="S522" i="14"/>
  <c r="J522" i="14"/>
  <c r="I522" i="14"/>
  <c r="D522" i="14"/>
  <c r="C522" i="14"/>
  <c r="B522" i="14"/>
  <c r="Z521" i="14"/>
  <c r="W521" i="14"/>
  <c r="U521" i="14"/>
  <c r="V521" i="14" s="1"/>
  <c r="T521" i="14"/>
  <c r="S521" i="14"/>
  <c r="J521" i="14"/>
  <c r="I521" i="14"/>
  <c r="D521" i="14"/>
  <c r="C521" i="14"/>
  <c r="B521" i="14"/>
  <c r="Z520" i="14"/>
  <c r="W520" i="14"/>
  <c r="U520" i="14"/>
  <c r="V520" i="14" s="1"/>
  <c r="T520" i="14"/>
  <c r="S520" i="14"/>
  <c r="J520" i="14"/>
  <c r="I520" i="14"/>
  <c r="D520" i="14"/>
  <c r="C520" i="14"/>
  <c r="B520" i="14"/>
  <c r="Z519" i="14"/>
  <c r="W519" i="14"/>
  <c r="U519" i="14"/>
  <c r="V519" i="14" s="1"/>
  <c r="T519" i="14"/>
  <c r="S519" i="14"/>
  <c r="J519" i="14"/>
  <c r="I519" i="14"/>
  <c r="D519" i="14"/>
  <c r="C519" i="14"/>
  <c r="B519" i="14"/>
  <c r="Z518" i="14"/>
  <c r="W518" i="14"/>
  <c r="U518" i="14"/>
  <c r="V518" i="14" s="1"/>
  <c r="T518" i="14"/>
  <c r="S518" i="14"/>
  <c r="J518" i="14"/>
  <c r="I518" i="14"/>
  <c r="D518" i="14"/>
  <c r="C518" i="14"/>
  <c r="B518" i="14"/>
  <c r="Z517" i="14"/>
  <c r="W517" i="14"/>
  <c r="U517" i="14"/>
  <c r="V517" i="14" s="1"/>
  <c r="T517" i="14"/>
  <c r="S517" i="14"/>
  <c r="J517" i="14"/>
  <c r="I517" i="14"/>
  <c r="D517" i="14"/>
  <c r="C517" i="14"/>
  <c r="B517" i="14"/>
  <c r="Z516" i="14"/>
  <c r="W516" i="14"/>
  <c r="U516" i="14"/>
  <c r="V516" i="14" s="1"/>
  <c r="T516" i="14"/>
  <c r="S516" i="14"/>
  <c r="J516" i="14"/>
  <c r="I516" i="14"/>
  <c r="D516" i="14"/>
  <c r="C516" i="14"/>
  <c r="B516" i="14"/>
  <c r="Z515" i="14"/>
  <c r="W515" i="14"/>
  <c r="U515" i="14"/>
  <c r="V515" i="14" s="1"/>
  <c r="T515" i="14"/>
  <c r="S515" i="14"/>
  <c r="J515" i="14"/>
  <c r="I515" i="14"/>
  <c r="D515" i="14"/>
  <c r="C515" i="14"/>
  <c r="B515" i="14"/>
  <c r="Z514" i="14"/>
  <c r="W514" i="14"/>
  <c r="U514" i="14"/>
  <c r="V514" i="14" s="1"/>
  <c r="T514" i="14"/>
  <c r="S514" i="14"/>
  <c r="J514" i="14"/>
  <c r="I514" i="14"/>
  <c r="D514" i="14"/>
  <c r="C514" i="14"/>
  <c r="B514" i="14"/>
  <c r="Z513" i="14"/>
  <c r="W513" i="14"/>
  <c r="U513" i="14"/>
  <c r="V513" i="14" s="1"/>
  <c r="T513" i="14"/>
  <c r="S513" i="14"/>
  <c r="J513" i="14"/>
  <c r="I513" i="14"/>
  <c r="D513" i="14"/>
  <c r="C513" i="14"/>
  <c r="B513" i="14"/>
  <c r="Z512" i="14"/>
  <c r="W512" i="14"/>
  <c r="U512" i="14"/>
  <c r="V512" i="14" s="1"/>
  <c r="T512" i="14"/>
  <c r="S512" i="14"/>
  <c r="J512" i="14"/>
  <c r="I512" i="14"/>
  <c r="D512" i="14"/>
  <c r="C512" i="14"/>
  <c r="B512" i="14"/>
  <c r="Z511" i="14"/>
  <c r="W511" i="14"/>
  <c r="U511" i="14"/>
  <c r="V511" i="14" s="1"/>
  <c r="T511" i="14"/>
  <c r="S511" i="14"/>
  <c r="J511" i="14"/>
  <c r="I511" i="14"/>
  <c r="D511" i="14"/>
  <c r="C511" i="14"/>
  <c r="B511" i="14"/>
  <c r="Z510" i="14"/>
  <c r="W510" i="14"/>
  <c r="U510" i="14"/>
  <c r="V510" i="14" s="1"/>
  <c r="T510" i="14"/>
  <c r="S510" i="14"/>
  <c r="J510" i="14"/>
  <c r="I510" i="14"/>
  <c r="D510" i="14"/>
  <c r="C510" i="14"/>
  <c r="B510" i="14"/>
  <c r="Z509" i="14"/>
  <c r="W509" i="14"/>
  <c r="U509" i="14"/>
  <c r="V509" i="14" s="1"/>
  <c r="T509" i="14"/>
  <c r="S509" i="14"/>
  <c r="J509" i="14"/>
  <c r="I509" i="14"/>
  <c r="D509" i="14"/>
  <c r="C509" i="14"/>
  <c r="B509" i="14"/>
  <c r="Z508" i="14"/>
  <c r="W508" i="14"/>
  <c r="U508" i="14"/>
  <c r="V508" i="14" s="1"/>
  <c r="T508" i="14"/>
  <c r="S508" i="14"/>
  <c r="J508" i="14"/>
  <c r="I508" i="14"/>
  <c r="D508" i="14"/>
  <c r="C508" i="14"/>
  <c r="B508" i="14"/>
  <c r="Z507" i="14"/>
  <c r="W507" i="14"/>
  <c r="U507" i="14"/>
  <c r="V507" i="14" s="1"/>
  <c r="T507" i="14"/>
  <c r="S507" i="14"/>
  <c r="J507" i="14"/>
  <c r="I507" i="14"/>
  <c r="D507" i="14"/>
  <c r="C507" i="14"/>
  <c r="B507" i="14"/>
  <c r="Z506" i="14"/>
  <c r="W506" i="14"/>
  <c r="U506" i="14"/>
  <c r="V506" i="14" s="1"/>
  <c r="T506" i="14"/>
  <c r="S506" i="14"/>
  <c r="J506" i="14"/>
  <c r="I506" i="14"/>
  <c r="D506" i="14"/>
  <c r="C506" i="14"/>
  <c r="B506" i="14"/>
  <c r="Z505" i="14"/>
  <c r="W505" i="14"/>
  <c r="U505" i="14"/>
  <c r="V505" i="14" s="1"/>
  <c r="T505" i="14"/>
  <c r="S505" i="14"/>
  <c r="J505" i="14"/>
  <c r="I505" i="14"/>
  <c r="D505" i="14"/>
  <c r="C505" i="14"/>
  <c r="B505" i="14"/>
  <c r="Z504" i="14"/>
  <c r="W504" i="14"/>
  <c r="U504" i="14"/>
  <c r="V504" i="14" s="1"/>
  <c r="T504" i="14"/>
  <c r="S504" i="14"/>
  <c r="J504" i="14"/>
  <c r="I504" i="14"/>
  <c r="D504" i="14"/>
  <c r="C504" i="14"/>
  <c r="B504" i="14"/>
  <c r="Z503" i="14"/>
  <c r="W503" i="14"/>
  <c r="U503" i="14"/>
  <c r="V503" i="14" s="1"/>
  <c r="T503" i="14"/>
  <c r="S503" i="14"/>
  <c r="J503" i="14"/>
  <c r="I503" i="14"/>
  <c r="D503" i="14"/>
  <c r="C503" i="14"/>
  <c r="B503" i="14"/>
  <c r="Z502" i="14"/>
  <c r="W502" i="14"/>
  <c r="U502" i="14"/>
  <c r="V502" i="14" s="1"/>
  <c r="T502" i="14"/>
  <c r="S502" i="14"/>
  <c r="J502" i="14"/>
  <c r="I502" i="14"/>
  <c r="D502" i="14"/>
  <c r="C502" i="14"/>
  <c r="B502" i="14"/>
  <c r="Z501" i="14"/>
  <c r="W501" i="14"/>
  <c r="U501" i="14"/>
  <c r="V501" i="14" s="1"/>
  <c r="T501" i="14"/>
  <c r="S501" i="14"/>
  <c r="J501" i="14"/>
  <c r="I501" i="14"/>
  <c r="D501" i="14"/>
  <c r="C501" i="14"/>
  <c r="B501" i="14"/>
  <c r="Z500" i="14"/>
  <c r="W500" i="14"/>
  <c r="U500" i="14"/>
  <c r="V500" i="14" s="1"/>
  <c r="T500" i="14"/>
  <c r="S500" i="14"/>
  <c r="J500" i="14"/>
  <c r="I500" i="14"/>
  <c r="D500" i="14"/>
  <c r="C500" i="14"/>
  <c r="B500" i="14"/>
  <c r="Z499" i="14"/>
  <c r="W499" i="14"/>
  <c r="U499" i="14"/>
  <c r="V499" i="14" s="1"/>
  <c r="T499" i="14"/>
  <c r="S499" i="14"/>
  <c r="J499" i="14"/>
  <c r="I499" i="14"/>
  <c r="D499" i="14"/>
  <c r="C499" i="14"/>
  <c r="B499" i="14"/>
  <c r="Z498" i="14"/>
  <c r="W498" i="14"/>
  <c r="U498" i="14"/>
  <c r="V498" i="14" s="1"/>
  <c r="T498" i="14"/>
  <c r="S498" i="14"/>
  <c r="J498" i="14"/>
  <c r="I498" i="14"/>
  <c r="D498" i="14"/>
  <c r="C498" i="14"/>
  <c r="B498" i="14"/>
  <c r="Z497" i="14"/>
  <c r="W497" i="14"/>
  <c r="U497" i="14"/>
  <c r="V497" i="14" s="1"/>
  <c r="T497" i="14"/>
  <c r="S497" i="14"/>
  <c r="J497" i="14"/>
  <c r="I497" i="14"/>
  <c r="D497" i="14"/>
  <c r="C497" i="14"/>
  <c r="B497" i="14"/>
  <c r="Z496" i="14"/>
  <c r="W496" i="14"/>
  <c r="U496" i="14"/>
  <c r="V496" i="14" s="1"/>
  <c r="T496" i="14"/>
  <c r="S496" i="14"/>
  <c r="J496" i="14"/>
  <c r="I496" i="14"/>
  <c r="D496" i="14"/>
  <c r="C496" i="14"/>
  <c r="B496" i="14"/>
  <c r="Z495" i="14"/>
  <c r="W495" i="14"/>
  <c r="U495" i="14"/>
  <c r="V495" i="14" s="1"/>
  <c r="T495" i="14"/>
  <c r="S495" i="14"/>
  <c r="J495" i="14"/>
  <c r="I495" i="14"/>
  <c r="D495" i="14"/>
  <c r="C495" i="14"/>
  <c r="B495" i="14"/>
  <c r="Z494" i="14"/>
  <c r="W494" i="14"/>
  <c r="U494" i="14"/>
  <c r="V494" i="14" s="1"/>
  <c r="T494" i="14"/>
  <c r="S494" i="14"/>
  <c r="J494" i="14"/>
  <c r="I494" i="14"/>
  <c r="D494" i="14"/>
  <c r="C494" i="14"/>
  <c r="B494" i="14"/>
  <c r="Z493" i="14"/>
  <c r="W493" i="14"/>
  <c r="U493" i="14"/>
  <c r="V493" i="14" s="1"/>
  <c r="T493" i="14"/>
  <c r="S493" i="14"/>
  <c r="J493" i="14"/>
  <c r="I493" i="14"/>
  <c r="D493" i="14"/>
  <c r="C493" i="14"/>
  <c r="B493" i="14"/>
  <c r="Z492" i="14"/>
  <c r="W492" i="14"/>
  <c r="U492" i="14"/>
  <c r="V492" i="14" s="1"/>
  <c r="T492" i="14"/>
  <c r="S492" i="14"/>
  <c r="J492" i="14"/>
  <c r="I492" i="14"/>
  <c r="D492" i="14"/>
  <c r="C492" i="14"/>
  <c r="B492" i="14"/>
  <c r="Z491" i="14"/>
  <c r="W491" i="14"/>
  <c r="U491" i="14"/>
  <c r="V491" i="14" s="1"/>
  <c r="T491" i="14"/>
  <c r="S491" i="14"/>
  <c r="J491" i="14"/>
  <c r="I491" i="14"/>
  <c r="D491" i="14"/>
  <c r="C491" i="14"/>
  <c r="B491" i="14"/>
  <c r="Z490" i="14"/>
  <c r="W490" i="14"/>
  <c r="U490" i="14"/>
  <c r="V490" i="14" s="1"/>
  <c r="T490" i="14"/>
  <c r="S490" i="14"/>
  <c r="J490" i="14"/>
  <c r="I490" i="14"/>
  <c r="D490" i="14"/>
  <c r="C490" i="14"/>
  <c r="B490" i="14"/>
  <c r="Z489" i="14"/>
  <c r="W489" i="14"/>
  <c r="U489" i="14"/>
  <c r="V489" i="14" s="1"/>
  <c r="T489" i="14"/>
  <c r="S489" i="14"/>
  <c r="J489" i="14"/>
  <c r="I489" i="14"/>
  <c r="D489" i="14"/>
  <c r="C489" i="14"/>
  <c r="B489" i="14"/>
  <c r="Z488" i="14"/>
  <c r="W488" i="14"/>
  <c r="U488" i="14"/>
  <c r="V488" i="14" s="1"/>
  <c r="T488" i="14"/>
  <c r="S488" i="14"/>
  <c r="J488" i="14"/>
  <c r="I488" i="14"/>
  <c r="D488" i="14"/>
  <c r="C488" i="14"/>
  <c r="B488" i="14"/>
  <c r="Z487" i="14"/>
  <c r="W487" i="14"/>
  <c r="U487" i="14"/>
  <c r="V487" i="14" s="1"/>
  <c r="T487" i="14"/>
  <c r="S487" i="14"/>
  <c r="J487" i="14"/>
  <c r="I487" i="14"/>
  <c r="D487" i="14"/>
  <c r="C487" i="14"/>
  <c r="B487" i="14"/>
  <c r="Z486" i="14"/>
  <c r="W486" i="14"/>
  <c r="U486" i="14"/>
  <c r="V486" i="14" s="1"/>
  <c r="T486" i="14"/>
  <c r="S486" i="14"/>
  <c r="J486" i="14"/>
  <c r="I486" i="14"/>
  <c r="D486" i="14"/>
  <c r="C486" i="14"/>
  <c r="B486" i="14"/>
  <c r="Z485" i="14"/>
  <c r="W485" i="14"/>
  <c r="U485" i="14"/>
  <c r="V485" i="14" s="1"/>
  <c r="T485" i="14"/>
  <c r="S485" i="14"/>
  <c r="J485" i="14"/>
  <c r="I485" i="14"/>
  <c r="D485" i="14"/>
  <c r="C485" i="14"/>
  <c r="B485" i="14"/>
  <c r="Z484" i="14"/>
  <c r="W484" i="14"/>
  <c r="U484" i="14"/>
  <c r="V484" i="14" s="1"/>
  <c r="T484" i="14"/>
  <c r="S484" i="14"/>
  <c r="J484" i="14"/>
  <c r="I484" i="14"/>
  <c r="D484" i="14"/>
  <c r="C484" i="14"/>
  <c r="B484" i="14"/>
  <c r="Z483" i="14"/>
  <c r="W483" i="14"/>
  <c r="U483" i="14"/>
  <c r="V483" i="14" s="1"/>
  <c r="T483" i="14"/>
  <c r="S483" i="14"/>
  <c r="J483" i="14"/>
  <c r="I483" i="14"/>
  <c r="D483" i="14"/>
  <c r="C483" i="14"/>
  <c r="B483" i="14"/>
  <c r="Z482" i="14"/>
  <c r="W482" i="14"/>
  <c r="U482" i="14"/>
  <c r="V482" i="14" s="1"/>
  <c r="T482" i="14"/>
  <c r="S482" i="14"/>
  <c r="J482" i="14"/>
  <c r="I482" i="14"/>
  <c r="D482" i="14"/>
  <c r="C482" i="14"/>
  <c r="B482" i="14"/>
  <c r="Z481" i="14"/>
  <c r="W481" i="14"/>
  <c r="U481" i="14"/>
  <c r="V481" i="14" s="1"/>
  <c r="T481" i="14"/>
  <c r="S481" i="14"/>
  <c r="J481" i="14"/>
  <c r="I481" i="14"/>
  <c r="D481" i="14"/>
  <c r="C481" i="14"/>
  <c r="B481" i="14"/>
  <c r="Z480" i="14"/>
  <c r="W480" i="14"/>
  <c r="U480" i="14"/>
  <c r="V480" i="14" s="1"/>
  <c r="T480" i="14"/>
  <c r="S480" i="14"/>
  <c r="J480" i="14"/>
  <c r="I480" i="14"/>
  <c r="D480" i="14"/>
  <c r="C480" i="14"/>
  <c r="B480" i="14"/>
  <c r="Z479" i="14"/>
  <c r="W479" i="14"/>
  <c r="U479" i="14"/>
  <c r="V479" i="14" s="1"/>
  <c r="T479" i="14"/>
  <c r="S479" i="14"/>
  <c r="J479" i="14"/>
  <c r="I479" i="14"/>
  <c r="D479" i="14"/>
  <c r="C479" i="14"/>
  <c r="B479" i="14"/>
  <c r="Z478" i="14"/>
  <c r="W478" i="14"/>
  <c r="U478" i="14"/>
  <c r="V478" i="14" s="1"/>
  <c r="T478" i="14"/>
  <c r="S478" i="14"/>
  <c r="J478" i="14"/>
  <c r="I478" i="14"/>
  <c r="D478" i="14"/>
  <c r="C478" i="14"/>
  <c r="B478" i="14"/>
  <c r="Z477" i="14"/>
  <c r="W477" i="14"/>
  <c r="U477" i="14"/>
  <c r="V477" i="14" s="1"/>
  <c r="T477" i="14"/>
  <c r="S477" i="14"/>
  <c r="J477" i="14"/>
  <c r="I477" i="14"/>
  <c r="D477" i="14"/>
  <c r="C477" i="14"/>
  <c r="B477" i="14"/>
  <c r="Z476" i="14"/>
  <c r="W476" i="14"/>
  <c r="U476" i="14"/>
  <c r="V476" i="14" s="1"/>
  <c r="T476" i="14"/>
  <c r="S476" i="14"/>
  <c r="J476" i="14"/>
  <c r="I476" i="14"/>
  <c r="D476" i="14"/>
  <c r="C476" i="14"/>
  <c r="B476" i="14"/>
  <c r="Z475" i="14"/>
  <c r="W475" i="14"/>
  <c r="U475" i="14"/>
  <c r="V475" i="14" s="1"/>
  <c r="T475" i="14"/>
  <c r="S475" i="14"/>
  <c r="J475" i="14"/>
  <c r="I475" i="14"/>
  <c r="D475" i="14"/>
  <c r="C475" i="14"/>
  <c r="B475" i="14"/>
  <c r="Z474" i="14"/>
  <c r="W474" i="14"/>
  <c r="U474" i="14"/>
  <c r="V474" i="14" s="1"/>
  <c r="T474" i="14"/>
  <c r="S474" i="14"/>
  <c r="J474" i="14"/>
  <c r="I474" i="14"/>
  <c r="D474" i="14"/>
  <c r="C474" i="14"/>
  <c r="B474" i="14"/>
  <c r="Z473" i="14"/>
  <c r="W473" i="14"/>
  <c r="U473" i="14"/>
  <c r="V473" i="14" s="1"/>
  <c r="T473" i="14"/>
  <c r="S473" i="14"/>
  <c r="J473" i="14"/>
  <c r="I473" i="14"/>
  <c r="D473" i="14"/>
  <c r="C473" i="14"/>
  <c r="B473" i="14"/>
  <c r="Z472" i="14"/>
  <c r="W472" i="14"/>
  <c r="U472" i="14"/>
  <c r="V472" i="14" s="1"/>
  <c r="T472" i="14"/>
  <c r="S472" i="14"/>
  <c r="J472" i="14"/>
  <c r="I472" i="14"/>
  <c r="D472" i="14"/>
  <c r="C472" i="14"/>
  <c r="B472" i="14"/>
  <c r="Z471" i="14"/>
  <c r="W471" i="14"/>
  <c r="U471" i="14"/>
  <c r="V471" i="14" s="1"/>
  <c r="T471" i="14"/>
  <c r="S471" i="14"/>
  <c r="J471" i="14"/>
  <c r="I471" i="14"/>
  <c r="D471" i="14"/>
  <c r="C471" i="14"/>
  <c r="B471" i="14"/>
  <c r="Z470" i="14"/>
  <c r="W470" i="14"/>
  <c r="U470" i="14"/>
  <c r="V470" i="14" s="1"/>
  <c r="T470" i="14"/>
  <c r="S470" i="14"/>
  <c r="J470" i="14"/>
  <c r="I470" i="14"/>
  <c r="D470" i="14"/>
  <c r="C470" i="14"/>
  <c r="B470" i="14"/>
  <c r="Z469" i="14"/>
  <c r="W469" i="14"/>
  <c r="U469" i="14"/>
  <c r="V469" i="14" s="1"/>
  <c r="T469" i="14"/>
  <c r="S469" i="14"/>
  <c r="J469" i="14"/>
  <c r="I469" i="14"/>
  <c r="D469" i="14"/>
  <c r="C469" i="14"/>
  <c r="B469" i="14"/>
  <c r="Z468" i="14"/>
  <c r="W468" i="14"/>
  <c r="U468" i="14"/>
  <c r="V468" i="14" s="1"/>
  <c r="T468" i="14"/>
  <c r="S468" i="14"/>
  <c r="J468" i="14"/>
  <c r="I468" i="14"/>
  <c r="D468" i="14"/>
  <c r="C468" i="14"/>
  <c r="B468" i="14"/>
  <c r="Z467" i="14"/>
  <c r="W467" i="14"/>
  <c r="U467" i="14"/>
  <c r="V467" i="14" s="1"/>
  <c r="T467" i="14"/>
  <c r="S467" i="14"/>
  <c r="J467" i="14"/>
  <c r="I467" i="14"/>
  <c r="D467" i="14"/>
  <c r="C467" i="14"/>
  <c r="B467" i="14"/>
  <c r="Z466" i="14"/>
  <c r="W466" i="14"/>
  <c r="U466" i="14"/>
  <c r="V466" i="14" s="1"/>
  <c r="T466" i="14"/>
  <c r="S466" i="14"/>
  <c r="J466" i="14"/>
  <c r="I466" i="14"/>
  <c r="D466" i="14"/>
  <c r="C466" i="14"/>
  <c r="B466" i="14"/>
  <c r="Z465" i="14"/>
  <c r="W465" i="14"/>
  <c r="U465" i="14"/>
  <c r="V465" i="14" s="1"/>
  <c r="T465" i="14"/>
  <c r="S465" i="14"/>
  <c r="J465" i="14"/>
  <c r="I465" i="14"/>
  <c r="D465" i="14"/>
  <c r="C465" i="14"/>
  <c r="B465" i="14"/>
  <c r="Z464" i="14"/>
  <c r="W464" i="14"/>
  <c r="U464" i="14"/>
  <c r="V464" i="14" s="1"/>
  <c r="T464" i="14"/>
  <c r="S464" i="14"/>
  <c r="J464" i="14"/>
  <c r="I464" i="14"/>
  <c r="D464" i="14"/>
  <c r="C464" i="14"/>
  <c r="B464" i="14"/>
  <c r="Z463" i="14"/>
  <c r="W463" i="14"/>
  <c r="U463" i="14"/>
  <c r="V463" i="14" s="1"/>
  <c r="T463" i="14"/>
  <c r="S463" i="14"/>
  <c r="J463" i="14"/>
  <c r="I463" i="14"/>
  <c r="D463" i="14"/>
  <c r="C463" i="14"/>
  <c r="B463" i="14"/>
  <c r="Z462" i="14"/>
  <c r="W462" i="14"/>
  <c r="U462" i="14"/>
  <c r="V462" i="14" s="1"/>
  <c r="T462" i="14"/>
  <c r="S462" i="14"/>
  <c r="J462" i="14"/>
  <c r="I462" i="14"/>
  <c r="D462" i="14"/>
  <c r="C462" i="14"/>
  <c r="B462" i="14"/>
  <c r="Z461" i="14"/>
  <c r="W461" i="14"/>
  <c r="U461" i="14"/>
  <c r="V461" i="14" s="1"/>
  <c r="T461" i="14"/>
  <c r="S461" i="14"/>
  <c r="J461" i="14"/>
  <c r="I461" i="14"/>
  <c r="D461" i="14"/>
  <c r="C461" i="14"/>
  <c r="B461" i="14"/>
  <c r="Z460" i="14"/>
  <c r="W460" i="14"/>
  <c r="U460" i="14"/>
  <c r="V460" i="14" s="1"/>
  <c r="T460" i="14"/>
  <c r="S460" i="14"/>
  <c r="J460" i="14"/>
  <c r="I460" i="14"/>
  <c r="D460" i="14"/>
  <c r="C460" i="14"/>
  <c r="B460" i="14"/>
  <c r="Z459" i="14"/>
  <c r="W459" i="14"/>
  <c r="U459" i="14"/>
  <c r="V459" i="14" s="1"/>
  <c r="T459" i="14"/>
  <c r="S459" i="14"/>
  <c r="J459" i="14"/>
  <c r="I459" i="14"/>
  <c r="D459" i="14"/>
  <c r="C459" i="14"/>
  <c r="B459" i="14"/>
  <c r="Z458" i="14"/>
  <c r="W458" i="14"/>
  <c r="U458" i="14"/>
  <c r="V458" i="14" s="1"/>
  <c r="T458" i="14"/>
  <c r="S458" i="14"/>
  <c r="J458" i="14"/>
  <c r="I458" i="14"/>
  <c r="D458" i="14"/>
  <c r="C458" i="14"/>
  <c r="B458" i="14"/>
  <c r="Z457" i="14"/>
  <c r="W457" i="14"/>
  <c r="U457" i="14"/>
  <c r="V457" i="14" s="1"/>
  <c r="T457" i="14"/>
  <c r="S457" i="14"/>
  <c r="J457" i="14"/>
  <c r="I457" i="14"/>
  <c r="D457" i="14"/>
  <c r="C457" i="14"/>
  <c r="B457" i="14"/>
  <c r="Z456" i="14"/>
  <c r="W456" i="14"/>
  <c r="U456" i="14"/>
  <c r="V456" i="14" s="1"/>
  <c r="T456" i="14"/>
  <c r="S456" i="14"/>
  <c r="J456" i="14"/>
  <c r="I456" i="14"/>
  <c r="D456" i="14"/>
  <c r="C456" i="14"/>
  <c r="B456" i="14"/>
  <c r="Z455" i="14"/>
  <c r="W455" i="14"/>
  <c r="U455" i="14"/>
  <c r="V455" i="14" s="1"/>
  <c r="T455" i="14"/>
  <c r="S455" i="14"/>
  <c r="J455" i="14"/>
  <c r="I455" i="14"/>
  <c r="D455" i="14"/>
  <c r="C455" i="14"/>
  <c r="B455" i="14"/>
  <c r="Z454" i="14"/>
  <c r="W454" i="14"/>
  <c r="U454" i="14"/>
  <c r="V454" i="14" s="1"/>
  <c r="T454" i="14"/>
  <c r="S454" i="14"/>
  <c r="J454" i="14"/>
  <c r="I454" i="14"/>
  <c r="D454" i="14"/>
  <c r="C454" i="14"/>
  <c r="B454" i="14"/>
  <c r="Z453" i="14"/>
  <c r="W453" i="14"/>
  <c r="U453" i="14"/>
  <c r="V453" i="14" s="1"/>
  <c r="T453" i="14"/>
  <c r="S453" i="14"/>
  <c r="J453" i="14"/>
  <c r="I453" i="14"/>
  <c r="D453" i="14"/>
  <c r="C453" i="14"/>
  <c r="B453" i="14"/>
  <c r="Z452" i="14"/>
  <c r="W452" i="14"/>
  <c r="U452" i="14"/>
  <c r="V452" i="14" s="1"/>
  <c r="T452" i="14"/>
  <c r="S452" i="14"/>
  <c r="J452" i="14"/>
  <c r="I452" i="14"/>
  <c r="D452" i="14"/>
  <c r="C452" i="14"/>
  <c r="B452" i="14"/>
  <c r="Z451" i="14"/>
  <c r="W451" i="14"/>
  <c r="U451" i="14"/>
  <c r="V451" i="14" s="1"/>
  <c r="T451" i="14"/>
  <c r="S451" i="14"/>
  <c r="J451" i="14"/>
  <c r="I451" i="14"/>
  <c r="D451" i="14"/>
  <c r="C451" i="14"/>
  <c r="B451" i="14"/>
  <c r="Z450" i="14"/>
  <c r="W450" i="14"/>
  <c r="U450" i="14"/>
  <c r="V450" i="14" s="1"/>
  <c r="T450" i="14"/>
  <c r="S450" i="14"/>
  <c r="J450" i="14"/>
  <c r="I450" i="14"/>
  <c r="D450" i="14"/>
  <c r="C450" i="14"/>
  <c r="B450" i="14"/>
  <c r="Z449" i="14"/>
  <c r="W449" i="14"/>
  <c r="U449" i="14"/>
  <c r="V449" i="14" s="1"/>
  <c r="T449" i="14"/>
  <c r="S449" i="14"/>
  <c r="J449" i="14"/>
  <c r="I449" i="14"/>
  <c r="D449" i="14"/>
  <c r="C449" i="14"/>
  <c r="B449" i="14"/>
  <c r="Z448" i="14"/>
  <c r="W448" i="14"/>
  <c r="U448" i="14"/>
  <c r="V448" i="14" s="1"/>
  <c r="T448" i="14"/>
  <c r="S448" i="14"/>
  <c r="J448" i="14"/>
  <c r="I448" i="14"/>
  <c r="D448" i="14"/>
  <c r="C448" i="14"/>
  <c r="B448" i="14"/>
  <c r="Z447" i="14"/>
  <c r="W447" i="14"/>
  <c r="U447" i="14"/>
  <c r="V447" i="14" s="1"/>
  <c r="T447" i="14"/>
  <c r="S447" i="14"/>
  <c r="J447" i="14"/>
  <c r="I447" i="14"/>
  <c r="D447" i="14"/>
  <c r="C447" i="14"/>
  <c r="B447" i="14"/>
  <c r="Z446" i="14"/>
  <c r="W446" i="14"/>
  <c r="U446" i="14"/>
  <c r="V446" i="14" s="1"/>
  <c r="T446" i="14"/>
  <c r="S446" i="14"/>
  <c r="J446" i="14"/>
  <c r="I446" i="14"/>
  <c r="D446" i="14"/>
  <c r="C446" i="14"/>
  <c r="B446" i="14"/>
  <c r="Z445" i="14"/>
  <c r="W445" i="14"/>
  <c r="U445" i="14"/>
  <c r="V445" i="14" s="1"/>
  <c r="T445" i="14"/>
  <c r="S445" i="14"/>
  <c r="J445" i="14"/>
  <c r="I445" i="14"/>
  <c r="D445" i="14"/>
  <c r="C445" i="14"/>
  <c r="B445" i="14"/>
  <c r="Z444" i="14"/>
  <c r="W444" i="14"/>
  <c r="U444" i="14"/>
  <c r="V444" i="14" s="1"/>
  <c r="T444" i="14"/>
  <c r="S444" i="14"/>
  <c r="J444" i="14"/>
  <c r="I444" i="14"/>
  <c r="D444" i="14"/>
  <c r="C444" i="14"/>
  <c r="B444" i="14"/>
  <c r="Z443" i="14"/>
  <c r="W443" i="14"/>
  <c r="U443" i="14"/>
  <c r="V443" i="14" s="1"/>
  <c r="T443" i="14"/>
  <c r="S443" i="14"/>
  <c r="J443" i="14"/>
  <c r="I443" i="14"/>
  <c r="D443" i="14"/>
  <c r="C443" i="14"/>
  <c r="B443" i="14"/>
  <c r="Z442" i="14"/>
  <c r="W442" i="14"/>
  <c r="U442" i="14"/>
  <c r="V442" i="14" s="1"/>
  <c r="T442" i="14"/>
  <c r="S442" i="14"/>
  <c r="J442" i="14"/>
  <c r="I442" i="14"/>
  <c r="D442" i="14"/>
  <c r="C442" i="14"/>
  <c r="B442" i="14"/>
  <c r="Z441" i="14"/>
  <c r="W441" i="14"/>
  <c r="U441" i="14"/>
  <c r="V441" i="14" s="1"/>
  <c r="T441" i="14"/>
  <c r="S441" i="14"/>
  <c r="J441" i="14"/>
  <c r="I441" i="14"/>
  <c r="D441" i="14"/>
  <c r="C441" i="14"/>
  <c r="B441" i="14"/>
  <c r="Z440" i="14"/>
  <c r="W440" i="14"/>
  <c r="U440" i="14"/>
  <c r="V440" i="14" s="1"/>
  <c r="T440" i="14"/>
  <c r="S440" i="14"/>
  <c r="J440" i="14"/>
  <c r="I440" i="14"/>
  <c r="D440" i="14"/>
  <c r="C440" i="14"/>
  <c r="B440" i="14"/>
  <c r="Z439" i="14"/>
  <c r="W439" i="14"/>
  <c r="U439" i="14"/>
  <c r="V439" i="14" s="1"/>
  <c r="T439" i="14"/>
  <c r="S439" i="14"/>
  <c r="J439" i="14"/>
  <c r="I439" i="14"/>
  <c r="D439" i="14"/>
  <c r="C439" i="14"/>
  <c r="B439" i="14"/>
  <c r="Z438" i="14"/>
  <c r="W438" i="14"/>
  <c r="U438" i="14"/>
  <c r="V438" i="14" s="1"/>
  <c r="T438" i="14"/>
  <c r="S438" i="14"/>
  <c r="J438" i="14"/>
  <c r="I438" i="14"/>
  <c r="D438" i="14"/>
  <c r="C438" i="14"/>
  <c r="B438" i="14"/>
  <c r="Z437" i="14"/>
  <c r="W437" i="14"/>
  <c r="U437" i="14"/>
  <c r="V437" i="14" s="1"/>
  <c r="T437" i="14"/>
  <c r="S437" i="14"/>
  <c r="J437" i="14"/>
  <c r="I437" i="14"/>
  <c r="D437" i="14"/>
  <c r="C437" i="14"/>
  <c r="B437" i="14"/>
  <c r="Z436" i="14"/>
  <c r="W436" i="14"/>
  <c r="U436" i="14"/>
  <c r="V436" i="14" s="1"/>
  <c r="T436" i="14"/>
  <c r="S436" i="14"/>
  <c r="J436" i="14"/>
  <c r="I436" i="14"/>
  <c r="D436" i="14"/>
  <c r="C436" i="14"/>
  <c r="B436" i="14"/>
  <c r="Z435" i="14"/>
  <c r="W435" i="14"/>
  <c r="U435" i="14"/>
  <c r="V435" i="14" s="1"/>
  <c r="T435" i="14"/>
  <c r="S435" i="14"/>
  <c r="J435" i="14"/>
  <c r="I435" i="14"/>
  <c r="D435" i="14"/>
  <c r="C435" i="14"/>
  <c r="B435" i="14"/>
  <c r="Z434" i="14"/>
  <c r="W434" i="14"/>
  <c r="U434" i="14"/>
  <c r="V434" i="14" s="1"/>
  <c r="T434" i="14"/>
  <c r="S434" i="14"/>
  <c r="J434" i="14"/>
  <c r="I434" i="14"/>
  <c r="D434" i="14"/>
  <c r="C434" i="14"/>
  <c r="B434" i="14"/>
  <c r="Z433" i="14"/>
  <c r="W433" i="14"/>
  <c r="U433" i="14"/>
  <c r="V433" i="14" s="1"/>
  <c r="T433" i="14"/>
  <c r="S433" i="14"/>
  <c r="J433" i="14"/>
  <c r="I433" i="14"/>
  <c r="D433" i="14"/>
  <c r="C433" i="14"/>
  <c r="B433" i="14"/>
  <c r="Z432" i="14"/>
  <c r="W432" i="14"/>
  <c r="U432" i="14"/>
  <c r="V432" i="14" s="1"/>
  <c r="T432" i="14"/>
  <c r="S432" i="14"/>
  <c r="J432" i="14"/>
  <c r="I432" i="14"/>
  <c r="D432" i="14"/>
  <c r="C432" i="14"/>
  <c r="B432" i="14"/>
  <c r="Z431" i="14"/>
  <c r="W431" i="14"/>
  <c r="U431" i="14"/>
  <c r="V431" i="14" s="1"/>
  <c r="T431" i="14"/>
  <c r="S431" i="14"/>
  <c r="J431" i="14"/>
  <c r="I431" i="14"/>
  <c r="D431" i="14"/>
  <c r="C431" i="14"/>
  <c r="B431" i="14"/>
  <c r="Z430" i="14"/>
  <c r="W430" i="14"/>
  <c r="U430" i="14"/>
  <c r="V430" i="14" s="1"/>
  <c r="T430" i="14"/>
  <c r="S430" i="14"/>
  <c r="J430" i="14"/>
  <c r="I430" i="14"/>
  <c r="D430" i="14"/>
  <c r="C430" i="14"/>
  <c r="B430" i="14"/>
  <c r="Z429" i="14"/>
  <c r="W429" i="14"/>
  <c r="U429" i="14"/>
  <c r="V429" i="14" s="1"/>
  <c r="T429" i="14"/>
  <c r="S429" i="14"/>
  <c r="J429" i="14"/>
  <c r="I429" i="14"/>
  <c r="D429" i="14"/>
  <c r="C429" i="14"/>
  <c r="B429" i="14"/>
  <c r="Z428" i="14"/>
  <c r="W428" i="14"/>
  <c r="U428" i="14"/>
  <c r="V428" i="14" s="1"/>
  <c r="T428" i="14"/>
  <c r="S428" i="14"/>
  <c r="J428" i="14"/>
  <c r="I428" i="14"/>
  <c r="D428" i="14"/>
  <c r="C428" i="14"/>
  <c r="B428" i="14"/>
  <c r="Z427" i="14"/>
  <c r="W427" i="14"/>
  <c r="U427" i="14"/>
  <c r="V427" i="14" s="1"/>
  <c r="T427" i="14"/>
  <c r="S427" i="14"/>
  <c r="J427" i="14"/>
  <c r="I427" i="14"/>
  <c r="D427" i="14"/>
  <c r="C427" i="14"/>
  <c r="B427" i="14"/>
  <c r="Z426" i="14"/>
  <c r="W426" i="14"/>
  <c r="U426" i="14"/>
  <c r="V426" i="14" s="1"/>
  <c r="T426" i="14"/>
  <c r="S426" i="14"/>
  <c r="J426" i="14"/>
  <c r="I426" i="14"/>
  <c r="D426" i="14"/>
  <c r="C426" i="14"/>
  <c r="B426" i="14"/>
  <c r="Z425" i="14"/>
  <c r="W425" i="14"/>
  <c r="U425" i="14"/>
  <c r="V425" i="14" s="1"/>
  <c r="T425" i="14"/>
  <c r="S425" i="14"/>
  <c r="J425" i="14"/>
  <c r="I425" i="14"/>
  <c r="D425" i="14"/>
  <c r="C425" i="14"/>
  <c r="B425" i="14"/>
  <c r="Z424" i="14"/>
  <c r="W424" i="14"/>
  <c r="U424" i="14"/>
  <c r="V424" i="14" s="1"/>
  <c r="T424" i="14"/>
  <c r="S424" i="14"/>
  <c r="J424" i="14"/>
  <c r="I424" i="14"/>
  <c r="D424" i="14"/>
  <c r="C424" i="14"/>
  <c r="B424" i="14"/>
  <c r="Z423" i="14"/>
  <c r="W423" i="14"/>
  <c r="U423" i="14"/>
  <c r="V423" i="14" s="1"/>
  <c r="T423" i="14"/>
  <c r="S423" i="14"/>
  <c r="J423" i="14"/>
  <c r="I423" i="14"/>
  <c r="D423" i="14"/>
  <c r="C423" i="14"/>
  <c r="B423" i="14"/>
  <c r="Z422" i="14"/>
  <c r="W422" i="14"/>
  <c r="U422" i="14"/>
  <c r="V422" i="14" s="1"/>
  <c r="T422" i="14"/>
  <c r="S422" i="14"/>
  <c r="J422" i="14"/>
  <c r="I422" i="14"/>
  <c r="D422" i="14"/>
  <c r="C422" i="14"/>
  <c r="B422" i="14"/>
  <c r="Z421" i="14"/>
  <c r="W421" i="14"/>
  <c r="U421" i="14"/>
  <c r="V421" i="14" s="1"/>
  <c r="T421" i="14"/>
  <c r="S421" i="14"/>
  <c r="J421" i="14"/>
  <c r="I421" i="14"/>
  <c r="D421" i="14"/>
  <c r="C421" i="14"/>
  <c r="B421" i="14"/>
  <c r="Z420" i="14"/>
  <c r="W420" i="14"/>
  <c r="U420" i="14"/>
  <c r="V420" i="14" s="1"/>
  <c r="T420" i="14"/>
  <c r="S420" i="14"/>
  <c r="J420" i="14"/>
  <c r="I420" i="14"/>
  <c r="D420" i="14"/>
  <c r="C420" i="14"/>
  <c r="B420" i="14"/>
  <c r="Z419" i="14"/>
  <c r="W419" i="14"/>
  <c r="U419" i="14"/>
  <c r="V419" i="14" s="1"/>
  <c r="T419" i="14"/>
  <c r="S419" i="14"/>
  <c r="J419" i="14"/>
  <c r="I419" i="14"/>
  <c r="D419" i="14"/>
  <c r="C419" i="14"/>
  <c r="B419" i="14"/>
  <c r="Z418" i="14"/>
  <c r="W418" i="14"/>
  <c r="U418" i="14"/>
  <c r="V418" i="14" s="1"/>
  <c r="T418" i="14"/>
  <c r="S418" i="14"/>
  <c r="J418" i="14"/>
  <c r="I418" i="14"/>
  <c r="D418" i="14"/>
  <c r="C418" i="14"/>
  <c r="B418" i="14"/>
  <c r="Z417" i="14"/>
  <c r="W417" i="14"/>
  <c r="U417" i="14"/>
  <c r="V417" i="14" s="1"/>
  <c r="T417" i="14"/>
  <c r="S417" i="14"/>
  <c r="J417" i="14"/>
  <c r="I417" i="14"/>
  <c r="D417" i="14"/>
  <c r="C417" i="14"/>
  <c r="B417" i="14"/>
  <c r="Z416" i="14"/>
  <c r="W416" i="14"/>
  <c r="U416" i="14"/>
  <c r="V416" i="14" s="1"/>
  <c r="T416" i="14"/>
  <c r="S416" i="14"/>
  <c r="J416" i="14"/>
  <c r="I416" i="14"/>
  <c r="D416" i="14"/>
  <c r="C416" i="14"/>
  <c r="B416" i="14"/>
  <c r="Z415" i="14"/>
  <c r="W415" i="14"/>
  <c r="U415" i="14"/>
  <c r="V415" i="14" s="1"/>
  <c r="T415" i="14"/>
  <c r="S415" i="14"/>
  <c r="J415" i="14"/>
  <c r="I415" i="14"/>
  <c r="D415" i="14"/>
  <c r="C415" i="14"/>
  <c r="B415" i="14"/>
  <c r="Z414" i="14"/>
  <c r="W414" i="14"/>
  <c r="U414" i="14"/>
  <c r="V414" i="14" s="1"/>
  <c r="T414" i="14"/>
  <c r="S414" i="14"/>
  <c r="J414" i="14"/>
  <c r="I414" i="14"/>
  <c r="D414" i="14"/>
  <c r="C414" i="14"/>
  <c r="B414" i="14"/>
  <c r="Z413" i="14"/>
  <c r="W413" i="14"/>
  <c r="U413" i="14"/>
  <c r="V413" i="14" s="1"/>
  <c r="T413" i="14"/>
  <c r="S413" i="14"/>
  <c r="J413" i="14"/>
  <c r="I413" i="14"/>
  <c r="D413" i="14"/>
  <c r="C413" i="14"/>
  <c r="B413" i="14"/>
  <c r="Z412" i="14"/>
  <c r="W412" i="14"/>
  <c r="U412" i="14"/>
  <c r="V412" i="14" s="1"/>
  <c r="T412" i="14"/>
  <c r="S412" i="14"/>
  <c r="J412" i="14"/>
  <c r="I412" i="14"/>
  <c r="D412" i="14"/>
  <c r="C412" i="14"/>
  <c r="B412" i="14"/>
  <c r="Z411" i="14"/>
  <c r="W411" i="14"/>
  <c r="U411" i="14"/>
  <c r="V411" i="14" s="1"/>
  <c r="T411" i="14"/>
  <c r="S411" i="14"/>
  <c r="J411" i="14"/>
  <c r="I411" i="14"/>
  <c r="D411" i="14"/>
  <c r="C411" i="14"/>
  <c r="B411" i="14"/>
  <c r="Z410" i="14"/>
  <c r="W410" i="14"/>
  <c r="U410" i="14"/>
  <c r="V410" i="14" s="1"/>
  <c r="T410" i="14"/>
  <c r="S410" i="14"/>
  <c r="J410" i="14"/>
  <c r="I410" i="14"/>
  <c r="D410" i="14"/>
  <c r="C410" i="14"/>
  <c r="B410" i="14"/>
  <c r="Z409" i="14"/>
  <c r="W409" i="14"/>
  <c r="U409" i="14"/>
  <c r="V409" i="14" s="1"/>
  <c r="T409" i="14"/>
  <c r="S409" i="14"/>
  <c r="J409" i="14"/>
  <c r="I409" i="14"/>
  <c r="D409" i="14"/>
  <c r="C409" i="14"/>
  <c r="B409" i="14"/>
  <c r="Z408" i="14"/>
  <c r="W408" i="14"/>
  <c r="U408" i="14"/>
  <c r="V408" i="14" s="1"/>
  <c r="T408" i="14"/>
  <c r="S408" i="14"/>
  <c r="J408" i="14"/>
  <c r="I408" i="14"/>
  <c r="D408" i="14"/>
  <c r="C408" i="14"/>
  <c r="B408" i="14"/>
  <c r="Z407" i="14"/>
  <c r="W407" i="14"/>
  <c r="U407" i="14"/>
  <c r="V407" i="14" s="1"/>
  <c r="T407" i="14"/>
  <c r="S407" i="14"/>
  <c r="J407" i="14"/>
  <c r="I407" i="14"/>
  <c r="D407" i="14"/>
  <c r="C407" i="14"/>
  <c r="B407" i="14"/>
  <c r="Z406" i="14"/>
  <c r="W406" i="14"/>
  <c r="U406" i="14"/>
  <c r="V406" i="14" s="1"/>
  <c r="T406" i="14"/>
  <c r="S406" i="14"/>
  <c r="J406" i="14"/>
  <c r="I406" i="14"/>
  <c r="D406" i="14"/>
  <c r="C406" i="14"/>
  <c r="B406" i="14"/>
  <c r="Z405" i="14"/>
  <c r="W405" i="14"/>
  <c r="U405" i="14"/>
  <c r="V405" i="14" s="1"/>
  <c r="T405" i="14"/>
  <c r="S405" i="14"/>
  <c r="J405" i="14"/>
  <c r="I405" i="14"/>
  <c r="D405" i="14"/>
  <c r="C405" i="14"/>
  <c r="B405" i="14"/>
  <c r="Z404" i="14"/>
  <c r="W404" i="14"/>
  <c r="U404" i="14"/>
  <c r="V404" i="14" s="1"/>
  <c r="T404" i="14"/>
  <c r="S404" i="14"/>
  <c r="J404" i="14"/>
  <c r="I404" i="14"/>
  <c r="D404" i="14"/>
  <c r="C404" i="14"/>
  <c r="B404" i="14"/>
  <c r="Z403" i="14"/>
  <c r="W403" i="14"/>
  <c r="U403" i="14"/>
  <c r="V403" i="14" s="1"/>
  <c r="T403" i="14"/>
  <c r="S403" i="14"/>
  <c r="J403" i="14"/>
  <c r="I403" i="14"/>
  <c r="D403" i="14"/>
  <c r="C403" i="14"/>
  <c r="B403" i="14"/>
  <c r="Z402" i="14"/>
  <c r="W402" i="14"/>
  <c r="U402" i="14"/>
  <c r="V402" i="14" s="1"/>
  <c r="T402" i="14"/>
  <c r="S402" i="14"/>
  <c r="J402" i="14"/>
  <c r="I402" i="14"/>
  <c r="D402" i="14"/>
  <c r="C402" i="14"/>
  <c r="B402" i="14"/>
  <c r="Z401" i="14"/>
  <c r="W401" i="14"/>
  <c r="U401" i="14"/>
  <c r="V401" i="14" s="1"/>
  <c r="T401" i="14"/>
  <c r="S401" i="14"/>
  <c r="J401" i="14"/>
  <c r="I401" i="14"/>
  <c r="D401" i="14"/>
  <c r="C401" i="14"/>
  <c r="B401" i="14"/>
  <c r="Z400" i="14"/>
  <c r="W400" i="14"/>
  <c r="U400" i="14"/>
  <c r="V400" i="14" s="1"/>
  <c r="T400" i="14"/>
  <c r="S400" i="14"/>
  <c r="J400" i="14"/>
  <c r="I400" i="14"/>
  <c r="D400" i="14"/>
  <c r="C400" i="14"/>
  <c r="B400" i="14"/>
  <c r="Z399" i="14"/>
  <c r="W399" i="14"/>
  <c r="U399" i="14"/>
  <c r="V399" i="14" s="1"/>
  <c r="T399" i="14"/>
  <c r="S399" i="14"/>
  <c r="J399" i="14"/>
  <c r="I399" i="14"/>
  <c r="D399" i="14"/>
  <c r="C399" i="14"/>
  <c r="B399" i="14"/>
  <c r="Z398" i="14"/>
  <c r="W398" i="14"/>
  <c r="U398" i="14"/>
  <c r="V398" i="14" s="1"/>
  <c r="T398" i="14"/>
  <c r="S398" i="14"/>
  <c r="J398" i="14"/>
  <c r="I398" i="14"/>
  <c r="D398" i="14"/>
  <c r="C398" i="14"/>
  <c r="B398" i="14"/>
  <c r="Z397" i="14"/>
  <c r="W397" i="14"/>
  <c r="U397" i="14"/>
  <c r="V397" i="14" s="1"/>
  <c r="T397" i="14"/>
  <c r="S397" i="14"/>
  <c r="J397" i="14"/>
  <c r="I397" i="14"/>
  <c r="D397" i="14"/>
  <c r="C397" i="14"/>
  <c r="B397" i="14"/>
  <c r="Z396" i="14"/>
  <c r="W396" i="14"/>
  <c r="U396" i="14"/>
  <c r="V396" i="14" s="1"/>
  <c r="T396" i="14"/>
  <c r="S396" i="14"/>
  <c r="J396" i="14"/>
  <c r="I396" i="14"/>
  <c r="D396" i="14"/>
  <c r="C396" i="14"/>
  <c r="B396" i="14"/>
  <c r="Z395" i="14"/>
  <c r="W395" i="14"/>
  <c r="U395" i="14"/>
  <c r="V395" i="14" s="1"/>
  <c r="T395" i="14"/>
  <c r="S395" i="14"/>
  <c r="J395" i="14"/>
  <c r="I395" i="14"/>
  <c r="D395" i="14"/>
  <c r="C395" i="14"/>
  <c r="B395" i="14"/>
  <c r="Z394" i="14"/>
  <c r="W394" i="14"/>
  <c r="U394" i="14"/>
  <c r="V394" i="14" s="1"/>
  <c r="T394" i="14"/>
  <c r="S394" i="14"/>
  <c r="J394" i="14"/>
  <c r="I394" i="14"/>
  <c r="D394" i="14"/>
  <c r="C394" i="14"/>
  <c r="B394" i="14"/>
  <c r="Z393" i="14"/>
  <c r="W393" i="14"/>
  <c r="U393" i="14"/>
  <c r="V393" i="14" s="1"/>
  <c r="T393" i="14"/>
  <c r="S393" i="14"/>
  <c r="J393" i="14"/>
  <c r="I393" i="14"/>
  <c r="D393" i="14"/>
  <c r="C393" i="14"/>
  <c r="B393" i="14"/>
  <c r="Z392" i="14"/>
  <c r="W392" i="14"/>
  <c r="U392" i="14"/>
  <c r="V392" i="14" s="1"/>
  <c r="T392" i="14"/>
  <c r="S392" i="14"/>
  <c r="J392" i="14"/>
  <c r="I392" i="14"/>
  <c r="D392" i="14"/>
  <c r="C392" i="14"/>
  <c r="B392" i="14"/>
  <c r="Z391" i="14"/>
  <c r="W391" i="14"/>
  <c r="U391" i="14"/>
  <c r="V391" i="14" s="1"/>
  <c r="T391" i="14"/>
  <c r="S391" i="14"/>
  <c r="J391" i="14"/>
  <c r="I391" i="14"/>
  <c r="D391" i="14"/>
  <c r="C391" i="14"/>
  <c r="B391" i="14"/>
  <c r="Z390" i="14"/>
  <c r="W390" i="14"/>
  <c r="U390" i="14"/>
  <c r="V390" i="14" s="1"/>
  <c r="T390" i="14"/>
  <c r="S390" i="14"/>
  <c r="J390" i="14"/>
  <c r="I390" i="14"/>
  <c r="D390" i="14"/>
  <c r="C390" i="14"/>
  <c r="B390" i="14"/>
  <c r="Z389" i="14"/>
  <c r="W389" i="14"/>
  <c r="U389" i="14"/>
  <c r="V389" i="14" s="1"/>
  <c r="T389" i="14"/>
  <c r="S389" i="14"/>
  <c r="J389" i="14"/>
  <c r="I389" i="14"/>
  <c r="D389" i="14"/>
  <c r="C389" i="14"/>
  <c r="B389" i="14"/>
  <c r="Z388" i="14"/>
  <c r="W388" i="14"/>
  <c r="U388" i="14"/>
  <c r="V388" i="14" s="1"/>
  <c r="T388" i="14"/>
  <c r="S388" i="14"/>
  <c r="J388" i="14"/>
  <c r="I388" i="14"/>
  <c r="D388" i="14"/>
  <c r="C388" i="14"/>
  <c r="B388" i="14"/>
  <c r="Z387" i="14"/>
  <c r="W387" i="14"/>
  <c r="U387" i="14"/>
  <c r="V387" i="14" s="1"/>
  <c r="T387" i="14"/>
  <c r="S387" i="14"/>
  <c r="J387" i="14"/>
  <c r="I387" i="14"/>
  <c r="D387" i="14"/>
  <c r="C387" i="14"/>
  <c r="B387" i="14"/>
  <c r="Z386" i="14"/>
  <c r="W386" i="14"/>
  <c r="U386" i="14"/>
  <c r="V386" i="14" s="1"/>
  <c r="T386" i="14"/>
  <c r="S386" i="14"/>
  <c r="J386" i="14"/>
  <c r="I386" i="14"/>
  <c r="D386" i="14"/>
  <c r="C386" i="14"/>
  <c r="B386" i="14"/>
  <c r="Z385" i="14"/>
  <c r="W385" i="14"/>
  <c r="U385" i="14"/>
  <c r="V385" i="14" s="1"/>
  <c r="T385" i="14"/>
  <c r="S385" i="14"/>
  <c r="J385" i="14"/>
  <c r="I385" i="14"/>
  <c r="D385" i="14"/>
  <c r="C385" i="14"/>
  <c r="B385" i="14"/>
  <c r="Z384" i="14"/>
  <c r="W384" i="14"/>
  <c r="U384" i="14"/>
  <c r="V384" i="14" s="1"/>
  <c r="T384" i="14"/>
  <c r="S384" i="14"/>
  <c r="J384" i="14"/>
  <c r="I384" i="14"/>
  <c r="D384" i="14"/>
  <c r="C384" i="14"/>
  <c r="B384" i="14"/>
  <c r="Z383" i="14"/>
  <c r="W383" i="14"/>
  <c r="U383" i="14"/>
  <c r="V383" i="14" s="1"/>
  <c r="T383" i="14"/>
  <c r="S383" i="14"/>
  <c r="J383" i="14"/>
  <c r="I383" i="14"/>
  <c r="D383" i="14"/>
  <c r="C383" i="14"/>
  <c r="B383" i="14"/>
  <c r="Z382" i="14"/>
  <c r="W382" i="14"/>
  <c r="U382" i="14"/>
  <c r="V382" i="14" s="1"/>
  <c r="T382" i="14"/>
  <c r="S382" i="14"/>
  <c r="J382" i="14"/>
  <c r="I382" i="14"/>
  <c r="D382" i="14"/>
  <c r="C382" i="14"/>
  <c r="B382" i="14"/>
  <c r="Z381" i="14"/>
  <c r="W381" i="14"/>
  <c r="U381" i="14"/>
  <c r="V381" i="14" s="1"/>
  <c r="T381" i="14"/>
  <c r="S381" i="14"/>
  <c r="J381" i="14"/>
  <c r="I381" i="14"/>
  <c r="D381" i="14"/>
  <c r="C381" i="14"/>
  <c r="B381" i="14"/>
  <c r="Z380" i="14"/>
  <c r="W380" i="14"/>
  <c r="U380" i="14"/>
  <c r="V380" i="14" s="1"/>
  <c r="T380" i="14"/>
  <c r="S380" i="14"/>
  <c r="J380" i="14"/>
  <c r="I380" i="14"/>
  <c r="D380" i="14"/>
  <c r="C380" i="14"/>
  <c r="B380" i="14"/>
  <c r="Z379" i="14"/>
  <c r="W379" i="14"/>
  <c r="U379" i="14"/>
  <c r="V379" i="14" s="1"/>
  <c r="T379" i="14"/>
  <c r="S379" i="14"/>
  <c r="J379" i="14"/>
  <c r="I379" i="14"/>
  <c r="D379" i="14"/>
  <c r="C379" i="14"/>
  <c r="B379" i="14"/>
  <c r="Z378" i="14"/>
  <c r="W378" i="14"/>
  <c r="U378" i="14"/>
  <c r="V378" i="14" s="1"/>
  <c r="T378" i="14"/>
  <c r="S378" i="14"/>
  <c r="J378" i="14"/>
  <c r="I378" i="14"/>
  <c r="D378" i="14"/>
  <c r="C378" i="14"/>
  <c r="B378" i="14"/>
  <c r="Z377" i="14"/>
  <c r="W377" i="14"/>
  <c r="T377" i="14"/>
  <c r="S377" i="14"/>
  <c r="I377" i="14"/>
  <c r="D377" i="14"/>
  <c r="C377" i="14"/>
  <c r="U377" i="14" s="1"/>
  <c r="V377" i="14" s="1"/>
  <c r="B377" i="14"/>
  <c r="Z376" i="14"/>
  <c r="W376" i="14"/>
  <c r="T376" i="14"/>
  <c r="S376" i="14"/>
  <c r="I376" i="14"/>
  <c r="D376" i="14"/>
  <c r="C376" i="14"/>
  <c r="U376" i="14" s="1"/>
  <c r="V376" i="14" s="1"/>
  <c r="B376" i="14"/>
  <c r="Z375" i="14"/>
  <c r="W375" i="14"/>
  <c r="T375" i="14"/>
  <c r="S375" i="14"/>
  <c r="I375" i="14"/>
  <c r="D375" i="14"/>
  <c r="C375" i="14"/>
  <c r="U375" i="14" s="1"/>
  <c r="V375" i="14" s="1"/>
  <c r="B375" i="14"/>
  <c r="Z374" i="14"/>
  <c r="W374" i="14"/>
  <c r="T374" i="14"/>
  <c r="S374" i="14"/>
  <c r="I374" i="14"/>
  <c r="D374" i="14"/>
  <c r="C374" i="14"/>
  <c r="U374" i="14" s="1"/>
  <c r="V374" i="14" s="1"/>
  <c r="B374" i="14"/>
  <c r="Z373" i="14"/>
  <c r="W373" i="14"/>
  <c r="T373" i="14"/>
  <c r="S373" i="14"/>
  <c r="I373" i="14"/>
  <c r="D373" i="14"/>
  <c r="C373" i="14"/>
  <c r="U373" i="14" s="1"/>
  <c r="V373" i="14" s="1"/>
  <c r="B373" i="14"/>
  <c r="Z372" i="14"/>
  <c r="W372" i="14"/>
  <c r="T372" i="14"/>
  <c r="S372" i="14"/>
  <c r="D372" i="14"/>
  <c r="C372" i="14"/>
  <c r="U372" i="14" s="1"/>
  <c r="V372" i="14" s="1"/>
  <c r="B372" i="14"/>
  <c r="Z371" i="14"/>
  <c r="W371" i="14"/>
  <c r="T371" i="14"/>
  <c r="S371" i="14"/>
  <c r="I371" i="14"/>
  <c r="D371" i="14"/>
  <c r="C371" i="14"/>
  <c r="U371" i="14" s="1"/>
  <c r="V371" i="14" s="1"/>
  <c r="B371" i="14"/>
  <c r="Z370" i="14"/>
  <c r="W370" i="14"/>
  <c r="T370" i="14"/>
  <c r="S370" i="14"/>
  <c r="I370" i="14"/>
  <c r="D370" i="14"/>
  <c r="C370" i="14"/>
  <c r="U370" i="14" s="1"/>
  <c r="V370" i="14" s="1"/>
  <c r="B370" i="14"/>
  <c r="Z369" i="14"/>
  <c r="W369" i="14"/>
  <c r="T369" i="14"/>
  <c r="S369" i="14"/>
  <c r="I369" i="14"/>
  <c r="D369" i="14"/>
  <c r="C369" i="14"/>
  <c r="U369" i="14" s="1"/>
  <c r="V369" i="14" s="1"/>
  <c r="B369" i="14"/>
  <c r="Z368" i="14"/>
  <c r="W368" i="14"/>
  <c r="T368" i="14"/>
  <c r="S368" i="14"/>
  <c r="D368" i="14"/>
  <c r="C368" i="14"/>
  <c r="U368" i="14" s="1"/>
  <c r="V368" i="14" s="1"/>
  <c r="B368" i="14"/>
  <c r="Z367" i="14"/>
  <c r="W367" i="14"/>
  <c r="T367" i="14"/>
  <c r="S367" i="14"/>
  <c r="I367" i="14"/>
  <c r="D367" i="14"/>
  <c r="C367" i="14"/>
  <c r="U367" i="14" s="1"/>
  <c r="V367" i="14" s="1"/>
  <c r="B367" i="14"/>
  <c r="Z366" i="14"/>
  <c r="W366" i="14"/>
  <c r="T366" i="14"/>
  <c r="S366" i="14"/>
  <c r="I366" i="14"/>
  <c r="D366" i="14"/>
  <c r="C366" i="14"/>
  <c r="U366" i="14" s="1"/>
  <c r="V366" i="14" s="1"/>
  <c r="B366" i="14"/>
  <c r="Z365" i="14"/>
  <c r="W365" i="14"/>
  <c r="T365" i="14"/>
  <c r="S365" i="14"/>
  <c r="I365" i="14"/>
  <c r="D365" i="14"/>
  <c r="C365" i="14"/>
  <c r="U365" i="14" s="1"/>
  <c r="V365" i="14" s="1"/>
  <c r="B365" i="14"/>
  <c r="Z364" i="14"/>
  <c r="W364" i="14"/>
  <c r="T364" i="14"/>
  <c r="S364" i="14"/>
  <c r="I364" i="14"/>
  <c r="D364" i="14"/>
  <c r="C364" i="14"/>
  <c r="U364" i="14" s="1"/>
  <c r="V364" i="14" s="1"/>
  <c r="B364" i="14"/>
  <c r="Z363" i="14"/>
  <c r="W363" i="14"/>
  <c r="T363" i="14"/>
  <c r="S363" i="14"/>
  <c r="I363" i="14"/>
  <c r="D363" i="14"/>
  <c r="C363" i="14"/>
  <c r="U363" i="14" s="1"/>
  <c r="V363" i="14" s="1"/>
  <c r="B363" i="14"/>
  <c r="Z362" i="14"/>
  <c r="W362" i="14"/>
  <c r="T362" i="14"/>
  <c r="S362" i="14"/>
  <c r="I362" i="14"/>
  <c r="D362" i="14"/>
  <c r="C362" i="14"/>
  <c r="U362" i="14" s="1"/>
  <c r="V362" i="14" s="1"/>
  <c r="B362" i="14"/>
  <c r="Z361" i="14"/>
  <c r="W361" i="14"/>
  <c r="T361" i="14"/>
  <c r="S361" i="14"/>
  <c r="I361" i="14"/>
  <c r="D361" i="14"/>
  <c r="C361" i="14"/>
  <c r="U361" i="14" s="1"/>
  <c r="V361" i="14" s="1"/>
  <c r="B361" i="14"/>
  <c r="Z360" i="14"/>
  <c r="W360" i="14"/>
  <c r="T360" i="14"/>
  <c r="S360" i="14"/>
  <c r="I360" i="14"/>
  <c r="D360" i="14"/>
  <c r="C360" i="14"/>
  <c r="U360" i="14" s="1"/>
  <c r="V360" i="14" s="1"/>
  <c r="B360" i="14"/>
  <c r="Z359" i="14"/>
  <c r="W359" i="14"/>
  <c r="T359" i="14"/>
  <c r="S359" i="14"/>
  <c r="D359" i="14"/>
  <c r="C359" i="14"/>
  <c r="U359" i="14" s="1"/>
  <c r="V359" i="14" s="1"/>
  <c r="B359" i="14"/>
  <c r="Z358" i="14"/>
  <c r="W358" i="14"/>
  <c r="T358" i="14"/>
  <c r="S358" i="14"/>
  <c r="I358" i="14"/>
  <c r="D358" i="14"/>
  <c r="C358" i="14"/>
  <c r="U358" i="14" s="1"/>
  <c r="V358" i="14" s="1"/>
  <c r="B358" i="14"/>
  <c r="Z357" i="14"/>
  <c r="W357" i="14"/>
  <c r="T357" i="14"/>
  <c r="S357" i="14"/>
  <c r="I357" i="14"/>
  <c r="D357" i="14"/>
  <c r="C357" i="14"/>
  <c r="U357" i="14" s="1"/>
  <c r="V357" i="14" s="1"/>
  <c r="B357" i="14"/>
  <c r="Z356" i="14"/>
  <c r="W356" i="14"/>
  <c r="T356" i="14"/>
  <c r="S356" i="14"/>
  <c r="I356" i="14"/>
  <c r="D356" i="14"/>
  <c r="C356" i="14"/>
  <c r="U356" i="14" s="1"/>
  <c r="V356" i="14" s="1"/>
  <c r="B356" i="14"/>
  <c r="Z355" i="14"/>
  <c r="W355" i="14"/>
  <c r="T355" i="14"/>
  <c r="S355" i="14"/>
  <c r="D355" i="14"/>
  <c r="C355" i="14"/>
  <c r="U355" i="14" s="1"/>
  <c r="V355" i="14" s="1"/>
  <c r="B355" i="14"/>
  <c r="Z354" i="14"/>
  <c r="W354" i="14"/>
  <c r="T354" i="14"/>
  <c r="S354" i="14"/>
  <c r="I354" i="14"/>
  <c r="D354" i="14"/>
  <c r="C354" i="14"/>
  <c r="U354" i="14" s="1"/>
  <c r="V354" i="14" s="1"/>
  <c r="B354" i="14"/>
  <c r="Z353" i="14"/>
  <c r="W353" i="14"/>
  <c r="T353" i="14"/>
  <c r="S353" i="14"/>
  <c r="I353" i="14"/>
  <c r="D353" i="14"/>
  <c r="C353" i="14"/>
  <c r="U353" i="14" s="1"/>
  <c r="V353" i="14" s="1"/>
  <c r="B353" i="14"/>
  <c r="Z352" i="14"/>
  <c r="W352" i="14"/>
  <c r="T352" i="14"/>
  <c r="S352" i="14"/>
  <c r="I352" i="14"/>
  <c r="D352" i="14"/>
  <c r="C352" i="14"/>
  <c r="U352" i="14" s="1"/>
  <c r="V352" i="14" s="1"/>
  <c r="B352" i="14"/>
  <c r="Z351" i="14"/>
  <c r="W351" i="14"/>
  <c r="T351" i="14"/>
  <c r="S351" i="14"/>
  <c r="I351" i="14"/>
  <c r="D351" i="14"/>
  <c r="C351" i="14"/>
  <c r="U351" i="14" s="1"/>
  <c r="V351" i="14" s="1"/>
  <c r="B351" i="14"/>
  <c r="Z350" i="14"/>
  <c r="W350" i="14"/>
  <c r="T350" i="14"/>
  <c r="S350" i="14"/>
  <c r="I350" i="14"/>
  <c r="D350" i="14"/>
  <c r="C350" i="14"/>
  <c r="U350" i="14" s="1"/>
  <c r="V350" i="14" s="1"/>
  <c r="B350" i="14"/>
  <c r="Z349" i="14"/>
  <c r="W349" i="14"/>
  <c r="T349" i="14"/>
  <c r="S349" i="14"/>
  <c r="I349" i="14"/>
  <c r="D349" i="14"/>
  <c r="C349" i="14"/>
  <c r="U349" i="14" s="1"/>
  <c r="V349" i="14" s="1"/>
  <c r="B349" i="14"/>
  <c r="Z348" i="14"/>
  <c r="W348" i="14"/>
  <c r="T348" i="14"/>
  <c r="S348" i="14"/>
  <c r="I348" i="14"/>
  <c r="D348" i="14"/>
  <c r="C348" i="14"/>
  <c r="U348" i="14" s="1"/>
  <c r="V348" i="14" s="1"/>
  <c r="B348" i="14"/>
  <c r="Z347" i="14"/>
  <c r="W347" i="14"/>
  <c r="T347" i="14"/>
  <c r="S347" i="14"/>
  <c r="I347" i="14"/>
  <c r="D347" i="14"/>
  <c r="C347" i="14"/>
  <c r="U347" i="14" s="1"/>
  <c r="V347" i="14" s="1"/>
  <c r="B347" i="14"/>
  <c r="Z346" i="14"/>
  <c r="W346" i="14"/>
  <c r="T346" i="14"/>
  <c r="S346" i="14"/>
  <c r="D346" i="14"/>
  <c r="C346" i="14"/>
  <c r="U346" i="14" s="1"/>
  <c r="V346" i="14" s="1"/>
  <c r="B346" i="14"/>
  <c r="Z345" i="14"/>
  <c r="W345" i="14"/>
  <c r="T345" i="14"/>
  <c r="S345" i="14"/>
  <c r="I345" i="14"/>
  <c r="D345" i="14"/>
  <c r="C345" i="14"/>
  <c r="U345" i="14" s="1"/>
  <c r="V345" i="14" s="1"/>
  <c r="B345" i="14"/>
  <c r="Z344" i="14"/>
  <c r="W344" i="14"/>
  <c r="T344" i="14"/>
  <c r="S344" i="14"/>
  <c r="I344" i="14"/>
  <c r="D344" i="14"/>
  <c r="C344" i="14"/>
  <c r="U344" i="14" s="1"/>
  <c r="V344" i="14" s="1"/>
  <c r="B344" i="14"/>
  <c r="Z343" i="14"/>
  <c r="W343" i="14"/>
  <c r="T343" i="14"/>
  <c r="S343" i="14"/>
  <c r="I343" i="14"/>
  <c r="D343" i="14"/>
  <c r="C343" i="14"/>
  <c r="U343" i="14" s="1"/>
  <c r="V343" i="14" s="1"/>
  <c r="B343" i="14"/>
  <c r="Z342" i="14"/>
  <c r="W342" i="14"/>
  <c r="T342" i="14"/>
  <c r="S342" i="14"/>
  <c r="D342" i="14"/>
  <c r="C342" i="14"/>
  <c r="U342" i="14" s="1"/>
  <c r="V342" i="14" s="1"/>
  <c r="B342" i="14"/>
  <c r="Z341" i="14"/>
  <c r="W341" i="14"/>
  <c r="T341" i="14"/>
  <c r="S341" i="14"/>
  <c r="I341" i="14"/>
  <c r="D341" i="14"/>
  <c r="C341" i="14"/>
  <c r="U341" i="14" s="1"/>
  <c r="V341" i="14" s="1"/>
  <c r="B341" i="14"/>
  <c r="Z340" i="14"/>
  <c r="W340" i="14"/>
  <c r="T340" i="14"/>
  <c r="S340" i="14"/>
  <c r="I340" i="14"/>
  <c r="D340" i="14"/>
  <c r="C340" i="14"/>
  <c r="U340" i="14" s="1"/>
  <c r="V340" i="14" s="1"/>
  <c r="B340" i="14"/>
  <c r="Z339" i="14"/>
  <c r="W339" i="14"/>
  <c r="T339" i="14"/>
  <c r="S339" i="14"/>
  <c r="I339" i="14"/>
  <c r="D339" i="14"/>
  <c r="C339" i="14"/>
  <c r="U339" i="14" s="1"/>
  <c r="V339" i="14" s="1"/>
  <c r="B339" i="14"/>
  <c r="Z338" i="14"/>
  <c r="W338" i="14"/>
  <c r="T338" i="14"/>
  <c r="S338" i="14"/>
  <c r="I338" i="14"/>
  <c r="D338" i="14"/>
  <c r="C338" i="14"/>
  <c r="U338" i="14" s="1"/>
  <c r="V338" i="14" s="1"/>
  <c r="B338" i="14"/>
  <c r="Z337" i="14"/>
  <c r="I337" i="14"/>
  <c r="D337" i="14"/>
  <c r="C337" i="14"/>
  <c r="U337" i="14" s="1"/>
  <c r="B337" i="14"/>
  <c r="Z336" i="14"/>
  <c r="W336" i="14"/>
  <c r="T336" i="14"/>
  <c r="S336" i="14"/>
  <c r="I336" i="14"/>
  <c r="D336" i="14"/>
  <c r="C336" i="14"/>
  <c r="U336" i="14" s="1"/>
  <c r="V336" i="14" s="1"/>
  <c r="B336" i="14"/>
  <c r="Z335" i="14"/>
  <c r="W335" i="14"/>
  <c r="T335" i="14"/>
  <c r="S335" i="14"/>
  <c r="I335" i="14"/>
  <c r="D335" i="14"/>
  <c r="C335" i="14"/>
  <c r="U335" i="14" s="1"/>
  <c r="V335" i="14" s="1"/>
  <c r="B335" i="14"/>
  <c r="Z334" i="14"/>
  <c r="W334" i="14"/>
  <c r="T334" i="14"/>
  <c r="S334" i="14"/>
  <c r="I334" i="14"/>
  <c r="D334" i="14"/>
  <c r="C334" i="14"/>
  <c r="U334" i="14" s="1"/>
  <c r="V334" i="14" s="1"/>
  <c r="B334" i="14"/>
  <c r="Z333" i="14"/>
  <c r="W333" i="14"/>
  <c r="T333" i="14"/>
  <c r="S333" i="14"/>
  <c r="D333" i="14"/>
  <c r="C333" i="14"/>
  <c r="U333" i="14" s="1"/>
  <c r="V333" i="14" s="1"/>
  <c r="B333" i="14"/>
  <c r="Z332" i="14"/>
  <c r="W332" i="14"/>
  <c r="T332" i="14"/>
  <c r="S332" i="14"/>
  <c r="I332" i="14"/>
  <c r="D332" i="14"/>
  <c r="C332" i="14"/>
  <c r="U332" i="14" s="1"/>
  <c r="V332" i="14" s="1"/>
  <c r="B332" i="14"/>
  <c r="Z331" i="14"/>
  <c r="W331" i="14"/>
  <c r="T331" i="14"/>
  <c r="S331" i="14"/>
  <c r="I331" i="14"/>
  <c r="D331" i="14"/>
  <c r="C331" i="14"/>
  <c r="U331" i="14" s="1"/>
  <c r="V331" i="14" s="1"/>
  <c r="B331" i="14"/>
  <c r="Z330" i="14"/>
  <c r="W330" i="14"/>
  <c r="T330" i="14"/>
  <c r="S330" i="14"/>
  <c r="I330" i="14"/>
  <c r="D330" i="14"/>
  <c r="C330" i="14"/>
  <c r="U330" i="14" s="1"/>
  <c r="V330" i="14" s="1"/>
  <c r="B330" i="14"/>
  <c r="Z329" i="14"/>
  <c r="W329" i="14"/>
  <c r="T329" i="14"/>
  <c r="S329" i="14"/>
  <c r="I329" i="14"/>
  <c r="D329" i="14"/>
  <c r="C329" i="14"/>
  <c r="U329" i="14" s="1"/>
  <c r="V329" i="14" s="1"/>
  <c r="B329" i="14"/>
  <c r="Z328" i="14"/>
  <c r="W328" i="14"/>
  <c r="T328" i="14"/>
  <c r="S328" i="14"/>
  <c r="D328" i="14"/>
  <c r="C328" i="14"/>
  <c r="U328" i="14" s="1"/>
  <c r="V328" i="14" s="1"/>
  <c r="B328" i="14"/>
  <c r="Z327" i="14"/>
  <c r="W327" i="14"/>
  <c r="T327" i="14"/>
  <c r="S327" i="14"/>
  <c r="I327" i="14"/>
  <c r="D327" i="14"/>
  <c r="C327" i="14"/>
  <c r="U327" i="14" s="1"/>
  <c r="V327" i="14" s="1"/>
  <c r="B327" i="14"/>
  <c r="Z326" i="14"/>
  <c r="W326" i="14"/>
  <c r="T326" i="14"/>
  <c r="S326" i="14"/>
  <c r="I326" i="14"/>
  <c r="D326" i="14"/>
  <c r="C326" i="14"/>
  <c r="U326" i="14" s="1"/>
  <c r="V326" i="14" s="1"/>
  <c r="B326" i="14"/>
  <c r="Z325" i="14"/>
  <c r="W325" i="14"/>
  <c r="T325" i="14"/>
  <c r="S325" i="14"/>
  <c r="I325" i="14"/>
  <c r="D325" i="14"/>
  <c r="C325" i="14"/>
  <c r="U325" i="14" s="1"/>
  <c r="V325" i="14" s="1"/>
  <c r="B325" i="14"/>
  <c r="Z324" i="14"/>
  <c r="W324" i="14"/>
  <c r="T324" i="14"/>
  <c r="S324" i="14"/>
  <c r="I324" i="14"/>
  <c r="C324" i="14"/>
  <c r="B324" i="14"/>
  <c r="Z323" i="14"/>
  <c r="W323" i="14"/>
  <c r="T323" i="14"/>
  <c r="S323" i="14"/>
  <c r="I323" i="14"/>
  <c r="C323" i="14"/>
  <c r="B323" i="14"/>
  <c r="Z322" i="14"/>
  <c r="W322" i="14"/>
  <c r="T322" i="14"/>
  <c r="S322" i="14"/>
  <c r="I322" i="14"/>
  <c r="C322" i="14"/>
  <c r="B322" i="14"/>
  <c r="Z321" i="14"/>
  <c r="W321" i="14"/>
  <c r="T321" i="14"/>
  <c r="S321" i="14"/>
  <c r="I321" i="14"/>
  <c r="C321" i="14"/>
  <c r="B321" i="14"/>
  <c r="Z320" i="14"/>
  <c r="W320" i="14"/>
  <c r="T320" i="14"/>
  <c r="S320" i="14"/>
  <c r="I320" i="14"/>
  <c r="C320" i="14"/>
  <c r="B320" i="14"/>
  <c r="Z319" i="14"/>
  <c r="W319" i="14"/>
  <c r="T319" i="14"/>
  <c r="S319" i="14"/>
  <c r="I319" i="14"/>
  <c r="C319" i="14"/>
  <c r="B319" i="14"/>
  <c r="Z318" i="14"/>
  <c r="W318" i="14"/>
  <c r="T318" i="14"/>
  <c r="S318" i="14"/>
  <c r="I318" i="14"/>
  <c r="C318" i="14"/>
  <c r="B318" i="14"/>
  <c r="Z317" i="14"/>
  <c r="W317" i="14"/>
  <c r="T317" i="14"/>
  <c r="S317" i="14"/>
  <c r="I317" i="14"/>
  <c r="C317" i="14"/>
  <c r="B317" i="14"/>
  <c r="Z316" i="14"/>
  <c r="W316" i="14"/>
  <c r="T316" i="14"/>
  <c r="S316" i="14"/>
  <c r="I316" i="14"/>
  <c r="C316" i="14"/>
  <c r="B316" i="14"/>
  <c r="Z315" i="14"/>
  <c r="W315" i="14"/>
  <c r="T315" i="14"/>
  <c r="S315" i="14"/>
  <c r="I315" i="14"/>
  <c r="C315" i="14"/>
  <c r="B315" i="14"/>
  <c r="Z314" i="14"/>
  <c r="W314" i="14"/>
  <c r="T314" i="14"/>
  <c r="S314" i="14"/>
  <c r="I314" i="14"/>
  <c r="C314" i="14"/>
  <c r="B314" i="14"/>
  <c r="Z313" i="14"/>
  <c r="W313" i="14"/>
  <c r="T313" i="14"/>
  <c r="S313" i="14"/>
  <c r="I313" i="14"/>
  <c r="C313" i="14"/>
  <c r="B313" i="14"/>
  <c r="Z312" i="14"/>
  <c r="W312" i="14"/>
  <c r="T312" i="14"/>
  <c r="S312" i="14"/>
  <c r="I312" i="14"/>
  <c r="C312" i="14"/>
  <c r="B312" i="14"/>
  <c r="Z311" i="14"/>
  <c r="W311" i="14"/>
  <c r="T311" i="14"/>
  <c r="S311" i="14"/>
  <c r="I311" i="14"/>
  <c r="C311" i="14"/>
  <c r="B311" i="14"/>
  <c r="Z310" i="14"/>
  <c r="W310" i="14"/>
  <c r="T310" i="14"/>
  <c r="S310" i="14"/>
  <c r="I310" i="14"/>
  <c r="C310" i="14"/>
  <c r="B310" i="14"/>
  <c r="Z309" i="14"/>
  <c r="W309" i="14"/>
  <c r="T309" i="14"/>
  <c r="S309" i="14"/>
  <c r="I309" i="14"/>
  <c r="C309" i="14"/>
  <c r="B309" i="14"/>
  <c r="Z308" i="14"/>
  <c r="W308" i="14"/>
  <c r="T308" i="14"/>
  <c r="S308" i="14"/>
  <c r="I308" i="14"/>
  <c r="C308" i="14"/>
  <c r="B308" i="14"/>
  <c r="Z307" i="14"/>
  <c r="W307" i="14"/>
  <c r="T307" i="14"/>
  <c r="S307" i="14"/>
  <c r="I307" i="14"/>
  <c r="C307" i="14"/>
  <c r="B307" i="14"/>
  <c r="Z306" i="14"/>
  <c r="W306" i="14"/>
  <c r="T306" i="14"/>
  <c r="S306" i="14"/>
  <c r="I306" i="14"/>
  <c r="C306" i="14"/>
  <c r="B306" i="14"/>
  <c r="Z305" i="14"/>
  <c r="W305" i="14"/>
  <c r="T305" i="14"/>
  <c r="S305" i="14"/>
  <c r="I305" i="14"/>
  <c r="C305" i="14"/>
  <c r="B305" i="14"/>
  <c r="Z304" i="14"/>
  <c r="W304" i="14"/>
  <c r="T304" i="14"/>
  <c r="S304" i="14"/>
  <c r="I304" i="14"/>
  <c r="C304" i="14"/>
  <c r="B304" i="14"/>
  <c r="Z303" i="14"/>
  <c r="W303" i="14"/>
  <c r="T303" i="14"/>
  <c r="S303" i="14"/>
  <c r="I303" i="14"/>
  <c r="C303" i="14"/>
  <c r="B303" i="14"/>
  <c r="Z302" i="14"/>
  <c r="W302" i="14"/>
  <c r="T302" i="14"/>
  <c r="S302" i="14"/>
  <c r="I302" i="14"/>
  <c r="C302" i="14"/>
  <c r="B302" i="14"/>
  <c r="Z301" i="14"/>
  <c r="W301" i="14"/>
  <c r="T301" i="14"/>
  <c r="S301" i="14"/>
  <c r="I301" i="14"/>
  <c r="C301" i="14"/>
  <c r="B301" i="14"/>
  <c r="Z300" i="14"/>
  <c r="W300" i="14"/>
  <c r="T300" i="14"/>
  <c r="S300" i="14"/>
  <c r="C300" i="14"/>
  <c r="B300" i="14"/>
  <c r="Z299" i="14"/>
  <c r="W299" i="14"/>
  <c r="T299" i="14"/>
  <c r="S299" i="14"/>
  <c r="C299" i="14"/>
  <c r="B299" i="14"/>
  <c r="Z298" i="14"/>
  <c r="W298" i="14"/>
  <c r="T298" i="14"/>
  <c r="S298" i="14"/>
  <c r="I298" i="14"/>
  <c r="C298" i="14"/>
  <c r="B298" i="14"/>
  <c r="Z297" i="14"/>
  <c r="W297" i="14"/>
  <c r="T297" i="14"/>
  <c r="S297" i="14"/>
  <c r="I297" i="14"/>
  <c r="C297" i="14"/>
  <c r="B297" i="14"/>
  <c r="Z296" i="14"/>
  <c r="W296" i="14"/>
  <c r="T296" i="14"/>
  <c r="S296" i="14"/>
  <c r="I296" i="14"/>
  <c r="C296" i="14"/>
  <c r="U296" i="14" s="1"/>
  <c r="V296" i="14" s="1"/>
  <c r="B296" i="14"/>
  <c r="Z295" i="14"/>
  <c r="W295" i="14"/>
  <c r="T295" i="14"/>
  <c r="S295" i="14"/>
  <c r="I295" i="14"/>
  <c r="C295" i="14"/>
  <c r="B295" i="14"/>
  <c r="Z294" i="14"/>
  <c r="W294" i="14"/>
  <c r="T294" i="14"/>
  <c r="S294" i="14"/>
  <c r="I294" i="14"/>
  <c r="C294" i="14"/>
  <c r="B294" i="14"/>
  <c r="Z293" i="14"/>
  <c r="W293" i="14"/>
  <c r="T293" i="14"/>
  <c r="S293" i="14"/>
  <c r="I293" i="14"/>
  <c r="C293" i="14"/>
  <c r="B293" i="14"/>
  <c r="Z292" i="14"/>
  <c r="W292" i="14"/>
  <c r="T292" i="14"/>
  <c r="S292" i="14"/>
  <c r="I292" i="14"/>
  <c r="C292" i="14"/>
  <c r="B292" i="14"/>
  <c r="Z291" i="14"/>
  <c r="W291" i="14"/>
  <c r="T291" i="14"/>
  <c r="S291" i="14"/>
  <c r="I291" i="14"/>
  <c r="C291" i="14"/>
  <c r="B291" i="14"/>
  <c r="Z290" i="14"/>
  <c r="W290" i="14"/>
  <c r="T290" i="14"/>
  <c r="S290" i="14"/>
  <c r="C290" i="14"/>
  <c r="B290" i="14"/>
  <c r="Z289" i="14"/>
  <c r="W289" i="14"/>
  <c r="T289" i="14"/>
  <c r="S289" i="14"/>
  <c r="I289" i="14"/>
  <c r="C289" i="14"/>
  <c r="U289" i="14" s="1"/>
  <c r="V289" i="14" s="1"/>
  <c r="B289" i="14"/>
  <c r="Z288" i="14"/>
  <c r="W288" i="14"/>
  <c r="T288" i="14"/>
  <c r="S288" i="14"/>
  <c r="I288" i="14"/>
  <c r="C288" i="14"/>
  <c r="B288" i="14"/>
  <c r="Z287" i="14"/>
  <c r="W287" i="14"/>
  <c r="T287" i="14"/>
  <c r="S287" i="14"/>
  <c r="I287" i="14"/>
  <c r="C287" i="14"/>
  <c r="B287" i="14"/>
  <c r="Z286" i="14"/>
  <c r="W286" i="14"/>
  <c r="T286" i="14"/>
  <c r="S286" i="14"/>
  <c r="I286" i="14"/>
  <c r="C286" i="14"/>
  <c r="B286" i="14"/>
  <c r="Z285" i="14"/>
  <c r="W285" i="14"/>
  <c r="T285" i="14"/>
  <c r="S285" i="14"/>
  <c r="I285" i="14"/>
  <c r="C285" i="14"/>
  <c r="B285" i="14"/>
  <c r="Z284" i="14"/>
  <c r="W284" i="14"/>
  <c r="T284" i="14"/>
  <c r="S284" i="14"/>
  <c r="R284" i="14"/>
  <c r="Q284" i="14"/>
  <c r="P284" i="14"/>
  <c r="I284" i="14"/>
  <c r="C284" i="14"/>
  <c r="B284" i="14"/>
  <c r="Z283" i="14"/>
  <c r="W283" i="14"/>
  <c r="T283" i="14"/>
  <c r="S283" i="14"/>
  <c r="R283" i="14"/>
  <c r="Q283" i="14"/>
  <c r="P283" i="14"/>
  <c r="I283" i="14"/>
  <c r="C283" i="14"/>
  <c r="B283" i="14"/>
  <c r="Z282" i="14"/>
  <c r="W282" i="14"/>
  <c r="T282" i="14"/>
  <c r="S282" i="14"/>
  <c r="R282" i="14"/>
  <c r="Q282" i="14"/>
  <c r="P282" i="14"/>
  <c r="I282" i="14"/>
  <c r="C282" i="14"/>
  <c r="B282" i="14"/>
  <c r="Z281" i="14"/>
  <c r="W281" i="14"/>
  <c r="T281" i="14"/>
  <c r="S281" i="14"/>
  <c r="R281" i="14"/>
  <c r="Q281" i="14"/>
  <c r="P281" i="14"/>
  <c r="I281" i="14"/>
  <c r="C281" i="14"/>
  <c r="B281" i="14"/>
  <c r="Z280" i="14"/>
  <c r="W280" i="14"/>
  <c r="T280" i="14"/>
  <c r="S280" i="14"/>
  <c r="R280" i="14"/>
  <c r="Q280" i="14"/>
  <c r="P280" i="14"/>
  <c r="I280" i="14"/>
  <c r="C280" i="14"/>
  <c r="B280" i="14"/>
  <c r="Z279" i="14"/>
  <c r="W279" i="14"/>
  <c r="T279" i="14"/>
  <c r="S279" i="14"/>
  <c r="R279" i="14"/>
  <c r="Q279" i="14"/>
  <c r="P279" i="14"/>
  <c r="I279" i="14"/>
  <c r="C279" i="14"/>
  <c r="B279" i="14"/>
  <c r="Z278" i="14"/>
  <c r="W278" i="14"/>
  <c r="T278" i="14"/>
  <c r="S278" i="14"/>
  <c r="R278" i="14"/>
  <c r="Q278" i="14"/>
  <c r="P278" i="14"/>
  <c r="I278" i="14"/>
  <c r="C278" i="14"/>
  <c r="B278" i="14"/>
  <c r="Z277" i="14"/>
  <c r="W277" i="14"/>
  <c r="T277" i="14"/>
  <c r="S277" i="14"/>
  <c r="R277" i="14"/>
  <c r="Q277" i="14"/>
  <c r="P277" i="14"/>
  <c r="I277" i="14"/>
  <c r="C277" i="14"/>
  <c r="B277" i="14"/>
  <c r="Z276" i="14"/>
  <c r="W276" i="14"/>
  <c r="T276" i="14"/>
  <c r="S276" i="14"/>
  <c r="R276" i="14"/>
  <c r="Q276" i="14"/>
  <c r="P276" i="14"/>
  <c r="I276" i="14"/>
  <c r="C276" i="14"/>
  <c r="B276" i="14"/>
  <c r="Z275" i="14"/>
  <c r="W275" i="14"/>
  <c r="T275" i="14"/>
  <c r="S275" i="14"/>
  <c r="R275" i="14"/>
  <c r="Q275" i="14"/>
  <c r="P275" i="14"/>
  <c r="I275" i="14"/>
  <c r="C275" i="14"/>
  <c r="B275" i="14"/>
  <c r="Z274" i="14"/>
  <c r="W274" i="14"/>
  <c r="T274" i="14"/>
  <c r="S274" i="14"/>
  <c r="R274" i="14"/>
  <c r="Q274" i="14"/>
  <c r="P274" i="14"/>
  <c r="I274" i="14"/>
  <c r="C274" i="14"/>
  <c r="B274" i="14"/>
  <c r="Z273" i="14"/>
  <c r="W273" i="14"/>
  <c r="T273" i="14"/>
  <c r="S273" i="14"/>
  <c r="R273" i="14"/>
  <c r="Q273" i="14"/>
  <c r="P273" i="14"/>
  <c r="I273" i="14"/>
  <c r="C273" i="14"/>
  <c r="B273" i="14"/>
  <c r="Z272" i="14"/>
  <c r="W272" i="14"/>
  <c r="T272" i="14"/>
  <c r="S272" i="14"/>
  <c r="R272" i="14"/>
  <c r="Q272" i="14"/>
  <c r="P272" i="14"/>
  <c r="C272" i="14"/>
  <c r="B272" i="14"/>
  <c r="Z271" i="14"/>
  <c r="W271" i="14"/>
  <c r="T271" i="14"/>
  <c r="S271" i="14"/>
  <c r="R271" i="14"/>
  <c r="Q271" i="14"/>
  <c r="P271" i="14"/>
  <c r="I271" i="14"/>
  <c r="C271" i="14"/>
  <c r="B271" i="14"/>
  <c r="Z270" i="14"/>
  <c r="W270" i="14"/>
  <c r="T270" i="14"/>
  <c r="S270" i="14"/>
  <c r="R270" i="14"/>
  <c r="Q270" i="14"/>
  <c r="P270" i="14"/>
  <c r="I270" i="14"/>
  <c r="C270" i="14"/>
  <c r="B270" i="14"/>
  <c r="Z269" i="14"/>
  <c r="W269" i="14"/>
  <c r="T269" i="14"/>
  <c r="S269" i="14"/>
  <c r="I269" i="14"/>
  <c r="C269" i="14"/>
  <c r="B269" i="14"/>
  <c r="Z268" i="14"/>
  <c r="W268" i="14"/>
  <c r="T268" i="14"/>
  <c r="S268" i="14"/>
  <c r="I268" i="14"/>
  <c r="C268" i="14"/>
  <c r="B268" i="14"/>
  <c r="Z267" i="14"/>
  <c r="W267" i="14"/>
  <c r="T267" i="14"/>
  <c r="S267" i="14"/>
  <c r="I267" i="14"/>
  <c r="C267" i="14"/>
  <c r="B267" i="14"/>
  <c r="Z266" i="14"/>
  <c r="W266" i="14"/>
  <c r="T266" i="14"/>
  <c r="S266" i="14"/>
  <c r="I266" i="14"/>
  <c r="C266" i="14"/>
  <c r="B266" i="14"/>
  <c r="Z265" i="14"/>
  <c r="W265" i="14"/>
  <c r="T265" i="14"/>
  <c r="S265" i="14"/>
  <c r="I265" i="14"/>
  <c r="C265" i="14"/>
  <c r="B265" i="14"/>
  <c r="Z264" i="14"/>
  <c r="W264" i="14"/>
  <c r="T264" i="14"/>
  <c r="S264" i="14"/>
  <c r="C264" i="14"/>
  <c r="B264" i="14"/>
  <c r="Z263" i="14"/>
  <c r="W263" i="14"/>
  <c r="T263" i="14"/>
  <c r="S263" i="14"/>
  <c r="I263" i="14"/>
  <c r="C263" i="14"/>
  <c r="B263" i="14"/>
  <c r="Z262" i="14"/>
  <c r="W262" i="14"/>
  <c r="T262" i="14"/>
  <c r="S262" i="14"/>
  <c r="I262" i="14"/>
  <c r="C262" i="14"/>
  <c r="B262" i="14"/>
  <c r="Z261" i="14"/>
  <c r="W261" i="14"/>
  <c r="U261" i="14"/>
  <c r="V261" i="14" s="1"/>
  <c r="T261" i="14"/>
  <c r="S261" i="14"/>
  <c r="J261" i="14"/>
  <c r="I261" i="14"/>
  <c r="D261" i="14"/>
  <c r="Z260" i="14"/>
  <c r="W260" i="14"/>
  <c r="U260" i="14"/>
  <c r="V260" i="14" s="1"/>
  <c r="T260" i="14"/>
  <c r="S260" i="14"/>
  <c r="J260" i="14"/>
  <c r="I260" i="14"/>
  <c r="D260" i="14"/>
  <c r="Z259" i="14"/>
  <c r="W259" i="14"/>
  <c r="U259" i="14"/>
  <c r="V259" i="14" s="1"/>
  <c r="T259" i="14"/>
  <c r="S259" i="14"/>
  <c r="J259" i="14"/>
  <c r="I259" i="14"/>
  <c r="D259" i="14"/>
  <c r="Z258" i="14"/>
  <c r="W258" i="14"/>
  <c r="U258" i="14"/>
  <c r="V258" i="14" s="1"/>
  <c r="T258" i="14"/>
  <c r="S258" i="14"/>
  <c r="J258" i="14"/>
  <c r="I258" i="14"/>
  <c r="D258" i="14"/>
  <c r="Z257" i="14"/>
  <c r="W257" i="14"/>
  <c r="U257" i="14"/>
  <c r="V257" i="14" s="1"/>
  <c r="T257" i="14"/>
  <c r="S257" i="14"/>
  <c r="J257" i="14"/>
  <c r="I257" i="14"/>
  <c r="D257" i="14"/>
  <c r="Z256" i="14"/>
  <c r="W256" i="14"/>
  <c r="U256" i="14"/>
  <c r="V256" i="14" s="1"/>
  <c r="T256" i="14"/>
  <c r="S256" i="14"/>
  <c r="J256" i="14"/>
  <c r="I256" i="14"/>
  <c r="D256" i="14"/>
  <c r="Z255" i="14"/>
  <c r="W255" i="14"/>
  <c r="U255" i="14"/>
  <c r="V255" i="14" s="1"/>
  <c r="T255" i="14"/>
  <c r="S255" i="14"/>
  <c r="J255" i="14"/>
  <c r="I255" i="14"/>
  <c r="D255" i="14"/>
  <c r="Z254" i="14"/>
  <c r="W254" i="14"/>
  <c r="U254" i="14"/>
  <c r="V254" i="14" s="1"/>
  <c r="T254" i="14"/>
  <c r="S254" i="14"/>
  <c r="J254" i="14"/>
  <c r="I254" i="14"/>
  <c r="D254" i="14"/>
  <c r="Z253" i="14"/>
  <c r="W253" i="14"/>
  <c r="U253" i="14"/>
  <c r="V253" i="14" s="1"/>
  <c r="T253" i="14"/>
  <c r="S253" i="14"/>
  <c r="J253" i="14"/>
  <c r="I253" i="14"/>
  <c r="D253" i="14"/>
  <c r="Z252" i="14"/>
  <c r="W252" i="14"/>
  <c r="U252" i="14"/>
  <c r="V252" i="14" s="1"/>
  <c r="T252" i="14"/>
  <c r="S252" i="14"/>
  <c r="J252" i="14"/>
  <c r="I252" i="14"/>
  <c r="D252" i="14"/>
  <c r="Z251" i="14"/>
  <c r="W251" i="14"/>
  <c r="U251" i="14"/>
  <c r="V251" i="14" s="1"/>
  <c r="T251" i="14"/>
  <c r="S251" i="14"/>
  <c r="J251" i="14"/>
  <c r="I251" i="14"/>
  <c r="D251" i="14"/>
  <c r="Z250" i="14"/>
  <c r="W250" i="14"/>
  <c r="U250" i="14"/>
  <c r="V250" i="14" s="1"/>
  <c r="T250" i="14"/>
  <c r="S250" i="14"/>
  <c r="J250" i="14"/>
  <c r="I250" i="14"/>
  <c r="D250" i="14"/>
  <c r="Z249" i="14"/>
  <c r="W249" i="14"/>
  <c r="U249" i="14"/>
  <c r="V249" i="14" s="1"/>
  <c r="T249" i="14"/>
  <c r="S249" i="14"/>
  <c r="J249" i="14"/>
  <c r="I249" i="14"/>
  <c r="D249" i="14"/>
  <c r="Z248" i="14"/>
  <c r="W248" i="14"/>
  <c r="U248" i="14"/>
  <c r="V248" i="14" s="1"/>
  <c r="T248" i="14"/>
  <c r="S248" i="14"/>
  <c r="J248" i="14"/>
  <c r="I248" i="14"/>
  <c r="D248" i="14"/>
  <c r="Z247" i="14"/>
  <c r="W247" i="14"/>
  <c r="U247" i="14"/>
  <c r="V247" i="14" s="1"/>
  <c r="T247" i="14"/>
  <c r="S247" i="14"/>
  <c r="J247" i="14"/>
  <c r="I247" i="14"/>
  <c r="D247" i="14"/>
  <c r="Z246" i="14"/>
  <c r="W246" i="14"/>
  <c r="U246" i="14"/>
  <c r="V246" i="14" s="1"/>
  <c r="T246" i="14"/>
  <c r="S246" i="14"/>
  <c r="J246" i="14"/>
  <c r="I246" i="14"/>
  <c r="D246" i="14"/>
  <c r="Z245" i="14"/>
  <c r="W245" i="14"/>
  <c r="U245" i="14"/>
  <c r="V245" i="14" s="1"/>
  <c r="T245" i="14"/>
  <c r="S245" i="14"/>
  <c r="J245" i="14"/>
  <c r="I245" i="14"/>
  <c r="D245" i="14"/>
  <c r="Z244" i="14"/>
  <c r="W244" i="14"/>
  <c r="U244" i="14"/>
  <c r="V244" i="14" s="1"/>
  <c r="T244" i="14"/>
  <c r="S244" i="14"/>
  <c r="J244" i="14"/>
  <c r="D244" i="14"/>
  <c r="Z243" i="14"/>
  <c r="W243" i="14"/>
  <c r="U243" i="14"/>
  <c r="V243" i="14" s="1"/>
  <c r="T243" i="14"/>
  <c r="S243" i="14"/>
  <c r="J243" i="14"/>
  <c r="I243" i="14"/>
  <c r="D243" i="14"/>
  <c r="Z242" i="14"/>
  <c r="W242" i="14"/>
  <c r="U242" i="14"/>
  <c r="V242" i="14" s="1"/>
  <c r="T242" i="14"/>
  <c r="S242" i="14"/>
  <c r="J242" i="14"/>
  <c r="D242" i="14"/>
  <c r="Z241" i="14"/>
  <c r="W241" i="14"/>
  <c r="U241" i="14"/>
  <c r="V241" i="14" s="1"/>
  <c r="T241" i="14"/>
  <c r="S241" i="14"/>
  <c r="J241" i="14"/>
  <c r="I241" i="14"/>
  <c r="D241" i="14"/>
  <c r="Z240" i="14"/>
  <c r="W240" i="14"/>
  <c r="U240" i="14"/>
  <c r="V240" i="14" s="1"/>
  <c r="T240" i="14"/>
  <c r="S240" i="14"/>
  <c r="J240" i="14"/>
  <c r="I240" i="14"/>
  <c r="D240" i="14"/>
  <c r="Z239" i="14"/>
  <c r="W239" i="14"/>
  <c r="U239" i="14"/>
  <c r="V239" i="14" s="1"/>
  <c r="T239" i="14"/>
  <c r="S239" i="14"/>
  <c r="J239" i="14"/>
  <c r="I239" i="14"/>
  <c r="D239" i="14"/>
  <c r="Z238" i="14"/>
  <c r="W238" i="14"/>
  <c r="U238" i="14"/>
  <c r="V238" i="14" s="1"/>
  <c r="T238" i="14"/>
  <c r="S238" i="14"/>
  <c r="J238" i="14"/>
  <c r="I238" i="14"/>
  <c r="D238" i="14"/>
  <c r="Z237" i="14"/>
  <c r="W237" i="14"/>
  <c r="U237" i="14"/>
  <c r="V237" i="14" s="1"/>
  <c r="T237" i="14"/>
  <c r="S237" i="14"/>
  <c r="J237" i="14"/>
  <c r="I237" i="14"/>
  <c r="D237" i="14"/>
  <c r="Z236" i="14"/>
  <c r="W236" i="14"/>
  <c r="U236" i="14"/>
  <c r="V236" i="14" s="1"/>
  <c r="T236" i="14"/>
  <c r="S236" i="14"/>
  <c r="J236" i="14"/>
  <c r="I236" i="14"/>
  <c r="D236" i="14"/>
  <c r="Z235" i="14"/>
  <c r="W235" i="14"/>
  <c r="U235" i="14"/>
  <c r="V235" i="14" s="1"/>
  <c r="T235" i="14"/>
  <c r="S235" i="14"/>
  <c r="J235" i="14"/>
  <c r="I235" i="14"/>
  <c r="Z234" i="14"/>
  <c r="W234" i="14"/>
  <c r="U234" i="14"/>
  <c r="V234" i="14" s="1"/>
  <c r="T234" i="14"/>
  <c r="S234" i="14"/>
  <c r="J234" i="14"/>
  <c r="I234" i="14"/>
  <c r="D234" i="14"/>
  <c r="Z233" i="14"/>
  <c r="W233" i="14"/>
  <c r="U233" i="14"/>
  <c r="V233" i="14" s="1"/>
  <c r="T233" i="14"/>
  <c r="S233" i="14"/>
  <c r="J233" i="14"/>
  <c r="I233" i="14"/>
  <c r="Z232" i="14"/>
  <c r="W232" i="14"/>
  <c r="U232" i="14"/>
  <c r="V232" i="14" s="1"/>
  <c r="T232" i="14"/>
  <c r="S232" i="14"/>
  <c r="J232" i="14"/>
  <c r="I232" i="14"/>
  <c r="D232" i="14"/>
  <c r="Z231" i="14"/>
  <c r="W231" i="14"/>
  <c r="U231" i="14"/>
  <c r="V231" i="14" s="1"/>
  <c r="T231" i="14"/>
  <c r="S231" i="14"/>
  <c r="J231" i="14"/>
  <c r="I231" i="14"/>
  <c r="D231" i="14"/>
  <c r="Z230" i="14"/>
  <c r="W230" i="14"/>
  <c r="U230" i="14"/>
  <c r="V230" i="14" s="1"/>
  <c r="T230" i="14"/>
  <c r="S230" i="14"/>
  <c r="J230" i="14"/>
  <c r="I230" i="14"/>
  <c r="D230" i="14"/>
  <c r="Z229" i="14"/>
  <c r="W229" i="14"/>
  <c r="U229" i="14"/>
  <c r="V229" i="14" s="1"/>
  <c r="T229" i="14"/>
  <c r="S229" i="14"/>
  <c r="J229" i="14"/>
  <c r="D229" i="14"/>
  <c r="Z228" i="14"/>
  <c r="W228" i="14"/>
  <c r="U228" i="14"/>
  <c r="V228" i="14" s="1"/>
  <c r="T228" i="14"/>
  <c r="S228" i="14"/>
  <c r="J228" i="14"/>
  <c r="I228" i="14"/>
  <c r="D228" i="14"/>
  <c r="Z227" i="14"/>
  <c r="W227" i="14"/>
  <c r="U227" i="14"/>
  <c r="V227" i="14" s="1"/>
  <c r="T227" i="14"/>
  <c r="S227" i="14"/>
  <c r="J227" i="14"/>
  <c r="I227" i="14"/>
  <c r="D227" i="14"/>
  <c r="Z226" i="14"/>
  <c r="W226" i="14"/>
  <c r="U226" i="14"/>
  <c r="V226" i="14" s="1"/>
  <c r="T226" i="14"/>
  <c r="S226" i="14"/>
  <c r="J226" i="14"/>
  <c r="I226" i="14"/>
  <c r="D226" i="14"/>
  <c r="Z225" i="14"/>
  <c r="W225" i="14"/>
  <c r="U225" i="14"/>
  <c r="V225" i="14" s="1"/>
  <c r="T225" i="14"/>
  <c r="S225" i="14"/>
  <c r="J225" i="14"/>
  <c r="I225" i="14"/>
  <c r="D225" i="14"/>
  <c r="Z224" i="14"/>
  <c r="W224" i="14"/>
  <c r="U224" i="14"/>
  <c r="V224" i="14" s="1"/>
  <c r="T224" i="14"/>
  <c r="S224" i="14"/>
  <c r="J224" i="14"/>
  <c r="I224" i="14"/>
  <c r="D224" i="14"/>
  <c r="Z223" i="14"/>
  <c r="W223" i="14"/>
  <c r="U223" i="14"/>
  <c r="V223" i="14" s="1"/>
  <c r="T223" i="14"/>
  <c r="S223" i="14"/>
  <c r="J223" i="14"/>
  <c r="I223" i="14"/>
  <c r="D223" i="14"/>
  <c r="Z222" i="14"/>
  <c r="W222" i="14"/>
  <c r="U222" i="14"/>
  <c r="V222" i="14" s="1"/>
  <c r="T222" i="14"/>
  <c r="S222" i="14"/>
  <c r="J222" i="14"/>
  <c r="I222" i="14"/>
  <c r="D222" i="14"/>
  <c r="Z221" i="14"/>
  <c r="W221" i="14"/>
  <c r="U221" i="14"/>
  <c r="V221" i="14" s="1"/>
  <c r="T221" i="14"/>
  <c r="S221" i="14"/>
  <c r="J221" i="14"/>
  <c r="I221" i="14"/>
  <c r="D221" i="14"/>
  <c r="Z220" i="14"/>
  <c r="W220" i="14"/>
  <c r="U220" i="14"/>
  <c r="V220" i="14" s="1"/>
  <c r="T220" i="14"/>
  <c r="S220" i="14"/>
  <c r="J220" i="14"/>
  <c r="D220" i="14"/>
  <c r="Z219" i="14"/>
  <c r="W219" i="14"/>
  <c r="U219" i="14"/>
  <c r="V219" i="14" s="1"/>
  <c r="T219" i="14"/>
  <c r="S219" i="14"/>
  <c r="J219" i="14"/>
  <c r="I219" i="14"/>
  <c r="D219" i="14"/>
  <c r="Z218" i="14"/>
  <c r="W218" i="14"/>
  <c r="U218" i="14"/>
  <c r="V218" i="14" s="1"/>
  <c r="T218" i="14"/>
  <c r="S218" i="14"/>
  <c r="J218" i="14"/>
  <c r="I218" i="14"/>
  <c r="D218" i="14"/>
  <c r="Z217" i="14"/>
  <c r="W217" i="14"/>
  <c r="T217" i="14"/>
  <c r="S217" i="14"/>
  <c r="I217" i="14"/>
  <c r="C217" i="14"/>
  <c r="B217" i="14"/>
  <c r="Z216" i="14"/>
  <c r="W216" i="14"/>
  <c r="T216" i="14"/>
  <c r="S216" i="14"/>
  <c r="I216" i="14"/>
  <c r="C216" i="14"/>
  <c r="B216" i="14"/>
  <c r="Z215" i="14"/>
  <c r="W215" i="14"/>
  <c r="T215" i="14"/>
  <c r="S215" i="14"/>
  <c r="I215" i="14"/>
  <c r="C215" i="14"/>
  <c r="B215" i="14"/>
  <c r="Z214" i="14"/>
  <c r="W214" i="14"/>
  <c r="T214" i="14"/>
  <c r="S214" i="14"/>
  <c r="I214" i="14"/>
  <c r="C214" i="14"/>
  <c r="B214" i="14"/>
  <c r="Z213" i="14"/>
  <c r="W213" i="14"/>
  <c r="T213" i="14"/>
  <c r="S213" i="14"/>
  <c r="I213" i="14"/>
  <c r="C213" i="14"/>
  <c r="B213" i="14"/>
  <c r="Z212" i="14"/>
  <c r="W212" i="14"/>
  <c r="T212" i="14"/>
  <c r="S212" i="14"/>
  <c r="C212" i="14"/>
  <c r="B212" i="14"/>
  <c r="Z211" i="14"/>
  <c r="W211" i="14"/>
  <c r="T211" i="14"/>
  <c r="S211" i="14"/>
  <c r="I211" i="14"/>
  <c r="C211" i="14"/>
  <c r="B211" i="14"/>
  <c r="Z210" i="14"/>
  <c r="W210" i="14"/>
  <c r="T210" i="14"/>
  <c r="S210" i="14"/>
  <c r="I210" i="14"/>
  <c r="C210" i="14"/>
  <c r="B210" i="14"/>
  <c r="Z209" i="14"/>
  <c r="W209" i="14"/>
  <c r="T209" i="14"/>
  <c r="S209" i="14"/>
  <c r="I209" i="14"/>
  <c r="C209" i="14"/>
  <c r="B209" i="14"/>
  <c r="Z208" i="14"/>
  <c r="W208" i="14"/>
  <c r="T208" i="14"/>
  <c r="S208" i="14"/>
  <c r="I208" i="14"/>
  <c r="C208" i="14"/>
  <c r="B208" i="14"/>
  <c r="Z207" i="14"/>
  <c r="W207" i="14"/>
  <c r="T207" i="14"/>
  <c r="S207" i="14"/>
  <c r="I207" i="14"/>
  <c r="C207" i="14"/>
  <c r="B207" i="14"/>
  <c r="Z206" i="14"/>
  <c r="W206" i="14"/>
  <c r="T206" i="14"/>
  <c r="S206" i="14"/>
  <c r="I206" i="14"/>
  <c r="C206" i="14"/>
  <c r="B206" i="14"/>
  <c r="Z205" i="14"/>
  <c r="W205" i="14"/>
  <c r="T205" i="14"/>
  <c r="S205" i="14"/>
  <c r="I205" i="14"/>
  <c r="C205" i="14"/>
  <c r="B205" i="14"/>
  <c r="Z204" i="14"/>
  <c r="W204" i="14"/>
  <c r="T204" i="14"/>
  <c r="S204" i="14"/>
  <c r="I204" i="14"/>
  <c r="C204" i="14"/>
  <c r="B204" i="14"/>
  <c r="Z203" i="14"/>
  <c r="W203" i="14"/>
  <c r="T203" i="14"/>
  <c r="S203" i="14"/>
  <c r="I203" i="14"/>
  <c r="C203" i="14"/>
  <c r="B203" i="14"/>
  <c r="Z202" i="14"/>
  <c r="W202" i="14"/>
  <c r="T202" i="14"/>
  <c r="S202" i="14"/>
  <c r="I202" i="14"/>
  <c r="C202" i="14"/>
  <c r="B202" i="14"/>
  <c r="Z201" i="14"/>
  <c r="W201" i="14"/>
  <c r="T201" i="14"/>
  <c r="S201" i="14"/>
  <c r="C201" i="14"/>
  <c r="B201" i="14"/>
  <c r="Z200" i="14"/>
  <c r="W200" i="14"/>
  <c r="T200" i="14"/>
  <c r="S200" i="14"/>
  <c r="I200" i="14"/>
  <c r="C200" i="14"/>
  <c r="B200" i="14"/>
  <c r="Z199" i="14"/>
  <c r="W199" i="14"/>
  <c r="T199" i="14"/>
  <c r="S199" i="14"/>
  <c r="I199" i="14"/>
  <c r="C199" i="14"/>
  <c r="B199" i="14"/>
  <c r="Z198" i="14"/>
  <c r="W198" i="14"/>
  <c r="T198" i="14"/>
  <c r="S198" i="14"/>
  <c r="I198" i="14"/>
  <c r="C198" i="14"/>
  <c r="B198" i="14"/>
  <c r="Z197" i="14"/>
  <c r="W197" i="14"/>
  <c r="T197" i="14"/>
  <c r="S197" i="14"/>
  <c r="I197" i="14"/>
  <c r="C197" i="14"/>
  <c r="B197" i="14"/>
  <c r="Z196" i="14"/>
  <c r="W196" i="14"/>
  <c r="T196" i="14"/>
  <c r="S196" i="14"/>
  <c r="I196" i="14"/>
  <c r="C196" i="14"/>
  <c r="B196" i="14"/>
  <c r="Z195" i="14"/>
  <c r="W195" i="14"/>
  <c r="T195" i="14"/>
  <c r="S195" i="14"/>
  <c r="I195" i="14"/>
  <c r="C195" i="14"/>
  <c r="U195" i="14" s="1"/>
  <c r="V195" i="14" s="1"/>
  <c r="B195" i="14"/>
  <c r="Z194" i="14"/>
  <c r="W194" i="14"/>
  <c r="T194" i="14"/>
  <c r="S194" i="14"/>
  <c r="I194" i="14"/>
  <c r="C194" i="14"/>
  <c r="B194" i="14"/>
  <c r="Z193" i="14"/>
  <c r="W193" i="14"/>
  <c r="T193" i="14"/>
  <c r="S193" i="14"/>
  <c r="I193" i="14"/>
  <c r="C193" i="14"/>
  <c r="B193" i="14"/>
  <c r="Z192" i="14"/>
  <c r="W192" i="14"/>
  <c r="T192" i="14"/>
  <c r="S192" i="14"/>
  <c r="I192" i="14"/>
  <c r="C192" i="14"/>
  <c r="B192" i="14"/>
  <c r="Z191" i="14"/>
  <c r="W191" i="14"/>
  <c r="T191" i="14"/>
  <c r="S191" i="14"/>
  <c r="I191" i="14"/>
  <c r="C191" i="14"/>
  <c r="B191" i="14"/>
  <c r="Z190" i="14"/>
  <c r="W190" i="14"/>
  <c r="T190" i="14"/>
  <c r="S190" i="14"/>
  <c r="I190" i="14"/>
  <c r="C190" i="14"/>
  <c r="B190" i="14"/>
  <c r="Z189" i="14"/>
  <c r="W189" i="14"/>
  <c r="T189" i="14"/>
  <c r="S189" i="14"/>
  <c r="I189" i="14"/>
  <c r="C189" i="14"/>
  <c r="B189" i="14"/>
  <c r="Z188" i="14"/>
  <c r="W188" i="14"/>
  <c r="T188" i="14"/>
  <c r="S188" i="14"/>
  <c r="C188" i="14"/>
  <c r="B188" i="14"/>
  <c r="Z187" i="14"/>
  <c r="W187" i="14"/>
  <c r="T187" i="14"/>
  <c r="S187" i="14"/>
  <c r="I187" i="14"/>
  <c r="C187" i="14"/>
  <c r="B187" i="14"/>
  <c r="Z186" i="14"/>
  <c r="W186" i="14"/>
  <c r="T186" i="14"/>
  <c r="S186" i="14"/>
  <c r="I186" i="14"/>
  <c r="C186" i="14"/>
  <c r="B186" i="14"/>
  <c r="Z185" i="14"/>
  <c r="W185" i="14"/>
  <c r="T185" i="14"/>
  <c r="S185" i="14"/>
  <c r="I185" i="14"/>
  <c r="C185" i="14"/>
  <c r="B185" i="14"/>
  <c r="Z184" i="14"/>
  <c r="W184" i="14"/>
  <c r="T184" i="14"/>
  <c r="S184" i="14"/>
  <c r="I184" i="14"/>
  <c r="C184" i="14"/>
  <c r="B184" i="14"/>
  <c r="Z183" i="14"/>
  <c r="W183" i="14"/>
  <c r="T183" i="14"/>
  <c r="S183" i="14"/>
  <c r="I183" i="14"/>
  <c r="C183" i="14"/>
  <c r="B183" i="14"/>
  <c r="Z182" i="14"/>
  <c r="W182" i="14"/>
  <c r="T182" i="14"/>
  <c r="S182" i="14"/>
  <c r="I182" i="14"/>
  <c r="C182" i="14"/>
  <c r="B182" i="14"/>
  <c r="Z181" i="14"/>
  <c r="W181" i="14"/>
  <c r="T181" i="14"/>
  <c r="S181" i="14"/>
  <c r="I181" i="14"/>
  <c r="C181" i="14"/>
  <c r="U181" i="14" s="1"/>
  <c r="V181" i="14" s="1"/>
  <c r="B181" i="14"/>
  <c r="Z180" i="14"/>
  <c r="W180" i="14"/>
  <c r="T180" i="14"/>
  <c r="S180" i="14"/>
  <c r="I180" i="14"/>
  <c r="C180" i="14"/>
  <c r="B180" i="14"/>
  <c r="Z179" i="14"/>
  <c r="W179" i="14"/>
  <c r="T179" i="14"/>
  <c r="S179" i="14"/>
  <c r="I179" i="14"/>
  <c r="C179" i="14"/>
  <c r="B179" i="14"/>
  <c r="Z178" i="14"/>
  <c r="W178" i="14"/>
  <c r="T178" i="14"/>
  <c r="S178" i="14"/>
  <c r="I178" i="14"/>
  <c r="C178" i="14"/>
  <c r="B178" i="14"/>
  <c r="Z177" i="14"/>
  <c r="W177" i="14"/>
  <c r="T177" i="14"/>
  <c r="S177" i="14"/>
  <c r="I177" i="14"/>
  <c r="C177" i="14"/>
  <c r="B177" i="14"/>
  <c r="Z176" i="14"/>
  <c r="W176" i="14"/>
  <c r="T176" i="14"/>
  <c r="S176" i="14"/>
  <c r="I176" i="14"/>
  <c r="C176" i="14"/>
  <c r="B176" i="14"/>
  <c r="Z175" i="14"/>
  <c r="W175" i="14"/>
  <c r="T175" i="14"/>
  <c r="S175" i="14"/>
  <c r="I175" i="14"/>
  <c r="C175" i="14"/>
  <c r="B175" i="14"/>
  <c r="Z174" i="14"/>
  <c r="W174" i="14"/>
  <c r="U174" i="14"/>
  <c r="T174" i="14"/>
  <c r="S174" i="14"/>
  <c r="I174" i="14"/>
  <c r="D174" i="14"/>
  <c r="C174" i="14"/>
  <c r="B174" i="14"/>
  <c r="Z173" i="14"/>
  <c r="W173" i="14"/>
  <c r="U173" i="14"/>
  <c r="T173" i="14"/>
  <c r="S173" i="14"/>
  <c r="I173" i="14"/>
  <c r="D173" i="14"/>
  <c r="C173" i="14"/>
  <c r="B173" i="14"/>
  <c r="Z172" i="14"/>
  <c r="W172" i="14"/>
  <c r="U172" i="14"/>
  <c r="T172" i="14"/>
  <c r="S172" i="14"/>
  <c r="I172" i="14"/>
  <c r="D172" i="14"/>
  <c r="C172" i="14"/>
  <c r="B172" i="14"/>
  <c r="Z171" i="14"/>
  <c r="W171" i="14"/>
  <c r="U171" i="14"/>
  <c r="T171" i="14"/>
  <c r="S171" i="14"/>
  <c r="I171" i="14"/>
  <c r="C171" i="14"/>
  <c r="B171" i="14"/>
  <c r="Z170" i="14"/>
  <c r="W170" i="14"/>
  <c r="U170" i="14"/>
  <c r="T170" i="14"/>
  <c r="S170" i="14"/>
  <c r="I170" i="14"/>
  <c r="D170" i="14"/>
  <c r="C170" i="14"/>
  <c r="B170" i="14"/>
  <c r="Z169" i="14"/>
  <c r="W169" i="14"/>
  <c r="U169" i="14"/>
  <c r="T169" i="14"/>
  <c r="S169" i="14"/>
  <c r="I169" i="14"/>
  <c r="D169" i="14"/>
  <c r="C169" i="14"/>
  <c r="B169" i="14"/>
  <c r="Z168" i="14"/>
  <c r="W168" i="14"/>
  <c r="U168" i="14"/>
  <c r="T168" i="14"/>
  <c r="S168" i="14"/>
  <c r="I168" i="14"/>
  <c r="C168" i="14"/>
  <c r="B168" i="14"/>
  <c r="Z167" i="14"/>
  <c r="W167" i="14"/>
  <c r="U167" i="14"/>
  <c r="T167" i="14"/>
  <c r="S167" i="14"/>
  <c r="I167" i="14"/>
  <c r="D167" i="14"/>
  <c r="C167" i="14"/>
  <c r="B167" i="14"/>
  <c r="Z166" i="14"/>
  <c r="W166" i="14"/>
  <c r="U166" i="14"/>
  <c r="T166" i="14"/>
  <c r="S166" i="14"/>
  <c r="D166" i="14"/>
  <c r="C166" i="14"/>
  <c r="B166" i="14"/>
  <c r="Z165" i="14"/>
  <c r="W165" i="14"/>
  <c r="U165" i="14"/>
  <c r="T165" i="14"/>
  <c r="S165" i="14"/>
  <c r="I165" i="14"/>
  <c r="D165" i="14"/>
  <c r="C165" i="14"/>
  <c r="B165" i="14"/>
  <c r="Z164" i="14"/>
  <c r="W164" i="14"/>
  <c r="U164" i="14"/>
  <c r="T164" i="14"/>
  <c r="S164" i="14"/>
  <c r="I164" i="14"/>
  <c r="D164" i="14"/>
  <c r="C164" i="14"/>
  <c r="B164" i="14"/>
  <c r="Z163" i="14"/>
  <c r="W163" i="14"/>
  <c r="U163" i="14"/>
  <c r="T163" i="14"/>
  <c r="S163" i="14"/>
  <c r="I163" i="14"/>
  <c r="D163" i="14"/>
  <c r="C163" i="14"/>
  <c r="B163" i="14"/>
  <c r="Z162" i="14"/>
  <c r="W162" i="14"/>
  <c r="U162" i="14"/>
  <c r="T162" i="14"/>
  <c r="S162" i="14"/>
  <c r="I162" i="14"/>
  <c r="D162" i="14"/>
  <c r="C162" i="14"/>
  <c r="B162" i="14"/>
  <c r="Z161" i="14"/>
  <c r="W161" i="14"/>
  <c r="U161" i="14"/>
  <c r="T161" i="14"/>
  <c r="S161" i="14"/>
  <c r="R161" i="14"/>
  <c r="Q161" i="14"/>
  <c r="P161" i="14"/>
  <c r="D161" i="14"/>
  <c r="C161" i="14"/>
  <c r="B161" i="14"/>
  <c r="Z160" i="14"/>
  <c r="W160" i="14"/>
  <c r="U160" i="14"/>
  <c r="T160" i="14"/>
  <c r="S160" i="14"/>
  <c r="R160" i="14"/>
  <c r="Q160" i="14"/>
  <c r="P160" i="14"/>
  <c r="D160" i="14"/>
  <c r="C160" i="14"/>
  <c r="B160" i="14"/>
  <c r="Z159" i="14"/>
  <c r="W159" i="14"/>
  <c r="U159" i="14"/>
  <c r="T159" i="14"/>
  <c r="S159" i="14"/>
  <c r="R159" i="14"/>
  <c r="Q159" i="14"/>
  <c r="P159" i="14"/>
  <c r="D159" i="14"/>
  <c r="C159" i="14"/>
  <c r="B159" i="14"/>
  <c r="Z158" i="14"/>
  <c r="W158" i="14"/>
  <c r="U158" i="14"/>
  <c r="T158" i="14"/>
  <c r="S158" i="14"/>
  <c r="R158" i="14"/>
  <c r="Q158" i="14"/>
  <c r="P158" i="14"/>
  <c r="D158" i="14"/>
  <c r="C158" i="14"/>
  <c r="B158" i="14"/>
  <c r="Z157" i="14"/>
  <c r="W157" i="14"/>
  <c r="U157" i="14"/>
  <c r="T157" i="14"/>
  <c r="S157" i="14"/>
  <c r="R157" i="14"/>
  <c r="Q157" i="14"/>
  <c r="P157" i="14"/>
  <c r="D157" i="14"/>
  <c r="C157" i="14"/>
  <c r="B157" i="14"/>
  <c r="Z156" i="14"/>
  <c r="W156" i="14"/>
  <c r="U156" i="14"/>
  <c r="T156" i="14"/>
  <c r="S156" i="14"/>
  <c r="R156" i="14"/>
  <c r="Q156" i="14"/>
  <c r="P156" i="14"/>
  <c r="D156" i="14"/>
  <c r="C156" i="14"/>
  <c r="B156" i="14"/>
  <c r="Z155" i="14"/>
  <c r="W155" i="14"/>
  <c r="U155" i="14"/>
  <c r="T155" i="14"/>
  <c r="S155" i="14"/>
  <c r="R155" i="14"/>
  <c r="Q155" i="14"/>
  <c r="P155" i="14"/>
  <c r="D155" i="14"/>
  <c r="C155" i="14"/>
  <c r="B155" i="14"/>
  <c r="Z154" i="14"/>
  <c r="W154" i="14"/>
  <c r="U154" i="14"/>
  <c r="T154" i="14"/>
  <c r="S154" i="14"/>
  <c r="R154" i="14"/>
  <c r="Q154" i="14"/>
  <c r="P154" i="14"/>
  <c r="D154" i="14"/>
  <c r="C154" i="14"/>
  <c r="B154" i="14"/>
  <c r="Z153" i="14"/>
  <c r="W153" i="14"/>
  <c r="U153" i="14"/>
  <c r="T153" i="14"/>
  <c r="S153" i="14"/>
  <c r="R153" i="14"/>
  <c r="Q153" i="14"/>
  <c r="P153" i="14"/>
  <c r="D153" i="14"/>
  <c r="C153" i="14"/>
  <c r="B153" i="14"/>
  <c r="Z152" i="14"/>
  <c r="W152" i="14"/>
  <c r="U152" i="14"/>
  <c r="T152" i="14"/>
  <c r="S152" i="14"/>
  <c r="I152" i="14"/>
  <c r="D152" i="14"/>
  <c r="C152" i="14"/>
  <c r="B152" i="14"/>
  <c r="Z151" i="14"/>
  <c r="W151" i="14"/>
  <c r="U151" i="14"/>
  <c r="T151" i="14"/>
  <c r="S151" i="14"/>
  <c r="I151" i="14"/>
  <c r="D151" i="14"/>
  <c r="C151" i="14"/>
  <c r="B151" i="14"/>
  <c r="Z150" i="14"/>
  <c r="W150" i="14"/>
  <c r="U150" i="14"/>
  <c r="T150" i="14"/>
  <c r="S150" i="14"/>
  <c r="I150" i="14"/>
  <c r="D150" i="14"/>
  <c r="C150" i="14"/>
  <c r="B150" i="14"/>
  <c r="Z149" i="14"/>
  <c r="W149" i="14"/>
  <c r="U149" i="14"/>
  <c r="T149" i="14"/>
  <c r="S149" i="14"/>
  <c r="I149" i="14"/>
  <c r="D149" i="14"/>
  <c r="C149" i="14"/>
  <c r="B149" i="14"/>
  <c r="Z148" i="14"/>
  <c r="W148" i="14"/>
  <c r="U148" i="14"/>
  <c r="T148" i="14"/>
  <c r="S148" i="14"/>
  <c r="R148" i="14"/>
  <c r="Q148" i="14"/>
  <c r="P148" i="14"/>
  <c r="D148" i="14"/>
  <c r="C148" i="14"/>
  <c r="B148" i="14"/>
  <c r="Z147" i="14"/>
  <c r="W147" i="14"/>
  <c r="U147" i="14"/>
  <c r="T147" i="14"/>
  <c r="S147" i="14"/>
  <c r="R147" i="14"/>
  <c r="Q147" i="14"/>
  <c r="P147" i="14"/>
  <c r="D147" i="14"/>
  <c r="C147" i="14"/>
  <c r="B147" i="14"/>
  <c r="Z146" i="14"/>
  <c r="W146" i="14"/>
  <c r="U146" i="14"/>
  <c r="T146" i="14"/>
  <c r="S146" i="14"/>
  <c r="R146" i="14"/>
  <c r="Q146" i="14"/>
  <c r="P146" i="14"/>
  <c r="D146" i="14"/>
  <c r="C146" i="14"/>
  <c r="B146" i="14"/>
  <c r="Z145" i="14"/>
  <c r="W145" i="14"/>
  <c r="U145" i="14"/>
  <c r="T145" i="14"/>
  <c r="S145" i="14"/>
  <c r="R145" i="14"/>
  <c r="Q145" i="14"/>
  <c r="P145" i="14"/>
  <c r="D145" i="14"/>
  <c r="C145" i="14"/>
  <c r="B145" i="14"/>
  <c r="Z144" i="14"/>
  <c r="W144" i="14"/>
  <c r="U144" i="14"/>
  <c r="T144" i="14"/>
  <c r="S144" i="14"/>
  <c r="R144" i="14"/>
  <c r="Q144" i="14"/>
  <c r="P144" i="14"/>
  <c r="D144" i="14"/>
  <c r="C144" i="14"/>
  <c r="B144" i="14"/>
  <c r="Z143" i="14"/>
  <c r="W143" i="14"/>
  <c r="U143" i="14"/>
  <c r="T143" i="14"/>
  <c r="S143" i="14"/>
  <c r="R143" i="14"/>
  <c r="Q143" i="14"/>
  <c r="P143" i="14"/>
  <c r="D143" i="14"/>
  <c r="C143" i="14"/>
  <c r="B143" i="14"/>
  <c r="Z142" i="14"/>
  <c r="W142" i="14"/>
  <c r="U142" i="14"/>
  <c r="T142" i="14"/>
  <c r="S142" i="14"/>
  <c r="R142" i="14"/>
  <c r="Q142" i="14"/>
  <c r="P142" i="14"/>
  <c r="D142" i="14"/>
  <c r="C142" i="14"/>
  <c r="B142" i="14"/>
  <c r="Z141" i="14"/>
  <c r="W141" i="14"/>
  <c r="U141" i="14"/>
  <c r="T141" i="14"/>
  <c r="S141" i="14"/>
  <c r="R141" i="14"/>
  <c r="Q141" i="14"/>
  <c r="P141" i="14"/>
  <c r="D141" i="14"/>
  <c r="C141" i="14"/>
  <c r="B141" i="14"/>
  <c r="Z140" i="14"/>
  <c r="W140" i="14"/>
  <c r="U140" i="14"/>
  <c r="T140" i="14"/>
  <c r="S140" i="14"/>
  <c r="R140" i="14"/>
  <c r="Q140" i="14"/>
  <c r="P140" i="14"/>
  <c r="D140" i="14"/>
  <c r="C140" i="14"/>
  <c r="B140" i="14"/>
  <c r="Z139" i="14"/>
  <c r="W139" i="14"/>
  <c r="U139" i="14"/>
  <c r="T139" i="14"/>
  <c r="S139" i="14"/>
  <c r="R139" i="14"/>
  <c r="Q139" i="14"/>
  <c r="P139" i="14"/>
  <c r="D139" i="14"/>
  <c r="C139" i="14"/>
  <c r="B139" i="14"/>
  <c r="Z138" i="14"/>
  <c r="W138" i="14"/>
  <c r="U138" i="14"/>
  <c r="T138" i="14"/>
  <c r="S138" i="14"/>
  <c r="R138" i="14"/>
  <c r="Q138" i="14"/>
  <c r="P138" i="14"/>
  <c r="D138" i="14"/>
  <c r="C138" i="14"/>
  <c r="B138" i="14"/>
  <c r="Z137" i="14"/>
  <c r="W137" i="14"/>
  <c r="U137" i="14"/>
  <c r="T137" i="14"/>
  <c r="S137" i="14"/>
  <c r="I137" i="14"/>
  <c r="D137" i="14"/>
  <c r="C137" i="14"/>
  <c r="B137" i="14"/>
  <c r="Z136" i="14"/>
  <c r="W136" i="14"/>
  <c r="U136" i="14"/>
  <c r="T136" i="14"/>
  <c r="S136" i="14"/>
  <c r="D136" i="14"/>
  <c r="C136" i="14"/>
  <c r="B136" i="14"/>
  <c r="Z135" i="14"/>
  <c r="W135" i="14"/>
  <c r="U135" i="14"/>
  <c r="T135" i="14"/>
  <c r="S135" i="14"/>
  <c r="R135" i="14"/>
  <c r="Q135" i="14"/>
  <c r="P135" i="14"/>
  <c r="I135" i="14"/>
  <c r="D135" i="14"/>
  <c r="C135" i="14"/>
  <c r="B135" i="14"/>
  <c r="Z134" i="14"/>
  <c r="W134" i="14"/>
  <c r="U134" i="14"/>
  <c r="T134" i="14"/>
  <c r="S134" i="14"/>
  <c r="I134" i="14"/>
  <c r="D134" i="14"/>
  <c r="C134" i="14"/>
  <c r="B134" i="14"/>
  <c r="Z133" i="14"/>
  <c r="W133" i="14"/>
  <c r="U133" i="14"/>
  <c r="T133" i="14"/>
  <c r="S133" i="14"/>
  <c r="I133" i="14"/>
  <c r="D133" i="14"/>
  <c r="C133" i="14"/>
  <c r="B133" i="14"/>
  <c r="Z132" i="14"/>
  <c r="W132" i="14"/>
  <c r="U132" i="14"/>
  <c r="T132" i="14"/>
  <c r="S132" i="14"/>
  <c r="I132" i="14"/>
  <c r="D132" i="14"/>
  <c r="C132" i="14"/>
  <c r="B132" i="14"/>
  <c r="Z131" i="14"/>
  <c r="W131" i="14"/>
  <c r="U131" i="14"/>
  <c r="T131" i="14"/>
  <c r="S131" i="14"/>
  <c r="I131" i="14"/>
  <c r="D131" i="14"/>
  <c r="C131" i="14"/>
  <c r="B131" i="14"/>
  <c r="Z130" i="14"/>
  <c r="W130" i="14"/>
  <c r="U130" i="14"/>
  <c r="T130" i="14"/>
  <c r="S130" i="14"/>
  <c r="I130" i="14"/>
  <c r="D130" i="14"/>
  <c r="C130" i="14"/>
  <c r="B130" i="14"/>
  <c r="Z129" i="14"/>
  <c r="W129" i="14"/>
  <c r="U129" i="14"/>
  <c r="T129" i="14"/>
  <c r="S129" i="14"/>
  <c r="I129" i="14"/>
  <c r="D129" i="14"/>
  <c r="C129" i="14"/>
  <c r="B129" i="14"/>
  <c r="Z128" i="14"/>
  <c r="W128" i="14"/>
  <c r="U128" i="14"/>
  <c r="T128" i="14"/>
  <c r="S128" i="14"/>
  <c r="I128" i="14"/>
  <c r="D128" i="14"/>
  <c r="C128" i="14"/>
  <c r="B128" i="14"/>
  <c r="Z127" i="14"/>
  <c r="W127" i="14"/>
  <c r="U127" i="14"/>
  <c r="T127" i="14"/>
  <c r="S127" i="14"/>
  <c r="R127" i="14"/>
  <c r="Q127" i="14"/>
  <c r="P127" i="14"/>
  <c r="D127" i="14"/>
  <c r="C127" i="14"/>
  <c r="B127" i="14"/>
  <c r="Z126" i="14"/>
  <c r="W126" i="14"/>
  <c r="U126" i="14"/>
  <c r="T126" i="14"/>
  <c r="S126" i="14"/>
  <c r="R126" i="14"/>
  <c r="Q126" i="14"/>
  <c r="P126" i="14"/>
  <c r="D126" i="14"/>
  <c r="C126" i="14"/>
  <c r="B126" i="14"/>
  <c r="Z125" i="14"/>
  <c r="W125" i="14"/>
  <c r="U125" i="14"/>
  <c r="T125" i="14"/>
  <c r="S125" i="14"/>
  <c r="R125" i="14"/>
  <c r="Q125" i="14"/>
  <c r="P125" i="14"/>
  <c r="D125" i="14"/>
  <c r="C125" i="14"/>
  <c r="B125" i="14"/>
  <c r="Z124" i="14"/>
  <c r="W124" i="14"/>
  <c r="U124" i="14"/>
  <c r="T124" i="14"/>
  <c r="S124" i="14"/>
  <c r="R124" i="14"/>
  <c r="Q124" i="14"/>
  <c r="P124" i="14"/>
  <c r="D124" i="14"/>
  <c r="C124" i="14"/>
  <c r="B124" i="14"/>
  <c r="Z123" i="14"/>
  <c r="W123" i="14"/>
  <c r="U123" i="14"/>
  <c r="T123" i="14"/>
  <c r="S123" i="14"/>
  <c r="R123" i="14"/>
  <c r="Q123" i="14"/>
  <c r="P123" i="14"/>
  <c r="D123" i="14"/>
  <c r="C123" i="14"/>
  <c r="B123" i="14"/>
  <c r="Z122" i="14"/>
  <c r="W122" i="14"/>
  <c r="U122" i="14"/>
  <c r="T122" i="14"/>
  <c r="S122" i="14"/>
  <c r="R122" i="14"/>
  <c r="Q122" i="14"/>
  <c r="P122" i="14"/>
  <c r="D122" i="14"/>
  <c r="C122" i="14"/>
  <c r="B122" i="14"/>
  <c r="Z121" i="14"/>
  <c r="W121" i="14"/>
  <c r="U121" i="14"/>
  <c r="T121" i="14"/>
  <c r="S121" i="14"/>
  <c r="R121" i="14"/>
  <c r="Q121" i="14"/>
  <c r="P121" i="14"/>
  <c r="D121" i="14"/>
  <c r="C121" i="14"/>
  <c r="B121" i="14"/>
  <c r="Z120" i="14"/>
  <c r="W120" i="14"/>
  <c r="U120" i="14"/>
  <c r="T120" i="14"/>
  <c r="S120" i="14"/>
  <c r="R120" i="14"/>
  <c r="Q120" i="14"/>
  <c r="P120" i="14"/>
  <c r="D120" i="14"/>
  <c r="C120" i="14"/>
  <c r="B120" i="14"/>
  <c r="Z119" i="14"/>
  <c r="W119" i="14"/>
  <c r="U119" i="14"/>
  <c r="T119" i="14"/>
  <c r="S119" i="14"/>
  <c r="R119" i="14"/>
  <c r="Q119" i="14"/>
  <c r="P119" i="14"/>
  <c r="D119" i="14"/>
  <c r="C119" i="14"/>
  <c r="B119" i="14"/>
  <c r="Z118" i="14"/>
  <c r="W118" i="14"/>
  <c r="U118" i="14"/>
  <c r="T118" i="14"/>
  <c r="S118" i="14"/>
  <c r="R118" i="14"/>
  <c r="Q118" i="14"/>
  <c r="P118" i="14"/>
  <c r="D118" i="14"/>
  <c r="C118" i="14"/>
  <c r="B118" i="14"/>
  <c r="Z117" i="14"/>
  <c r="W117" i="14"/>
  <c r="U117" i="14"/>
  <c r="T117" i="14"/>
  <c r="S117" i="14"/>
  <c r="R117" i="14"/>
  <c r="Q117" i="14"/>
  <c r="P117" i="14"/>
  <c r="D117" i="14"/>
  <c r="C117" i="14"/>
  <c r="B117" i="14"/>
  <c r="Z116" i="14"/>
  <c r="W116" i="14"/>
  <c r="U116" i="14"/>
  <c r="T116" i="14"/>
  <c r="S116" i="14"/>
  <c r="R116" i="14"/>
  <c r="Q116" i="14"/>
  <c r="P116" i="14"/>
  <c r="D116" i="14"/>
  <c r="C116" i="14"/>
  <c r="B116" i="14"/>
  <c r="Z115" i="14"/>
  <c r="W115" i="14"/>
  <c r="U115" i="14"/>
  <c r="T115" i="14"/>
  <c r="S115" i="14"/>
  <c r="R115" i="14"/>
  <c r="Q115" i="14"/>
  <c r="P115" i="14"/>
  <c r="D115" i="14"/>
  <c r="C115" i="14"/>
  <c r="B115" i="14"/>
  <c r="Z114" i="14"/>
  <c r="W114" i="14"/>
  <c r="U114" i="14"/>
  <c r="T114" i="14"/>
  <c r="S114" i="14"/>
  <c r="R114" i="14"/>
  <c r="Q114" i="14"/>
  <c r="P114" i="14"/>
  <c r="D114" i="14"/>
  <c r="C114" i="14"/>
  <c r="B114" i="14"/>
  <c r="Z113" i="14"/>
  <c r="W113" i="14"/>
  <c r="U113" i="14"/>
  <c r="T113" i="14"/>
  <c r="S113" i="14"/>
  <c r="R113" i="14"/>
  <c r="Q113" i="14"/>
  <c r="P113" i="14"/>
  <c r="D113" i="14"/>
  <c r="C113" i="14"/>
  <c r="B113" i="14"/>
  <c r="Z112" i="14"/>
  <c r="W112" i="14"/>
  <c r="U112" i="14"/>
  <c r="T112" i="14"/>
  <c r="S112" i="14"/>
  <c r="R112" i="14"/>
  <c r="Q112" i="14"/>
  <c r="P112" i="14"/>
  <c r="D112" i="14"/>
  <c r="C112" i="14"/>
  <c r="B112" i="14"/>
  <c r="Z111" i="14"/>
  <c r="W111" i="14"/>
  <c r="U111" i="14"/>
  <c r="T111" i="14"/>
  <c r="S111" i="14"/>
  <c r="I111" i="14"/>
  <c r="D111" i="14"/>
  <c r="C111" i="14"/>
  <c r="B111" i="14"/>
  <c r="Z110" i="14"/>
  <c r="W110" i="14"/>
  <c r="U110" i="14"/>
  <c r="T110" i="14"/>
  <c r="S110" i="14"/>
  <c r="I110" i="14"/>
  <c r="D110" i="14"/>
  <c r="C110" i="14"/>
  <c r="B110" i="14"/>
  <c r="Z109" i="14"/>
  <c r="W109" i="14"/>
  <c r="U109" i="14"/>
  <c r="T109" i="14"/>
  <c r="S109" i="14"/>
  <c r="I109" i="14"/>
  <c r="D109" i="14"/>
  <c r="C109" i="14"/>
  <c r="B109" i="14"/>
  <c r="Z108" i="14"/>
  <c r="W108" i="14"/>
  <c r="U108" i="14"/>
  <c r="T108" i="14"/>
  <c r="S108" i="14"/>
  <c r="I108" i="14"/>
  <c r="D108" i="14"/>
  <c r="C108" i="14"/>
  <c r="B108" i="14"/>
  <c r="Z107" i="14"/>
  <c r="W107" i="14"/>
  <c r="U107" i="14"/>
  <c r="T107" i="14"/>
  <c r="S107" i="14"/>
  <c r="I107" i="14"/>
  <c r="D107" i="14"/>
  <c r="C107" i="14"/>
  <c r="B107" i="14"/>
  <c r="Z106" i="14"/>
  <c r="W106" i="14"/>
  <c r="U106" i="14"/>
  <c r="T106" i="14"/>
  <c r="S106" i="14"/>
  <c r="D106" i="14"/>
  <c r="C106" i="14"/>
  <c r="B106" i="14"/>
  <c r="Z105" i="14"/>
  <c r="W105" i="14"/>
  <c r="U105" i="14"/>
  <c r="T105" i="14"/>
  <c r="S105" i="14"/>
  <c r="I105" i="14"/>
  <c r="D105" i="14"/>
  <c r="C105" i="14"/>
  <c r="B105" i="14"/>
  <c r="Z104" i="14"/>
  <c r="W104" i="14"/>
  <c r="U104" i="14"/>
  <c r="T104" i="14"/>
  <c r="S104" i="14"/>
  <c r="R104" i="14"/>
  <c r="Q104" i="14"/>
  <c r="P104" i="14"/>
  <c r="D104" i="14"/>
  <c r="C104" i="14"/>
  <c r="B104" i="14"/>
  <c r="Z103" i="14"/>
  <c r="W103" i="14"/>
  <c r="U103" i="14"/>
  <c r="T103" i="14"/>
  <c r="S103" i="14"/>
  <c r="R103" i="14"/>
  <c r="Q103" i="14"/>
  <c r="P103" i="14"/>
  <c r="D103" i="14"/>
  <c r="C103" i="14"/>
  <c r="B103" i="14"/>
  <c r="Z102" i="14"/>
  <c r="W102" i="14"/>
  <c r="U102" i="14"/>
  <c r="T102" i="14"/>
  <c r="S102" i="14"/>
  <c r="R102" i="14"/>
  <c r="Q102" i="14"/>
  <c r="P102" i="14"/>
  <c r="D102" i="14"/>
  <c r="C102" i="14"/>
  <c r="B102" i="14"/>
  <c r="Z101" i="14"/>
  <c r="W101" i="14"/>
  <c r="U101" i="14"/>
  <c r="T101" i="14"/>
  <c r="S101" i="14"/>
  <c r="R101" i="14"/>
  <c r="Q101" i="14"/>
  <c r="P101" i="14"/>
  <c r="D101" i="14"/>
  <c r="C101" i="14"/>
  <c r="B101" i="14"/>
  <c r="Z100" i="14"/>
  <c r="W100" i="14"/>
  <c r="U100" i="14"/>
  <c r="T100" i="14"/>
  <c r="S100" i="14"/>
  <c r="R100" i="14"/>
  <c r="Q100" i="14"/>
  <c r="P100" i="14"/>
  <c r="D100" i="14"/>
  <c r="C100" i="14"/>
  <c r="B100" i="14"/>
  <c r="Z99" i="14"/>
  <c r="W99" i="14"/>
  <c r="U99" i="14"/>
  <c r="T99" i="14"/>
  <c r="S99" i="14"/>
  <c r="R99" i="14"/>
  <c r="Q99" i="14"/>
  <c r="P99" i="14"/>
  <c r="D99" i="14"/>
  <c r="C99" i="14"/>
  <c r="B99" i="14"/>
  <c r="Z98" i="14"/>
  <c r="W98" i="14"/>
  <c r="U98" i="14"/>
  <c r="T98" i="14"/>
  <c r="S98" i="14"/>
  <c r="R98" i="14"/>
  <c r="Q98" i="14"/>
  <c r="P98" i="14"/>
  <c r="D98" i="14"/>
  <c r="C98" i="14"/>
  <c r="B98" i="14"/>
  <c r="Z97" i="14"/>
  <c r="W97" i="14"/>
  <c r="U97" i="14"/>
  <c r="T97" i="14"/>
  <c r="S97" i="14"/>
  <c r="R97" i="14"/>
  <c r="Q97" i="14"/>
  <c r="P97" i="14"/>
  <c r="D97" i="14"/>
  <c r="C97" i="14"/>
  <c r="B97" i="14"/>
  <c r="Z96" i="14"/>
  <c r="W96" i="14"/>
  <c r="U96" i="14"/>
  <c r="T96" i="14"/>
  <c r="S96" i="14"/>
  <c r="R96" i="14"/>
  <c r="Q96" i="14"/>
  <c r="P96" i="14"/>
  <c r="D96" i="14"/>
  <c r="C96" i="14"/>
  <c r="B96" i="14"/>
  <c r="Z95" i="14"/>
  <c r="W95" i="14"/>
  <c r="U95" i="14"/>
  <c r="T95" i="14"/>
  <c r="S95" i="14"/>
  <c r="R95" i="14"/>
  <c r="Q95" i="14"/>
  <c r="P95" i="14"/>
  <c r="D95" i="14"/>
  <c r="C95" i="14"/>
  <c r="B95" i="14"/>
  <c r="Z94" i="14"/>
  <c r="W94" i="14"/>
  <c r="U94" i="14"/>
  <c r="T94" i="14"/>
  <c r="S94" i="14"/>
  <c r="R94" i="14"/>
  <c r="Q94" i="14"/>
  <c r="P94" i="14"/>
  <c r="D94" i="14"/>
  <c r="C94" i="14"/>
  <c r="B94" i="14"/>
  <c r="Z93" i="14"/>
  <c r="W93" i="14"/>
  <c r="U93" i="14"/>
  <c r="T93" i="14"/>
  <c r="S93" i="14"/>
  <c r="R93" i="14"/>
  <c r="Q93" i="14"/>
  <c r="P93" i="14"/>
  <c r="D93" i="14"/>
  <c r="C93" i="14"/>
  <c r="B93" i="14"/>
  <c r="Z92" i="14"/>
  <c r="W92" i="14"/>
  <c r="U92" i="14"/>
  <c r="T92" i="14"/>
  <c r="S92" i="14"/>
  <c r="R92" i="14"/>
  <c r="Q92" i="14"/>
  <c r="P92" i="14"/>
  <c r="I92" i="14"/>
  <c r="D92" i="14"/>
  <c r="C92" i="14"/>
  <c r="B92" i="14"/>
  <c r="Z91" i="14"/>
  <c r="W91" i="14"/>
  <c r="U91" i="14"/>
  <c r="T91" i="14"/>
  <c r="S91" i="14"/>
  <c r="R91" i="14"/>
  <c r="Q91" i="14"/>
  <c r="P91" i="14"/>
  <c r="I91" i="14"/>
  <c r="D91" i="14"/>
  <c r="C91" i="14"/>
  <c r="B91" i="14"/>
  <c r="Z90" i="14"/>
  <c r="W90" i="14"/>
  <c r="U90" i="14"/>
  <c r="T90" i="14"/>
  <c r="S90" i="14"/>
  <c r="D90" i="14"/>
  <c r="C90" i="14"/>
  <c r="B90" i="14"/>
  <c r="Z89" i="14"/>
  <c r="W89" i="14"/>
  <c r="U89" i="14"/>
  <c r="T89" i="14"/>
  <c r="S89" i="14"/>
  <c r="I89" i="14"/>
  <c r="D89" i="14"/>
  <c r="C89" i="14"/>
  <c r="B89" i="14"/>
  <c r="Z88" i="14"/>
  <c r="W88" i="14"/>
  <c r="U88" i="14"/>
  <c r="T88" i="14"/>
  <c r="S88" i="14"/>
  <c r="I88" i="14"/>
  <c r="D88" i="14"/>
  <c r="C88" i="14"/>
  <c r="B88" i="14"/>
  <c r="Z87" i="14"/>
  <c r="W87" i="14"/>
  <c r="U87" i="14"/>
  <c r="T87" i="14"/>
  <c r="S87" i="14"/>
  <c r="I87" i="14"/>
  <c r="D87" i="14"/>
  <c r="C87" i="14"/>
  <c r="B87" i="14"/>
  <c r="Z86" i="14"/>
  <c r="W86" i="14"/>
  <c r="U86" i="14"/>
  <c r="T86" i="14"/>
  <c r="S86" i="14"/>
  <c r="I86" i="14"/>
  <c r="D86" i="14"/>
  <c r="C86" i="14"/>
  <c r="B86" i="14"/>
  <c r="Z85" i="14"/>
  <c r="W85" i="14"/>
  <c r="U85" i="14"/>
  <c r="T85" i="14"/>
  <c r="S85" i="14"/>
  <c r="I85" i="14"/>
  <c r="D85" i="14"/>
  <c r="C85" i="14"/>
  <c r="B85" i="14"/>
  <c r="Z84" i="14"/>
  <c r="W84" i="14"/>
  <c r="U84" i="14"/>
  <c r="T84" i="14"/>
  <c r="S84" i="14"/>
  <c r="I84" i="14"/>
  <c r="D84" i="14"/>
  <c r="C84" i="14"/>
  <c r="B84" i="14"/>
  <c r="Z83" i="14"/>
  <c r="W83" i="14"/>
  <c r="U83" i="14"/>
  <c r="T83" i="14"/>
  <c r="S83" i="14"/>
  <c r="I83" i="14"/>
  <c r="D83" i="14"/>
  <c r="C83" i="14"/>
  <c r="B83" i="14"/>
  <c r="Z82" i="14"/>
  <c r="W82" i="14"/>
  <c r="U82" i="14"/>
  <c r="T82" i="14"/>
  <c r="S82" i="14"/>
  <c r="I82" i="14"/>
  <c r="D82" i="14"/>
  <c r="C82" i="14"/>
  <c r="B82" i="14"/>
  <c r="Z81" i="14"/>
  <c r="W81" i="14"/>
  <c r="U81" i="14"/>
  <c r="T81" i="14"/>
  <c r="S81" i="14"/>
  <c r="I81" i="14"/>
  <c r="D81" i="14"/>
  <c r="C81" i="14"/>
  <c r="B81" i="14"/>
  <c r="Z80" i="14"/>
  <c r="W80" i="14"/>
  <c r="U80" i="14"/>
  <c r="T80" i="14"/>
  <c r="S80" i="14"/>
  <c r="D80" i="14"/>
  <c r="C80" i="14"/>
  <c r="B80" i="14"/>
  <c r="Z79" i="14"/>
  <c r="W79" i="14"/>
  <c r="U79" i="14"/>
  <c r="T79" i="14"/>
  <c r="S79" i="14"/>
  <c r="D79" i="14"/>
  <c r="C79" i="14"/>
  <c r="B79" i="14"/>
  <c r="Z78" i="14"/>
  <c r="W78" i="14"/>
  <c r="U78" i="14"/>
  <c r="T78" i="14"/>
  <c r="S78" i="14"/>
  <c r="D78" i="14"/>
  <c r="C78" i="14"/>
  <c r="B78" i="14"/>
  <c r="Z77" i="14"/>
  <c r="W77" i="14"/>
  <c r="U77" i="14"/>
  <c r="T77" i="14"/>
  <c r="S77" i="14"/>
  <c r="I77" i="14"/>
  <c r="D77" i="14"/>
  <c r="C77" i="14"/>
  <c r="B77" i="14"/>
  <c r="Z76" i="14"/>
  <c r="W76" i="14"/>
  <c r="U76" i="14"/>
  <c r="T76" i="14"/>
  <c r="S76" i="14"/>
  <c r="R76" i="14"/>
  <c r="Q76" i="14"/>
  <c r="P76" i="14"/>
  <c r="I76" i="14"/>
  <c r="D76" i="14"/>
  <c r="C76" i="14"/>
  <c r="B76" i="14"/>
  <c r="Z75" i="14"/>
  <c r="W75" i="14"/>
  <c r="U75" i="14"/>
  <c r="T75" i="14"/>
  <c r="S75" i="14"/>
  <c r="I75" i="14"/>
  <c r="D75" i="14"/>
  <c r="C75" i="14"/>
  <c r="B75" i="14"/>
  <c r="Z74" i="14"/>
  <c r="W74" i="14"/>
  <c r="U74" i="14"/>
  <c r="T74" i="14"/>
  <c r="S74" i="14"/>
  <c r="I74" i="14"/>
  <c r="D74" i="14"/>
  <c r="C74" i="14"/>
  <c r="B74" i="14"/>
  <c r="Z73" i="14"/>
  <c r="W73" i="14"/>
  <c r="U73" i="14"/>
  <c r="T73" i="14"/>
  <c r="S73" i="14"/>
  <c r="I73" i="14"/>
  <c r="D73" i="14"/>
  <c r="C73" i="14"/>
  <c r="B73" i="14"/>
  <c r="Z72" i="14"/>
  <c r="W72" i="14"/>
  <c r="U72" i="14"/>
  <c r="T72" i="14"/>
  <c r="S72" i="14"/>
  <c r="I72" i="14"/>
  <c r="D72" i="14"/>
  <c r="C72" i="14"/>
  <c r="B72" i="14"/>
  <c r="Z71" i="14"/>
  <c r="W71" i="14"/>
  <c r="U71" i="14"/>
  <c r="T71" i="14"/>
  <c r="S71" i="14"/>
  <c r="I71" i="14"/>
  <c r="D71" i="14"/>
  <c r="C71" i="14"/>
  <c r="B71" i="14"/>
  <c r="Z70" i="14"/>
  <c r="W70" i="14"/>
  <c r="U70" i="14"/>
  <c r="T70" i="14"/>
  <c r="S70" i="14"/>
  <c r="I70" i="14"/>
  <c r="D70" i="14"/>
  <c r="C70" i="14"/>
  <c r="B70" i="14"/>
  <c r="Z69" i="14"/>
  <c r="W69" i="14"/>
  <c r="U69" i="14"/>
  <c r="T69" i="14"/>
  <c r="S69" i="14"/>
  <c r="I69" i="14"/>
  <c r="D69" i="14"/>
  <c r="C69" i="14"/>
  <c r="B69" i="14"/>
  <c r="Z68" i="14"/>
  <c r="W68" i="14"/>
  <c r="U68" i="14"/>
  <c r="T68" i="14"/>
  <c r="S68" i="14"/>
  <c r="I68" i="14"/>
  <c r="D68" i="14"/>
  <c r="C68" i="14"/>
  <c r="B68" i="14"/>
  <c r="Z67" i="14"/>
  <c r="W67" i="14"/>
  <c r="U67" i="14"/>
  <c r="T67" i="14"/>
  <c r="S67" i="14"/>
  <c r="I67" i="14"/>
  <c r="D67" i="14"/>
  <c r="C67" i="14"/>
  <c r="B67" i="14"/>
  <c r="Z66" i="14"/>
  <c r="W66" i="14"/>
  <c r="U66" i="14"/>
  <c r="T66" i="14"/>
  <c r="S66" i="14"/>
  <c r="I66" i="14"/>
  <c r="D66" i="14"/>
  <c r="C66" i="14"/>
  <c r="B66" i="14"/>
  <c r="Z65" i="14"/>
  <c r="W65" i="14"/>
  <c r="U65" i="14"/>
  <c r="T65" i="14"/>
  <c r="S65" i="14"/>
  <c r="D65" i="14"/>
  <c r="C65" i="14"/>
  <c r="B65" i="14"/>
  <c r="Z64" i="14"/>
  <c r="W64" i="14"/>
  <c r="U64" i="14"/>
  <c r="T64" i="14"/>
  <c r="S64" i="14"/>
  <c r="R64" i="14"/>
  <c r="Q64" i="14"/>
  <c r="P64" i="14"/>
  <c r="I64" i="14"/>
  <c r="D64" i="14"/>
  <c r="C64" i="14"/>
  <c r="B64" i="14"/>
  <c r="Z63" i="14"/>
  <c r="W63" i="14"/>
  <c r="U63" i="14"/>
  <c r="T63" i="14"/>
  <c r="S63" i="14"/>
  <c r="I63" i="14"/>
  <c r="D63" i="14"/>
  <c r="C63" i="14"/>
  <c r="B63" i="14"/>
  <c r="Z62" i="14"/>
  <c r="W62" i="14"/>
  <c r="U62" i="14"/>
  <c r="T62" i="14"/>
  <c r="S62" i="14"/>
  <c r="I62" i="14"/>
  <c r="D62" i="14"/>
  <c r="C62" i="14"/>
  <c r="B62" i="14"/>
  <c r="Z61" i="14"/>
  <c r="W61" i="14"/>
  <c r="U61" i="14"/>
  <c r="T61" i="14"/>
  <c r="S61" i="14"/>
  <c r="R61" i="14"/>
  <c r="Q61" i="14"/>
  <c r="P61" i="14"/>
  <c r="I61" i="14"/>
  <c r="D61" i="14"/>
  <c r="C61" i="14"/>
  <c r="B61" i="14"/>
  <c r="Z60" i="14"/>
  <c r="W60" i="14"/>
  <c r="U60" i="14"/>
  <c r="T60" i="14"/>
  <c r="S60" i="14"/>
  <c r="I60" i="14"/>
  <c r="D60" i="14"/>
  <c r="C60" i="14"/>
  <c r="B60" i="14"/>
  <c r="Z59" i="14"/>
  <c r="W59" i="14"/>
  <c r="U59" i="14"/>
  <c r="T59" i="14"/>
  <c r="S59" i="14"/>
  <c r="I59" i="14"/>
  <c r="D59" i="14"/>
  <c r="C59" i="14"/>
  <c r="B59" i="14"/>
  <c r="Z58" i="14"/>
  <c r="W58" i="14"/>
  <c r="U58" i="14"/>
  <c r="T58" i="14"/>
  <c r="S58" i="14"/>
  <c r="I58" i="14"/>
  <c r="D58" i="14"/>
  <c r="C58" i="14"/>
  <c r="B58" i="14"/>
  <c r="Z57" i="14"/>
  <c r="W57" i="14"/>
  <c r="U57" i="14"/>
  <c r="T57" i="14"/>
  <c r="S57" i="14"/>
  <c r="I57" i="14"/>
  <c r="D57" i="14"/>
  <c r="C57" i="14"/>
  <c r="B57" i="14"/>
  <c r="Z56" i="14"/>
  <c r="W56" i="14"/>
  <c r="U56" i="14"/>
  <c r="T56" i="14"/>
  <c r="S56" i="14"/>
  <c r="I56" i="14"/>
  <c r="D56" i="14"/>
  <c r="C56" i="14"/>
  <c r="B56" i="14"/>
  <c r="Z55" i="14"/>
  <c r="W55" i="14"/>
  <c r="U55" i="14"/>
  <c r="T55" i="14"/>
  <c r="S55" i="14"/>
  <c r="I55" i="14"/>
  <c r="D55" i="14"/>
  <c r="C55" i="14"/>
  <c r="B55" i="14"/>
  <c r="Z54" i="14"/>
  <c r="W54" i="14"/>
  <c r="U54" i="14"/>
  <c r="T54" i="14"/>
  <c r="S54" i="14"/>
  <c r="I54" i="14"/>
  <c r="D54" i="14"/>
  <c r="C54" i="14"/>
  <c r="B54" i="14"/>
  <c r="Z53" i="14"/>
  <c r="W53" i="14"/>
  <c r="U53" i="14"/>
  <c r="T53" i="14"/>
  <c r="S53" i="14"/>
  <c r="I53" i="14"/>
  <c r="D53" i="14"/>
  <c r="C53" i="14"/>
  <c r="B53" i="14"/>
  <c r="Z52" i="14"/>
  <c r="W52" i="14"/>
  <c r="U52" i="14"/>
  <c r="T52" i="14"/>
  <c r="S52" i="14"/>
  <c r="I52" i="14"/>
  <c r="D52" i="14"/>
  <c r="C52" i="14"/>
  <c r="B52" i="14"/>
  <c r="Z51" i="14"/>
  <c r="W51" i="14"/>
  <c r="U51" i="14"/>
  <c r="T51" i="14"/>
  <c r="S51" i="14"/>
  <c r="I51" i="14"/>
  <c r="D51" i="14"/>
  <c r="C51" i="14"/>
  <c r="B51" i="14"/>
  <c r="Z50" i="14"/>
  <c r="W50" i="14"/>
  <c r="U50" i="14"/>
  <c r="T50" i="14"/>
  <c r="S50" i="14"/>
  <c r="I50" i="14"/>
  <c r="D50" i="14"/>
  <c r="C50" i="14"/>
  <c r="B50" i="14"/>
  <c r="Z49" i="14"/>
  <c r="W49" i="14"/>
  <c r="U49" i="14"/>
  <c r="T49" i="14"/>
  <c r="S49" i="14"/>
  <c r="I49" i="14"/>
  <c r="D49" i="14"/>
  <c r="C49" i="14"/>
  <c r="B49" i="14"/>
  <c r="Z48" i="14"/>
  <c r="W48" i="14"/>
  <c r="U48" i="14"/>
  <c r="T48" i="14"/>
  <c r="S48" i="14"/>
  <c r="R48" i="14"/>
  <c r="Q48" i="14"/>
  <c r="P48" i="14"/>
  <c r="I48" i="14"/>
  <c r="D48" i="14"/>
  <c r="C48" i="14"/>
  <c r="B48" i="14"/>
  <c r="Z47" i="14"/>
  <c r="W47" i="14"/>
  <c r="U47" i="14"/>
  <c r="T47" i="14"/>
  <c r="S47" i="14"/>
  <c r="R47" i="14"/>
  <c r="Q47" i="14"/>
  <c r="P47" i="14"/>
  <c r="I47" i="14"/>
  <c r="D47" i="14"/>
  <c r="C47" i="14"/>
  <c r="B47" i="14"/>
  <c r="Z46" i="14"/>
  <c r="W46" i="14"/>
  <c r="U46" i="14"/>
  <c r="T46" i="14"/>
  <c r="S46" i="14"/>
  <c r="R46" i="14"/>
  <c r="Q46" i="14"/>
  <c r="P46" i="14"/>
  <c r="I46" i="14"/>
  <c r="D46" i="14"/>
  <c r="C46" i="14"/>
  <c r="B46" i="14"/>
  <c r="Z45" i="14"/>
  <c r="W45" i="14"/>
  <c r="U45" i="14"/>
  <c r="T45" i="14"/>
  <c r="S45" i="14"/>
  <c r="I45" i="14"/>
  <c r="D45" i="14"/>
  <c r="C45" i="14"/>
  <c r="B45" i="14"/>
  <c r="Z44" i="14"/>
  <c r="W44" i="14"/>
  <c r="U44" i="14"/>
  <c r="T44" i="14"/>
  <c r="S44" i="14"/>
  <c r="I44" i="14"/>
  <c r="D44" i="14"/>
  <c r="C44" i="14"/>
  <c r="B44" i="14"/>
  <c r="Z43" i="14"/>
  <c r="W43" i="14"/>
  <c r="U43" i="14"/>
  <c r="T43" i="14"/>
  <c r="S43" i="14"/>
  <c r="I43" i="14"/>
  <c r="D43" i="14"/>
  <c r="C43" i="14"/>
  <c r="B43" i="14"/>
  <c r="Z42" i="14"/>
  <c r="W42" i="14"/>
  <c r="U42" i="14"/>
  <c r="T42" i="14"/>
  <c r="S42" i="14"/>
  <c r="I42" i="14"/>
  <c r="D42" i="14"/>
  <c r="C42" i="14"/>
  <c r="B42" i="14"/>
  <c r="Z41" i="14"/>
  <c r="W41" i="14"/>
  <c r="U41" i="14"/>
  <c r="T41" i="14"/>
  <c r="S41" i="14"/>
  <c r="I41" i="14"/>
  <c r="D41" i="14"/>
  <c r="C41" i="14"/>
  <c r="B41" i="14"/>
  <c r="Z40" i="14"/>
  <c r="W40" i="14"/>
  <c r="U40" i="14"/>
  <c r="T40" i="14"/>
  <c r="S40" i="14"/>
  <c r="I40" i="14"/>
  <c r="D40" i="14"/>
  <c r="C40" i="14"/>
  <c r="B40" i="14"/>
  <c r="Z39" i="14"/>
  <c r="W39" i="14"/>
  <c r="U39" i="14"/>
  <c r="T39" i="14"/>
  <c r="S39" i="14"/>
  <c r="I39" i="14"/>
  <c r="D39" i="14"/>
  <c r="C39" i="14"/>
  <c r="B39" i="14"/>
  <c r="Z38" i="14"/>
  <c r="W38" i="14"/>
  <c r="U38" i="14"/>
  <c r="T38" i="14"/>
  <c r="S38" i="14"/>
  <c r="I38" i="14"/>
  <c r="D38" i="14"/>
  <c r="C38" i="14"/>
  <c r="B38" i="14"/>
  <c r="Z37" i="14"/>
  <c r="W37" i="14"/>
  <c r="U37" i="14"/>
  <c r="T37" i="14"/>
  <c r="S37" i="14"/>
  <c r="I37" i="14"/>
  <c r="D37" i="14"/>
  <c r="C37" i="14"/>
  <c r="B37" i="14"/>
  <c r="Z36" i="14"/>
  <c r="W36" i="14"/>
  <c r="U36" i="14"/>
  <c r="T36" i="14"/>
  <c r="S36" i="14"/>
  <c r="I36" i="14"/>
  <c r="D36" i="14"/>
  <c r="C36" i="14"/>
  <c r="B36" i="14"/>
  <c r="Z35" i="14"/>
  <c r="W35" i="14"/>
  <c r="U35" i="14"/>
  <c r="T35" i="14"/>
  <c r="S35" i="14"/>
  <c r="I35" i="14"/>
  <c r="D35" i="14"/>
  <c r="C35" i="14"/>
  <c r="B35" i="14"/>
  <c r="Z34" i="14"/>
  <c r="W34" i="14"/>
  <c r="U34" i="14"/>
  <c r="T34" i="14"/>
  <c r="S34" i="14"/>
  <c r="I34" i="14"/>
  <c r="D34" i="14"/>
  <c r="C34" i="14"/>
  <c r="B34" i="14"/>
  <c r="Z33" i="14"/>
  <c r="W33" i="14"/>
  <c r="U33" i="14"/>
  <c r="T33" i="14"/>
  <c r="S33" i="14"/>
  <c r="I33" i="14"/>
  <c r="D33" i="14"/>
  <c r="C33" i="14"/>
  <c r="B33" i="14"/>
  <c r="Z32" i="14"/>
  <c r="W32" i="14"/>
  <c r="U32" i="14"/>
  <c r="T32" i="14"/>
  <c r="S32" i="14"/>
  <c r="I32" i="14"/>
  <c r="D32" i="14"/>
  <c r="C32" i="14"/>
  <c r="B32" i="14"/>
  <c r="Z31" i="14"/>
  <c r="W31" i="14"/>
  <c r="U31" i="14"/>
  <c r="T31" i="14"/>
  <c r="S31" i="14"/>
  <c r="R31" i="14"/>
  <c r="Q31" i="14"/>
  <c r="P31" i="14"/>
  <c r="I31" i="14"/>
  <c r="D31" i="14"/>
  <c r="C31" i="14"/>
  <c r="B31" i="14"/>
  <c r="Z30" i="14"/>
  <c r="W30" i="14"/>
  <c r="U30" i="14"/>
  <c r="T30" i="14"/>
  <c r="S30" i="14"/>
  <c r="I30" i="14"/>
  <c r="D30" i="14"/>
  <c r="C30" i="14"/>
  <c r="B30" i="14"/>
  <c r="Z29" i="14"/>
  <c r="W29" i="14"/>
  <c r="U29" i="14"/>
  <c r="T29" i="14"/>
  <c r="S29" i="14"/>
  <c r="I29" i="14"/>
  <c r="D29" i="14"/>
  <c r="C29" i="14"/>
  <c r="B29" i="14"/>
  <c r="Z28" i="14"/>
  <c r="W28" i="14"/>
  <c r="U28" i="14"/>
  <c r="T28" i="14"/>
  <c r="S28" i="14"/>
  <c r="I28" i="14"/>
  <c r="D28" i="14"/>
  <c r="C28" i="14"/>
  <c r="B28" i="14"/>
  <c r="Z27" i="14"/>
  <c r="W27" i="14"/>
  <c r="U27" i="14"/>
  <c r="T27" i="14"/>
  <c r="S27" i="14"/>
  <c r="I27" i="14"/>
  <c r="D27" i="14"/>
  <c r="C27" i="14"/>
  <c r="B27" i="14"/>
  <c r="Z26" i="14"/>
  <c r="W26" i="14"/>
  <c r="U26" i="14"/>
  <c r="T26" i="14"/>
  <c r="S26" i="14"/>
  <c r="I26" i="14"/>
  <c r="D26" i="14"/>
  <c r="C26" i="14"/>
  <c r="B26" i="14"/>
  <c r="Z25" i="14"/>
  <c r="W25" i="14"/>
  <c r="U25" i="14"/>
  <c r="T25" i="14"/>
  <c r="S25" i="14"/>
  <c r="I25" i="14"/>
  <c r="D25" i="14"/>
  <c r="C25" i="14"/>
  <c r="B25" i="14"/>
  <c r="Z24" i="14"/>
  <c r="W24" i="14"/>
  <c r="U24" i="14"/>
  <c r="T24" i="14"/>
  <c r="S24" i="14"/>
  <c r="I24" i="14"/>
  <c r="D24" i="14"/>
  <c r="C24" i="14"/>
  <c r="B24" i="14"/>
  <c r="Z23" i="14"/>
  <c r="W23" i="14"/>
  <c r="U23" i="14"/>
  <c r="T23" i="14"/>
  <c r="S23" i="14"/>
  <c r="I23" i="14"/>
  <c r="D23" i="14"/>
  <c r="C23" i="14"/>
  <c r="B23" i="14"/>
  <c r="Z22" i="14"/>
  <c r="W22" i="14"/>
  <c r="U22" i="14"/>
  <c r="T22" i="14"/>
  <c r="S22" i="14"/>
  <c r="I22" i="14"/>
  <c r="D22" i="14"/>
  <c r="C22" i="14"/>
  <c r="B22" i="14"/>
  <c r="Z21" i="14"/>
  <c r="W21" i="14"/>
  <c r="U21" i="14"/>
  <c r="T21" i="14"/>
  <c r="S21" i="14"/>
  <c r="I21" i="14"/>
  <c r="D21" i="14"/>
  <c r="C21" i="14"/>
  <c r="B21" i="14"/>
  <c r="Z20" i="14"/>
  <c r="W20" i="14"/>
  <c r="U20" i="14"/>
  <c r="T20" i="14"/>
  <c r="S20" i="14"/>
  <c r="I20" i="14"/>
  <c r="D20" i="14"/>
  <c r="C20" i="14"/>
  <c r="B20" i="14"/>
  <c r="Z19" i="14"/>
  <c r="W19" i="14"/>
  <c r="U19" i="14"/>
  <c r="T19" i="14"/>
  <c r="S19" i="14"/>
  <c r="I19" i="14"/>
  <c r="D19" i="14"/>
  <c r="C19" i="14"/>
  <c r="B19" i="14"/>
  <c r="Z18" i="14"/>
  <c r="U18" i="14"/>
  <c r="I18" i="14"/>
  <c r="D18" i="14"/>
  <c r="C18" i="14"/>
  <c r="B18" i="14"/>
  <c r="Z17" i="14"/>
  <c r="U17" i="14"/>
  <c r="I17" i="14"/>
  <c r="D17" i="14"/>
  <c r="C17" i="14"/>
  <c r="B17" i="14"/>
  <c r="Z16" i="14"/>
  <c r="W16" i="14"/>
  <c r="U16" i="14"/>
  <c r="T16" i="14"/>
  <c r="S16" i="14"/>
  <c r="R16" i="14"/>
  <c r="Q16" i="14"/>
  <c r="P16" i="14"/>
  <c r="I16" i="14"/>
  <c r="D16" i="14"/>
  <c r="C16" i="14"/>
  <c r="B16" i="14"/>
  <c r="Z15" i="14"/>
  <c r="W15" i="14"/>
  <c r="U15" i="14"/>
  <c r="T15" i="14"/>
  <c r="S15" i="14"/>
  <c r="I15" i="14"/>
  <c r="D15" i="14"/>
  <c r="C15" i="14"/>
  <c r="B15" i="14"/>
  <c r="Z14" i="14"/>
  <c r="W14" i="14"/>
  <c r="U14" i="14"/>
  <c r="T14" i="14"/>
  <c r="S14" i="14"/>
  <c r="I14" i="14"/>
  <c r="D14" i="14"/>
  <c r="C14" i="14"/>
  <c r="B14" i="14"/>
  <c r="Z13" i="14"/>
  <c r="W13" i="14"/>
  <c r="U13" i="14"/>
  <c r="T13" i="14"/>
  <c r="S13" i="14"/>
  <c r="I13" i="14"/>
  <c r="D13" i="14"/>
  <c r="C13" i="14"/>
  <c r="B13" i="14"/>
  <c r="Z12" i="14"/>
  <c r="W12" i="14"/>
  <c r="U12" i="14"/>
  <c r="T12" i="14"/>
  <c r="S12" i="14"/>
  <c r="I12" i="14"/>
  <c r="D12" i="14"/>
  <c r="C12" i="14"/>
  <c r="B12" i="14"/>
  <c r="Z11" i="14"/>
  <c r="W11" i="14"/>
  <c r="U11" i="14"/>
  <c r="T11" i="14"/>
  <c r="S11" i="14"/>
  <c r="I11" i="14"/>
  <c r="D11" i="14"/>
  <c r="C11" i="14"/>
  <c r="B11" i="14"/>
  <c r="Z10" i="14"/>
  <c r="W10" i="14"/>
  <c r="U10" i="14"/>
  <c r="T10" i="14"/>
  <c r="S10" i="14"/>
  <c r="I10" i="14"/>
  <c r="D10" i="14"/>
  <c r="C10" i="14"/>
  <c r="B10" i="14"/>
  <c r="Z9" i="14"/>
  <c r="W9" i="14"/>
  <c r="U9" i="14"/>
  <c r="T9" i="14"/>
  <c r="S9" i="14"/>
  <c r="I9" i="14"/>
  <c r="D9" i="14"/>
  <c r="C9" i="14"/>
  <c r="B9" i="14"/>
  <c r="Z8" i="14"/>
  <c r="W8" i="14"/>
  <c r="U8" i="14"/>
  <c r="T8" i="14"/>
  <c r="S8" i="14"/>
  <c r="I8" i="14"/>
  <c r="D8" i="14"/>
  <c r="C8" i="14"/>
  <c r="B8" i="14"/>
  <c r="Z7" i="14"/>
  <c r="W7" i="14"/>
  <c r="U7" i="14"/>
  <c r="T7" i="14"/>
  <c r="S7" i="14"/>
  <c r="I7" i="14"/>
  <c r="D7" i="14"/>
  <c r="C7" i="14"/>
  <c r="B7" i="14"/>
  <c r="Z6" i="14"/>
  <c r="W6" i="14"/>
  <c r="U6" i="14"/>
  <c r="T6" i="14"/>
  <c r="S6" i="14"/>
  <c r="I6" i="14"/>
  <c r="D6" i="14"/>
  <c r="C6" i="14"/>
  <c r="B6" i="14"/>
  <c r="Z5" i="14"/>
  <c r="W5" i="14"/>
  <c r="U5" i="14"/>
  <c r="T5" i="14"/>
  <c r="S5" i="14"/>
  <c r="I5" i="14"/>
  <c r="D5" i="14"/>
  <c r="C5" i="14"/>
  <c r="B5" i="14"/>
  <c r="Z4" i="14"/>
  <c r="W4" i="14"/>
  <c r="U4" i="14"/>
  <c r="T4" i="14"/>
  <c r="S4" i="14"/>
  <c r="I4" i="14"/>
  <c r="D4" i="14"/>
  <c r="C4" i="14"/>
  <c r="B4" i="14"/>
  <c r="B305" i="13"/>
  <c r="B304" i="13"/>
  <c r="AA283" i="13"/>
  <c r="Z283" i="13"/>
  <c r="Y283" i="13"/>
  <c r="X283" i="13"/>
  <c r="W283" i="13"/>
  <c r="V283" i="13"/>
  <c r="U283" i="13"/>
  <c r="T283" i="13"/>
  <c r="S283" i="13"/>
  <c r="R283" i="13"/>
  <c r="Q283" i="13"/>
  <c r="P283" i="13"/>
  <c r="AA282" i="13"/>
  <c r="Z282" i="13"/>
  <c r="Y282" i="13"/>
  <c r="X282" i="13"/>
  <c r="W282" i="13"/>
  <c r="V282" i="13"/>
  <c r="U282" i="13"/>
  <c r="T282" i="13"/>
  <c r="S282" i="13"/>
  <c r="R282" i="13"/>
  <c r="Q282" i="13"/>
  <c r="P282" i="13"/>
  <c r="AA281" i="13"/>
  <c r="Z281" i="13"/>
  <c r="Y281" i="13"/>
  <c r="X281" i="13"/>
  <c r="W281" i="13"/>
  <c r="V281" i="13"/>
  <c r="U281" i="13"/>
  <c r="T281" i="13"/>
  <c r="S281" i="13"/>
  <c r="R281" i="13"/>
  <c r="Q281" i="13"/>
  <c r="P281" i="13"/>
  <c r="AA278" i="13"/>
  <c r="Z278" i="13"/>
  <c r="Y278" i="13"/>
  <c r="X278" i="13"/>
  <c r="W278" i="13"/>
  <c r="V278" i="13"/>
  <c r="U278" i="13"/>
  <c r="T278" i="13"/>
  <c r="S278" i="13"/>
  <c r="R278" i="13"/>
  <c r="Q278" i="13"/>
  <c r="P278" i="13"/>
  <c r="AA277" i="13"/>
  <c r="Z277" i="13"/>
  <c r="Y277" i="13"/>
  <c r="X277" i="13"/>
  <c r="W277" i="13"/>
  <c r="V277" i="13"/>
  <c r="U277" i="13"/>
  <c r="T277" i="13"/>
  <c r="S277" i="13"/>
  <c r="R277" i="13"/>
  <c r="Q277" i="13"/>
  <c r="P277" i="13"/>
  <c r="AA276" i="13"/>
  <c r="Z276" i="13"/>
  <c r="Y276" i="13"/>
  <c r="X276" i="13"/>
  <c r="W276" i="13"/>
  <c r="V276" i="13"/>
  <c r="U276" i="13"/>
  <c r="T276" i="13"/>
  <c r="S276" i="13"/>
  <c r="R276" i="13"/>
  <c r="Q276" i="13"/>
  <c r="P276" i="13"/>
  <c r="AA273" i="13"/>
  <c r="Z273" i="13"/>
  <c r="Y273" i="13"/>
  <c r="X273" i="13"/>
  <c r="W273" i="13"/>
  <c r="V273" i="13"/>
  <c r="U273" i="13"/>
  <c r="T273" i="13"/>
  <c r="S273" i="13"/>
  <c r="R273" i="13"/>
  <c r="Q273" i="13"/>
  <c r="P273" i="13"/>
  <c r="AA272" i="13"/>
  <c r="Z272" i="13"/>
  <c r="Y272" i="13"/>
  <c r="X272" i="13"/>
  <c r="W272" i="13"/>
  <c r="V272" i="13"/>
  <c r="U272" i="13"/>
  <c r="T272" i="13"/>
  <c r="S272" i="13"/>
  <c r="R272" i="13"/>
  <c r="Q272" i="13"/>
  <c r="P272" i="13"/>
  <c r="AA271" i="13"/>
  <c r="Z271" i="13"/>
  <c r="Y271" i="13"/>
  <c r="X271" i="13"/>
  <c r="W271" i="13"/>
  <c r="V271" i="13"/>
  <c r="U271" i="13"/>
  <c r="T271" i="13"/>
  <c r="S271" i="13"/>
  <c r="R271" i="13"/>
  <c r="Q271" i="13"/>
  <c r="P271" i="13"/>
  <c r="P266" i="13"/>
  <c r="P265" i="13"/>
  <c r="P264" i="13"/>
  <c r="P262" i="13"/>
  <c r="C244" i="13"/>
  <c r="A244" i="13"/>
  <c r="BA218" i="13"/>
  <c r="BA217" i="13"/>
  <c r="N216" i="13"/>
  <c r="P206" i="13"/>
  <c r="P205" i="13"/>
  <c r="P204" i="13"/>
  <c r="P203" i="13"/>
  <c r="P202" i="13"/>
  <c r="P201" i="13"/>
  <c r="P287" i="13" s="1"/>
  <c r="BA182" i="13"/>
  <c r="AZ182" i="13"/>
  <c r="AY182" i="13"/>
  <c r="AX182" i="13"/>
  <c r="AW182" i="13"/>
  <c r="AV182" i="13"/>
  <c r="AU182" i="13"/>
  <c r="AT182" i="13"/>
  <c r="AS182" i="13"/>
  <c r="AR182" i="13"/>
  <c r="AQ182" i="13"/>
  <c r="AP182" i="13"/>
  <c r="AO182" i="13"/>
  <c r="AN182" i="13"/>
  <c r="AM182" i="13"/>
  <c r="AL182" i="13"/>
  <c r="AK182" i="13"/>
  <c r="AJ182" i="13"/>
  <c r="AI182" i="13"/>
  <c r="AH182" i="13"/>
  <c r="AG182" i="13"/>
  <c r="AF182" i="13"/>
  <c r="AE182" i="13"/>
  <c r="AD182" i="13"/>
  <c r="AC182" i="13"/>
  <c r="AB182" i="13"/>
  <c r="AA182" i="13"/>
  <c r="AA266" i="13" s="1"/>
  <c r="Z182" i="13"/>
  <c r="Z266" i="13" s="1"/>
  <c r="Y182" i="13"/>
  <c r="Y266" i="13" s="1"/>
  <c r="X182" i="13"/>
  <c r="X266" i="13" s="1"/>
  <c r="W182" i="13"/>
  <c r="W266" i="13" s="1"/>
  <c r="V182" i="13"/>
  <c r="V266" i="13" s="1"/>
  <c r="U182" i="13"/>
  <c r="U266" i="13" s="1"/>
  <c r="T182" i="13"/>
  <c r="T266" i="13" s="1"/>
  <c r="S182" i="13"/>
  <c r="S266" i="13" s="1"/>
  <c r="R182" i="13"/>
  <c r="R266" i="13" s="1"/>
  <c r="Q182" i="13"/>
  <c r="Q266" i="13" s="1"/>
  <c r="BA181" i="13"/>
  <c r="AZ181" i="13"/>
  <c r="AY181" i="13"/>
  <c r="AX181" i="13"/>
  <c r="AW181" i="13"/>
  <c r="AV181" i="13"/>
  <c r="AU181" i="13"/>
  <c r="AT181" i="13"/>
  <c r="AS181" i="13"/>
  <c r="AR181" i="13"/>
  <c r="AQ181" i="13"/>
  <c r="AP181" i="13"/>
  <c r="AO181" i="13"/>
  <c r="AN181" i="13"/>
  <c r="AM181" i="13"/>
  <c r="AL181" i="13"/>
  <c r="AK181" i="13"/>
  <c r="AJ181" i="13"/>
  <c r="AI181" i="13"/>
  <c r="AH181" i="13"/>
  <c r="AG181" i="13"/>
  <c r="AF181" i="13"/>
  <c r="AE181" i="13"/>
  <c r="AD181" i="13"/>
  <c r="AC181" i="13"/>
  <c r="AB181" i="13"/>
  <c r="AA181" i="13"/>
  <c r="AA265" i="13" s="1"/>
  <c r="Z181" i="13"/>
  <c r="Z265" i="13" s="1"/>
  <c r="Y181" i="13"/>
  <c r="Y265" i="13" s="1"/>
  <c r="X181" i="13"/>
  <c r="X265" i="13" s="1"/>
  <c r="W181" i="13"/>
  <c r="W265" i="13" s="1"/>
  <c r="V181" i="13"/>
  <c r="V265" i="13" s="1"/>
  <c r="U181" i="13"/>
  <c r="U265" i="13" s="1"/>
  <c r="T181" i="13"/>
  <c r="T265" i="13" s="1"/>
  <c r="S181" i="13"/>
  <c r="S265" i="13" s="1"/>
  <c r="R181" i="13"/>
  <c r="R265" i="13" s="1"/>
  <c r="Q181" i="13"/>
  <c r="Q265" i="13" s="1"/>
  <c r="BA180" i="13"/>
  <c r="AZ180" i="13"/>
  <c r="AY180" i="13"/>
  <c r="AX180" i="13"/>
  <c r="AW180" i="13"/>
  <c r="AV180" i="13"/>
  <c r="AU180" i="13"/>
  <c r="AT180" i="13"/>
  <c r="AS180" i="13"/>
  <c r="AR180" i="13"/>
  <c r="AQ180" i="13"/>
  <c r="AP180" i="13"/>
  <c r="AO180" i="13"/>
  <c r="AN180" i="13"/>
  <c r="AM180" i="13"/>
  <c r="AL180" i="13"/>
  <c r="AK180" i="13"/>
  <c r="AJ180" i="13"/>
  <c r="AI180" i="13"/>
  <c r="AH180" i="13"/>
  <c r="AG180" i="13"/>
  <c r="AF180" i="13"/>
  <c r="AE180" i="13"/>
  <c r="AD180" i="13"/>
  <c r="AC180" i="13"/>
  <c r="AB180" i="13"/>
  <c r="AA180" i="13"/>
  <c r="AA264" i="13" s="1"/>
  <c r="Z180" i="13"/>
  <c r="Z264" i="13" s="1"/>
  <c r="Y180" i="13"/>
  <c r="Y264" i="13" s="1"/>
  <c r="X180" i="13"/>
  <c r="X264" i="13" s="1"/>
  <c r="W180" i="13"/>
  <c r="W264" i="13" s="1"/>
  <c r="V180" i="13"/>
  <c r="V264" i="13" s="1"/>
  <c r="U180" i="13"/>
  <c r="U264" i="13" s="1"/>
  <c r="T180" i="13"/>
  <c r="T264" i="13" s="1"/>
  <c r="S180" i="13"/>
  <c r="S264" i="13" s="1"/>
  <c r="R180" i="13"/>
  <c r="R264" i="13" s="1"/>
  <c r="Q180" i="13"/>
  <c r="Q264" i="13" s="1"/>
  <c r="P179" i="13"/>
  <c r="O179" i="13"/>
  <c r="BA178" i="13"/>
  <c r="AZ178" i="13"/>
  <c r="AY178" i="13"/>
  <c r="AX178" i="13"/>
  <c r="AW178" i="13"/>
  <c r="AV178" i="13"/>
  <c r="AU178" i="13"/>
  <c r="AT178" i="13"/>
  <c r="AS178" i="13"/>
  <c r="AR178" i="13"/>
  <c r="AQ178" i="13"/>
  <c r="AP178" i="13"/>
  <c r="AO178" i="13"/>
  <c r="AN178" i="13"/>
  <c r="AM178" i="13"/>
  <c r="AL178" i="13"/>
  <c r="AK178" i="13"/>
  <c r="AJ178" i="13"/>
  <c r="AI178" i="13"/>
  <c r="AH178" i="13"/>
  <c r="AG178" i="13"/>
  <c r="AF178" i="13"/>
  <c r="AE178" i="13"/>
  <c r="AD178" i="13"/>
  <c r="AC178" i="13"/>
  <c r="AB178" i="13"/>
  <c r="AA178" i="13"/>
  <c r="AA262" i="13" s="1"/>
  <c r="Z178" i="13"/>
  <c r="Z262" i="13" s="1"/>
  <c r="Y178" i="13"/>
  <c r="Y262" i="13" s="1"/>
  <c r="X178" i="13"/>
  <c r="X262" i="13" s="1"/>
  <c r="W178" i="13"/>
  <c r="W262" i="13" s="1"/>
  <c r="V178" i="13"/>
  <c r="V262" i="13" s="1"/>
  <c r="U178" i="13"/>
  <c r="U262" i="13" s="1"/>
  <c r="T178" i="13"/>
  <c r="T262" i="13" s="1"/>
  <c r="S178" i="13"/>
  <c r="S262" i="13" s="1"/>
  <c r="R178" i="13"/>
  <c r="R262" i="13" s="1"/>
  <c r="Q178" i="13"/>
  <c r="Q262" i="13" s="1"/>
  <c r="O175" i="13"/>
  <c r="O174" i="13"/>
  <c r="O173" i="13"/>
  <c r="O172" i="13"/>
  <c r="O171" i="13"/>
  <c r="O170" i="13"/>
  <c r="AY149" i="13"/>
  <c r="AX149" i="13"/>
  <c r="AW149" i="13"/>
  <c r="AV149" i="13"/>
  <c r="AU149" i="13"/>
  <c r="AT149" i="13"/>
  <c r="AS149" i="13"/>
  <c r="AR149" i="13"/>
  <c r="AQ149" i="13"/>
  <c r="AP149" i="13"/>
  <c r="AO149" i="13"/>
  <c r="AN149" i="13"/>
  <c r="AM149" i="13"/>
  <c r="AL149" i="13"/>
  <c r="AK149" i="13"/>
  <c r="AJ149" i="13"/>
  <c r="AI149" i="13"/>
  <c r="AH149" i="13"/>
  <c r="AG149" i="13"/>
  <c r="AF149" i="13"/>
  <c r="AE149" i="13"/>
  <c r="AD149" i="13"/>
  <c r="AC149" i="13"/>
  <c r="AB149" i="13"/>
  <c r="AA149" i="13"/>
  <c r="Z149" i="13"/>
  <c r="Y149" i="13"/>
  <c r="X149" i="13"/>
  <c r="W149" i="13"/>
  <c r="V149" i="13"/>
  <c r="U149" i="13"/>
  <c r="T149" i="13"/>
  <c r="S149" i="13"/>
  <c r="R149" i="13"/>
  <c r="Q149" i="13"/>
  <c r="P149" i="13"/>
  <c r="O149" i="13"/>
  <c r="P175" i="13" s="1"/>
  <c r="BA138" i="13"/>
  <c r="AZ138" i="13"/>
  <c r="AY138" i="13"/>
  <c r="AX138" i="13"/>
  <c r="AW138" i="13"/>
  <c r="AV138" i="13"/>
  <c r="AU138" i="13"/>
  <c r="AT138" i="13"/>
  <c r="AS138" i="13"/>
  <c r="AR138" i="13"/>
  <c r="AQ138" i="13"/>
  <c r="AP138" i="13"/>
  <c r="AO138" i="13"/>
  <c r="AN138" i="13"/>
  <c r="AM138" i="13"/>
  <c r="AL138" i="13"/>
  <c r="AK138" i="13"/>
  <c r="AJ138" i="13"/>
  <c r="AI138" i="13"/>
  <c r="AH138" i="13"/>
  <c r="AG138" i="13"/>
  <c r="AF138" i="13"/>
  <c r="AE138" i="13"/>
  <c r="AD138" i="13"/>
  <c r="AC138" i="13"/>
  <c r="AB138" i="13"/>
  <c r="AA138" i="13"/>
  <c r="Z138" i="13"/>
  <c r="Y138" i="13"/>
  <c r="X138" i="13"/>
  <c r="W138" i="13"/>
  <c r="V138" i="13"/>
  <c r="U138" i="13"/>
  <c r="T138" i="13"/>
  <c r="S138" i="13"/>
  <c r="R138" i="13"/>
  <c r="BA134" i="13"/>
  <c r="AZ134" i="13"/>
  <c r="AY134" i="13"/>
  <c r="B133" i="13"/>
  <c r="AK131" i="13"/>
  <c r="S131" i="13"/>
  <c r="BA127" i="13"/>
  <c r="AZ127" i="13"/>
  <c r="AY127" i="13"/>
  <c r="AX127" i="13"/>
  <c r="AW127" i="13"/>
  <c r="AV127" i="13"/>
  <c r="AU127" i="13"/>
  <c r="AT127" i="13"/>
  <c r="AS127" i="13"/>
  <c r="AR127" i="13"/>
  <c r="AQ127" i="13"/>
  <c r="AP127" i="13"/>
  <c r="AO127" i="13"/>
  <c r="AN127" i="13"/>
  <c r="AM127" i="13"/>
  <c r="AL127" i="13"/>
  <c r="AK127" i="13"/>
  <c r="AJ127" i="13"/>
  <c r="AI127" i="13"/>
  <c r="AH127" i="13"/>
  <c r="AG127" i="13"/>
  <c r="AF127" i="13"/>
  <c r="AE127" i="13"/>
  <c r="AD127" i="13"/>
  <c r="AC127" i="13"/>
  <c r="AB127" i="13"/>
  <c r="AA127" i="13"/>
  <c r="Z127" i="13"/>
  <c r="Y127" i="13"/>
  <c r="X127" i="13"/>
  <c r="W127" i="13"/>
  <c r="V127" i="13"/>
  <c r="U127" i="13"/>
  <c r="T127" i="13"/>
  <c r="S127" i="13"/>
  <c r="R127" i="13"/>
  <c r="Q127" i="13"/>
  <c r="P127" i="13"/>
  <c r="W126" i="13"/>
  <c r="V126" i="13"/>
  <c r="U126" i="13"/>
  <c r="T126" i="13"/>
  <c r="S126" i="13"/>
  <c r="R126" i="13"/>
  <c r="Q126" i="13"/>
  <c r="P126" i="13"/>
  <c r="Y114" i="13"/>
  <c r="AI114" i="13" s="1"/>
  <c r="AS114" i="13" s="1"/>
  <c r="X114" i="13"/>
  <c r="AH114" i="13" s="1"/>
  <c r="AR114" i="13" s="1"/>
  <c r="W114" i="13"/>
  <c r="AG114" i="13" s="1"/>
  <c r="AQ114" i="13" s="1"/>
  <c r="BA114" i="13" s="1"/>
  <c r="V114" i="13"/>
  <c r="AF114" i="13" s="1"/>
  <c r="AP114" i="13" s="1"/>
  <c r="AZ114" i="13" s="1"/>
  <c r="U114" i="13"/>
  <c r="AE114" i="13" s="1"/>
  <c r="AO114" i="13" s="1"/>
  <c r="AY114" i="13" s="1"/>
  <c r="T114" i="13"/>
  <c r="AD114" i="13" s="1"/>
  <c r="AN114" i="13" s="1"/>
  <c r="AX114" i="13" s="1"/>
  <c r="S114" i="13"/>
  <c r="AC114" i="13" s="1"/>
  <c r="AM114" i="13" s="1"/>
  <c r="AW114" i="13" s="1"/>
  <c r="R114" i="13"/>
  <c r="AB114" i="13" s="1"/>
  <c r="AL114" i="13" s="1"/>
  <c r="AV114" i="13" s="1"/>
  <c r="Q114" i="13"/>
  <c r="AA114" i="13" s="1"/>
  <c r="AK114" i="13" s="1"/>
  <c r="AU114" i="13" s="1"/>
  <c r="P114" i="13"/>
  <c r="Z114" i="13" s="1"/>
  <c r="AJ114" i="13" s="1"/>
  <c r="AT114" i="13" s="1"/>
  <c r="O114" i="13"/>
  <c r="Y112" i="13"/>
  <c r="AI112" i="13" s="1"/>
  <c r="AS112" i="13" s="1"/>
  <c r="X112" i="13"/>
  <c r="AH112" i="13" s="1"/>
  <c r="AR112" i="13" s="1"/>
  <c r="W112" i="13"/>
  <c r="AG112" i="13" s="1"/>
  <c r="AQ112" i="13" s="1"/>
  <c r="BA112" i="13" s="1"/>
  <c r="V112" i="13"/>
  <c r="AF112" i="13" s="1"/>
  <c r="AP112" i="13" s="1"/>
  <c r="AZ112" i="13" s="1"/>
  <c r="U112" i="13"/>
  <c r="AE112" i="13" s="1"/>
  <c r="AO112" i="13" s="1"/>
  <c r="AY112" i="13" s="1"/>
  <c r="T112" i="13"/>
  <c r="AD112" i="13" s="1"/>
  <c r="AN112" i="13" s="1"/>
  <c r="AX112" i="13" s="1"/>
  <c r="S112" i="13"/>
  <c r="AC112" i="13" s="1"/>
  <c r="AM112" i="13" s="1"/>
  <c r="AW112" i="13" s="1"/>
  <c r="R112" i="13"/>
  <c r="AB112" i="13" s="1"/>
  <c r="AL112" i="13" s="1"/>
  <c r="AV112" i="13" s="1"/>
  <c r="Q112" i="13"/>
  <c r="AA112" i="13" s="1"/>
  <c r="AK112" i="13" s="1"/>
  <c r="AU112" i="13" s="1"/>
  <c r="P112" i="13"/>
  <c r="Z112" i="13" s="1"/>
  <c r="AJ112" i="13" s="1"/>
  <c r="AT112" i="13" s="1"/>
  <c r="O112" i="13"/>
  <c r="Y111" i="13"/>
  <c r="X111" i="13"/>
  <c r="W111" i="13"/>
  <c r="V111" i="13"/>
  <c r="U111" i="13"/>
  <c r="T111" i="13"/>
  <c r="S111" i="13"/>
  <c r="R111" i="13"/>
  <c r="Q111" i="13"/>
  <c r="P111" i="13"/>
  <c r="N104" i="13" a="1"/>
  <c r="M104" i="13" a="1"/>
  <c r="N103" i="13" a="1"/>
  <c r="M103" i="13" a="1"/>
  <c r="AM93" i="13"/>
  <c r="AY93" i="13" s="1"/>
  <c r="AL93" i="13"/>
  <c r="AX93" i="13" s="1"/>
  <c r="AK93" i="13"/>
  <c r="AW93" i="13" s="1"/>
  <c r="AJ93" i="13"/>
  <c r="AV93" i="13" s="1"/>
  <c r="AI93" i="13"/>
  <c r="AU93" i="13" s="1"/>
  <c r="AH93" i="13"/>
  <c r="AT93" i="13" s="1"/>
  <c r="AG93" i="13"/>
  <c r="AS93" i="13" s="1"/>
  <c r="AF93" i="13"/>
  <c r="AR93" i="13" s="1"/>
  <c r="AE93" i="13"/>
  <c r="AQ93" i="13" s="1"/>
  <c r="AD93" i="13"/>
  <c r="AP93" i="13" s="1"/>
  <c r="AC93" i="13"/>
  <c r="AO93" i="13" s="1"/>
  <c r="BA93" i="13" s="1"/>
  <c r="AB93" i="13"/>
  <c r="AN93" i="13" s="1"/>
  <c r="AZ93" i="13" s="1"/>
  <c r="Y92" i="13"/>
  <c r="Z92" i="13" s="1"/>
  <c r="AA92" i="13" s="1"/>
  <c r="AB92" i="13" s="1"/>
  <c r="AC92" i="13" s="1"/>
  <c r="AD92" i="13" s="1"/>
  <c r="AE92" i="13" s="1"/>
  <c r="AF92" i="13" s="1"/>
  <c r="AG92" i="13" s="1"/>
  <c r="AH92" i="13" s="1"/>
  <c r="AI92" i="13" s="1"/>
  <c r="AJ92" i="13" s="1"/>
  <c r="AK92" i="13" s="1"/>
  <c r="AL92" i="13" s="1"/>
  <c r="AM92" i="13" s="1"/>
  <c r="AN92" i="13" s="1"/>
  <c r="AO92" i="13" s="1"/>
  <c r="AP92" i="13" s="1"/>
  <c r="AQ92" i="13" s="1"/>
  <c r="AR92" i="13" s="1"/>
  <c r="AS92" i="13" s="1"/>
  <c r="AT92" i="13" s="1"/>
  <c r="AU92" i="13" s="1"/>
  <c r="AV92" i="13" s="1"/>
  <c r="AW92" i="13" s="1"/>
  <c r="AX92" i="13" s="1"/>
  <c r="AY92" i="13" s="1"/>
  <c r="AZ92" i="13" s="1"/>
  <c r="BA92" i="13" s="1"/>
  <c r="BA91" i="13"/>
  <c r="AZ91" i="13"/>
  <c r="AY91" i="13"/>
  <c r="AX91" i="13"/>
  <c r="AW91" i="13"/>
  <c r="AV91" i="13"/>
  <c r="AU91" i="13"/>
  <c r="AT91" i="13"/>
  <c r="AS91" i="13"/>
  <c r="AR91" i="13"/>
  <c r="AQ91" i="13"/>
  <c r="AP91" i="13"/>
  <c r="AO91" i="13"/>
  <c r="AN91" i="13"/>
  <c r="AM91" i="13"/>
  <c r="AL91" i="13"/>
  <c r="AK91" i="13"/>
  <c r="AJ91" i="13"/>
  <c r="AI91" i="13"/>
  <c r="AH91" i="13"/>
  <c r="AG91" i="13"/>
  <c r="AF91" i="13"/>
  <c r="AE91" i="13"/>
  <c r="AD91" i="13"/>
  <c r="AC91" i="13"/>
  <c r="AB91" i="13"/>
  <c r="AA91" i="13"/>
  <c r="Z91" i="13"/>
  <c r="Y91" i="13"/>
  <c r="X91" i="13"/>
  <c r="W91" i="13"/>
  <c r="V91" i="13"/>
  <c r="U91" i="13"/>
  <c r="T91" i="13"/>
  <c r="S91" i="13"/>
  <c r="R91" i="13"/>
  <c r="Q91" i="13"/>
  <c r="P91" i="13"/>
  <c r="O91" i="13"/>
  <c r="N91" i="13"/>
  <c r="BA89" i="13"/>
  <c r="AZ89" i="13"/>
  <c r="AY89" i="13"/>
  <c r="AX89" i="13"/>
  <c r="AW89" i="13"/>
  <c r="AV89" i="13"/>
  <c r="AU89" i="13"/>
  <c r="AT89" i="13"/>
  <c r="AS89" i="13"/>
  <c r="AR89" i="13"/>
  <c r="AQ89" i="13"/>
  <c r="AP89" i="13"/>
  <c r="AO89" i="13"/>
  <c r="AN89" i="13"/>
  <c r="AM89" i="13"/>
  <c r="AL89" i="13"/>
  <c r="AK89" i="13"/>
  <c r="AJ89" i="13"/>
  <c r="AI89" i="13"/>
  <c r="AH89" i="13"/>
  <c r="AG89" i="13"/>
  <c r="AF89" i="13"/>
  <c r="AE89" i="13"/>
  <c r="AD89" i="13"/>
  <c r="AC89" i="13"/>
  <c r="AB89" i="13"/>
  <c r="AA89" i="13"/>
  <c r="Z89" i="13"/>
  <c r="Y89" i="13"/>
  <c r="X89" i="13"/>
  <c r="W89" i="13"/>
  <c r="V89" i="13"/>
  <c r="U89" i="13"/>
  <c r="T89" i="13"/>
  <c r="S89" i="13"/>
  <c r="R89" i="13"/>
  <c r="Q89" i="13"/>
  <c r="P89" i="13"/>
  <c r="O89" i="13"/>
  <c r="N89" i="13"/>
  <c r="BA86" i="13"/>
  <c r="AZ86" i="13"/>
  <c r="AY86" i="13"/>
  <c r="AX86" i="13"/>
  <c r="AW86" i="13"/>
  <c r="AV86" i="13"/>
  <c r="AU86" i="13"/>
  <c r="AT86" i="13"/>
  <c r="AS86" i="13"/>
  <c r="AR86" i="13"/>
  <c r="AQ86" i="13"/>
  <c r="AP86" i="13"/>
  <c r="AO86" i="13"/>
  <c r="AN86" i="13"/>
  <c r="AM86" i="13"/>
  <c r="AL86" i="13"/>
  <c r="AK86" i="13"/>
  <c r="AJ86" i="13"/>
  <c r="AI86" i="13"/>
  <c r="AH86" i="13"/>
  <c r="AG86" i="13"/>
  <c r="AF86" i="13"/>
  <c r="AE86" i="13"/>
  <c r="AD86" i="13"/>
  <c r="AC86" i="13"/>
  <c r="AB86" i="13"/>
  <c r="AA86" i="13"/>
  <c r="Z86" i="13"/>
  <c r="Y86" i="13"/>
  <c r="X86" i="13"/>
  <c r="W86" i="13"/>
  <c r="V86" i="13"/>
  <c r="U86" i="13"/>
  <c r="T86" i="13"/>
  <c r="S86" i="13"/>
  <c r="R86" i="13"/>
  <c r="Q86" i="13"/>
  <c r="P86" i="13"/>
  <c r="O86" i="13"/>
  <c r="N86" i="13"/>
  <c r="AM81" i="13"/>
  <c r="AY81" i="13" s="1"/>
  <c r="AL81" i="13"/>
  <c r="AX81" i="13" s="1"/>
  <c r="AK81" i="13"/>
  <c r="AW81" i="13" s="1"/>
  <c r="AJ81" i="13"/>
  <c r="AV81" i="13" s="1"/>
  <c r="AI81" i="13"/>
  <c r="AU81" i="13" s="1"/>
  <c r="AH81" i="13"/>
  <c r="AT81" i="13" s="1"/>
  <c r="AG81" i="13"/>
  <c r="AS81" i="13" s="1"/>
  <c r="AF81" i="13"/>
  <c r="AR81" i="13" s="1"/>
  <c r="AE81" i="13"/>
  <c r="AQ81" i="13" s="1"/>
  <c r="AD81" i="13"/>
  <c r="AP81" i="13" s="1"/>
  <c r="AC81" i="13"/>
  <c r="AO81" i="13" s="1"/>
  <c r="BA81" i="13" s="1"/>
  <c r="AB81" i="13"/>
  <c r="AN81" i="13" s="1"/>
  <c r="AZ81" i="13" s="1"/>
  <c r="BA79" i="13"/>
  <c r="AZ79" i="13"/>
  <c r="AY79" i="13"/>
  <c r="AX79" i="13"/>
  <c r="AW79" i="13"/>
  <c r="AV79" i="13"/>
  <c r="AU79" i="13"/>
  <c r="AT79" i="13"/>
  <c r="AS79" i="13"/>
  <c r="AR79" i="13"/>
  <c r="AQ79" i="13"/>
  <c r="AP79" i="13"/>
  <c r="AO79" i="13"/>
  <c r="AN79" i="13"/>
  <c r="AM79" i="13"/>
  <c r="AL79" i="13"/>
  <c r="AK79" i="13"/>
  <c r="AJ79" i="13"/>
  <c r="AI79" i="13"/>
  <c r="AH79" i="13"/>
  <c r="AG79" i="13"/>
  <c r="AF79" i="13"/>
  <c r="AE79" i="13"/>
  <c r="AD79" i="13"/>
  <c r="AC79" i="13"/>
  <c r="AB79" i="13"/>
  <c r="AA79" i="13"/>
  <c r="Z79" i="13"/>
  <c r="Y79" i="13"/>
  <c r="X79" i="13"/>
  <c r="W79" i="13"/>
  <c r="V79" i="13"/>
  <c r="U79" i="13"/>
  <c r="T79" i="13"/>
  <c r="S79" i="13"/>
  <c r="R79" i="13"/>
  <c r="Q79" i="13"/>
  <c r="P79" i="13"/>
  <c r="O79" i="13"/>
  <c r="N79" i="13"/>
  <c r="BA77" i="13"/>
  <c r="AZ77" i="13"/>
  <c r="AY77" i="13"/>
  <c r="AX77" i="13"/>
  <c r="AW77" i="13"/>
  <c r="AV77" i="13"/>
  <c r="AU77" i="13"/>
  <c r="AT77" i="13"/>
  <c r="AS77" i="13"/>
  <c r="AR77" i="13"/>
  <c r="AQ77" i="13"/>
  <c r="AP77" i="13"/>
  <c r="AO77" i="13"/>
  <c r="AN77" i="13"/>
  <c r="AM77" i="13"/>
  <c r="AL77" i="13"/>
  <c r="AK77" i="13"/>
  <c r="AJ77" i="13"/>
  <c r="AI77" i="13"/>
  <c r="AH77" i="13"/>
  <c r="AG77" i="13"/>
  <c r="AF77" i="13"/>
  <c r="AE77" i="13"/>
  <c r="AD77" i="13"/>
  <c r="AC77" i="13"/>
  <c r="AB77" i="13"/>
  <c r="AA77" i="13"/>
  <c r="Z77" i="13"/>
  <c r="Y77" i="13"/>
  <c r="X77" i="13"/>
  <c r="W77" i="13"/>
  <c r="V77" i="13"/>
  <c r="U77" i="13"/>
  <c r="T77" i="13"/>
  <c r="S77" i="13"/>
  <c r="R77" i="13"/>
  <c r="Q77" i="13"/>
  <c r="P77" i="13"/>
  <c r="O77" i="13"/>
  <c r="N77" i="13"/>
  <c r="BA74" i="13"/>
  <c r="AZ74" i="13"/>
  <c r="AY74" i="13"/>
  <c r="AX74" i="13"/>
  <c r="AW74" i="13"/>
  <c r="AV74" i="13"/>
  <c r="AU74" i="13"/>
  <c r="AT74" i="13"/>
  <c r="AS74" i="13"/>
  <c r="AR74" i="13"/>
  <c r="AQ74" i="13"/>
  <c r="AP74" i="13"/>
  <c r="AO74" i="13"/>
  <c r="AN74" i="13"/>
  <c r="AM74" i="13"/>
  <c r="AL74" i="13"/>
  <c r="AK74" i="13"/>
  <c r="AJ74" i="13"/>
  <c r="AI74" i="13"/>
  <c r="AH74" i="13"/>
  <c r="AG74" i="13"/>
  <c r="AF74" i="13"/>
  <c r="AE74" i="13"/>
  <c r="AD74" i="13"/>
  <c r="AC74" i="13"/>
  <c r="AB74" i="13"/>
  <c r="AA74" i="13"/>
  <c r="Z74" i="13"/>
  <c r="Y74" i="13"/>
  <c r="X74" i="13"/>
  <c r="W74" i="13"/>
  <c r="V74" i="13"/>
  <c r="U74" i="13"/>
  <c r="T74" i="13"/>
  <c r="S74" i="13"/>
  <c r="R74" i="13"/>
  <c r="Q74" i="13"/>
  <c r="P74" i="13"/>
  <c r="O74" i="13"/>
  <c r="N74" i="13"/>
  <c r="O70" i="13"/>
  <c r="P70" i="13" s="1"/>
  <c r="Q70" i="13" s="1"/>
  <c r="R70" i="13" s="1"/>
  <c r="S70" i="13" s="1"/>
  <c r="T70" i="13" s="1"/>
  <c r="U70" i="13" s="1"/>
  <c r="V70" i="13" s="1"/>
  <c r="W70" i="13" s="1"/>
  <c r="X70" i="13" s="1"/>
  <c r="Y70" i="13" s="1"/>
  <c r="Z70" i="13" s="1"/>
  <c r="AA70" i="13" s="1"/>
  <c r="AB70" i="13" s="1"/>
  <c r="AC70" i="13" s="1"/>
  <c r="AD70" i="13" s="1"/>
  <c r="AE70" i="13" s="1"/>
  <c r="AF70" i="13" s="1"/>
  <c r="AG70" i="13" s="1"/>
  <c r="AH70" i="13" s="1"/>
  <c r="AI70" i="13" s="1"/>
  <c r="AJ70" i="13" s="1"/>
  <c r="AK70" i="13" s="1"/>
  <c r="AL70" i="13" s="1"/>
  <c r="AM70" i="13" s="1"/>
  <c r="AN70" i="13" s="1"/>
  <c r="AO70" i="13" s="1"/>
  <c r="AP70" i="13" s="1"/>
  <c r="AQ70" i="13" s="1"/>
  <c r="AR70" i="13" s="1"/>
  <c r="AS70" i="13" s="1"/>
  <c r="AT70" i="13" s="1"/>
  <c r="AU70" i="13" s="1"/>
  <c r="AV70" i="13" s="1"/>
  <c r="AW70" i="13" s="1"/>
  <c r="AX70" i="13" s="1"/>
  <c r="AY70" i="13" s="1"/>
  <c r="AZ70" i="13" s="1"/>
  <c r="BA70" i="13" s="1"/>
  <c r="O69" i="13"/>
  <c r="P69" i="13" s="1"/>
  <c r="Q69" i="13" s="1"/>
  <c r="R69" i="13" s="1"/>
  <c r="S69" i="13" s="1"/>
  <c r="T69" i="13" s="1"/>
  <c r="U69" i="13" s="1"/>
  <c r="V69" i="13" s="1"/>
  <c r="W69" i="13" s="1"/>
  <c r="X69" i="13" s="1"/>
  <c r="Y69" i="13" s="1"/>
  <c r="Z69" i="13" s="1"/>
  <c r="AA69" i="13" s="1"/>
  <c r="AB69" i="13" s="1"/>
  <c r="AC69" i="13" s="1"/>
  <c r="AD69" i="13" s="1"/>
  <c r="AE69" i="13" s="1"/>
  <c r="AF69" i="13" s="1"/>
  <c r="AG69" i="13" s="1"/>
  <c r="AH69" i="13" s="1"/>
  <c r="AI69" i="13" s="1"/>
  <c r="AJ69" i="13" s="1"/>
  <c r="AK69" i="13" s="1"/>
  <c r="AL69" i="13" s="1"/>
  <c r="AM69" i="13" s="1"/>
  <c r="AN69" i="13" s="1"/>
  <c r="AO69" i="13" s="1"/>
  <c r="AP69" i="13" s="1"/>
  <c r="AQ69" i="13" s="1"/>
  <c r="AR69" i="13" s="1"/>
  <c r="AS69" i="13" s="1"/>
  <c r="AT69" i="13" s="1"/>
  <c r="AU69" i="13" s="1"/>
  <c r="AV69" i="13" s="1"/>
  <c r="AW69" i="13" s="1"/>
  <c r="AX69" i="13" s="1"/>
  <c r="AY69" i="13" s="1"/>
  <c r="AZ69" i="13" s="1"/>
  <c r="BA69" i="13" s="1"/>
  <c r="Q68" i="13"/>
  <c r="R68" i="13" s="1"/>
  <c r="S68" i="13" s="1"/>
  <c r="T68" i="13" s="1"/>
  <c r="U68" i="13" s="1"/>
  <c r="V68" i="13" s="1"/>
  <c r="W68" i="13" s="1"/>
  <c r="X68" i="13" s="1"/>
  <c r="Y68" i="13" s="1"/>
  <c r="Z68" i="13" s="1"/>
  <c r="AA68" i="13" s="1"/>
  <c r="AB68" i="13" s="1"/>
  <c r="AC68" i="13" s="1"/>
  <c r="AD68" i="13" s="1"/>
  <c r="AE68" i="13" s="1"/>
  <c r="AF68" i="13" s="1"/>
  <c r="AG68" i="13" s="1"/>
  <c r="AH68" i="13" s="1"/>
  <c r="AI68" i="13" s="1"/>
  <c r="AJ68" i="13" s="1"/>
  <c r="AK68" i="13" s="1"/>
  <c r="AL68" i="13" s="1"/>
  <c r="AM68" i="13" s="1"/>
  <c r="AN68" i="13" s="1"/>
  <c r="AO68" i="13" s="1"/>
  <c r="AP68" i="13" s="1"/>
  <c r="AQ68" i="13" s="1"/>
  <c r="AR68" i="13" s="1"/>
  <c r="AS68" i="13" s="1"/>
  <c r="AT68" i="13" s="1"/>
  <c r="AU68" i="13" s="1"/>
  <c r="AV68" i="13" s="1"/>
  <c r="AW68" i="13" s="1"/>
  <c r="AX68" i="13" s="1"/>
  <c r="AY68" i="13" s="1"/>
  <c r="AZ68" i="13" s="1"/>
  <c r="BA68" i="13" s="1"/>
  <c r="O68" i="13"/>
  <c r="O67" i="13"/>
  <c r="P67" i="13" s="1"/>
  <c r="Q67" i="13" s="1"/>
  <c r="R67" i="13" s="1"/>
  <c r="S67" i="13" s="1"/>
  <c r="T67" i="13" s="1"/>
  <c r="U67" i="13" s="1"/>
  <c r="V67" i="13" s="1"/>
  <c r="W67" i="13" s="1"/>
  <c r="X67" i="13" s="1"/>
  <c r="Y67" i="13" s="1"/>
  <c r="Z67" i="13" s="1"/>
  <c r="AA67" i="13" s="1"/>
  <c r="AB67" i="13" s="1"/>
  <c r="AC67" i="13" s="1"/>
  <c r="AD67" i="13" s="1"/>
  <c r="AE67" i="13" s="1"/>
  <c r="AF67" i="13" s="1"/>
  <c r="AG67" i="13" s="1"/>
  <c r="AH67" i="13" s="1"/>
  <c r="AI67" i="13" s="1"/>
  <c r="AJ67" i="13" s="1"/>
  <c r="AK67" i="13" s="1"/>
  <c r="AL67" i="13" s="1"/>
  <c r="AM67" i="13" s="1"/>
  <c r="AN67" i="13" s="1"/>
  <c r="AO67" i="13" s="1"/>
  <c r="AP67" i="13" s="1"/>
  <c r="AQ67" i="13" s="1"/>
  <c r="AR67" i="13" s="1"/>
  <c r="AS67" i="13" s="1"/>
  <c r="AT67" i="13" s="1"/>
  <c r="AU67" i="13" s="1"/>
  <c r="AV67" i="13" s="1"/>
  <c r="AW67" i="13" s="1"/>
  <c r="AX67" i="13" s="1"/>
  <c r="AY67" i="13" s="1"/>
  <c r="AZ67" i="13" s="1"/>
  <c r="BA67" i="13" s="1"/>
  <c r="O66" i="13"/>
  <c r="P66" i="13" s="1"/>
  <c r="Q66" i="13" s="1"/>
  <c r="R66" i="13" s="1"/>
  <c r="S66" i="13" s="1"/>
  <c r="T66" i="13" s="1"/>
  <c r="U66" i="13" s="1"/>
  <c r="V66" i="13" s="1"/>
  <c r="W66" i="13" s="1"/>
  <c r="X66" i="13" s="1"/>
  <c r="Y66" i="13" s="1"/>
  <c r="Z66" i="13" s="1"/>
  <c r="AA66" i="13" s="1"/>
  <c r="AB66" i="13" s="1"/>
  <c r="AC66" i="13" s="1"/>
  <c r="AD66" i="13" s="1"/>
  <c r="AE66" i="13" s="1"/>
  <c r="AF66" i="13" s="1"/>
  <c r="AG66" i="13" s="1"/>
  <c r="AH66" i="13" s="1"/>
  <c r="AI66" i="13" s="1"/>
  <c r="AJ66" i="13" s="1"/>
  <c r="AK66" i="13" s="1"/>
  <c r="AL66" i="13" s="1"/>
  <c r="AM66" i="13" s="1"/>
  <c r="AN66" i="13" s="1"/>
  <c r="AO66" i="13" s="1"/>
  <c r="AP66" i="13" s="1"/>
  <c r="AQ66" i="13" s="1"/>
  <c r="AR66" i="13" s="1"/>
  <c r="AS66" i="13" s="1"/>
  <c r="AT66" i="13" s="1"/>
  <c r="AU66" i="13" s="1"/>
  <c r="AV66" i="13" s="1"/>
  <c r="AW66" i="13" s="1"/>
  <c r="AX66" i="13" s="1"/>
  <c r="AY66" i="13" s="1"/>
  <c r="AZ66" i="13" s="1"/>
  <c r="BA66" i="13" s="1"/>
  <c r="Q65" i="13"/>
  <c r="R65" i="13" s="1"/>
  <c r="S65" i="13" s="1"/>
  <c r="T65" i="13" s="1"/>
  <c r="U65" i="13" s="1"/>
  <c r="V65" i="13" s="1"/>
  <c r="W65" i="13" s="1"/>
  <c r="X65" i="13" s="1"/>
  <c r="Y65" i="13" s="1"/>
  <c r="Z65" i="13" s="1"/>
  <c r="AA65" i="13" s="1"/>
  <c r="AB65" i="13" s="1"/>
  <c r="AC65" i="13" s="1"/>
  <c r="AD65" i="13" s="1"/>
  <c r="AE65" i="13" s="1"/>
  <c r="AF65" i="13" s="1"/>
  <c r="AG65" i="13" s="1"/>
  <c r="AH65" i="13" s="1"/>
  <c r="AI65" i="13" s="1"/>
  <c r="AJ65" i="13" s="1"/>
  <c r="AK65" i="13" s="1"/>
  <c r="AL65" i="13" s="1"/>
  <c r="AM65" i="13" s="1"/>
  <c r="AN65" i="13" s="1"/>
  <c r="AO65" i="13" s="1"/>
  <c r="AP65" i="13" s="1"/>
  <c r="AQ65" i="13" s="1"/>
  <c r="AR65" i="13" s="1"/>
  <c r="AS65" i="13" s="1"/>
  <c r="AT65" i="13" s="1"/>
  <c r="AU65" i="13" s="1"/>
  <c r="AV65" i="13" s="1"/>
  <c r="AW65" i="13" s="1"/>
  <c r="AX65" i="13" s="1"/>
  <c r="AY65" i="13" s="1"/>
  <c r="AZ65" i="13" s="1"/>
  <c r="BA65" i="13" s="1"/>
  <c r="O65" i="13"/>
  <c r="Q64" i="13"/>
  <c r="R64" i="13" s="1"/>
  <c r="S64" i="13" s="1"/>
  <c r="T64" i="13" s="1"/>
  <c r="U64" i="13" s="1"/>
  <c r="V64" i="13" s="1"/>
  <c r="W64" i="13" s="1"/>
  <c r="X64" i="13" s="1"/>
  <c r="Y64" i="13" s="1"/>
  <c r="Z64" i="13" s="1"/>
  <c r="AA64" i="13" s="1"/>
  <c r="AB64" i="13" s="1"/>
  <c r="AC64" i="13" s="1"/>
  <c r="AD64" i="13" s="1"/>
  <c r="AE64" i="13" s="1"/>
  <c r="AF64" i="13" s="1"/>
  <c r="AG64" i="13" s="1"/>
  <c r="AH64" i="13" s="1"/>
  <c r="AI64" i="13" s="1"/>
  <c r="AJ64" i="13" s="1"/>
  <c r="AK64" i="13" s="1"/>
  <c r="AL64" i="13" s="1"/>
  <c r="AM64" i="13" s="1"/>
  <c r="AN64" i="13" s="1"/>
  <c r="AO64" i="13" s="1"/>
  <c r="AP64" i="13" s="1"/>
  <c r="AQ64" i="13" s="1"/>
  <c r="AR64" i="13" s="1"/>
  <c r="AS64" i="13" s="1"/>
  <c r="AT64" i="13" s="1"/>
  <c r="AU64" i="13" s="1"/>
  <c r="AV64" i="13" s="1"/>
  <c r="AW64" i="13" s="1"/>
  <c r="AX64" i="13" s="1"/>
  <c r="AY64" i="13" s="1"/>
  <c r="AZ64" i="13" s="1"/>
  <c r="BA64" i="13" s="1"/>
  <c r="O64" i="13"/>
  <c r="Q63" i="13"/>
  <c r="R63" i="13" s="1"/>
  <c r="S63" i="13" s="1"/>
  <c r="T63" i="13" s="1"/>
  <c r="U63" i="13" s="1"/>
  <c r="V63" i="13" s="1"/>
  <c r="W63" i="13" s="1"/>
  <c r="X63" i="13" s="1"/>
  <c r="Y63" i="13" s="1"/>
  <c r="Z63" i="13" s="1"/>
  <c r="AA63" i="13" s="1"/>
  <c r="AB63" i="13" s="1"/>
  <c r="AC63" i="13" s="1"/>
  <c r="AD63" i="13" s="1"/>
  <c r="AE63" i="13" s="1"/>
  <c r="AF63" i="13" s="1"/>
  <c r="AG63" i="13" s="1"/>
  <c r="AH63" i="13" s="1"/>
  <c r="AI63" i="13" s="1"/>
  <c r="AJ63" i="13" s="1"/>
  <c r="AK63" i="13" s="1"/>
  <c r="AL63" i="13" s="1"/>
  <c r="AM63" i="13" s="1"/>
  <c r="AN63" i="13" s="1"/>
  <c r="AO63" i="13" s="1"/>
  <c r="AP63" i="13" s="1"/>
  <c r="AQ63" i="13" s="1"/>
  <c r="AR63" i="13" s="1"/>
  <c r="AS63" i="13" s="1"/>
  <c r="AT63" i="13" s="1"/>
  <c r="AU63" i="13" s="1"/>
  <c r="AV63" i="13" s="1"/>
  <c r="AW63" i="13" s="1"/>
  <c r="AX63" i="13" s="1"/>
  <c r="AY63" i="13" s="1"/>
  <c r="AZ63" i="13" s="1"/>
  <c r="BA63" i="13" s="1"/>
  <c r="O63" i="13"/>
  <c r="Q62" i="13"/>
  <c r="R62" i="13" s="1"/>
  <c r="S62" i="13" s="1"/>
  <c r="T62" i="13" s="1"/>
  <c r="U62" i="13" s="1"/>
  <c r="V62" i="13" s="1"/>
  <c r="W62" i="13" s="1"/>
  <c r="X62" i="13" s="1"/>
  <c r="Y62" i="13" s="1"/>
  <c r="Z62" i="13" s="1"/>
  <c r="AA62" i="13" s="1"/>
  <c r="AB62" i="13" s="1"/>
  <c r="AC62" i="13" s="1"/>
  <c r="AD62" i="13" s="1"/>
  <c r="AE62" i="13" s="1"/>
  <c r="AF62" i="13" s="1"/>
  <c r="AG62" i="13" s="1"/>
  <c r="AH62" i="13" s="1"/>
  <c r="AI62" i="13" s="1"/>
  <c r="AJ62" i="13" s="1"/>
  <c r="AK62" i="13" s="1"/>
  <c r="AL62" i="13" s="1"/>
  <c r="AM62" i="13" s="1"/>
  <c r="AN62" i="13" s="1"/>
  <c r="AO62" i="13" s="1"/>
  <c r="AP62" i="13" s="1"/>
  <c r="AQ62" i="13" s="1"/>
  <c r="AR62" i="13" s="1"/>
  <c r="AS62" i="13" s="1"/>
  <c r="AT62" i="13" s="1"/>
  <c r="AU62" i="13" s="1"/>
  <c r="AV62" i="13" s="1"/>
  <c r="AW62" i="13" s="1"/>
  <c r="AX62" i="13" s="1"/>
  <c r="AY62" i="13" s="1"/>
  <c r="AZ62" i="13" s="1"/>
  <c r="BA62" i="13" s="1"/>
  <c r="O62" i="13"/>
  <c r="Q61" i="13"/>
  <c r="R61" i="13" s="1"/>
  <c r="S61" i="13" s="1"/>
  <c r="T61" i="13" s="1"/>
  <c r="U61" i="13" s="1"/>
  <c r="V61" i="13" s="1"/>
  <c r="W61" i="13" s="1"/>
  <c r="X61" i="13" s="1"/>
  <c r="Y61" i="13" s="1"/>
  <c r="Z61" i="13" s="1"/>
  <c r="AA61" i="13" s="1"/>
  <c r="AB61" i="13" s="1"/>
  <c r="AC61" i="13" s="1"/>
  <c r="AD61" i="13" s="1"/>
  <c r="AE61" i="13" s="1"/>
  <c r="AF61" i="13" s="1"/>
  <c r="AG61" i="13" s="1"/>
  <c r="AH61" i="13" s="1"/>
  <c r="AI61" i="13" s="1"/>
  <c r="AJ61" i="13" s="1"/>
  <c r="AK61" i="13" s="1"/>
  <c r="AL61" i="13" s="1"/>
  <c r="AM61" i="13" s="1"/>
  <c r="AN61" i="13" s="1"/>
  <c r="AO61" i="13" s="1"/>
  <c r="AP61" i="13" s="1"/>
  <c r="AQ61" i="13" s="1"/>
  <c r="AR61" i="13" s="1"/>
  <c r="AS61" i="13" s="1"/>
  <c r="AT61" i="13" s="1"/>
  <c r="AU61" i="13" s="1"/>
  <c r="AV61" i="13" s="1"/>
  <c r="AW61" i="13" s="1"/>
  <c r="AX61" i="13" s="1"/>
  <c r="AY61" i="13" s="1"/>
  <c r="AZ61" i="13" s="1"/>
  <c r="BA61" i="13" s="1"/>
  <c r="O61" i="13"/>
  <c r="O60" i="13"/>
  <c r="P60" i="13" s="1"/>
  <c r="Q60" i="13" s="1"/>
  <c r="R60" i="13" s="1"/>
  <c r="S60" i="13" s="1"/>
  <c r="T60" i="13" s="1"/>
  <c r="U60" i="13" s="1"/>
  <c r="V60" i="13" s="1"/>
  <c r="W60" i="13" s="1"/>
  <c r="X60" i="13" s="1"/>
  <c r="Y60" i="13" s="1"/>
  <c r="Z60" i="13" s="1"/>
  <c r="AA60" i="13" s="1"/>
  <c r="AB60" i="13" s="1"/>
  <c r="AC60" i="13" s="1"/>
  <c r="AD60" i="13" s="1"/>
  <c r="AE60" i="13" s="1"/>
  <c r="AF60" i="13" s="1"/>
  <c r="AG60" i="13" s="1"/>
  <c r="AH60" i="13" s="1"/>
  <c r="AI60" i="13" s="1"/>
  <c r="AJ60" i="13" s="1"/>
  <c r="AK60" i="13" s="1"/>
  <c r="AL60" i="13" s="1"/>
  <c r="AM60" i="13" s="1"/>
  <c r="AN60" i="13" s="1"/>
  <c r="AO60" i="13" s="1"/>
  <c r="AP60" i="13" s="1"/>
  <c r="AQ60" i="13" s="1"/>
  <c r="AR60" i="13" s="1"/>
  <c r="AS60" i="13" s="1"/>
  <c r="AT60" i="13" s="1"/>
  <c r="AU60" i="13" s="1"/>
  <c r="AV60" i="13" s="1"/>
  <c r="AW60" i="13" s="1"/>
  <c r="AX60" i="13" s="1"/>
  <c r="AY60" i="13" s="1"/>
  <c r="AZ60" i="13" s="1"/>
  <c r="BA60" i="13" s="1"/>
  <c r="O59" i="13"/>
  <c r="P59" i="13" s="1"/>
  <c r="S51" i="13"/>
  <c r="T51" i="13" s="1"/>
  <c r="U51" i="13" s="1"/>
  <c r="V51" i="13" s="1"/>
  <c r="W51" i="13" s="1"/>
  <c r="X51" i="13" s="1"/>
  <c r="Y51" i="13" s="1"/>
  <c r="Z51" i="13" s="1"/>
  <c r="AA51" i="13" s="1"/>
  <c r="AB51" i="13" s="1"/>
  <c r="AC51" i="13" s="1"/>
  <c r="AD51" i="13" s="1"/>
  <c r="AE51" i="13" s="1"/>
  <c r="AF51" i="13" s="1"/>
  <c r="AG51" i="13" s="1"/>
  <c r="AH51" i="13" s="1"/>
  <c r="AI51" i="13" s="1"/>
  <c r="AJ51" i="13" s="1"/>
  <c r="AK51" i="13" s="1"/>
  <c r="AL51" i="13" s="1"/>
  <c r="AM51" i="13" s="1"/>
  <c r="AN51" i="13" s="1"/>
  <c r="AO51" i="13" s="1"/>
  <c r="AP51" i="13" s="1"/>
  <c r="AQ51" i="13" s="1"/>
  <c r="AR51" i="13" s="1"/>
  <c r="AS51" i="13" s="1"/>
  <c r="AT51" i="13" s="1"/>
  <c r="AU51" i="13" s="1"/>
  <c r="AV51" i="13" s="1"/>
  <c r="AW51" i="13" s="1"/>
  <c r="AX51" i="13" s="1"/>
  <c r="AY51" i="13" s="1"/>
  <c r="AZ51" i="13" s="1"/>
  <c r="BA51" i="13" s="1"/>
  <c r="W50" i="13"/>
  <c r="X50" i="13" s="1"/>
  <c r="Y50" i="13" s="1"/>
  <c r="Z50" i="13" s="1"/>
  <c r="AA50" i="13" s="1"/>
  <c r="AB50" i="13" s="1"/>
  <c r="AC50" i="13" s="1"/>
  <c r="AD50" i="13" s="1"/>
  <c r="AE50" i="13" s="1"/>
  <c r="AF50" i="13" s="1"/>
  <c r="AG50" i="13" s="1"/>
  <c r="AH50" i="13" s="1"/>
  <c r="AI50" i="13" s="1"/>
  <c r="AJ50" i="13" s="1"/>
  <c r="AK50" i="13" s="1"/>
  <c r="AL50" i="13" s="1"/>
  <c r="AM50" i="13" s="1"/>
  <c r="AN50" i="13" s="1"/>
  <c r="AO50" i="13" s="1"/>
  <c r="AP50" i="13" s="1"/>
  <c r="AQ50" i="13" s="1"/>
  <c r="AR50" i="13" s="1"/>
  <c r="AS50" i="13" s="1"/>
  <c r="AT50" i="13" s="1"/>
  <c r="AU50" i="13" s="1"/>
  <c r="AV50" i="13" s="1"/>
  <c r="AW50" i="13" s="1"/>
  <c r="AX50" i="13" s="1"/>
  <c r="AY50" i="13" s="1"/>
  <c r="AZ50" i="13" s="1"/>
  <c r="BA50" i="13" s="1"/>
  <c r="Q50" i="13"/>
  <c r="R50" i="13" s="1"/>
  <c r="S50" i="13" s="1"/>
  <c r="T50" i="13" s="1"/>
  <c r="U50" i="13" s="1"/>
  <c r="Q48" i="13"/>
  <c r="R48" i="13" s="1"/>
  <c r="S48" i="13" s="1"/>
  <c r="T48" i="13" s="1"/>
  <c r="U48" i="13" s="1"/>
  <c r="V48" i="13" s="1"/>
  <c r="W48" i="13" s="1"/>
  <c r="X48" i="13" s="1"/>
  <c r="Y48" i="13" s="1"/>
  <c r="Z48" i="13" s="1"/>
  <c r="AA48" i="13" s="1"/>
  <c r="AB48" i="13" s="1"/>
  <c r="AC48" i="13" s="1"/>
  <c r="AD48" i="13" s="1"/>
  <c r="AE48" i="13" s="1"/>
  <c r="AF48" i="13" s="1"/>
  <c r="AG48" i="13" s="1"/>
  <c r="AH48" i="13" s="1"/>
  <c r="AI48" i="13" s="1"/>
  <c r="AJ48" i="13" s="1"/>
  <c r="AK48" i="13" s="1"/>
  <c r="AL48" i="13" s="1"/>
  <c r="AM48" i="13" s="1"/>
  <c r="AN48" i="13" s="1"/>
  <c r="AO48" i="13" s="1"/>
  <c r="AP48" i="13" s="1"/>
  <c r="AQ48" i="13" s="1"/>
  <c r="AR48" i="13" s="1"/>
  <c r="AS48" i="13" s="1"/>
  <c r="AT48" i="13" s="1"/>
  <c r="AU48" i="13" s="1"/>
  <c r="AV48" i="13" s="1"/>
  <c r="AW48" i="13" s="1"/>
  <c r="AX48" i="13" s="1"/>
  <c r="AY48" i="13" s="1"/>
  <c r="AZ48" i="13" s="1"/>
  <c r="BA48" i="13" s="1"/>
  <c r="V45" i="13"/>
  <c r="U45" i="13"/>
  <c r="T45" i="13"/>
  <c r="S45" i="13"/>
  <c r="BA41" i="13"/>
  <c r="AZ41" i="13"/>
  <c r="AY41" i="13"/>
  <c r="AX41" i="13"/>
  <c r="AW41" i="13"/>
  <c r="AV41" i="13"/>
  <c r="AU41" i="13"/>
  <c r="AT41" i="13"/>
  <c r="AS41" i="13"/>
  <c r="AR41" i="13"/>
  <c r="AQ41" i="13"/>
  <c r="AP41" i="13"/>
  <c r="AO41" i="13"/>
  <c r="AN41" i="13"/>
  <c r="AM41" i="13"/>
  <c r="AL41" i="13"/>
  <c r="AK41" i="13"/>
  <c r="AJ41" i="13"/>
  <c r="AI41" i="13"/>
  <c r="AH41" i="13"/>
  <c r="AG41" i="13"/>
  <c r="AF41" i="13"/>
  <c r="AE41" i="13"/>
  <c r="AD41" i="13"/>
  <c r="AC41" i="13"/>
  <c r="AB41" i="13"/>
  <c r="AA41" i="13"/>
  <c r="Z41" i="13"/>
  <c r="Y41" i="13"/>
  <c r="X41" i="13"/>
  <c r="W41" i="13"/>
  <c r="V41" i="13"/>
  <c r="U41" i="13"/>
  <c r="T41" i="13"/>
  <c r="S41" i="13"/>
  <c r="R41" i="13"/>
  <c r="Q41" i="13"/>
  <c r="P41" i="13"/>
  <c r="O41" i="13"/>
  <c r="N41" i="13"/>
  <c r="M41" i="13"/>
  <c r="L41" i="13"/>
  <c r="K41" i="13"/>
  <c r="J41" i="13"/>
  <c r="I41" i="13"/>
  <c r="H41" i="13"/>
  <c r="G41" i="13"/>
  <c r="F41" i="13"/>
  <c r="E41" i="13"/>
  <c r="D41" i="13"/>
  <c r="BA40" i="13"/>
  <c r="AZ40" i="13"/>
  <c r="AY40" i="13"/>
  <c r="AX40" i="13"/>
  <c r="AW40" i="13"/>
  <c r="AV40" i="13"/>
  <c r="AU40" i="13"/>
  <c r="AT40" i="13"/>
  <c r="AS40" i="13"/>
  <c r="AR40" i="13"/>
  <c r="AQ40" i="13"/>
  <c r="AP40" i="13"/>
  <c r="AO40" i="13"/>
  <c r="AN40" i="13"/>
  <c r="AM40" i="13"/>
  <c r="AL40" i="13"/>
  <c r="AK40" i="13"/>
  <c r="AJ40" i="13"/>
  <c r="AI40" i="13"/>
  <c r="AH40" i="13"/>
  <c r="AG40" i="13"/>
  <c r="AF40" i="13"/>
  <c r="AE40" i="13"/>
  <c r="AD40" i="13"/>
  <c r="AC40" i="13"/>
  <c r="AB40" i="13"/>
  <c r="AA40" i="13"/>
  <c r="Z40" i="13"/>
  <c r="Y40" i="13"/>
  <c r="X40" i="13"/>
  <c r="W40" i="13"/>
  <c r="V40" i="13"/>
  <c r="U40" i="13"/>
  <c r="T40" i="13"/>
  <c r="S40" i="13"/>
  <c r="R40" i="13"/>
  <c r="Q40" i="13"/>
  <c r="P40" i="13"/>
  <c r="O40" i="13"/>
  <c r="N40" i="13"/>
  <c r="M40" i="13"/>
  <c r="L40" i="13"/>
  <c r="K40" i="13"/>
  <c r="J40" i="13"/>
  <c r="I40" i="13"/>
  <c r="H40" i="13"/>
  <c r="G40" i="13"/>
  <c r="F40" i="13"/>
  <c r="E40" i="13"/>
  <c r="D40" i="13"/>
  <c r="BA39" i="13"/>
  <c r="AZ39" i="13"/>
  <c r="AY39" i="13"/>
  <c r="AX39" i="13"/>
  <c r="AW39" i="13"/>
  <c r="AV39" i="13"/>
  <c r="AU39" i="13"/>
  <c r="AT39" i="13"/>
  <c r="AS39" i="13"/>
  <c r="AR39" i="13"/>
  <c r="AQ39" i="13"/>
  <c r="AP39" i="13"/>
  <c r="AO39" i="13"/>
  <c r="AN39" i="13"/>
  <c r="AM39" i="13"/>
  <c r="AL39" i="13"/>
  <c r="AK39" i="13"/>
  <c r="AJ39" i="13"/>
  <c r="AI39" i="13"/>
  <c r="AH39" i="13"/>
  <c r="AG39" i="13"/>
  <c r="AF39" i="13"/>
  <c r="AE39" i="13"/>
  <c r="AD39" i="13"/>
  <c r="AC39" i="13"/>
  <c r="AB39" i="13"/>
  <c r="AA39" i="13"/>
  <c r="Z39" i="13"/>
  <c r="Y39" i="13"/>
  <c r="X39" i="13"/>
  <c r="W39" i="13"/>
  <c r="V39" i="13"/>
  <c r="U39" i="13"/>
  <c r="T39" i="13"/>
  <c r="S39" i="13"/>
  <c r="R39" i="13"/>
  <c r="Q39" i="13"/>
  <c r="P39" i="13"/>
  <c r="O39" i="13"/>
  <c r="N39" i="13"/>
  <c r="M39" i="13"/>
  <c r="L39" i="13"/>
  <c r="K39" i="13"/>
  <c r="J39" i="13"/>
  <c r="I39" i="13"/>
  <c r="H39" i="13"/>
  <c r="G39" i="13"/>
  <c r="F39" i="13"/>
  <c r="E39" i="13"/>
  <c r="D39" i="13"/>
  <c r="BA35" i="13"/>
  <c r="AZ35" i="13"/>
  <c r="AY35" i="13"/>
  <c r="AX35" i="13"/>
  <c r="AW35" i="13"/>
  <c r="AV35" i="13"/>
  <c r="AU35" i="13"/>
  <c r="AT35" i="13"/>
  <c r="AS35" i="13"/>
  <c r="AR35" i="13"/>
  <c r="AQ35" i="13"/>
  <c r="AP35" i="13"/>
  <c r="AO35" i="13"/>
  <c r="AN35" i="13"/>
  <c r="AM35" i="13"/>
  <c r="AL35" i="13"/>
  <c r="AK35" i="13"/>
  <c r="AJ35" i="13"/>
  <c r="AI35" i="13"/>
  <c r="AH35" i="13"/>
  <c r="AG35" i="13"/>
  <c r="AF35" i="13"/>
  <c r="AE35" i="13"/>
  <c r="AD35" i="13"/>
  <c r="AC35" i="13"/>
  <c r="AB35" i="13"/>
  <c r="AA35" i="13"/>
  <c r="Z35" i="13"/>
  <c r="Y35" i="13"/>
  <c r="X35" i="13"/>
  <c r="W35" i="13"/>
  <c r="V35" i="13"/>
  <c r="U35" i="13"/>
  <c r="T35" i="13"/>
  <c r="S35" i="13"/>
  <c r="R35" i="13"/>
  <c r="Q35" i="13"/>
  <c r="P35" i="13"/>
  <c r="O35" i="13"/>
  <c r="N35" i="13"/>
  <c r="M35" i="13"/>
  <c r="L35" i="13"/>
  <c r="K35" i="13"/>
  <c r="J35" i="13"/>
  <c r="I35" i="13"/>
  <c r="H35" i="13"/>
  <c r="G35" i="13"/>
  <c r="F35" i="13"/>
  <c r="E35" i="13"/>
  <c r="D35" i="13"/>
  <c r="O30" i="13"/>
  <c r="N30" i="13"/>
  <c r="M30" i="13"/>
  <c r="L30" i="13"/>
  <c r="K30" i="13"/>
  <c r="J30" i="13"/>
  <c r="I30" i="13"/>
  <c r="H30" i="13"/>
  <c r="G30" i="13"/>
  <c r="F30" i="13"/>
  <c r="E30" i="13"/>
  <c r="D30" i="13"/>
  <c r="O28" i="13"/>
  <c r="N28" i="13"/>
  <c r="M28" i="13"/>
  <c r="L28" i="13"/>
  <c r="K28" i="13"/>
  <c r="J28" i="13"/>
  <c r="I28" i="13"/>
  <c r="H28" i="13"/>
  <c r="G28" i="13"/>
  <c r="F28" i="13"/>
  <c r="E28" i="13"/>
  <c r="D28" i="13"/>
  <c r="AA25" i="13"/>
  <c r="Z25" i="13"/>
  <c r="Y25" i="13"/>
  <c r="X25" i="13"/>
  <c r="W25" i="13"/>
  <c r="V25" i="13"/>
  <c r="U25" i="13"/>
  <c r="T25" i="13"/>
  <c r="S25" i="13"/>
  <c r="R25" i="13"/>
  <c r="Q25" i="13"/>
  <c r="P25" i="13"/>
  <c r="B25" i="13"/>
  <c r="O24" i="13"/>
  <c r="N24" i="13"/>
  <c r="N29" i="13" s="1"/>
  <c r="M24" i="13"/>
  <c r="M29" i="13" s="1"/>
  <c r="L24" i="13"/>
  <c r="L29" i="13" s="1"/>
  <c r="K24" i="13"/>
  <c r="K29" i="13" s="1"/>
  <c r="J24" i="13"/>
  <c r="J29" i="13" s="1"/>
  <c r="I24" i="13"/>
  <c r="I29" i="13" s="1"/>
  <c r="H24" i="13"/>
  <c r="H29" i="13" s="1"/>
  <c r="G24" i="13"/>
  <c r="G29" i="13" s="1"/>
  <c r="F24" i="13"/>
  <c r="F29" i="13" s="1"/>
  <c r="E24" i="13"/>
  <c r="E29" i="13" s="1"/>
  <c r="D24" i="13"/>
  <c r="D29" i="13" s="1"/>
  <c r="AA23" i="13"/>
  <c r="Z23" i="13"/>
  <c r="Y23" i="13"/>
  <c r="X23" i="13"/>
  <c r="W23" i="13"/>
  <c r="V23" i="13"/>
  <c r="U23" i="13"/>
  <c r="T23" i="13"/>
  <c r="S23" i="13"/>
  <c r="R23" i="13"/>
  <c r="Q23" i="13"/>
  <c r="P23" i="13"/>
  <c r="AZ16" i="13"/>
  <c r="BA16" i="13" s="1"/>
  <c r="AZ13" i="13"/>
  <c r="AZ12" i="13"/>
  <c r="BA12" i="13" s="1"/>
  <c r="AZ11" i="13"/>
  <c r="BA11" i="13" s="1"/>
  <c r="AZ8" i="13"/>
  <c r="BA8" i="13" s="1"/>
  <c r="AZ7" i="13"/>
  <c r="BA7" i="13" s="1"/>
  <c r="AZ6" i="13"/>
  <c r="BA6" i="13" s="1"/>
  <c r="AM3" i="13"/>
  <c r="AY3" i="13" s="1"/>
  <c r="AL3" i="13"/>
  <c r="AX3" i="13" s="1"/>
  <c r="AK3" i="13"/>
  <c r="AW3" i="13" s="1"/>
  <c r="AJ3" i="13"/>
  <c r="AV3" i="13" s="1"/>
  <c r="AI3" i="13"/>
  <c r="AU3" i="13" s="1"/>
  <c r="AH3" i="13"/>
  <c r="AT3" i="13" s="1"/>
  <c r="AG3" i="13"/>
  <c r="AS3" i="13" s="1"/>
  <c r="AF3" i="13"/>
  <c r="AR3" i="13" s="1"/>
  <c r="AE3" i="13"/>
  <c r="AQ3" i="13" s="1"/>
  <c r="AD3" i="13"/>
  <c r="AP3" i="13" s="1"/>
  <c r="AC3" i="13"/>
  <c r="AO3" i="13" s="1"/>
  <c r="BA3" i="13" s="1"/>
  <c r="AB3" i="13"/>
  <c r="AN3" i="13" s="1"/>
  <c r="AZ3" i="13" s="1"/>
  <c r="AM2" i="13"/>
  <c r="AY2" i="13" s="1"/>
  <c r="AL2" i="13"/>
  <c r="AX2" i="13" s="1"/>
  <c r="AK2" i="13"/>
  <c r="AW2" i="13" s="1"/>
  <c r="AJ2" i="13"/>
  <c r="AV2" i="13" s="1"/>
  <c r="AI2" i="13"/>
  <c r="AU2" i="13" s="1"/>
  <c r="AH2" i="13"/>
  <c r="AT2" i="13" s="1"/>
  <c r="AG2" i="13"/>
  <c r="AS2" i="13" s="1"/>
  <c r="AF2" i="13"/>
  <c r="AR2" i="13" s="1"/>
  <c r="AE2" i="13"/>
  <c r="AQ2" i="13" s="1"/>
  <c r="AD2" i="13"/>
  <c r="AP2" i="13" s="1"/>
  <c r="AC2" i="13"/>
  <c r="AO2" i="13" s="1"/>
  <c r="BA2" i="13" s="1"/>
  <c r="AB2" i="13"/>
  <c r="AN2" i="13" s="1"/>
  <c r="AZ2" i="13" s="1"/>
  <c r="AM1" i="13"/>
  <c r="AY1" i="13" s="1"/>
  <c r="AL1" i="13"/>
  <c r="AX1" i="13" s="1"/>
  <c r="AK1" i="13"/>
  <c r="AW1" i="13" s="1"/>
  <c r="AJ1" i="13"/>
  <c r="AV1" i="13" s="1"/>
  <c r="AI1" i="13"/>
  <c r="AU1" i="13" s="1"/>
  <c r="AH1" i="13"/>
  <c r="AT1" i="13" s="1"/>
  <c r="AG1" i="13"/>
  <c r="AS1" i="13" s="1"/>
  <c r="AF1" i="13"/>
  <c r="AR1" i="13" s="1"/>
  <c r="AE1" i="13"/>
  <c r="AQ1" i="13" s="1"/>
  <c r="AD1" i="13"/>
  <c r="AP1" i="13" s="1"/>
  <c r="AC1" i="13"/>
  <c r="AO1" i="13" s="1"/>
  <c r="AB1" i="13"/>
  <c r="AN1" i="13" s="1"/>
  <c r="B4" i="5"/>
  <c r="D4" i="5" s="1"/>
  <c r="B3" i="5"/>
  <c r="B2" i="5"/>
  <c r="X41" i="3" s="1"/>
  <c r="P161" i="4"/>
  <c r="O161" i="4"/>
  <c r="S160" i="4"/>
  <c r="R160" i="4"/>
  <c r="Q160" i="4"/>
  <c r="P160" i="4"/>
  <c r="O160" i="4"/>
  <c r="S159" i="4"/>
  <c r="R159" i="4"/>
  <c r="Q159" i="4"/>
  <c r="P159" i="4"/>
  <c r="O159" i="4"/>
  <c r="S158" i="4"/>
  <c r="R158" i="4"/>
  <c r="Q158" i="4"/>
  <c r="P158" i="4"/>
  <c r="O158" i="4"/>
  <c r="S157" i="4"/>
  <c r="A64" i="6"/>
  <c r="C63" i="6"/>
  <c r="B63" i="6"/>
  <c r="F60" i="6"/>
  <c r="D60" i="6"/>
  <c r="F58" i="6"/>
  <c r="D58" i="6"/>
  <c r="F57" i="6"/>
  <c r="D57" i="6"/>
  <c r="F56" i="6"/>
  <c r="D56" i="6"/>
  <c r="F55" i="6"/>
  <c r="D55" i="6"/>
  <c r="F54" i="6"/>
  <c r="F53" i="6"/>
  <c r="F52" i="6"/>
  <c r="D52" i="6"/>
  <c r="D51" i="6"/>
  <c r="F48" i="6"/>
  <c r="D48" i="6"/>
  <c r="D46" i="6"/>
  <c r="D45" i="6"/>
  <c r="D44" i="6"/>
  <c r="D43" i="6"/>
  <c r="F42" i="6"/>
  <c r="D42" i="6"/>
  <c r="D41" i="6"/>
  <c r="F40" i="6"/>
  <c r="A32" i="6"/>
  <c r="C31" i="6"/>
  <c r="B31" i="6"/>
  <c r="C30" i="6"/>
  <c r="B30" i="6"/>
  <c r="C29" i="6"/>
  <c r="B29" i="6"/>
  <c r="C28" i="6"/>
  <c r="B28" i="6"/>
  <c r="C27" i="6"/>
  <c r="B27" i="6"/>
  <c r="C26" i="6"/>
  <c r="B26" i="6"/>
  <c r="C25" i="6"/>
  <c r="B25" i="6"/>
  <c r="C24" i="6"/>
  <c r="B24" i="6"/>
  <c r="C23" i="6"/>
  <c r="B23" i="6"/>
  <c r="C22" i="6"/>
  <c r="B22" i="6"/>
  <c r="C21" i="6"/>
  <c r="B21" i="6"/>
  <c r="C20" i="6"/>
  <c r="B20" i="6"/>
  <c r="C19" i="6"/>
  <c r="B19" i="6"/>
  <c r="C18" i="6"/>
  <c r="B18" i="6"/>
  <c r="C17" i="6"/>
  <c r="B17" i="6"/>
  <c r="C16" i="6"/>
  <c r="B16" i="6"/>
  <c r="C15" i="6"/>
  <c r="B15" i="6"/>
  <c r="C14" i="6"/>
  <c r="B14" i="6"/>
  <c r="C13" i="6"/>
  <c r="B13" i="6"/>
  <c r="C12" i="6"/>
  <c r="B12" i="6"/>
  <c r="C11" i="6"/>
  <c r="B11" i="6"/>
  <c r="C10" i="6"/>
  <c r="B10" i="6"/>
  <c r="C9" i="6"/>
  <c r="B9" i="6"/>
  <c r="C8" i="6"/>
  <c r="B8" i="6"/>
  <c r="C7" i="6"/>
  <c r="B7" i="6"/>
  <c r="C6" i="6"/>
  <c r="B6" i="6"/>
  <c r="C5" i="6"/>
  <c r="B5" i="6"/>
  <c r="C4" i="6"/>
  <c r="B4" i="6"/>
  <c r="C3" i="6"/>
  <c r="B3" i="6"/>
  <c r="A64" i="1"/>
  <c r="A63" i="3" s="1"/>
  <c r="B63" i="3" s="1"/>
  <c r="C63" i="1"/>
  <c r="B63" i="1"/>
  <c r="G60" i="1"/>
  <c r="F60" i="1"/>
  <c r="E60" i="1"/>
  <c r="D60" i="1"/>
  <c r="E59" i="3" s="1"/>
  <c r="F58" i="1"/>
  <c r="F57" i="3" s="1"/>
  <c r="E58" i="1"/>
  <c r="D58" i="1"/>
  <c r="E57" i="3" s="1"/>
  <c r="L57" i="1"/>
  <c r="F57" i="1"/>
  <c r="E57" i="1"/>
  <c r="D57" i="1"/>
  <c r="E56" i="3" s="1"/>
  <c r="G56" i="1"/>
  <c r="F55" i="3" s="1"/>
  <c r="D56" i="1"/>
  <c r="E55" i="3" s="1"/>
  <c r="G55" i="1"/>
  <c r="F54" i="3" s="1"/>
  <c r="E55" i="1"/>
  <c r="D55" i="1"/>
  <c r="E54" i="3" s="1"/>
  <c r="G53" i="1"/>
  <c r="F52" i="3" s="1"/>
  <c r="E53" i="1"/>
  <c r="D53" i="1"/>
  <c r="J52" i="1"/>
  <c r="G52" i="1"/>
  <c r="F51" i="3" s="1"/>
  <c r="E52" i="1"/>
  <c r="D52" i="1"/>
  <c r="E51" i="1"/>
  <c r="D51" i="1"/>
  <c r="D50" i="1"/>
  <c r="E49" i="3" s="1"/>
  <c r="J47" i="1"/>
  <c r="D47" i="1"/>
  <c r="M43" i="1"/>
  <c r="G43" i="1"/>
  <c r="E43" i="1"/>
  <c r="D43" i="1"/>
  <c r="E42" i="1"/>
  <c r="E41" i="3" s="1"/>
  <c r="AA39" i="1"/>
  <c r="Z39" i="1"/>
  <c r="E39" i="1"/>
  <c r="D39" i="1"/>
  <c r="AA38" i="1"/>
  <c r="Z38" i="1"/>
  <c r="G38" i="1"/>
  <c r="F37" i="3" s="1"/>
  <c r="AA37" i="1"/>
  <c r="Z37" i="1"/>
  <c r="AA36" i="1"/>
  <c r="Z36" i="1"/>
  <c r="E36" i="1"/>
  <c r="D36" i="1"/>
  <c r="AA34" i="1"/>
  <c r="Z34" i="1"/>
  <c r="G34" i="1"/>
  <c r="F34" i="1"/>
  <c r="F33" i="3" s="1"/>
  <c r="E34" i="1"/>
  <c r="D34" i="1"/>
  <c r="AA33" i="1"/>
  <c r="Z33" i="1"/>
  <c r="M33" i="1"/>
  <c r="G33" i="1"/>
  <c r="E33" i="1"/>
  <c r="D33" i="1"/>
  <c r="AA32" i="1"/>
  <c r="Z32" i="1"/>
  <c r="Q32" i="1"/>
  <c r="P32" i="1"/>
  <c r="G32" i="1"/>
  <c r="F31" i="3" s="1"/>
  <c r="E32" i="1"/>
  <c r="D32" i="1"/>
  <c r="E31" i="3" s="1"/>
  <c r="A32" i="1"/>
  <c r="A31" i="3" s="1"/>
  <c r="AA31" i="1"/>
  <c r="Z31" i="1"/>
  <c r="G31" i="1"/>
  <c r="F30" i="3" s="1"/>
  <c r="E31" i="1"/>
  <c r="D31" i="1"/>
  <c r="C31" i="1"/>
  <c r="B31" i="1"/>
  <c r="AA30" i="1"/>
  <c r="Z30" i="1"/>
  <c r="D30" i="1"/>
  <c r="E30" i="1" s="1"/>
  <c r="E29" i="3" s="1"/>
  <c r="C30" i="1"/>
  <c r="B30" i="1"/>
  <c r="AA29" i="1"/>
  <c r="Z29" i="1"/>
  <c r="D29" i="1"/>
  <c r="E29" i="1" s="1"/>
  <c r="E28" i="3" s="1"/>
  <c r="C29" i="1"/>
  <c r="B29" i="1"/>
  <c r="AA28" i="1"/>
  <c r="Z28" i="1"/>
  <c r="D28" i="1"/>
  <c r="E28" i="1" s="1"/>
  <c r="E27" i="3" s="1"/>
  <c r="C28" i="1"/>
  <c r="B28" i="1"/>
  <c r="AA27" i="1"/>
  <c r="Z27" i="1"/>
  <c r="D27" i="1"/>
  <c r="E27" i="1" s="1"/>
  <c r="E26" i="3" s="1"/>
  <c r="C27" i="1"/>
  <c r="B27" i="1"/>
  <c r="AA26" i="1"/>
  <c r="Z26" i="1"/>
  <c r="D26" i="1"/>
  <c r="E26" i="1" s="1"/>
  <c r="E25" i="3" s="1"/>
  <c r="C26" i="1"/>
  <c r="B26" i="1"/>
  <c r="AA25" i="1"/>
  <c r="Z25" i="1"/>
  <c r="D25" i="1"/>
  <c r="E25" i="1" s="1"/>
  <c r="E24" i="3" s="1"/>
  <c r="C25" i="1"/>
  <c r="B25" i="1"/>
  <c r="AA24" i="1"/>
  <c r="Z24" i="1"/>
  <c r="D24" i="1"/>
  <c r="E24" i="1" s="1"/>
  <c r="E23" i="3" s="1"/>
  <c r="C24" i="1"/>
  <c r="B24" i="1"/>
  <c r="AA23" i="1"/>
  <c r="Z23" i="1"/>
  <c r="K23" i="1"/>
  <c r="G22" i="3" s="1"/>
  <c r="E23" i="1"/>
  <c r="E22" i="3" s="1"/>
  <c r="C23" i="1"/>
  <c r="B23" i="1"/>
  <c r="AA22" i="1"/>
  <c r="Z22" i="1"/>
  <c r="D22" i="1"/>
  <c r="E22" i="1" s="1"/>
  <c r="E21" i="3" s="1"/>
  <c r="C22" i="1"/>
  <c r="B22" i="1"/>
  <c r="AA21" i="1"/>
  <c r="Z21" i="1"/>
  <c r="J21" i="1"/>
  <c r="D21" i="1"/>
  <c r="E21" i="1" s="1"/>
  <c r="E20" i="3" s="1"/>
  <c r="C21" i="1"/>
  <c r="B21" i="1"/>
  <c r="AA20" i="1"/>
  <c r="Z20" i="1"/>
  <c r="D20" i="1"/>
  <c r="E20" i="1" s="1"/>
  <c r="E19" i="3" s="1"/>
  <c r="C20" i="1"/>
  <c r="B20" i="1"/>
  <c r="AA19" i="1"/>
  <c r="Z19" i="1"/>
  <c r="D19" i="1"/>
  <c r="E19" i="1" s="1"/>
  <c r="E18" i="3" s="1"/>
  <c r="C19" i="1"/>
  <c r="B19" i="1"/>
  <c r="AA18" i="1"/>
  <c r="Z18" i="1"/>
  <c r="D18" i="1"/>
  <c r="E18" i="1" s="1"/>
  <c r="E17" i="3" s="1"/>
  <c r="C18" i="1"/>
  <c r="B18" i="1"/>
  <c r="AA17" i="1"/>
  <c r="Z17" i="1"/>
  <c r="D17" i="1"/>
  <c r="E17" i="1" s="1"/>
  <c r="E16" i="3" s="1"/>
  <c r="C17" i="1"/>
  <c r="B17" i="1"/>
  <c r="AA16" i="1"/>
  <c r="Z16" i="1"/>
  <c r="K16" i="1"/>
  <c r="G15" i="3" s="1"/>
  <c r="D16" i="1"/>
  <c r="E16" i="1" s="1"/>
  <c r="E15" i="3" s="1"/>
  <c r="C16" i="1"/>
  <c r="B16" i="1"/>
  <c r="AA15" i="1"/>
  <c r="Z15" i="1"/>
  <c r="K15" i="1"/>
  <c r="G14" i="3" s="1"/>
  <c r="D15" i="1"/>
  <c r="E15" i="1" s="1"/>
  <c r="E14" i="3" s="1"/>
  <c r="C15" i="1"/>
  <c r="B15" i="1"/>
  <c r="AA14" i="1"/>
  <c r="Z14" i="1"/>
  <c r="D14" i="1"/>
  <c r="E14" i="1" s="1"/>
  <c r="E13" i="3" s="1"/>
  <c r="C14" i="1"/>
  <c r="B14" i="1"/>
  <c r="AA13" i="1"/>
  <c r="Z13" i="1"/>
  <c r="D13" i="1"/>
  <c r="E13" i="1" s="1"/>
  <c r="E12" i="3" s="1"/>
  <c r="C13" i="1"/>
  <c r="B13" i="1"/>
  <c r="AA12" i="1"/>
  <c r="Z12" i="1"/>
  <c r="D12" i="1"/>
  <c r="E12" i="1" s="1"/>
  <c r="E11" i="3" s="1"/>
  <c r="C12" i="1"/>
  <c r="B12" i="1"/>
  <c r="AA11" i="1"/>
  <c r="Z11" i="1"/>
  <c r="D11" i="1"/>
  <c r="E11" i="1" s="1"/>
  <c r="E10" i="3" s="1"/>
  <c r="C11" i="1"/>
  <c r="B11" i="1"/>
  <c r="AA10" i="1"/>
  <c r="Z10" i="1"/>
  <c r="D10" i="1"/>
  <c r="E10" i="1" s="1"/>
  <c r="E9" i="3" s="1"/>
  <c r="C10" i="1"/>
  <c r="B10" i="1"/>
  <c r="AA9" i="1"/>
  <c r="Z9" i="1"/>
  <c r="D9" i="1"/>
  <c r="E9" i="1" s="1"/>
  <c r="E8" i="3" s="1"/>
  <c r="C9" i="1"/>
  <c r="B9" i="1"/>
  <c r="AA8" i="1"/>
  <c r="Z8" i="1"/>
  <c r="D8" i="1"/>
  <c r="E8" i="1" s="1"/>
  <c r="E7" i="3" s="1"/>
  <c r="C8" i="1"/>
  <c r="B8" i="1"/>
  <c r="AA7" i="1"/>
  <c r="Z7" i="1"/>
  <c r="D7" i="1"/>
  <c r="E7" i="1" s="1"/>
  <c r="E6" i="3" s="1"/>
  <c r="C7" i="1"/>
  <c r="B7" i="1"/>
  <c r="Z6" i="1"/>
  <c r="D6" i="1"/>
  <c r="E6" i="1" s="1"/>
  <c r="E5" i="3" s="1"/>
  <c r="C6" i="1"/>
  <c r="B6" i="1"/>
  <c r="Z5" i="1"/>
  <c r="D5" i="1"/>
  <c r="E5" i="1" s="1"/>
  <c r="E4" i="3" s="1"/>
  <c r="C5" i="1"/>
  <c r="B5" i="1"/>
  <c r="Z4" i="1"/>
  <c r="D4" i="1"/>
  <c r="E4" i="1" s="1"/>
  <c r="E3" i="3" s="1"/>
  <c r="C4" i="1"/>
  <c r="B4" i="1"/>
  <c r="Z3" i="1"/>
  <c r="D3" i="1"/>
  <c r="E3" i="1" s="1"/>
  <c r="E2" i="3" s="1"/>
  <c r="C3" i="1"/>
  <c r="B3" i="1"/>
  <c r="F258" i="3"/>
  <c r="E258" i="3"/>
  <c r="C258" i="3"/>
  <c r="F257" i="3"/>
  <c r="E257" i="3"/>
  <c r="C257" i="3"/>
  <c r="F256" i="3"/>
  <c r="E256" i="3"/>
  <c r="C256" i="3"/>
  <c r="F255" i="3"/>
  <c r="E255" i="3"/>
  <c r="C255" i="3"/>
  <c r="F254" i="3"/>
  <c r="E254" i="3"/>
  <c r="C254" i="3"/>
  <c r="F253" i="3"/>
  <c r="E253" i="3"/>
  <c r="C253" i="3"/>
  <c r="F252" i="3"/>
  <c r="E252" i="3"/>
  <c r="C252" i="3"/>
  <c r="F251" i="3"/>
  <c r="E251" i="3"/>
  <c r="C251" i="3"/>
  <c r="F250" i="3"/>
  <c r="E250" i="3"/>
  <c r="C250" i="3"/>
  <c r="F249" i="3"/>
  <c r="E249" i="3"/>
  <c r="C249" i="3"/>
  <c r="F248" i="3"/>
  <c r="E248" i="3"/>
  <c r="C248" i="3"/>
  <c r="F247" i="3"/>
  <c r="E247" i="3"/>
  <c r="C247" i="3"/>
  <c r="F246" i="3"/>
  <c r="E246" i="3"/>
  <c r="C246" i="3"/>
  <c r="F245" i="3"/>
  <c r="E245" i="3"/>
  <c r="C245" i="3"/>
  <c r="F244" i="3"/>
  <c r="E244" i="3"/>
  <c r="C244" i="3"/>
  <c r="F243" i="3"/>
  <c r="E243" i="3"/>
  <c r="C243" i="3"/>
  <c r="F242" i="3"/>
  <c r="E242" i="3"/>
  <c r="C242" i="3"/>
  <c r="F241" i="3"/>
  <c r="E241" i="3"/>
  <c r="C241" i="3"/>
  <c r="F240" i="3"/>
  <c r="E240" i="3"/>
  <c r="C240" i="3"/>
  <c r="F239" i="3"/>
  <c r="E239" i="3"/>
  <c r="C239" i="3"/>
  <c r="F238" i="3"/>
  <c r="E238" i="3"/>
  <c r="C238" i="3"/>
  <c r="F237" i="3"/>
  <c r="E237" i="3"/>
  <c r="C237" i="3"/>
  <c r="F236" i="3"/>
  <c r="E236" i="3"/>
  <c r="C236" i="3"/>
  <c r="F235" i="3"/>
  <c r="E235" i="3"/>
  <c r="C235" i="3"/>
  <c r="F234" i="3"/>
  <c r="E234" i="3"/>
  <c r="C234" i="3"/>
  <c r="F233" i="3"/>
  <c r="E233" i="3"/>
  <c r="C233" i="3"/>
  <c r="F232" i="3"/>
  <c r="E232" i="3"/>
  <c r="C232" i="3"/>
  <c r="F231" i="3"/>
  <c r="E231" i="3"/>
  <c r="C231" i="3"/>
  <c r="F230" i="3"/>
  <c r="E230" i="3"/>
  <c r="C230" i="3"/>
  <c r="F229" i="3"/>
  <c r="E229" i="3"/>
  <c r="C229" i="3"/>
  <c r="F228" i="3"/>
  <c r="E228" i="3"/>
  <c r="C228" i="3"/>
  <c r="F227" i="3"/>
  <c r="E227" i="3"/>
  <c r="C227" i="3"/>
  <c r="F226" i="3"/>
  <c r="E226" i="3"/>
  <c r="C226" i="3"/>
  <c r="F225" i="3"/>
  <c r="E225" i="3"/>
  <c r="C225" i="3"/>
  <c r="F224" i="3"/>
  <c r="E224" i="3"/>
  <c r="C224" i="3"/>
  <c r="F223" i="3"/>
  <c r="E223" i="3"/>
  <c r="C223" i="3"/>
  <c r="F222" i="3"/>
  <c r="E222" i="3"/>
  <c r="C222" i="3"/>
  <c r="F221" i="3"/>
  <c r="E221" i="3"/>
  <c r="C221" i="3"/>
  <c r="F220" i="3"/>
  <c r="E220" i="3"/>
  <c r="C220" i="3"/>
  <c r="F219" i="3"/>
  <c r="E219" i="3"/>
  <c r="C219" i="3"/>
  <c r="F218" i="3"/>
  <c r="E218" i="3"/>
  <c r="C218" i="3"/>
  <c r="F217" i="3"/>
  <c r="E217" i="3"/>
  <c r="C217" i="3"/>
  <c r="F216" i="3"/>
  <c r="E216" i="3"/>
  <c r="C216" i="3"/>
  <c r="F215" i="3"/>
  <c r="E215" i="3"/>
  <c r="C215" i="3"/>
  <c r="F214" i="3"/>
  <c r="E214" i="3"/>
  <c r="C214" i="3"/>
  <c r="F213" i="3"/>
  <c r="E213" i="3"/>
  <c r="C213" i="3"/>
  <c r="F212" i="3"/>
  <c r="E212" i="3"/>
  <c r="C212" i="3"/>
  <c r="F211" i="3"/>
  <c r="E211" i="3"/>
  <c r="C211" i="3"/>
  <c r="F210" i="3"/>
  <c r="E210" i="3"/>
  <c r="C210" i="3"/>
  <c r="F209" i="3"/>
  <c r="E209" i="3"/>
  <c r="C209" i="3"/>
  <c r="F208" i="3"/>
  <c r="E208" i="3"/>
  <c r="C208" i="3"/>
  <c r="F207" i="3"/>
  <c r="E207" i="3"/>
  <c r="C207" i="3"/>
  <c r="F206" i="3"/>
  <c r="E206" i="3"/>
  <c r="C206" i="3"/>
  <c r="F205" i="3"/>
  <c r="E205" i="3"/>
  <c r="C205" i="3"/>
  <c r="F204" i="3"/>
  <c r="E204" i="3"/>
  <c r="C204" i="3"/>
  <c r="F203" i="3"/>
  <c r="E203" i="3"/>
  <c r="C203" i="3"/>
  <c r="F202" i="3"/>
  <c r="E202" i="3"/>
  <c r="C202" i="3"/>
  <c r="F201" i="3"/>
  <c r="E201" i="3"/>
  <c r="C201" i="3"/>
  <c r="F200" i="3"/>
  <c r="E200" i="3"/>
  <c r="C200" i="3"/>
  <c r="F199" i="3"/>
  <c r="E199" i="3"/>
  <c r="C199" i="3"/>
  <c r="F198" i="3"/>
  <c r="E198" i="3"/>
  <c r="C198" i="3"/>
  <c r="F197" i="3"/>
  <c r="E197" i="3"/>
  <c r="C197" i="3"/>
  <c r="F196" i="3"/>
  <c r="E196" i="3"/>
  <c r="C196" i="3"/>
  <c r="F195" i="3"/>
  <c r="E195" i="3"/>
  <c r="C195" i="3"/>
  <c r="F194" i="3"/>
  <c r="E194" i="3"/>
  <c r="C194" i="3"/>
  <c r="F193" i="3"/>
  <c r="E193" i="3"/>
  <c r="C193" i="3"/>
  <c r="F192" i="3"/>
  <c r="E192" i="3"/>
  <c r="C192" i="3"/>
  <c r="F191" i="3"/>
  <c r="E191" i="3"/>
  <c r="C191" i="3"/>
  <c r="F190" i="3"/>
  <c r="E190" i="3"/>
  <c r="C190" i="3"/>
  <c r="F189" i="3"/>
  <c r="E189" i="3"/>
  <c r="C189" i="3"/>
  <c r="F188" i="3"/>
  <c r="E188" i="3"/>
  <c r="A188" i="3"/>
  <c r="F187" i="3"/>
  <c r="E187" i="3"/>
  <c r="F186" i="3"/>
  <c r="E186" i="3"/>
  <c r="F185" i="3"/>
  <c r="E185" i="3"/>
  <c r="F184" i="3"/>
  <c r="E184" i="3"/>
  <c r="F183" i="3"/>
  <c r="E183" i="3"/>
  <c r="F182" i="3"/>
  <c r="E182" i="3"/>
  <c r="F181" i="3"/>
  <c r="E181" i="3"/>
  <c r="F180" i="3"/>
  <c r="E180" i="3"/>
  <c r="F179" i="3"/>
  <c r="E179" i="3"/>
  <c r="F178" i="3"/>
  <c r="E178" i="3"/>
  <c r="F177" i="3"/>
  <c r="E177" i="3"/>
  <c r="F176" i="3"/>
  <c r="E176" i="3"/>
  <c r="F175" i="3"/>
  <c r="E175" i="3"/>
  <c r="F174" i="3"/>
  <c r="E174" i="3"/>
  <c r="F173" i="3"/>
  <c r="E173" i="3"/>
  <c r="F172" i="3"/>
  <c r="E172" i="3"/>
  <c r="F171" i="3"/>
  <c r="E171" i="3"/>
  <c r="F170" i="3"/>
  <c r="E170" i="3"/>
  <c r="F169" i="3"/>
  <c r="E169" i="3"/>
  <c r="F168" i="3"/>
  <c r="E168" i="3"/>
  <c r="F167" i="3"/>
  <c r="E167" i="3"/>
  <c r="F166" i="3"/>
  <c r="E166" i="3"/>
  <c r="F165" i="3"/>
  <c r="E165" i="3"/>
  <c r="F164" i="3"/>
  <c r="E164" i="3"/>
  <c r="F163" i="3"/>
  <c r="E163" i="3"/>
  <c r="F162" i="3"/>
  <c r="E162" i="3"/>
  <c r="F161" i="3"/>
  <c r="E161" i="3"/>
  <c r="F160" i="3"/>
  <c r="E160" i="3"/>
  <c r="F159" i="3"/>
  <c r="E159" i="3"/>
  <c r="F158" i="3"/>
  <c r="E158" i="3"/>
  <c r="F157" i="3"/>
  <c r="E157" i="3"/>
  <c r="F156" i="3"/>
  <c r="E156" i="3"/>
  <c r="F155" i="3"/>
  <c r="E155" i="3"/>
  <c r="F154" i="3"/>
  <c r="E154" i="3"/>
  <c r="F153" i="3"/>
  <c r="E153" i="3"/>
  <c r="F152" i="3"/>
  <c r="E152" i="3"/>
  <c r="F151" i="3"/>
  <c r="E151" i="3"/>
  <c r="F150" i="3"/>
  <c r="E150" i="3"/>
  <c r="F149" i="3"/>
  <c r="E149" i="3"/>
  <c r="F148" i="3"/>
  <c r="E148" i="3"/>
  <c r="F147" i="3"/>
  <c r="E147" i="3"/>
  <c r="F146" i="3"/>
  <c r="E146" i="3"/>
  <c r="F145" i="3"/>
  <c r="E145" i="3"/>
  <c r="F144" i="3"/>
  <c r="E144" i="3"/>
  <c r="F143" i="3"/>
  <c r="E143" i="3"/>
  <c r="F142" i="3"/>
  <c r="E142" i="3"/>
  <c r="F141" i="3"/>
  <c r="E141" i="3"/>
  <c r="F140" i="3"/>
  <c r="E140" i="3"/>
  <c r="F139" i="3"/>
  <c r="E139" i="3"/>
  <c r="F138" i="3"/>
  <c r="E138" i="3"/>
  <c r="F137" i="3"/>
  <c r="E137" i="3"/>
  <c r="F136" i="3"/>
  <c r="E136" i="3"/>
  <c r="F135" i="3"/>
  <c r="E135" i="3"/>
  <c r="F134" i="3"/>
  <c r="E134" i="3"/>
  <c r="F133" i="3"/>
  <c r="E133" i="3"/>
  <c r="F132" i="3"/>
  <c r="E132" i="3"/>
  <c r="F131" i="3"/>
  <c r="E131" i="3"/>
  <c r="F130" i="3"/>
  <c r="E130" i="3"/>
  <c r="F129" i="3"/>
  <c r="E129" i="3"/>
  <c r="F128" i="3"/>
  <c r="E128" i="3"/>
  <c r="F127" i="3"/>
  <c r="E127" i="3"/>
  <c r="F126" i="3"/>
  <c r="E126" i="3"/>
  <c r="F125" i="3"/>
  <c r="E125" i="3"/>
  <c r="F124" i="3"/>
  <c r="E124" i="3"/>
  <c r="F123" i="3"/>
  <c r="E123" i="3"/>
  <c r="F122" i="3"/>
  <c r="E122" i="3"/>
  <c r="F121" i="3"/>
  <c r="E121" i="3"/>
  <c r="F120" i="3"/>
  <c r="E120" i="3"/>
  <c r="F119" i="3"/>
  <c r="E119" i="3"/>
  <c r="F118" i="3"/>
  <c r="E118" i="3"/>
  <c r="F117" i="3"/>
  <c r="E117" i="3"/>
  <c r="F116" i="3"/>
  <c r="E116" i="3"/>
  <c r="F115" i="3"/>
  <c r="E115" i="3"/>
  <c r="F114" i="3"/>
  <c r="E114" i="3"/>
  <c r="F113" i="3"/>
  <c r="E113" i="3"/>
  <c r="F112" i="3"/>
  <c r="E112" i="3"/>
  <c r="F111" i="3"/>
  <c r="E111" i="3"/>
  <c r="F110" i="3"/>
  <c r="E110" i="3"/>
  <c r="F109" i="3"/>
  <c r="E109" i="3"/>
  <c r="F108" i="3"/>
  <c r="E108" i="3"/>
  <c r="F107" i="3"/>
  <c r="E107" i="3"/>
  <c r="F106" i="3"/>
  <c r="E106" i="3"/>
  <c r="F105" i="3"/>
  <c r="E105" i="3"/>
  <c r="F104" i="3"/>
  <c r="E104" i="3"/>
  <c r="F103" i="3"/>
  <c r="E103" i="3"/>
  <c r="F102" i="3"/>
  <c r="E102" i="3"/>
  <c r="F101" i="3"/>
  <c r="E101" i="3"/>
  <c r="F100" i="3"/>
  <c r="E100" i="3"/>
  <c r="F99" i="3"/>
  <c r="E99" i="3"/>
  <c r="F98" i="3"/>
  <c r="E98" i="3"/>
  <c r="F97" i="3"/>
  <c r="E97" i="3"/>
  <c r="F96" i="3"/>
  <c r="E96" i="3"/>
  <c r="F95" i="3"/>
  <c r="E95" i="3"/>
  <c r="F94" i="3"/>
  <c r="E94" i="3"/>
  <c r="F93" i="3"/>
  <c r="E93" i="3"/>
  <c r="F92" i="3"/>
  <c r="E92" i="3"/>
  <c r="F91" i="3"/>
  <c r="E91" i="3"/>
  <c r="F90" i="3"/>
  <c r="E90" i="3"/>
  <c r="F89" i="3"/>
  <c r="E89" i="3"/>
  <c r="F88" i="3"/>
  <c r="E88" i="3"/>
  <c r="F87" i="3"/>
  <c r="E87" i="3"/>
  <c r="F86" i="3"/>
  <c r="E86" i="3"/>
  <c r="F85" i="3"/>
  <c r="E85" i="3"/>
  <c r="F84" i="3"/>
  <c r="E84" i="3"/>
  <c r="F83" i="3"/>
  <c r="E83" i="3"/>
  <c r="F82" i="3"/>
  <c r="E82" i="3"/>
  <c r="F80" i="3"/>
  <c r="E80" i="3"/>
  <c r="F78" i="3"/>
  <c r="E78" i="3"/>
  <c r="F74" i="3"/>
  <c r="F73" i="3"/>
  <c r="E73" i="3"/>
  <c r="F72" i="3"/>
  <c r="E72" i="3"/>
  <c r="F71" i="3"/>
  <c r="E71" i="3"/>
  <c r="F70" i="3"/>
  <c r="E70" i="3"/>
  <c r="F69" i="3"/>
  <c r="E69" i="3"/>
  <c r="F68" i="3"/>
  <c r="E68" i="3"/>
  <c r="E65" i="3"/>
  <c r="F63" i="3"/>
  <c r="E63" i="3"/>
  <c r="A62" i="3"/>
  <c r="B62" i="3" s="1"/>
  <c r="F58" i="3"/>
  <c r="E58" i="3"/>
  <c r="F53" i="3"/>
  <c r="E53" i="3"/>
  <c r="F50" i="3"/>
  <c r="F49" i="3"/>
  <c r="F48" i="3"/>
  <c r="E48" i="3"/>
  <c r="F47" i="3"/>
  <c r="E47" i="3"/>
  <c r="F46" i="3"/>
  <c r="F45" i="3"/>
  <c r="E45" i="3"/>
  <c r="F44" i="3"/>
  <c r="E44" i="3"/>
  <c r="F43" i="3"/>
  <c r="E43" i="3"/>
  <c r="F41" i="3"/>
  <c r="F40" i="3"/>
  <c r="E40" i="3"/>
  <c r="F39" i="3"/>
  <c r="E39" i="3"/>
  <c r="F38" i="3"/>
  <c r="E37" i="3"/>
  <c r="F36" i="3"/>
  <c r="E36" i="3"/>
  <c r="F35" i="3"/>
  <c r="F34" i="3"/>
  <c r="E34" i="3"/>
  <c r="A30" i="3"/>
  <c r="F29" i="3"/>
  <c r="A29" i="3"/>
  <c r="F28" i="3"/>
  <c r="A28" i="3"/>
  <c r="F27" i="3"/>
  <c r="A27" i="3"/>
  <c r="F26" i="3"/>
  <c r="A26" i="3"/>
  <c r="F25" i="3"/>
  <c r="A25" i="3"/>
  <c r="F24" i="3"/>
  <c r="A24" i="3"/>
  <c r="F23" i="3"/>
  <c r="A23" i="3"/>
  <c r="F22" i="3"/>
  <c r="A22" i="3"/>
  <c r="F21" i="3"/>
  <c r="A21" i="3"/>
  <c r="F20" i="3"/>
  <c r="A20" i="3"/>
  <c r="F19" i="3"/>
  <c r="A19" i="3"/>
  <c r="F18" i="3"/>
  <c r="A18" i="3"/>
  <c r="F17" i="3"/>
  <c r="A17" i="3"/>
  <c r="F16" i="3"/>
  <c r="A16" i="3"/>
  <c r="F15" i="3"/>
  <c r="A15" i="3"/>
  <c r="F14" i="3"/>
  <c r="A14" i="3"/>
  <c r="F13" i="3"/>
  <c r="A13" i="3"/>
  <c r="F12" i="3"/>
  <c r="A12" i="3"/>
  <c r="F11" i="3"/>
  <c r="A11" i="3"/>
  <c r="F10" i="3"/>
  <c r="A10" i="3"/>
  <c r="F9" i="3"/>
  <c r="A9" i="3"/>
  <c r="F8" i="3"/>
  <c r="A8" i="3"/>
  <c r="F7" i="3"/>
  <c r="A7" i="3"/>
  <c r="F6" i="3"/>
  <c r="A6" i="3"/>
  <c r="F5" i="3"/>
  <c r="A5" i="3"/>
  <c r="F4" i="3"/>
  <c r="A4" i="3"/>
  <c r="F3" i="3"/>
  <c r="A3" i="3"/>
  <c r="H2" i="3"/>
  <c r="G2" i="3"/>
  <c r="F2" i="3"/>
  <c r="A2" i="3"/>
  <c r="K57" i="11"/>
  <c r="K52" i="11"/>
  <c r="M49" i="11"/>
  <c r="M40" i="11" s="1"/>
  <c r="M48" i="11"/>
  <c r="M39" i="11" s="1"/>
  <c r="L48" i="11"/>
  <c r="L39" i="11" s="1"/>
  <c r="K48" i="11"/>
  <c r="K39" i="11" s="1"/>
  <c r="M47" i="11"/>
  <c r="M38" i="11" s="1"/>
  <c r="L47" i="11"/>
  <c r="L38" i="11" s="1"/>
  <c r="K47" i="11"/>
  <c r="K38" i="11" s="1"/>
  <c r="M45" i="11"/>
  <c r="M36" i="11" s="1"/>
  <c r="M44" i="11"/>
  <c r="M35" i="11" s="1"/>
  <c r="K44" i="11"/>
  <c r="K35" i="11" s="1"/>
  <c r="M43" i="11"/>
  <c r="M34" i="11" s="1"/>
  <c r="K43" i="11"/>
  <c r="K34" i="11" s="1"/>
  <c r="B19" i="11"/>
  <c r="B5" i="11"/>
  <c r="C4" i="11"/>
  <c r="C5" i="11" s="1"/>
  <c r="C18" i="16"/>
  <c r="C7" i="16"/>
  <c r="E30" i="3" l="1"/>
  <c r="N30" i="3" s="1"/>
  <c r="E158" i="4"/>
  <c r="G157" i="4"/>
  <c r="D161" i="4"/>
  <c r="C161" i="4"/>
  <c r="G160" i="4"/>
  <c r="F160" i="4"/>
  <c r="E160" i="4"/>
  <c r="D160" i="4"/>
  <c r="C160" i="4"/>
  <c r="G159" i="4"/>
  <c r="F159" i="4"/>
  <c r="E159" i="4"/>
  <c r="D159" i="4"/>
  <c r="C159" i="4"/>
  <c r="G158" i="4"/>
  <c r="F158" i="4"/>
  <c r="D158" i="4"/>
  <c r="C158" i="4"/>
  <c r="E35" i="3"/>
  <c r="N35" i="3" s="1"/>
  <c r="R39" i="11"/>
  <c r="C48" i="11"/>
  <c r="B48" i="11" s="1"/>
  <c r="R37" i="11"/>
  <c r="R36" i="11"/>
  <c r="C45" i="11"/>
  <c r="B45" i="11" s="1"/>
  <c r="R35" i="11"/>
  <c r="C44" i="11"/>
  <c r="B44" i="11" s="1"/>
  <c r="R34" i="11"/>
  <c r="E32" i="3"/>
  <c r="N32" i="3" s="1"/>
  <c r="E79" i="3"/>
  <c r="N79" i="3" s="1"/>
  <c r="AO52" i="4"/>
  <c r="H76" i="3"/>
  <c r="AQ52" i="4"/>
  <c r="F79" i="3"/>
  <c r="O79" i="3" s="1"/>
  <c r="AQ50" i="4"/>
  <c r="F77" i="3"/>
  <c r="O77" i="3" s="1"/>
  <c r="AQ49" i="4"/>
  <c r="F76" i="3"/>
  <c r="O76" i="3" s="1"/>
  <c r="F75" i="3"/>
  <c r="O75" i="3" s="1"/>
  <c r="AQ48" i="4"/>
  <c r="G76" i="3"/>
  <c r="E75" i="3"/>
  <c r="N75" i="3" s="1"/>
  <c r="AO48" i="4"/>
  <c r="E77" i="3"/>
  <c r="N77" i="3" s="1"/>
  <c r="AO50" i="4"/>
  <c r="AO49" i="4"/>
  <c r="E76" i="3"/>
  <c r="N76" i="3" s="1"/>
  <c r="E38" i="3"/>
  <c r="N38" i="3" s="1"/>
  <c r="Y41" i="3"/>
  <c r="S75" i="3"/>
  <c r="E50" i="3"/>
  <c r="N50" i="3" s="1"/>
  <c r="E52" i="3"/>
  <c r="E42" i="3"/>
  <c r="N42" i="3" s="1"/>
  <c r="F59" i="3"/>
  <c r="O59" i="3" s="1"/>
  <c r="N59" i="3"/>
  <c r="O57" i="3"/>
  <c r="N57" i="3"/>
  <c r="N56" i="3"/>
  <c r="O55" i="3"/>
  <c r="N55" i="3"/>
  <c r="O54" i="3"/>
  <c r="N54" i="3"/>
  <c r="O52" i="3"/>
  <c r="N52" i="3"/>
  <c r="O51" i="3"/>
  <c r="N49" i="3"/>
  <c r="N41" i="3"/>
  <c r="O37" i="3"/>
  <c r="O33" i="3"/>
  <c r="E33" i="3"/>
  <c r="N33" i="3" s="1"/>
  <c r="O31" i="3"/>
  <c r="N31" i="3"/>
  <c r="O30" i="3"/>
  <c r="N29" i="3"/>
  <c r="N28" i="3"/>
  <c r="N27" i="3"/>
  <c r="N26" i="3"/>
  <c r="N25" i="3"/>
  <c r="N24" i="3"/>
  <c r="N23" i="3"/>
  <c r="N22" i="3"/>
  <c r="N21" i="3"/>
  <c r="N20" i="3"/>
  <c r="N19" i="3"/>
  <c r="N18" i="3"/>
  <c r="N17" i="3"/>
  <c r="N16" i="3"/>
  <c r="N15" i="3"/>
  <c r="N14" i="3"/>
  <c r="N13" i="3"/>
  <c r="N12" i="3"/>
  <c r="N11" i="3"/>
  <c r="N10" i="3"/>
  <c r="N9" i="3"/>
  <c r="N8" i="3"/>
  <c r="N7" i="3"/>
  <c r="N6" i="3"/>
  <c r="N5" i="3"/>
  <c r="N4" i="3"/>
  <c r="N3" i="3"/>
  <c r="N2"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89" i="3"/>
  <c r="N89" i="3"/>
  <c r="O88" i="3"/>
  <c r="N88" i="3"/>
  <c r="O87" i="3"/>
  <c r="N87" i="3"/>
  <c r="O86" i="3"/>
  <c r="N86" i="3"/>
  <c r="O85" i="3"/>
  <c r="N85" i="3"/>
  <c r="O84" i="3"/>
  <c r="N84" i="3"/>
  <c r="O83" i="3"/>
  <c r="N83" i="3"/>
  <c r="O82" i="3"/>
  <c r="N82" i="3"/>
  <c r="O81" i="3"/>
  <c r="N81" i="3"/>
  <c r="O80" i="3"/>
  <c r="N80" i="3"/>
  <c r="O78" i="3"/>
  <c r="N78" i="3"/>
  <c r="O73" i="3"/>
  <c r="N73" i="3"/>
  <c r="O72" i="3"/>
  <c r="N72" i="3"/>
  <c r="O71" i="3"/>
  <c r="N71" i="3"/>
  <c r="O70" i="3"/>
  <c r="N70" i="3"/>
  <c r="O69" i="3"/>
  <c r="N69" i="3"/>
  <c r="O68" i="3"/>
  <c r="N68" i="3"/>
  <c r="O63" i="3"/>
  <c r="N63" i="3"/>
  <c r="O58" i="3"/>
  <c r="N58" i="3"/>
  <c r="O53" i="3"/>
  <c r="N53" i="3"/>
  <c r="O50" i="3"/>
  <c r="O49" i="3"/>
  <c r="O48" i="3"/>
  <c r="N48" i="3"/>
  <c r="O47" i="3"/>
  <c r="N47" i="3"/>
  <c r="O46" i="3"/>
  <c r="O45" i="3"/>
  <c r="N45" i="3"/>
  <c r="O44" i="3"/>
  <c r="N44" i="3"/>
  <c r="O43" i="3"/>
  <c r="N43" i="3"/>
  <c r="O41" i="3"/>
  <c r="O40" i="3"/>
  <c r="N40" i="3"/>
  <c r="O39" i="3"/>
  <c r="N39" i="3"/>
  <c r="O38" i="3"/>
  <c r="N37" i="3"/>
  <c r="O36" i="3"/>
  <c r="N36" i="3"/>
  <c r="O35" i="3"/>
  <c r="O34" i="3"/>
  <c r="N34" i="3"/>
  <c r="O29" i="3"/>
  <c r="O28" i="3"/>
  <c r="O27" i="3"/>
  <c r="O26" i="3"/>
  <c r="O25" i="3"/>
  <c r="O24" i="3"/>
  <c r="O23" i="3"/>
  <c r="O22" i="3"/>
  <c r="O21" i="3"/>
  <c r="O20" i="3"/>
  <c r="O19" i="3"/>
  <c r="O18" i="3"/>
  <c r="O17" i="3"/>
  <c r="O16" i="3"/>
  <c r="O15" i="3"/>
  <c r="O14" i="3"/>
  <c r="O13" i="3"/>
  <c r="O12" i="3"/>
  <c r="O11" i="3"/>
  <c r="O10" i="3"/>
  <c r="O9" i="3"/>
  <c r="O8" i="3"/>
  <c r="O7" i="3"/>
  <c r="O6" i="3"/>
  <c r="O5" i="3"/>
  <c r="O4" i="3"/>
  <c r="O3" i="3"/>
  <c r="O2" i="3"/>
  <c r="AR5" i="4"/>
  <c r="F32" i="3"/>
  <c r="O32" i="3" s="1"/>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AQ29" i="4"/>
  <c r="F56" i="3"/>
  <c r="O56" i="3" s="1"/>
  <c r="AO24" i="4"/>
  <c r="E51" i="3"/>
  <c r="N51" i="3" s="1"/>
  <c r="AO19" i="4"/>
  <c r="E46" i="3"/>
  <c r="N46" i="3" s="1"/>
  <c r="AR15" i="4"/>
  <c r="F42" i="3"/>
  <c r="O42" i="3" s="1"/>
  <c r="H66" i="3"/>
  <c r="H64" i="3"/>
  <c r="AO47" i="4"/>
  <c r="E74" i="3"/>
  <c r="N74" i="3" s="1"/>
  <c r="O74" i="3"/>
  <c r="Q161" i="4"/>
  <c r="E161" i="4" s="1"/>
  <c r="R161" i="4"/>
  <c r="F161" i="4" s="1"/>
  <c r="S161" i="4"/>
  <c r="G161" i="4" s="1"/>
  <c r="V82" i="13"/>
  <c r="U82" i="13"/>
  <c r="T82" i="13"/>
  <c r="S82" i="13"/>
  <c r="R82" i="13"/>
  <c r="Q82" i="13"/>
  <c r="O82" i="13"/>
  <c r="N82" i="13"/>
  <c r="P82" i="13"/>
  <c r="AQ37" i="4"/>
  <c r="F64" i="3"/>
  <c r="O64" i="3" s="1"/>
  <c r="AO35" i="4"/>
  <c r="E62" i="3"/>
  <c r="N62" i="3" s="1"/>
  <c r="AQ35" i="4"/>
  <c r="F62" i="3"/>
  <c r="O62" i="3" s="1"/>
  <c r="AR34" i="4"/>
  <c r="F61" i="3"/>
  <c r="O61" i="3" s="1"/>
  <c r="AQ33" i="4"/>
  <c r="F60" i="3"/>
  <c r="O60" i="3" s="1"/>
  <c r="N218" i="13"/>
  <c r="S40" i="4"/>
  <c r="G40" i="4" s="1"/>
  <c r="C245" i="13"/>
  <c r="C246" i="13" s="1"/>
  <c r="C247" i="13" s="1"/>
  <c r="P177" i="13" s="1"/>
  <c r="R157" i="4"/>
  <c r="F157" i="4" s="1"/>
  <c r="Q157" i="4"/>
  <c r="E157" i="4" s="1"/>
  <c r="P157" i="4"/>
  <c r="D157" i="4" s="1"/>
  <c r="O157" i="4"/>
  <c r="C157" i="4" s="1"/>
  <c r="S156" i="4"/>
  <c r="G156" i="4" s="1"/>
  <c r="R156" i="4"/>
  <c r="F156" i="4" s="1"/>
  <c r="Q156" i="4"/>
  <c r="E156" i="4" s="1"/>
  <c r="P156" i="4"/>
  <c r="D156" i="4" s="1"/>
  <c r="O156" i="4"/>
  <c r="C156" i="4" s="1"/>
  <c r="S155" i="4"/>
  <c r="G155" i="4" s="1"/>
  <c r="R155" i="4"/>
  <c r="F155" i="4" s="1"/>
  <c r="Q155" i="4"/>
  <c r="E155" i="4" s="1"/>
  <c r="P155" i="4"/>
  <c r="D155" i="4" s="1"/>
  <c r="O155" i="4"/>
  <c r="C155" i="4" s="1"/>
  <c r="S154" i="4"/>
  <c r="G154" i="4" s="1"/>
  <c r="R154" i="4"/>
  <c r="F154" i="4" s="1"/>
  <c r="Q154" i="4"/>
  <c r="E154" i="4" s="1"/>
  <c r="P154" i="4"/>
  <c r="D154" i="4" s="1"/>
  <c r="O154" i="4"/>
  <c r="C154" i="4" s="1"/>
  <c r="S153" i="4"/>
  <c r="G153" i="4" s="1"/>
  <c r="R153" i="4"/>
  <c r="F153" i="4" s="1"/>
  <c r="Q153" i="4"/>
  <c r="E153" i="4" s="1"/>
  <c r="P153" i="4"/>
  <c r="D153" i="4" s="1"/>
  <c r="O153" i="4"/>
  <c r="C153" i="4" s="1"/>
  <c r="S152" i="4"/>
  <c r="G152" i="4" s="1"/>
  <c r="R152" i="4"/>
  <c r="F152" i="4" s="1"/>
  <c r="Q152" i="4"/>
  <c r="E152" i="4" s="1"/>
  <c r="P152" i="4"/>
  <c r="D152" i="4" s="1"/>
  <c r="O152" i="4"/>
  <c r="C152" i="4" s="1"/>
  <c r="S151" i="4"/>
  <c r="G151" i="4" s="1"/>
  <c r="R151" i="4"/>
  <c r="F151" i="4" s="1"/>
  <c r="Q151" i="4"/>
  <c r="E151" i="4" s="1"/>
  <c r="P151" i="4"/>
  <c r="D151" i="4" s="1"/>
  <c r="O151" i="4"/>
  <c r="C151" i="4" s="1"/>
  <c r="S150" i="4"/>
  <c r="G150" i="4" s="1"/>
  <c r="R150" i="4"/>
  <c r="F150" i="4" s="1"/>
  <c r="Q150" i="4"/>
  <c r="E150" i="4" s="1"/>
  <c r="P150" i="4"/>
  <c r="D150" i="4" s="1"/>
  <c r="O150" i="4"/>
  <c r="C150" i="4" s="1"/>
  <c r="S149" i="4"/>
  <c r="G149" i="4" s="1"/>
  <c r="R149" i="4"/>
  <c r="F149" i="4" s="1"/>
  <c r="Q149" i="4"/>
  <c r="E149" i="4" s="1"/>
  <c r="P149" i="4"/>
  <c r="D149" i="4" s="1"/>
  <c r="O149" i="4"/>
  <c r="C149" i="4" s="1"/>
  <c r="S148" i="4"/>
  <c r="G148" i="4" s="1"/>
  <c r="R148" i="4"/>
  <c r="F148" i="4" s="1"/>
  <c r="Q148" i="4"/>
  <c r="E148" i="4" s="1"/>
  <c r="P148" i="4"/>
  <c r="D148" i="4" s="1"/>
  <c r="O148" i="4"/>
  <c r="C148" i="4" s="1"/>
  <c r="S147" i="4"/>
  <c r="G147" i="4" s="1"/>
  <c r="R147" i="4"/>
  <c r="F147" i="4" s="1"/>
  <c r="Q147" i="4"/>
  <c r="E147" i="4" s="1"/>
  <c r="P147" i="4"/>
  <c r="D147" i="4" s="1"/>
  <c r="O147" i="4"/>
  <c r="C147" i="4" s="1"/>
  <c r="S146" i="4"/>
  <c r="G146" i="4" s="1"/>
  <c r="R146" i="4"/>
  <c r="F146" i="4" s="1"/>
  <c r="Q146" i="4"/>
  <c r="E146" i="4" s="1"/>
  <c r="P146" i="4"/>
  <c r="D146" i="4" s="1"/>
  <c r="O146" i="4"/>
  <c r="C146" i="4" s="1"/>
  <c r="S145" i="4"/>
  <c r="G145" i="4" s="1"/>
  <c r="R145" i="4"/>
  <c r="F145" i="4" s="1"/>
  <c r="Q145" i="4"/>
  <c r="E145" i="4" s="1"/>
  <c r="P145" i="4"/>
  <c r="D145" i="4" s="1"/>
  <c r="O145" i="4"/>
  <c r="C145" i="4" s="1"/>
  <c r="S144" i="4"/>
  <c r="G144" i="4" s="1"/>
  <c r="R144" i="4"/>
  <c r="F144" i="4" s="1"/>
  <c r="Q144" i="4"/>
  <c r="E144" i="4" s="1"/>
  <c r="P144" i="4"/>
  <c r="D144" i="4" s="1"/>
  <c r="O144" i="4"/>
  <c r="C144" i="4" s="1"/>
  <c r="S143" i="4"/>
  <c r="G143" i="4" s="1"/>
  <c r="R143" i="4"/>
  <c r="F143" i="4" s="1"/>
  <c r="Q143" i="4"/>
  <c r="E143" i="4" s="1"/>
  <c r="P143" i="4"/>
  <c r="D143" i="4" s="1"/>
  <c r="O143" i="4"/>
  <c r="C143" i="4" s="1"/>
  <c r="S142" i="4"/>
  <c r="G142" i="4" s="1"/>
  <c r="R142" i="4"/>
  <c r="F142" i="4" s="1"/>
  <c r="Q142" i="4"/>
  <c r="E142" i="4" s="1"/>
  <c r="P142" i="4"/>
  <c r="D142" i="4" s="1"/>
  <c r="O142" i="4"/>
  <c r="C142" i="4" s="1"/>
  <c r="S141" i="4"/>
  <c r="G141" i="4" s="1"/>
  <c r="R141" i="4"/>
  <c r="F141" i="4" s="1"/>
  <c r="Q141" i="4"/>
  <c r="E141" i="4" s="1"/>
  <c r="P141" i="4"/>
  <c r="D141" i="4" s="1"/>
  <c r="O141" i="4"/>
  <c r="C141" i="4" s="1"/>
  <c r="S140" i="4"/>
  <c r="G140" i="4" s="1"/>
  <c r="R140" i="4"/>
  <c r="F140" i="4" s="1"/>
  <c r="Q140" i="4"/>
  <c r="E140" i="4" s="1"/>
  <c r="P140" i="4"/>
  <c r="D140" i="4" s="1"/>
  <c r="O140" i="4"/>
  <c r="C140" i="4" s="1"/>
  <c r="S139" i="4"/>
  <c r="G139" i="4" s="1"/>
  <c r="R139" i="4"/>
  <c r="F139" i="4" s="1"/>
  <c r="Q139" i="4"/>
  <c r="E139" i="4" s="1"/>
  <c r="P139" i="4"/>
  <c r="D139" i="4" s="1"/>
  <c r="O139" i="4"/>
  <c r="C139" i="4" s="1"/>
  <c r="S138" i="4"/>
  <c r="G138" i="4" s="1"/>
  <c r="R138" i="4"/>
  <c r="F138" i="4" s="1"/>
  <c r="Q138" i="4"/>
  <c r="E138" i="4" s="1"/>
  <c r="P138" i="4"/>
  <c r="D138" i="4" s="1"/>
  <c r="O138" i="4"/>
  <c r="C138" i="4" s="1"/>
  <c r="S137" i="4"/>
  <c r="G137" i="4" s="1"/>
  <c r="R137" i="4"/>
  <c r="F137" i="4" s="1"/>
  <c r="Q137" i="4"/>
  <c r="E137" i="4" s="1"/>
  <c r="P137" i="4"/>
  <c r="D137" i="4" s="1"/>
  <c r="O137" i="4"/>
  <c r="C137" i="4" s="1"/>
  <c r="S136" i="4"/>
  <c r="G136" i="4" s="1"/>
  <c r="R136" i="4"/>
  <c r="F136" i="4" s="1"/>
  <c r="Q136" i="4"/>
  <c r="E136" i="4" s="1"/>
  <c r="P136" i="4"/>
  <c r="D136" i="4" s="1"/>
  <c r="O136" i="4"/>
  <c r="C136" i="4" s="1"/>
  <c r="S135" i="4"/>
  <c r="G135" i="4" s="1"/>
  <c r="R135" i="4"/>
  <c r="F135" i="4" s="1"/>
  <c r="Q135" i="4"/>
  <c r="E135" i="4" s="1"/>
  <c r="P135" i="4"/>
  <c r="D135" i="4" s="1"/>
  <c r="O135" i="4"/>
  <c r="C135" i="4" s="1"/>
  <c r="S134" i="4"/>
  <c r="G134" i="4" s="1"/>
  <c r="R134" i="4"/>
  <c r="F134" i="4" s="1"/>
  <c r="Q134" i="4"/>
  <c r="E134" i="4" s="1"/>
  <c r="P134" i="4"/>
  <c r="D134" i="4" s="1"/>
  <c r="O134" i="4"/>
  <c r="C134" i="4" s="1"/>
  <c r="S133" i="4"/>
  <c r="G133" i="4" s="1"/>
  <c r="R133" i="4"/>
  <c r="F133" i="4" s="1"/>
  <c r="Q133" i="4"/>
  <c r="E133" i="4" s="1"/>
  <c r="P133" i="4"/>
  <c r="D133" i="4" s="1"/>
  <c r="O133" i="4"/>
  <c r="C133" i="4" s="1"/>
  <c r="S132" i="4"/>
  <c r="G132" i="4" s="1"/>
  <c r="R132" i="4"/>
  <c r="F132" i="4" s="1"/>
  <c r="Q132" i="4"/>
  <c r="E132" i="4" s="1"/>
  <c r="P132" i="4"/>
  <c r="D132" i="4" s="1"/>
  <c r="O132" i="4"/>
  <c r="C132" i="4" s="1"/>
  <c r="S131" i="4"/>
  <c r="G131" i="4" s="1"/>
  <c r="R131" i="4"/>
  <c r="F131" i="4" s="1"/>
  <c r="Q131" i="4"/>
  <c r="E131" i="4" s="1"/>
  <c r="P131" i="4"/>
  <c r="D131" i="4" s="1"/>
  <c r="O131" i="4"/>
  <c r="C131" i="4" s="1"/>
  <c r="S130" i="4"/>
  <c r="G130" i="4" s="1"/>
  <c r="R130" i="4"/>
  <c r="F130" i="4" s="1"/>
  <c r="Q130" i="4"/>
  <c r="E130" i="4" s="1"/>
  <c r="P130" i="4"/>
  <c r="D130" i="4" s="1"/>
  <c r="O130" i="4"/>
  <c r="C130" i="4" s="1"/>
  <c r="S129" i="4"/>
  <c r="G129" i="4" s="1"/>
  <c r="R129" i="4"/>
  <c r="F129" i="4" s="1"/>
  <c r="Q129" i="4"/>
  <c r="E129" i="4" s="1"/>
  <c r="P129" i="4"/>
  <c r="D129" i="4" s="1"/>
  <c r="O129" i="4"/>
  <c r="C129" i="4" s="1"/>
  <c r="S128" i="4"/>
  <c r="G128" i="4" s="1"/>
  <c r="R128" i="4"/>
  <c r="F128" i="4" s="1"/>
  <c r="Q128" i="4"/>
  <c r="E128" i="4" s="1"/>
  <c r="P128" i="4"/>
  <c r="D128" i="4" s="1"/>
  <c r="O128" i="4"/>
  <c r="C128" i="4" s="1"/>
  <c r="S127" i="4"/>
  <c r="G127" i="4" s="1"/>
  <c r="R127" i="4"/>
  <c r="F127" i="4" s="1"/>
  <c r="Q127" i="4"/>
  <c r="E127" i="4" s="1"/>
  <c r="P127" i="4"/>
  <c r="D127" i="4" s="1"/>
  <c r="O127" i="4"/>
  <c r="C127" i="4" s="1"/>
  <c r="S126" i="4"/>
  <c r="G126" i="4" s="1"/>
  <c r="R126" i="4"/>
  <c r="F126" i="4" s="1"/>
  <c r="Q126" i="4"/>
  <c r="E126" i="4" s="1"/>
  <c r="P126" i="4"/>
  <c r="D126" i="4" s="1"/>
  <c r="O126" i="4"/>
  <c r="C126" i="4" s="1"/>
  <c r="S125" i="4"/>
  <c r="G125" i="4" s="1"/>
  <c r="R125" i="4"/>
  <c r="F125" i="4" s="1"/>
  <c r="Q125" i="4"/>
  <c r="E125" i="4" s="1"/>
  <c r="P125" i="4"/>
  <c r="D125" i="4" s="1"/>
  <c r="O125" i="4"/>
  <c r="C125" i="4" s="1"/>
  <c r="S124" i="4"/>
  <c r="G124" i="4" s="1"/>
  <c r="R124" i="4"/>
  <c r="F124" i="4" s="1"/>
  <c r="Q124" i="4"/>
  <c r="E124" i="4" s="1"/>
  <c r="P124" i="4"/>
  <c r="D124" i="4" s="1"/>
  <c r="O124" i="4"/>
  <c r="C124" i="4" s="1"/>
  <c r="S123" i="4"/>
  <c r="G123" i="4" s="1"/>
  <c r="R123" i="4"/>
  <c r="F123" i="4" s="1"/>
  <c r="Q123" i="4"/>
  <c r="E123" i="4" s="1"/>
  <c r="P123" i="4"/>
  <c r="D123" i="4" s="1"/>
  <c r="O123" i="4"/>
  <c r="C123" i="4" s="1"/>
  <c r="S122" i="4"/>
  <c r="G122" i="4" s="1"/>
  <c r="R122" i="4"/>
  <c r="F122" i="4" s="1"/>
  <c r="Q122" i="4"/>
  <c r="E122" i="4" s="1"/>
  <c r="P122" i="4"/>
  <c r="D122" i="4" s="1"/>
  <c r="O122" i="4"/>
  <c r="C122" i="4" s="1"/>
  <c r="S121" i="4"/>
  <c r="G121" i="4" s="1"/>
  <c r="R121" i="4"/>
  <c r="F121" i="4" s="1"/>
  <c r="Q121" i="4"/>
  <c r="E121" i="4" s="1"/>
  <c r="P121" i="4"/>
  <c r="D121" i="4" s="1"/>
  <c r="O121" i="4"/>
  <c r="C121" i="4" s="1"/>
  <c r="S120" i="4"/>
  <c r="G120" i="4" s="1"/>
  <c r="R120" i="4"/>
  <c r="F120" i="4" s="1"/>
  <c r="Q120" i="4"/>
  <c r="E120" i="4" s="1"/>
  <c r="P120" i="4"/>
  <c r="D120" i="4" s="1"/>
  <c r="O120" i="4"/>
  <c r="C120" i="4" s="1"/>
  <c r="S119" i="4"/>
  <c r="G119" i="4" s="1"/>
  <c r="R119" i="4"/>
  <c r="F119" i="4" s="1"/>
  <c r="Q119" i="4"/>
  <c r="E119" i="4" s="1"/>
  <c r="P119" i="4"/>
  <c r="D119" i="4" s="1"/>
  <c r="O119" i="4"/>
  <c r="C119" i="4" s="1"/>
  <c r="S118" i="4"/>
  <c r="G118" i="4" s="1"/>
  <c r="R118" i="4"/>
  <c r="F118" i="4" s="1"/>
  <c r="Q118" i="4"/>
  <c r="E118" i="4" s="1"/>
  <c r="P118" i="4"/>
  <c r="D118" i="4" s="1"/>
  <c r="O118" i="4"/>
  <c r="C118" i="4" s="1"/>
  <c r="S117" i="4"/>
  <c r="G117" i="4" s="1"/>
  <c r="R117" i="4"/>
  <c r="F117" i="4" s="1"/>
  <c r="Q117" i="4"/>
  <c r="E117" i="4" s="1"/>
  <c r="P117" i="4"/>
  <c r="D117" i="4" s="1"/>
  <c r="O117" i="4"/>
  <c r="C117" i="4" s="1"/>
  <c r="S116" i="4"/>
  <c r="G116" i="4" s="1"/>
  <c r="R116" i="4"/>
  <c r="F116" i="4" s="1"/>
  <c r="Q116" i="4"/>
  <c r="E116" i="4" s="1"/>
  <c r="P116" i="4"/>
  <c r="D116" i="4" s="1"/>
  <c r="O116" i="4"/>
  <c r="C116" i="4" s="1"/>
  <c r="S115" i="4"/>
  <c r="G115" i="4" s="1"/>
  <c r="R115" i="4"/>
  <c r="F115" i="4" s="1"/>
  <c r="Q115" i="4"/>
  <c r="E115" i="4" s="1"/>
  <c r="P115" i="4"/>
  <c r="D115" i="4" s="1"/>
  <c r="O115" i="4"/>
  <c r="C115" i="4" s="1"/>
  <c r="S114" i="4"/>
  <c r="G114" i="4" s="1"/>
  <c r="R114" i="4"/>
  <c r="F114" i="4" s="1"/>
  <c r="Q114" i="4"/>
  <c r="E114" i="4" s="1"/>
  <c r="P114" i="4"/>
  <c r="D114" i="4" s="1"/>
  <c r="O114" i="4"/>
  <c r="C114" i="4" s="1"/>
  <c r="S113" i="4"/>
  <c r="G113" i="4" s="1"/>
  <c r="R113" i="4"/>
  <c r="F113" i="4" s="1"/>
  <c r="Q113" i="4"/>
  <c r="E113" i="4" s="1"/>
  <c r="P113" i="4"/>
  <c r="D113" i="4" s="1"/>
  <c r="O113" i="4"/>
  <c r="C113" i="4" s="1"/>
  <c r="S112" i="4"/>
  <c r="G112" i="4" s="1"/>
  <c r="R112" i="4"/>
  <c r="F112" i="4" s="1"/>
  <c r="Q112" i="4"/>
  <c r="E112" i="4" s="1"/>
  <c r="P112" i="4"/>
  <c r="D112" i="4" s="1"/>
  <c r="O112" i="4"/>
  <c r="C112" i="4" s="1"/>
  <c r="S111" i="4"/>
  <c r="G111" i="4" s="1"/>
  <c r="R111" i="4"/>
  <c r="F111" i="4" s="1"/>
  <c r="Q111" i="4"/>
  <c r="E111" i="4" s="1"/>
  <c r="P111" i="4"/>
  <c r="D111" i="4" s="1"/>
  <c r="O111" i="4"/>
  <c r="C111" i="4" s="1"/>
  <c r="S110" i="4"/>
  <c r="G110" i="4" s="1"/>
  <c r="R110" i="4"/>
  <c r="F110" i="4" s="1"/>
  <c r="Q110" i="4"/>
  <c r="E110" i="4" s="1"/>
  <c r="P110" i="4"/>
  <c r="D110" i="4" s="1"/>
  <c r="O110" i="4"/>
  <c r="C110" i="4" s="1"/>
  <c r="S109" i="4"/>
  <c r="G109" i="4" s="1"/>
  <c r="R109" i="4"/>
  <c r="F109" i="4" s="1"/>
  <c r="Q109" i="4"/>
  <c r="E109" i="4" s="1"/>
  <c r="P109" i="4"/>
  <c r="D109" i="4" s="1"/>
  <c r="O109" i="4"/>
  <c r="C109" i="4" s="1"/>
  <c r="S108" i="4"/>
  <c r="G108" i="4" s="1"/>
  <c r="R108" i="4"/>
  <c r="F108" i="4" s="1"/>
  <c r="Q108" i="4"/>
  <c r="E108" i="4" s="1"/>
  <c r="P108" i="4"/>
  <c r="D108" i="4" s="1"/>
  <c r="O108" i="4"/>
  <c r="C108" i="4" s="1"/>
  <c r="S107" i="4"/>
  <c r="G107" i="4" s="1"/>
  <c r="R107" i="4"/>
  <c r="F107" i="4" s="1"/>
  <c r="Q107" i="4"/>
  <c r="E107" i="4" s="1"/>
  <c r="P107" i="4"/>
  <c r="D107" i="4" s="1"/>
  <c r="O107" i="4"/>
  <c r="C107" i="4" s="1"/>
  <c r="S106" i="4"/>
  <c r="G106" i="4" s="1"/>
  <c r="R106" i="4"/>
  <c r="F106" i="4" s="1"/>
  <c r="Q106" i="4"/>
  <c r="E106" i="4" s="1"/>
  <c r="P106" i="4"/>
  <c r="D106" i="4" s="1"/>
  <c r="O106" i="4"/>
  <c r="C106" i="4" s="1"/>
  <c r="S105" i="4"/>
  <c r="G105" i="4" s="1"/>
  <c r="R105" i="4"/>
  <c r="F105" i="4" s="1"/>
  <c r="Q105" i="4"/>
  <c r="E105" i="4" s="1"/>
  <c r="P105" i="4"/>
  <c r="D105" i="4" s="1"/>
  <c r="BA13" i="13"/>
  <c r="BA149" i="13" s="1"/>
  <c r="BA198" i="13" s="1"/>
  <c r="AZ149" i="13"/>
  <c r="C21" i="3"/>
  <c r="B21" i="3"/>
  <c r="O105" i="4"/>
  <c r="C105" i="4" s="1"/>
  <c r="S104" i="4"/>
  <c r="G104" i="4" s="1"/>
  <c r="R104" i="4"/>
  <c r="F104" i="4" s="1"/>
  <c r="Q104" i="4"/>
  <c r="E104" i="4" s="1"/>
  <c r="P104" i="4"/>
  <c r="D104" i="4" s="1"/>
  <c r="O104" i="4"/>
  <c r="C104" i="4" s="1"/>
  <c r="S103" i="4"/>
  <c r="G103" i="4" s="1"/>
  <c r="R103" i="4"/>
  <c r="F103" i="4" s="1"/>
  <c r="Q103" i="4"/>
  <c r="E103" i="4" s="1"/>
  <c r="P103" i="4"/>
  <c r="D103" i="4" s="1"/>
  <c r="O103" i="4"/>
  <c r="C103" i="4" s="1"/>
  <c r="S102" i="4"/>
  <c r="G102" i="4" s="1"/>
  <c r="R102" i="4"/>
  <c r="F102" i="4" s="1"/>
  <c r="Q102" i="4"/>
  <c r="E102" i="4" s="1"/>
  <c r="P102" i="4"/>
  <c r="D102" i="4" s="1"/>
  <c r="O102" i="4"/>
  <c r="C102" i="4" s="1"/>
  <c r="S101" i="4"/>
  <c r="G101" i="4" s="1"/>
  <c r="R101" i="4"/>
  <c r="F101" i="4" s="1"/>
  <c r="Q101" i="4"/>
  <c r="E101" i="4" s="1"/>
  <c r="P101" i="4"/>
  <c r="D101" i="4" s="1"/>
  <c r="O101" i="4"/>
  <c r="C101" i="4" s="1"/>
  <c r="S100" i="4"/>
  <c r="G100" i="4" s="1"/>
  <c r="R100" i="4"/>
  <c r="F100" i="4" s="1"/>
  <c r="Q100" i="4"/>
  <c r="E100" i="4" s="1"/>
  <c r="P100" i="4"/>
  <c r="D100" i="4" s="1"/>
  <c r="O100" i="4"/>
  <c r="C100" i="4" s="1"/>
  <c r="S99" i="4"/>
  <c r="G99" i="4" s="1"/>
  <c r="R99" i="4"/>
  <c r="F99" i="4" s="1"/>
  <c r="Q99" i="4"/>
  <c r="E99" i="4" s="1"/>
  <c r="P99" i="4"/>
  <c r="D99" i="4" s="1"/>
  <c r="O99" i="4"/>
  <c r="C99" i="4" s="1"/>
  <c r="S98" i="4"/>
  <c r="G98" i="4" s="1"/>
  <c r="R98" i="4"/>
  <c r="F98" i="4" s="1"/>
  <c r="Q98" i="4"/>
  <c r="E98" i="4" s="1"/>
  <c r="P98" i="4"/>
  <c r="D98" i="4" s="1"/>
  <c r="O98" i="4"/>
  <c r="C98" i="4" s="1"/>
  <c r="S97" i="4"/>
  <c r="G97" i="4" s="1"/>
  <c r="R97" i="4"/>
  <c r="F97" i="4" s="1"/>
  <c r="Q97" i="4"/>
  <c r="E97" i="4" s="1"/>
  <c r="P97" i="4"/>
  <c r="D97" i="4" s="1"/>
  <c r="O97" i="4"/>
  <c r="C97" i="4" s="1"/>
  <c r="S96" i="4"/>
  <c r="G96" i="4" s="1"/>
  <c r="R96" i="4"/>
  <c r="F96" i="4" s="1"/>
  <c r="Q96" i="4"/>
  <c r="E96" i="4" s="1"/>
  <c r="P96" i="4"/>
  <c r="D96" i="4" s="1"/>
  <c r="O96" i="4"/>
  <c r="C96" i="4" s="1"/>
  <c r="S95" i="4"/>
  <c r="G95" i="4" s="1"/>
  <c r="R95" i="4"/>
  <c r="F95" i="4" s="1"/>
  <c r="Q95" i="4"/>
  <c r="E95" i="4" s="1"/>
  <c r="P95" i="4"/>
  <c r="D95" i="4" s="1"/>
  <c r="O95" i="4"/>
  <c r="C95" i="4" s="1"/>
  <c r="S94" i="4"/>
  <c r="G94" i="4" s="1"/>
  <c r="R94" i="4"/>
  <c r="F94" i="4" s="1"/>
  <c r="Q94" i="4"/>
  <c r="E94" i="4" s="1"/>
  <c r="P94" i="4"/>
  <c r="D94" i="4" s="1"/>
  <c r="O94" i="4"/>
  <c r="C94" i="4" s="1"/>
  <c r="S93" i="4"/>
  <c r="G93" i="4" s="1"/>
  <c r="R93" i="4"/>
  <c r="F93" i="4" s="1"/>
  <c r="Q93" i="4"/>
  <c r="E93" i="4" s="1"/>
  <c r="P93" i="4"/>
  <c r="D93" i="4" s="1"/>
  <c r="O93" i="4"/>
  <c r="C93" i="4" s="1"/>
  <c r="S92" i="4"/>
  <c r="G92" i="4" s="1"/>
  <c r="R92" i="4"/>
  <c r="F92" i="4" s="1"/>
  <c r="Q92" i="4"/>
  <c r="E92" i="4" s="1"/>
  <c r="P92" i="4"/>
  <c r="D92" i="4" s="1"/>
  <c r="O92" i="4"/>
  <c r="C92" i="4" s="1"/>
  <c r="S91" i="4"/>
  <c r="G91" i="4" s="1"/>
  <c r="R91" i="4"/>
  <c r="F91" i="4" s="1"/>
  <c r="Q91" i="4"/>
  <c r="E91" i="4" s="1"/>
  <c r="P91" i="4"/>
  <c r="D91" i="4" s="1"/>
  <c r="O91" i="4"/>
  <c r="C91" i="4" s="1"/>
  <c r="S90" i="4"/>
  <c r="G90" i="4" s="1"/>
  <c r="R90" i="4"/>
  <c r="F90" i="4" s="1"/>
  <c r="Q90" i="4"/>
  <c r="E90" i="4" s="1"/>
  <c r="P90" i="4"/>
  <c r="D90" i="4" s="1"/>
  <c r="O90" i="4"/>
  <c r="C90" i="4" s="1"/>
  <c r="S89" i="4"/>
  <c r="G89" i="4" s="1"/>
  <c r="R89" i="4"/>
  <c r="F89" i="4" s="1"/>
  <c r="Q89" i="4"/>
  <c r="E89" i="4" s="1"/>
  <c r="P89" i="4"/>
  <c r="D89" i="4" s="1"/>
  <c r="O89" i="4"/>
  <c r="C89" i="4" s="1"/>
  <c r="S88" i="4"/>
  <c r="G88" i="4" s="1"/>
  <c r="R88" i="4"/>
  <c r="F88" i="4" s="1"/>
  <c r="Q88" i="4"/>
  <c r="E88" i="4" s="1"/>
  <c r="P88" i="4"/>
  <c r="D88" i="4" s="1"/>
  <c r="O88" i="4"/>
  <c r="C88" i="4" s="1"/>
  <c r="S87" i="4"/>
  <c r="G87" i="4" s="1"/>
  <c r="R87" i="4"/>
  <c r="F87" i="4" s="1"/>
  <c r="Q87" i="4"/>
  <c r="E87" i="4" s="1"/>
  <c r="P87" i="4"/>
  <c r="D87" i="4" s="1"/>
  <c r="O87" i="4"/>
  <c r="C87" i="4" s="1"/>
  <c r="S86" i="4"/>
  <c r="G86" i="4" s="1"/>
  <c r="R86" i="4"/>
  <c r="F86" i="4" s="1"/>
  <c r="Q86" i="4"/>
  <c r="E86" i="4" s="1"/>
  <c r="P86" i="4"/>
  <c r="D86" i="4" s="1"/>
  <c r="O86" i="4"/>
  <c r="C86" i="4" s="1"/>
  <c r="S85" i="4"/>
  <c r="G85" i="4" s="1"/>
  <c r="R85" i="4"/>
  <c r="F85" i="4" s="1"/>
  <c r="Q85" i="4"/>
  <c r="E85" i="4" s="1"/>
  <c r="P85" i="4"/>
  <c r="D85" i="4" s="1"/>
  <c r="O85" i="4"/>
  <c r="C85" i="4" s="1"/>
  <c r="S84" i="4"/>
  <c r="G84" i="4" s="1"/>
  <c r="R84" i="4"/>
  <c r="F84" i="4" s="1"/>
  <c r="Q84" i="4"/>
  <c r="E84" i="4" s="1"/>
  <c r="P84" i="4"/>
  <c r="D84" i="4" s="1"/>
  <c r="O84" i="4"/>
  <c r="C84" i="4" s="1"/>
  <c r="S83" i="4"/>
  <c r="G83" i="4" s="1"/>
  <c r="R83" i="4"/>
  <c r="F83" i="4" s="1"/>
  <c r="Q83" i="4"/>
  <c r="E83" i="4" s="1"/>
  <c r="P83" i="4"/>
  <c r="D83" i="4" s="1"/>
  <c r="O83" i="4"/>
  <c r="C83" i="4" s="1"/>
  <c r="S82" i="4"/>
  <c r="G82" i="4" s="1"/>
  <c r="R82" i="4"/>
  <c r="F82" i="4" s="1"/>
  <c r="Q82" i="4"/>
  <c r="E82" i="4" s="1"/>
  <c r="P82" i="4"/>
  <c r="D82" i="4" s="1"/>
  <c r="O82" i="4"/>
  <c r="C82" i="4" s="1"/>
  <c r="S81" i="4"/>
  <c r="G81" i="4" s="1"/>
  <c r="R81" i="4"/>
  <c r="F81" i="4" s="1"/>
  <c r="Q81" i="4"/>
  <c r="E81" i="4" s="1"/>
  <c r="P81" i="4"/>
  <c r="D81" i="4" s="1"/>
  <c r="O81" i="4"/>
  <c r="C81" i="4" s="1"/>
  <c r="S80" i="4"/>
  <c r="G80" i="4" s="1"/>
  <c r="R80" i="4"/>
  <c r="F80" i="4" s="1"/>
  <c r="Q80" i="4"/>
  <c r="E80" i="4" s="1"/>
  <c r="P80" i="4"/>
  <c r="D80" i="4" s="1"/>
  <c r="O80" i="4"/>
  <c r="C80" i="4" s="1"/>
  <c r="S79" i="4"/>
  <c r="G79" i="4" s="1"/>
  <c r="R79" i="4"/>
  <c r="F79" i="4" s="1"/>
  <c r="Q79" i="4"/>
  <c r="E79" i="4" s="1"/>
  <c r="P79" i="4"/>
  <c r="D79" i="4" s="1"/>
  <c r="O79" i="4"/>
  <c r="C79" i="4" s="1"/>
  <c r="S78" i="4"/>
  <c r="G78" i="4" s="1"/>
  <c r="R78" i="4"/>
  <c r="F78" i="4" s="1"/>
  <c r="Q78" i="4"/>
  <c r="E78" i="4" s="1"/>
  <c r="P78" i="4"/>
  <c r="D78" i="4" s="1"/>
  <c r="O78" i="4"/>
  <c r="C78" i="4" s="1"/>
  <c r="S77" i="4"/>
  <c r="G77" i="4" s="1"/>
  <c r="R77" i="4"/>
  <c r="F77" i="4" s="1"/>
  <c r="Q77" i="4"/>
  <c r="E77" i="4" s="1"/>
  <c r="P77" i="4"/>
  <c r="D77" i="4" s="1"/>
  <c r="O77" i="4"/>
  <c r="C77" i="4" s="1"/>
  <c r="S76" i="4"/>
  <c r="G76" i="4" s="1"/>
  <c r="R76" i="4"/>
  <c r="F76" i="4" s="1"/>
  <c r="Q76" i="4"/>
  <c r="E76" i="4" s="1"/>
  <c r="P76" i="4"/>
  <c r="D76" i="4" s="1"/>
  <c r="O76" i="4"/>
  <c r="C76" i="4" s="1"/>
  <c r="S75" i="4"/>
  <c r="G75" i="4" s="1"/>
  <c r="R75" i="4"/>
  <c r="F75" i="4" s="1"/>
  <c r="Q75" i="4"/>
  <c r="E75" i="4" s="1"/>
  <c r="P75" i="4"/>
  <c r="D75" i="4" s="1"/>
  <c r="O75" i="4"/>
  <c r="C75" i="4" s="1"/>
  <c r="S74" i="4"/>
  <c r="G74" i="4" s="1"/>
  <c r="R74" i="4"/>
  <c r="F74" i="4" s="1"/>
  <c r="Q74" i="4"/>
  <c r="E74" i="4" s="1"/>
  <c r="P74" i="4"/>
  <c r="D74" i="4" s="1"/>
  <c r="O74" i="4"/>
  <c r="C74" i="4" s="1"/>
  <c r="S73" i="4"/>
  <c r="G73" i="4" s="1"/>
  <c r="R73" i="4"/>
  <c r="F73" i="4" s="1"/>
  <c r="Q73" i="4"/>
  <c r="E73" i="4" s="1"/>
  <c r="P73" i="4"/>
  <c r="D73" i="4" s="1"/>
  <c r="O73" i="4"/>
  <c r="C73" i="4" s="1"/>
  <c r="S72" i="4"/>
  <c r="G72" i="4" s="1"/>
  <c r="R72" i="4"/>
  <c r="F72" i="4" s="1"/>
  <c r="Q72" i="4"/>
  <c r="E72" i="4" s="1"/>
  <c r="P72" i="4"/>
  <c r="D72" i="4" s="1"/>
  <c r="O72" i="4"/>
  <c r="C72" i="4" s="1"/>
  <c r="S71" i="4"/>
  <c r="G71" i="4" s="1"/>
  <c r="R71" i="4"/>
  <c r="F71" i="4" s="1"/>
  <c r="Q71" i="4"/>
  <c r="E71" i="4" s="1"/>
  <c r="P71" i="4"/>
  <c r="D71" i="4" s="1"/>
  <c r="O71" i="4"/>
  <c r="C71" i="4" s="1"/>
  <c r="S70" i="4"/>
  <c r="G70" i="4" s="1"/>
  <c r="R70" i="4"/>
  <c r="F70" i="4" s="1"/>
  <c r="Q70" i="4"/>
  <c r="E70" i="4" s="1"/>
  <c r="P70" i="4"/>
  <c r="D70" i="4" s="1"/>
  <c r="O70" i="4"/>
  <c r="C70" i="4" s="1"/>
  <c r="S69" i="4"/>
  <c r="G69" i="4" s="1"/>
  <c r="R69" i="4"/>
  <c r="F69" i="4" s="1"/>
  <c r="Q69" i="4"/>
  <c r="E69" i="4" s="1"/>
  <c r="P69" i="4"/>
  <c r="D69" i="4" s="1"/>
  <c r="O69" i="4"/>
  <c r="C69" i="4" s="1"/>
  <c r="S68" i="4"/>
  <c r="G68" i="4" s="1"/>
  <c r="R68" i="4"/>
  <c r="F68" i="4" s="1"/>
  <c r="Q68" i="4"/>
  <c r="E68" i="4" s="1"/>
  <c r="P68" i="4"/>
  <c r="D68" i="4" s="1"/>
  <c r="O68" i="4"/>
  <c r="C68" i="4" s="1"/>
  <c r="S67" i="4"/>
  <c r="G67" i="4" s="1"/>
  <c r="R67" i="4"/>
  <c r="F67" i="4" s="1"/>
  <c r="Q67" i="4"/>
  <c r="E67" i="4" s="1"/>
  <c r="P67" i="4"/>
  <c r="D67" i="4" s="1"/>
  <c r="O67" i="4"/>
  <c r="C67" i="4" s="1"/>
  <c r="S66" i="4"/>
  <c r="G66" i="4" s="1"/>
  <c r="R66" i="4"/>
  <c r="F66" i="4" s="1"/>
  <c r="Q66" i="4"/>
  <c r="E66" i="4" s="1"/>
  <c r="P66" i="4"/>
  <c r="D66" i="4" s="1"/>
  <c r="O66" i="4"/>
  <c r="C66" i="4" s="1"/>
  <c r="S65" i="4"/>
  <c r="G65" i="4" s="1"/>
  <c r="R65" i="4"/>
  <c r="F65" i="4" s="1"/>
  <c r="Q65" i="4"/>
  <c r="E65" i="4" s="1"/>
  <c r="P65" i="4"/>
  <c r="D65" i="4" s="1"/>
  <c r="O65" i="4"/>
  <c r="C65" i="4" s="1"/>
  <c r="S64" i="4"/>
  <c r="G64" i="4" s="1"/>
  <c r="R64" i="4"/>
  <c r="F64" i="4" s="1"/>
  <c r="Q64" i="4"/>
  <c r="E64" i="4" s="1"/>
  <c r="P64" i="4"/>
  <c r="D64" i="4" s="1"/>
  <c r="O64" i="4"/>
  <c r="C64" i="4" s="1"/>
  <c r="S63" i="4"/>
  <c r="G63" i="4" s="1"/>
  <c r="R63" i="4"/>
  <c r="F63" i="4" s="1"/>
  <c r="Q63" i="4"/>
  <c r="E63" i="4" s="1"/>
  <c r="P63" i="4"/>
  <c r="D63" i="4" s="1"/>
  <c r="O63" i="4"/>
  <c r="C63" i="4" s="1"/>
  <c r="S62" i="4"/>
  <c r="G62" i="4" s="1"/>
  <c r="R62" i="4"/>
  <c r="F62" i="4" s="1"/>
  <c r="Q62" i="4"/>
  <c r="E62" i="4" s="1"/>
  <c r="P62" i="4"/>
  <c r="D62" i="4" s="1"/>
  <c r="O62" i="4"/>
  <c r="C62" i="4" s="1"/>
  <c r="S61" i="4"/>
  <c r="G61" i="4" s="1"/>
  <c r="R61" i="4"/>
  <c r="F61" i="4" s="1"/>
  <c r="Q61" i="4"/>
  <c r="E61" i="4" s="1"/>
  <c r="P61" i="4"/>
  <c r="D61" i="4" s="1"/>
  <c r="O61" i="4"/>
  <c r="C61" i="4" s="1"/>
  <c r="S60" i="4"/>
  <c r="G60" i="4" s="1"/>
  <c r="R60" i="4"/>
  <c r="F60" i="4" s="1"/>
  <c r="Q60" i="4"/>
  <c r="E60" i="4" s="1"/>
  <c r="P60" i="4"/>
  <c r="D60" i="4" s="1"/>
  <c r="O60" i="4"/>
  <c r="C60" i="4" s="1"/>
  <c r="S59" i="4"/>
  <c r="G59" i="4" s="1"/>
  <c r="R59" i="4"/>
  <c r="F59" i="4" s="1"/>
  <c r="Q59" i="4"/>
  <c r="E59" i="4" s="1"/>
  <c r="P59" i="4"/>
  <c r="D59" i="4" s="1"/>
  <c r="O59" i="4"/>
  <c r="C59" i="4" s="1"/>
  <c r="S58" i="4"/>
  <c r="G58" i="4" s="1"/>
  <c r="R58" i="4"/>
  <c r="F58" i="4" s="1"/>
  <c r="Q58" i="4"/>
  <c r="E58" i="4" s="1"/>
  <c r="P58" i="4"/>
  <c r="D58" i="4" s="1"/>
  <c r="O58" i="4"/>
  <c r="C58" i="4" s="1"/>
  <c r="S57" i="4"/>
  <c r="G57" i="4" s="1"/>
  <c r="R57" i="4"/>
  <c r="F57" i="4" s="1"/>
  <c r="Q57" i="4"/>
  <c r="E57" i="4" s="1"/>
  <c r="P57" i="4"/>
  <c r="D57" i="4" s="1"/>
  <c r="O57" i="4"/>
  <c r="C57" i="4" s="1"/>
  <c r="S56" i="4"/>
  <c r="G56" i="4" s="1"/>
  <c r="R56" i="4"/>
  <c r="F56" i="4" s="1"/>
  <c r="Q56" i="4"/>
  <c r="E56" i="4" s="1"/>
  <c r="P56" i="4"/>
  <c r="D56" i="4" s="1"/>
  <c r="O56" i="4"/>
  <c r="C56" i="4" s="1"/>
  <c r="S55" i="4"/>
  <c r="G55" i="4" s="1"/>
  <c r="R55" i="4"/>
  <c r="F55" i="4" s="1"/>
  <c r="Q55" i="4"/>
  <c r="E55" i="4" s="1"/>
  <c r="P55" i="4"/>
  <c r="D55" i="4" s="1"/>
  <c r="O55" i="4"/>
  <c r="C55" i="4" s="1"/>
  <c r="S54" i="4"/>
  <c r="G54" i="4" s="1"/>
  <c r="R54" i="4"/>
  <c r="F54" i="4" s="1"/>
  <c r="Q54" i="4"/>
  <c r="E54" i="4" s="1"/>
  <c r="P54" i="4"/>
  <c r="D54" i="4" s="1"/>
  <c r="O54" i="4"/>
  <c r="C54" i="4" s="1"/>
  <c r="S53" i="4"/>
  <c r="G53" i="4" s="1"/>
  <c r="R53" i="4"/>
  <c r="F53" i="4" s="1"/>
  <c r="Q53" i="4"/>
  <c r="E53" i="4" s="1"/>
  <c r="P53" i="4"/>
  <c r="D53" i="4" s="1"/>
  <c r="O53" i="4"/>
  <c r="C53" i="4" s="1"/>
  <c r="S52" i="4"/>
  <c r="G52" i="4" s="1"/>
  <c r="R52" i="4"/>
  <c r="F52" i="4" s="1"/>
  <c r="Q52" i="4"/>
  <c r="P52" i="4"/>
  <c r="D52" i="4" s="1"/>
  <c r="O52" i="4"/>
  <c r="S51" i="4"/>
  <c r="G51" i="4" s="1"/>
  <c r="R51" i="4"/>
  <c r="F51" i="4" s="1"/>
  <c r="S60" i="3"/>
  <c r="S62" i="3"/>
  <c r="S65" i="3"/>
  <c r="S67" i="3"/>
  <c r="S66" i="3"/>
  <c r="S61" i="3"/>
  <c r="S59" i="3"/>
  <c r="AG94" i="13"/>
  <c r="AF94" i="13"/>
  <c r="AE94" i="13"/>
  <c r="AD94" i="13"/>
  <c r="AC94" i="13"/>
  <c r="AB94" i="13"/>
  <c r="AA94" i="13"/>
  <c r="Z94" i="13"/>
  <c r="Y94" i="13"/>
  <c r="X94" i="13"/>
  <c r="W94" i="13"/>
  <c r="V94" i="13"/>
  <c r="U94" i="13"/>
  <c r="T94" i="13"/>
  <c r="S94" i="13"/>
  <c r="R94" i="13"/>
  <c r="Q94" i="13"/>
  <c r="P94" i="13"/>
  <c r="O94" i="13"/>
  <c r="N94" i="13"/>
  <c r="S64" i="3"/>
  <c r="AZ175" i="13"/>
  <c r="AY198" i="13"/>
  <c r="AX198" i="13"/>
  <c r="AY175" i="13"/>
  <c r="AX175" i="13"/>
  <c r="AW198" i="13"/>
  <c r="AW175" i="13"/>
  <c r="AV198" i="13"/>
  <c r="AV175" i="13"/>
  <c r="AU198" i="13"/>
  <c r="AU175" i="13"/>
  <c r="AT198" i="13"/>
  <c r="AS198" i="13"/>
  <c r="AT175" i="13"/>
  <c r="AR198" i="13"/>
  <c r="AS175" i="13"/>
  <c r="AR175" i="13"/>
  <c r="AQ198" i="13"/>
  <c r="AP198" i="13"/>
  <c r="AQ175" i="13"/>
  <c r="AP175" i="13"/>
  <c r="AO198" i="13"/>
  <c r="AO175" i="13"/>
  <c r="AN198" i="13"/>
  <c r="AM198" i="13"/>
  <c r="AN175" i="13"/>
  <c r="AL198" i="13"/>
  <c r="AM175" i="13"/>
  <c r="AK198" i="13"/>
  <c r="AL175" i="13"/>
  <c r="AK175" i="13"/>
  <c r="AJ198" i="13"/>
  <c r="AI198" i="13"/>
  <c r="AJ175" i="13"/>
  <c r="AH198" i="13"/>
  <c r="AI175" i="13"/>
  <c r="AH175" i="13"/>
  <c r="AG198" i="13"/>
  <c r="AG175" i="13"/>
  <c r="AF198" i="13"/>
  <c r="AE198" i="13"/>
  <c r="AF175" i="13"/>
  <c r="AE175" i="13"/>
  <c r="AD198" i="13"/>
  <c r="AD175" i="13"/>
  <c r="AC198" i="13"/>
  <c r="AC175" i="13"/>
  <c r="AB198" i="13"/>
  <c r="AA198" i="13"/>
  <c r="AA292" i="13" s="1"/>
  <c r="AB175" i="13"/>
  <c r="Z198" i="13"/>
  <c r="Z292" i="13" s="1"/>
  <c r="AA175" i="13"/>
  <c r="Y198" i="13"/>
  <c r="Y292" i="13" s="1"/>
  <c r="Z175" i="13"/>
  <c r="X198" i="13"/>
  <c r="X292" i="13" s="1"/>
  <c r="Y175" i="13"/>
  <c r="X175" i="13"/>
  <c r="W198" i="13"/>
  <c r="W292" i="13" s="1"/>
  <c r="W175" i="13"/>
  <c r="V198" i="13"/>
  <c r="V292" i="13" s="1"/>
  <c r="V175" i="13"/>
  <c r="U198" i="13"/>
  <c r="U292" i="13" s="1"/>
  <c r="U175" i="13"/>
  <c r="T198" i="13"/>
  <c r="T292" i="13" s="1"/>
  <c r="T175" i="13"/>
  <c r="S198" i="13"/>
  <c r="S292" i="13" s="1"/>
  <c r="S175" i="13"/>
  <c r="R198" i="13"/>
  <c r="R292" i="13" s="1"/>
  <c r="Q198" i="13"/>
  <c r="Q292" i="13" s="1"/>
  <c r="R175" i="13"/>
  <c r="Q175" i="13"/>
  <c r="P198" i="13"/>
  <c r="Q5" i="4"/>
  <c r="E5" i="4" s="1"/>
  <c r="S5" i="4"/>
  <c r="G5" i="4" s="1"/>
  <c r="S6" i="4"/>
  <c r="G6" i="4" s="1"/>
  <c r="Q7" i="4"/>
  <c r="E7" i="4" s="1"/>
  <c r="R7" i="4"/>
  <c r="F7" i="4" s="1"/>
  <c r="S4" i="4"/>
  <c r="G4" i="4" s="1"/>
  <c r="Q4" i="4"/>
  <c r="E4" i="4" s="1"/>
  <c r="S3" i="4"/>
  <c r="G3" i="4" s="1"/>
  <c r="Q3" i="4"/>
  <c r="E3" i="4" s="1"/>
  <c r="S7" i="4"/>
  <c r="G7" i="4" s="1"/>
  <c r="R49" i="4"/>
  <c r="F49" i="4" s="1"/>
  <c r="Q49" i="4"/>
  <c r="P49" i="4"/>
  <c r="D49" i="4" s="1"/>
  <c r="O49" i="4"/>
  <c r="S48" i="4"/>
  <c r="G48" i="4" s="1"/>
  <c r="R48" i="4"/>
  <c r="F48" i="4" s="1"/>
  <c r="Q48" i="4"/>
  <c r="P48" i="4"/>
  <c r="D48" i="4" s="1"/>
  <c r="O48" i="4"/>
  <c r="S47" i="4"/>
  <c r="G47" i="4" s="1"/>
  <c r="R47" i="4"/>
  <c r="F47" i="4" s="1"/>
  <c r="Q47" i="4"/>
  <c r="E47" i="4" s="1"/>
  <c r="P47" i="4"/>
  <c r="D47" i="4" s="1"/>
  <c r="O47" i="4"/>
  <c r="S46" i="4"/>
  <c r="G46" i="4" s="1"/>
  <c r="R46" i="4"/>
  <c r="F46" i="4" s="1"/>
  <c r="Q46" i="4"/>
  <c r="E46" i="4" s="1"/>
  <c r="P46" i="4"/>
  <c r="D46" i="4" s="1"/>
  <c r="O46" i="4"/>
  <c r="C46" i="4" s="1"/>
  <c r="S45" i="4"/>
  <c r="G45" i="4" s="1"/>
  <c r="R45" i="4"/>
  <c r="F45" i="4" s="1"/>
  <c r="Q45" i="4"/>
  <c r="E45" i="4" s="1"/>
  <c r="P45" i="4"/>
  <c r="D45" i="4" s="1"/>
  <c r="O45" i="4"/>
  <c r="C45" i="4" s="1"/>
  <c r="S44" i="4"/>
  <c r="G44" i="4" s="1"/>
  <c r="R44" i="4"/>
  <c r="F44" i="4" s="1"/>
  <c r="Q44" i="4"/>
  <c r="E44" i="4" s="1"/>
  <c r="P44" i="4"/>
  <c r="D44" i="4" s="1"/>
  <c r="O44" i="4"/>
  <c r="C44" i="4" s="1"/>
  <c r="S43" i="4"/>
  <c r="G43" i="4" s="1"/>
  <c r="R43" i="4"/>
  <c r="F43" i="4" s="1"/>
  <c r="Q43" i="4"/>
  <c r="E43" i="4" s="1"/>
  <c r="P43" i="4"/>
  <c r="D43" i="4" s="1"/>
  <c r="O43" i="4"/>
  <c r="C43" i="4" s="1"/>
  <c r="S42" i="4"/>
  <c r="G42" i="4" s="1"/>
  <c r="R42" i="4"/>
  <c r="F42" i="4" s="1"/>
  <c r="Q42" i="4"/>
  <c r="E42" i="4" s="1"/>
  <c r="P42" i="4"/>
  <c r="D42" i="4" s="1"/>
  <c r="O42" i="4"/>
  <c r="C42" i="4" s="1"/>
  <c r="S41" i="4"/>
  <c r="G41" i="4" s="1"/>
  <c r="R41" i="4"/>
  <c r="F41" i="4" s="1"/>
  <c r="Q41" i="4"/>
  <c r="E41" i="4" s="1"/>
  <c r="P41" i="4"/>
  <c r="D41" i="4" s="1"/>
  <c r="O41" i="4"/>
  <c r="C41" i="4" s="1"/>
  <c r="R40" i="4"/>
  <c r="F40" i="4" s="1"/>
  <c r="S39" i="4"/>
  <c r="G39" i="4" s="1"/>
  <c r="O39" i="4"/>
  <c r="C39" i="4" s="1"/>
  <c r="S38" i="4"/>
  <c r="G38" i="4" s="1"/>
  <c r="R38" i="4"/>
  <c r="F38" i="4" s="1"/>
  <c r="P38" i="4"/>
  <c r="D38" i="4" s="1"/>
  <c r="O38" i="4"/>
  <c r="C38" i="4" s="1"/>
  <c r="S37" i="4"/>
  <c r="G37" i="4" s="1"/>
  <c r="R37" i="4"/>
  <c r="F37" i="4" s="1"/>
  <c r="Q37" i="4"/>
  <c r="P37" i="4"/>
  <c r="D37" i="4" s="1"/>
  <c r="S36" i="4"/>
  <c r="G36" i="4" s="1"/>
  <c r="R36" i="4"/>
  <c r="F36" i="4" s="1"/>
  <c r="Q36" i="4"/>
  <c r="E36" i="4" s="1"/>
  <c r="P36" i="4"/>
  <c r="D36" i="4" s="1"/>
  <c r="O36" i="4"/>
  <c r="C36" i="4" s="1"/>
  <c r="S35" i="4"/>
  <c r="G35" i="4" s="1"/>
  <c r="R35" i="4"/>
  <c r="F35" i="4" s="1"/>
  <c r="Q35" i="4"/>
  <c r="P35" i="4"/>
  <c r="D35" i="4" s="1"/>
  <c r="O35" i="4"/>
  <c r="S34" i="4"/>
  <c r="G34" i="4" s="1"/>
  <c r="R34" i="4"/>
  <c r="Q34" i="4"/>
  <c r="E34" i="4" s="1"/>
  <c r="O34" i="4"/>
  <c r="C34" i="4" s="1"/>
  <c r="S33" i="4"/>
  <c r="G33" i="4" s="1"/>
  <c r="R33" i="4"/>
  <c r="F33" i="4" s="1"/>
  <c r="Q33" i="4"/>
  <c r="P33" i="4"/>
  <c r="D33" i="4" s="1"/>
  <c r="S32" i="4"/>
  <c r="G32" i="4" s="1"/>
  <c r="S31" i="4"/>
  <c r="G31" i="4" s="1"/>
  <c r="R31" i="4"/>
  <c r="F31" i="4" s="1"/>
  <c r="Q31" i="4"/>
  <c r="E31" i="4" s="1"/>
  <c r="P31" i="4"/>
  <c r="D31" i="4" s="1"/>
  <c r="O31" i="4"/>
  <c r="C31" i="4" s="1"/>
  <c r="S30" i="4"/>
  <c r="G30" i="4" s="1"/>
  <c r="R30" i="4"/>
  <c r="F30" i="4" s="1"/>
  <c r="S29" i="4"/>
  <c r="G29" i="4" s="1"/>
  <c r="R29" i="4"/>
  <c r="F29" i="4" s="1"/>
  <c r="S28" i="4"/>
  <c r="G28" i="4" s="1"/>
  <c r="Q28" i="4"/>
  <c r="E28" i="4" s="1"/>
  <c r="P28" i="4"/>
  <c r="D28" i="4" s="1"/>
  <c r="S27" i="4"/>
  <c r="G27" i="4" s="1"/>
  <c r="Q27" i="4"/>
  <c r="E27" i="4" s="1"/>
  <c r="S26" i="4"/>
  <c r="G26" i="4" s="1"/>
  <c r="R26" i="4"/>
  <c r="F26" i="4" s="1"/>
  <c r="Q26" i="4"/>
  <c r="E26" i="4" s="1"/>
  <c r="P26" i="4"/>
  <c r="D26" i="4" s="1"/>
  <c r="O26" i="4"/>
  <c r="C26" i="4" s="1"/>
  <c r="S25" i="4"/>
  <c r="G25" i="4" s="1"/>
  <c r="Q25" i="4"/>
  <c r="E25" i="4" s="1"/>
  <c r="S24" i="4"/>
  <c r="G24" i="4" s="1"/>
  <c r="Q24" i="4"/>
  <c r="E24" i="4" s="1"/>
  <c r="S23" i="4"/>
  <c r="G23" i="4" s="1"/>
  <c r="R23" i="4"/>
  <c r="F23" i="4" s="1"/>
  <c r="Q23" i="4"/>
  <c r="E23" i="4" s="1"/>
  <c r="S22" i="4"/>
  <c r="G22" i="4" s="1"/>
  <c r="R22" i="4"/>
  <c r="F22" i="4" s="1"/>
  <c r="Q22" i="4"/>
  <c r="E22" i="4" s="1"/>
  <c r="P22" i="4"/>
  <c r="D22" i="4" s="1"/>
  <c r="S21" i="4"/>
  <c r="G21" i="4" s="1"/>
  <c r="R21" i="4"/>
  <c r="F21" i="4" s="1"/>
  <c r="Q21" i="4"/>
  <c r="E21" i="4" s="1"/>
  <c r="P21" i="4"/>
  <c r="D21" i="4" s="1"/>
  <c r="O21" i="4"/>
  <c r="C21" i="4" s="1"/>
  <c r="S20" i="4"/>
  <c r="G20" i="4" s="1"/>
  <c r="R20" i="4"/>
  <c r="F20" i="4" s="1"/>
  <c r="Q20" i="4"/>
  <c r="E20" i="4" s="1"/>
  <c r="P20" i="4"/>
  <c r="D20" i="4" s="1"/>
  <c r="O20" i="4"/>
  <c r="C20" i="4" s="1"/>
  <c r="R19" i="4"/>
  <c r="F19" i="4" s="1"/>
  <c r="Q19" i="4"/>
  <c r="E19" i="4" s="1"/>
  <c r="P19" i="4"/>
  <c r="D19" i="4" s="1"/>
  <c r="S18" i="4"/>
  <c r="G18" i="4" s="1"/>
  <c r="R18" i="4"/>
  <c r="F18" i="4" s="1"/>
  <c r="Q18" i="4"/>
  <c r="E18" i="4" s="1"/>
  <c r="P18" i="4"/>
  <c r="D18" i="4" s="1"/>
  <c r="O18" i="4"/>
  <c r="C18" i="4" s="1"/>
  <c r="S17" i="4"/>
  <c r="G17" i="4" s="1"/>
  <c r="R17" i="4"/>
  <c r="F17" i="4" s="1"/>
  <c r="Q17" i="4"/>
  <c r="E17" i="4" s="1"/>
  <c r="P17" i="4"/>
  <c r="D17" i="4" s="1"/>
  <c r="O17" i="4"/>
  <c r="C17" i="4" s="1"/>
  <c r="S16" i="4"/>
  <c r="G16" i="4" s="1"/>
  <c r="R16" i="4"/>
  <c r="F16" i="4" s="1"/>
  <c r="Q16" i="4"/>
  <c r="E16" i="4" s="1"/>
  <c r="P16" i="4"/>
  <c r="D16" i="4" s="1"/>
  <c r="O16" i="4"/>
  <c r="C16" i="4" s="1"/>
  <c r="S15" i="4"/>
  <c r="G15" i="4" s="1"/>
  <c r="Q15" i="4"/>
  <c r="E15" i="4" s="1"/>
  <c r="S14" i="4"/>
  <c r="G14" i="4" s="1"/>
  <c r="R14" i="4"/>
  <c r="F14" i="4" s="1"/>
  <c r="Q14" i="4"/>
  <c r="E14" i="4" s="1"/>
  <c r="O14" i="4"/>
  <c r="C14" i="4" s="1"/>
  <c r="S13" i="4"/>
  <c r="G13" i="4" s="1"/>
  <c r="R13" i="4"/>
  <c r="F13" i="4" s="1"/>
  <c r="Q13" i="4"/>
  <c r="E13" i="4" s="1"/>
  <c r="P13" i="4"/>
  <c r="D13" i="4" s="1"/>
  <c r="O13" i="4"/>
  <c r="C13" i="4" s="1"/>
  <c r="S12" i="4"/>
  <c r="G12" i="4" s="1"/>
  <c r="R12" i="4"/>
  <c r="F12" i="4" s="1"/>
  <c r="Q12" i="4"/>
  <c r="E12" i="4" s="1"/>
  <c r="P12" i="4"/>
  <c r="D12" i="4" s="1"/>
  <c r="S19" i="4"/>
  <c r="G19" i="4" s="1"/>
  <c r="S11" i="4"/>
  <c r="G11" i="4" s="1"/>
  <c r="R11" i="4"/>
  <c r="F11" i="4" s="1"/>
  <c r="Q11" i="4"/>
  <c r="E11" i="4" s="1"/>
  <c r="S10" i="4"/>
  <c r="G10" i="4" s="1"/>
  <c r="Q10" i="4"/>
  <c r="E10" i="4" s="1"/>
  <c r="P10" i="4"/>
  <c r="D10" i="4" s="1"/>
  <c r="O10" i="4"/>
  <c r="C10" i="4" s="1"/>
  <c r="S9" i="4"/>
  <c r="G9" i="4" s="1"/>
  <c r="R9" i="4"/>
  <c r="F9" i="4" s="1"/>
  <c r="Q9" i="4"/>
  <c r="E9" i="4" s="1"/>
  <c r="P9" i="4"/>
  <c r="D9" i="4" s="1"/>
  <c r="O9" i="4"/>
  <c r="C9" i="4" s="1"/>
  <c r="S8" i="4"/>
  <c r="G8" i="4" s="1"/>
  <c r="R8" i="4"/>
  <c r="F8" i="4" s="1"/>
  <c r="Q8" i="4"/>
  <c r="E8" i="4" s="1"/>
  <c r="P7" i="4"/>
  <c r="D7" i="4" s="1"/>
  <c r="O7" i="4"/>
  <c r="C7" i="4" s="1"/>
  <c r="Q51" i="4"/>
  <c r="E51" i="4" s="1"/>
  <c r="P51" i="4"/>
  <c r="D51" i="4" s="1"/>
  <c r="O51" i="4"/>
  <c r="C51" i="4" s="1"/>
  <c r="S50" i="4"/>
  <c r="G50" i="4" s="1"/>
  <c r="R50" i="4"/>
  <c r="F50" i="4" s="1"/>
  <c r="Q50" i="4"/>
  <c r="P50" i="4"/>
  <c r="D50" i="4" s="1"/>
  <c r="O50" i="4"/>
  <c r="S49" i="4"/>
  <c r="G49" i="4" s="1"/>
  <c r="O12" i="4"/>
  <c r="C12" i="4" s="1"/>
  <c r="C19" i="3"/>
  <c r="B19" i="3"/>
  <c r="C17" i="3"/>
  <c r="B17" i="3"/>
  <c r="C15" i="3"/>
  <c r="B15" i="3"/>
  <c r="C11" i="3"/>
  <c r="B11" i="3"/>
  <c r="C9" i="3"/>
  <c r="B9" i="3"/>
  <c r="D324" i="14"/>
  <c r="U324" i="14"/>
  <c r="V324" i="14" s="1"/>
  <c r="D323" i="14"/>
  <c r="U323" i="14"/>
  <c r="V323" i="14" s="1"/>
  <c r="D322" i="14"/>
  <c r="U322" i="14"/>
  <c r="V322" i="14" s="1"/>
  <c r="U321" i="14"/>
  <c r="V321" i="14" s="1"/>
  <c r="D321" i="14"/>
  <c r="U320" i="14"/>
  <c r="V320" i="14" s="1"/>
  <c r="D320" i="14"/>
  <c r="D319" i="14"/>
  <c r="U319" i="14"/>
  <c r="V319" i="14" s="1"/>
  <c r="U318" i="14"/>
  <c r="V318" i="14" s="1"/>
  <c r="D318" i="14"/>
  <c r="U317" i="14"/>
  <c r="V317" i="14" s="1"/>
  <c r="D317" i="14"/>
  <c r="D316" i="14"/>
  <c r="U316" i="14"/>
  <c r="V316" i="14" s="1"/>
  <c r="U315" i="14"/>
  <c r="V315" i="14" s="1"/>
  <c r="D315" i="14"/>
  <c r="D314" i="14"/>
  <c r="U314" i="14"/>
  <c r="V314" i="14" s="1"/>
  <c r="D313" i="14"/>
  <c r="U313" i="14"/>
  <c r="V313" i="14" s="1"/>
  <c r="U312" i="14"/>
  <c r="V312" i="14" s="1"/>
  <c r="D312" i="14"/>
  <c r="D311" i="14"/>
  <c r="U311" i="14"/>
  <c r="V311" i="14" s="1"/>
  <c r="U310" i="14"/>
  <c r="V310" i="14" s="1"/>
  <c r="D310" i="14"/>
  <c r="D309" i="14"/>
  <c r="U309" i="14"/>
  <c r="V309" i="14" s="1"/>
  <c r="D308" i="14"/>
  <c r="U308" i="14"/>
  <c r="V308" i="14" s="1"/>
  <c r="D307" i="14"/>
  <c r="U307" i="14"/>
  <c r="V307" i="14" s="1"/>
  <c r="D306" i="14"/>
  <c r="U306" i="14"/>
  <c r="V306" i="14" s="1"/>
  <c r="D305" i="14"/>
  <c r="U305" i="14"/>
  <c r="V305" i="14" s="1"/>
  <c r="U304" i="14"/>
  <c r="V304" i="14" s="1"/>
  <c r="D304" i="14"/>
  <c r="D303" i="14"/>
  <c r="U303" i="14"/>
  <c r="V303" i="14" s="1"/>
  <c r="U302" i="14"/>
  <c r="V302" i="14" s="1"/>
  <c r="D302" i="14"/>
  <c r="U301" i="14"/>
  <c r="V301" i="14" s="1"/>
  <c r="D301" i="14"/>
  <c r="U300" i="14"/>
  <c r="V300" i="14" s="1"/>
  <c r="D300" i="14"/>
  <c r="U299" i="14"/>
  <c r="V299" i="14" s="1"/>
  <c r="D299" i="14"/>
  <c r="U298" i="14"/>
  <c r="V298" i="14" s="1"/>
  <c r="D298" i="14"/>
  <c r="U297" i="14"/>
  <c r="V297" i="14" s="1"/>
  <c r="D297" i="14"/>
  <c r="D295" i="14"/>
  <c r="U295" i="14"/>
  <c r="V295" i="14" s="1"/>
  <c r="D294" i="14"/>
  <c r="U294" i="14"/>
  <c r="V294" i="14" s="1"/>
  <c r="U293" i="14"/>
  <c r="V293" i="14" s="1"/>
  <c r="D293" i="14"/>
  <c r="D292" i="14"/>
  <c r="U292" i="14"/>
  <c r="V292" i="14" s="1"/>
  <c r="D291" i="14"/>
  <c r="U291" i="14"/>
  <c r="V291" i="14" s="1"/>
  <c r="U290" i="14"/>
  <c r="V290" i="14" s="1"/>
  <c r="D290" i="14"/>
  <c r="U288" i="14"/>
  <c r="V288" i="14" s="1"/>
  <c r="D288" i="14"/>
  <c r="D287" i="14"/>
  <c r="U287" i="14"/>
  <c r="V287" i="14" s="1"/>
  <c r="U286" i="14"/>
  <c r="V286" i="14" s="1"/>
  <c r="D286" i="14"/>
  <c r="U285" i="14"/>
  <c r="V285" i="14" s="1"/>
  <c r="D285" i="14"/>
  <c r="D284" i="14"/>
  <c r="U284" i="14"/>
  <c r="V284" i="14" s="1"/>
  <c r="D283" i="14"/>
  <c r="U283" i="14"/>
  <c r="V283" i="14" s="1"/>
  <c r="D282" i="14"/>
  <c r="U282" i="14"/>
  <c r="V282" i="14" s="1"/>
  <c r="U281" i="14"/>
  <c r="V281" i="14" s="1"/>
  <c r="D281" i="14"/>
  <c r="D280" i="14"/>
  <c r="U280" i="14"/>
  <c r="V280" i="14" s="1"/>
  <c r="D279" i="14"/>
  <c r="U279" i="14"/>
  <c r="V279" i="14" s="1"/>
  <c r="D278" i="14"/>
  <c r="U278" i="14"/>
  <c r="V278" i="14" s="1"/>
  <c r="U277" i="14"/>
  <c r="V277" i="14" s="1"/>
  <c r="D277" i="14"/>
  <c r="U276" i="14"/>
  <c r="V276" i="14" s="1"/>
  <c r="D276" i="14"/>
  <c r="D275" i="14"/>
  <c r="U275" i="14"/>
  <c r="V275" i="14" s="1"/>
  <c r="U274" i="14"/>
  <c r="V274" i="14" s="1"/>
  <c r="D274" i="14"/>
  <c r="D273" i="14"/>
  <c r="U273" i="14"/>
  <c r="V273" i="14" s="1"/>
  <c r="D272" i="14"/>
  <c r="U272" i="14"/>
  <c r="V272" i="14" s="1"/>
  <c r="U271" i="14"/>
  <c r="V271" i="14" s="1"/>
  <c r="D271" i="14"/>
  <c r="U270" i="14"/>
  <c r="V270" i="14" s="1"/>
  <c r="D270" i="14"/>
  <c r="D269" i="14"/>
  <c r="U269" i="14"/>
  <c r="V269" i="14" s="1"/>
  <c r="D268" i="14"/>
  <c r="U268" i="14"/>
  <c r="V268" i="14" s="1"/>
  <c r="D267" i="14"/>
  <c r="U267" i="14"/>
  <c r="V267" i="14" s="1"/>
  <c r="D266" i="14"/>
  <c r="U266" i="14"/>
  <c r="V266" i="14" s="1"/>
  <c r="D265" i="14"/>
  <c r="U265" i="14"/>
  <c r="V265" i="14" s="1"/>
  <c r="U264" i="14"/>
  <c r="V264" i="14" s="1"/>
  <c r="D264" i="14"/>
  <c r="U263" i="14"/>
  <c r="V263" i="14" s="1"/>
  <c r="D263" i="14"/>
  <c r="D262" i="14"/>
  <c r="U262" i="14"/>
  <c r="V262" i="14" s="1"/>
  <c r="U217" i="14"/>
  <c r="V217" i="14" s="1"/>
  <c r="D217" i="14"/>
  <c r="D216" i="14"/>
  <c r="U216" i="14"/>
  <c r="V216" i="14" s="1"/>
  <c r="D215" i="14"/>
  <c r="U215" i="14"/>
  <c r="V215" i="14" s="1"/>
  <c r="D214" i="14"/>
  <c r="U214" i="14"/>
  <c r="V214" i="14" s="1"/>
  <c r="D213" i="14"/>
  <c r="U213" i="14"/>
  <c r="V213" i="14" s="1"/>
  <c r="U212" i="14"/>
  <c r="V212" i="14" s="1"/>
  <c r="D212" i="14"/>
  <c r="D211" i="14"/>
  <c r="U211" i="14"/>
  <c r="V211" i="14" s="1"/>
  <c r="U210" i="14"/>
  <c r="V210" i="14" s="1"/>
  <c r="D210" i="14"/>
  <c r="D209" i="14"/>
  <c r="U209" i="14"/>
  <c r="V209" i="14" s="1"/>
  <c r="D208" i="14"/>
  <c r="U208" i="14"/>
  <c r="V208" i="14" s="1"/>
  <c r="U207" i="14"/>
  <c r="V207" i="14" s="1"/>
  <c r="D207" i="14"/>
  <c r="D206" i="14"/>
  <c r="U206" i="14"/>
  <c r="V206" i="14" s="1"/>
  <c r="D205" i="14"/>
  <c r="U205" i="14"/>
  <c r="V205" i="14" s="1"/>
  <c r="U204" i="14"/>
  <c r="V204" i="14" s="1"/>
  <c r="D204" i="14"/>
  <c r="U203" i="14"/>
  <c r="V203" i="14" s="1"/>
  <c r="D203" i="14"/>
  <c r="D202" i="14"/>
  <c r="U202" i="14"/>
  <c r="V202" i="14" s="1"/>
  <c r="U201" i="14"/>
  <c r="V201" i="14" s="1"/>
  <c r="D201" i="14"/>
  <c r="U200" i="14"/>
  <c r="V200" i="14" s="1"/>
  <c r="D200" i="14"/>
  <c r="D199" i="14"/>
  <c r="U199" i="14"/>
  <c r="V199" i="14" s="1"/>
  <c r="D198" i="14"/>
  <c r="U198" i="14"/>
  <c r="V198" i="14" s="1"/>
  <c r="D197" i="14"/>
  <c r="U197" i="14"/>
  <c r="V197" i="14" s="1"/>
  <c r="U196" i="14"/>
  <c r="V196" i="14" s="1"/>
  <c r="D196" i="14"/>
  <c r="D194" i="14"/>
  <c r="U194" i="14"/>
  <c r="V194" i="14" s="1"/>
  <c r="U193" i="14"/>
  <c r="V193" i="14" s="1"/>
  <c r="D193" i="14"/>
  <c r="D192" i="14"/>
  <c r="U192" i="14"/>
  <c r="V192" i="14" s="1"/>
  <c r="U191" i="14"/>
  <c r="V191" i="14" s="1"/>
  <c r="D191" i="14"/>
  <c r="D190" i="14"/>
  <c r="U190" i="14"/>
  <c r="V190" i="14" s="1"/>
  <c r="D189" i="14"/>
  <c r="U189" i="14"/>
  <c r="V189" i="14" s="1"/>
  <c r="D188" i="14"/>
  <c r="U188" i="14"/>
  <c r="V188" i="14" s="1"/>
  <c r="U187" i="14"/>
  <c r="V187" i="14" s="1"/>
  <c r="D187" i="14"/>
  <c r="U186" i="14"/>
  <c r="V186" i="14" s="1"/>
  <c r="D186" i="14"/>
  <c r="D185" i="14"/>
  <c r="U185" i="14"/>
  <c r="V185" i="14" s="1"/>
  <c r="U184" i="14"/>
  <c r="V184" i="14" s="1"/>
  <c r="D184" i="14"/>
  <c r="U183" i="14"/>
  <c r="V183" i="14" s="1"/>
  <c r="D183" i="14"/>
  <c r="D182" i="14"/>
  <c r="U182" i="14"/>
  <c r="V182" i="14" s="1"/>
  <c r="U180" i="14"/>
  <c r="V180" i="14" s="1"/>
  <c r="D180" i="14"/>
  <c r="U179" i="14"/>
  <c r="V179" i="14" s="1"/>
  <c r="D179" i="14"/>
  <c r="D178" i="14"/>
  <c r="U178" i="14"/>
  <c r="V178" i="14" s="1"/>
  <c r="D177" i="14"/>
  <c r="U177" i="14"/>
  <c r="V177" i="14" s="1"/>
  <c r="U176" i="14"/>
  <c r="V176" i="14" s="1"/>
  <c r="D176" i="14"/>
  <c r="D175" i="14"/>
  <c r="U175" i="14"/>
  <c r="V175" i="14" s="1"/>
  <c r="J65" i="14"/>
  <c r="J166" i="14"/>
  <c r="J136" i="14"/>
  <c r="J106" i="14"/>
  <c r="J90" i="14"/>
  <c r="J80" i="14"/>
  <c r="J79" i="14"/>
  <c r="J78" i="14"/>
  <c r="P263" i="13"/>
  <c r="BA179" i="13"/>
  <c r="AZ179" i="13"/>
  <c r="AY179" i="13"/>
  <c r="AX179" i="13"/>
  <c r="AW179" i="13"/>
  <c r="AV179" i="13"/>
  <c r="AU179" i="13"/>
  <c r="AT179" i="13"/>
  <c r="AS179" i="13"/>
  <c r="AR179" i="13"/>
  <c r="AQ179" i="13"/>
  <c r="AP179" i="13"/>
  <c r="AO179" i="13"/>
  <c r="AM179" i="13"/>
  <c r="AL179" i="13"/>
  <c r="AK179" i="13"/>
  <c r="AJ179" i="13"/>
  <c r="AI179" i="13"/>
  <c r="AH179" i="13"/>
  <c r="AG179" i="13"/>
  <c r="AF179" i="13"/>
  <c r="AE179" i="13"/>
  <c r="AD179" i="13"/>
  <c r="AC179" i="13"/>
  <c r="AB179" i="13"/>
  <c r="AA179" i="13"/>
  <c r="AA263" i="13" s="1"/>
  <c r="Z179" i="13"/>
  <c r="Z263" i="13" s="1"/>
  <c r="Y179" i="13"/>
  <c r="Y263" i="13" s="1"/>
  <c r="X179" i="13"/>
  <c r="X263" i="13" s="1"/>
  <c r="W179" i="13"/>
  <c r="W263" i="13" s="1"/>
  <c r="V179" i="13"/>
  <c r="V263" i="13" s="1"/>
  <c r="U179" i="13"/>
  <c r="U263" i="13" s="1"/>
  <c r="S179" i="13"/>
  <c r="S263" i="13" s="1"/>
  <c r="R179" i="13"/>
  <c r="R263" i="13" s="1"/>
  <c r="Q179" i="13"/>
  <c r="Q263" i="13" s="1"/>
  <c r="AN179" i="13"/>
  <c r="T179" i="13"/>
  <c r="T263" i="13" s="1"/>
  <c r="N133" i="13"/>
  <c r="O133" i="13"/>
  <c r="AL131" i="13"/>
  <c r="P128" i="13"/>
  <c r="AI111" i="13"/>
  <c r="AH111" i="13"/>
  <c r="AG111" i="13"/>
  <c r="AF111" i="13"/>
  <c r="AE111" i="13"/>
  <c r="AD111" i="13"/>
  <c r="AC111" i="13"/>
  <c r="AB111" i="13"/>
  <c r="AA111" i="13"/>
  <c r="Z111" i="13"/>
  <c r="N106" i="13"/>
  <c r="M106" i="13"/>
  <c r="M120" i="13" s="1"/>
  <c r="AH90" i="13"/>
  <c r="W78" i="13"/>
  <c r="W82" i="13" s="1"/>
  <c r="O103" i="13" a="1"/>
  <c r="O104" i="13" a="1"/>
  <c r="Q59" i="13"/>
  <c r="P103" i="13" a="1"/>
  <c r="P104" i="13" a="1"/>
  <c r="V47" i="13"/>
  <c r="V46" i="13"/>
  <c r="U47" i="13"/>
  <c r="U46" i="13"/>
  <c r="T47" i="13"/>
  <c r="T46" i="13"/>
  <c r="S47" i="13"/>
  <c r="S46" i="13"/>
  <c r="AM25" i="13"/>
  <c r="AA30" i="13"/>
  <c r="AL25" i="13"/>
  <c r="Z30" i="13"/>
  <c r="AK25" i="13"/>
  <c r="Y30" i="13"/>
  <c r="AJ25" i="13"/>
  <c r="X30" i="13"/>
  <c r="AI25" i="13"/>
  <c r="W30" i="13"/>
  <c r="AH25" i="13"/>
  <c r="V30" i="13"/>
  <c r="U30" i="13"/>
  <c r="AG25" i="13"/>
  <c r="T30" i="13"/>
  <c r="AF25" i="13"/>
  <c r="AE25" i="13"/>
  <c r="S30" i="13"/>
  <c r="AD25" i="13"/>
  <c r="R30" i="13"/>
  <c r="AC25" i="13"/>
  <c r="Q30" i="13"/>
  <c r="P30" i="13"/>
  <c r="AB25" i="13"/>
  <c r="O29" i="13"/>
  <c r="AM23" i="13"/>
  <c r="AA24" i="13"/>
  <c r="AA28" i="13"/>
  <c r="AL23" i="13"/>
  <c r="Z24" i="13"/>
  <c r="Z28" i="13"/>
  <c r="AK23" i="13"/>
  <c r="Y24" i="13"/>
  <c r="Y28" i="13"/>
  <c r="X28" i="13"/>
  <c r="X24" i="13"/>
  <c r="AJ23" i="13"/>
  <c r="W24" i="13"/>
  <c r="AI23" i="13"/>
  <c r="W28" i="13"/>
  <c r="V24" i="13"/>
  <c r="AH23" i="13"/>
  <c r="V28" i="13"/>
  <c r="AG23" i="13"/>
  <c r="U24" i="13"/>
  <c r="U28" i="13"/>
  <c r="AF23" i="13"/>
  <c r="T24" i="13"/>
  <c r="T28" i="13"/>
  <c r="AE23" i="13"/>
  <c r="S24" i="13"/>
  <c r="S28" i="13"/>
  <c r="R24" i="13"/>
  <c r="AD23" i="13"/>
  <c r="R28" i="13"/>
  <c r="AC23" i="13"/>
  <c r="Q24" i="13"/>
  <c r="Q28" i="13"/>
  <c r="P28" i="13"/>
  <c r="P24" i="13"/>
  <c r="AB23" i="13"/>
  <c r="BA1" i="13"/>
  <c r="AZ1" i="13"/>
  <c r="C32" i="6"/>
  <c r="B32" i="6"/>
  <c r="A33" i="6"/>
  <c r="AR32" i="4"/>
  <c r="R32" i="4"/>
  <c r="Q32" i="4"/>
  <c r="AQ32" i="4"/>
  <c r="P32" i="4"/>
  <c r="AP32" i="4"/>
  <c r="O32" i="4"/>
  <c r="AO32" i="4"/>
  <c r="AQ30" i="4"/>
  <c r="Q30" i="4"/>
  <c r="AP30" i="4"/>
  <c r="P30" i="4"/>
  <c r="AO30" i="4"/>
  <c r="O30" i="4"/>
  <c r="H56" i="3"/>
  <c r="Q29" i="4"/>
  <c r="AP29" i="4"/>
  <c r="P29" i="4"/>
  <c r="AO29" i="4"/>
  <c r="O29" i="4"/>
  <c r="R28" i="4"/>
  <c r="AR28" i="4"/>
  <c r="O28" i="4"/>
  <c r="AO28" i="4"/>
  <c r="R27" i="4"/>
  <c r="AR27" i="4"/>
  <c r="P27" i="4"/>
  <c r="AP27" i="4"/>
  <c r="O27" i="4"/>
  <c r="AO27" i="4"/>
  <c r="R25" i="4"/>
  <c r="AR25" i="4"/>
  <c r="P25" i="4"/>
  <c r="AP25" i="4"/>
  <c r="O25" i="4"/>
  <c r="AO25" i="4"/>
  <c r="G51" i="3"/>
  <c r="O24" i="4"/>
  <c r="AR24" i="4"/>
  <c r="R24" i="4"/>
  <c r="AP24" i="4"/>
  <c r="P24" i="4"/>
  <c r="AP23" i="4"/>
  <c r="P23" i="4"/>
  <c r="D23" i="4" s="1"/>
  <c r="AO23" i="4"/>
  <c r="O23" i="4"/>
  <c r="AO22" i="4"/>
  <c r="O22" i="4"/>
  <c r="G46" i="3"/>
  <c r="O19" i="4"/>
  <c r="H42" i="3"/>
  <c r="R15" i="4"/>
  <c r="AP15" i="4"/>
  <c r="P15" i="4"/>
  <c r="O15" i="4"/>
  <c r="AO15" i="4"/>
  <c r="P14" i="4"/>
  <c r="AP14" i="4"/>
  <c r="P11" i="4"/>
  <c r="AP11" i="4"/>
  <c r="O11" i="4"/>
  <c r="AO11" i="4"/>
  <c r="R10" i="4"/>
  <c r="AR10" i="4"/>
  <c r="AP8" i="4"/>
  <c r="P8" i="4"/>
  <c r="D8" i="4" s="1"/>
  <c r="AO8" i="4"/>
  <c r="O8" i="4"/>
  <c r="AR6" i="4"/>
  <c r="R6" i="4"/>
  <c r="Q6" i="4"/>
  <c r="AQ6" i="4"/>
  <c r="P6" i="4"/>
  <c r="AP6" i="4"/>
  <c r="O6" i="4"/>
  <c r="AO6" i="4"/>
  <c r="H32" i="3"/>
  <c r="R5" i="4"/>
  <c r="P5" i="4"/>
  <c r="AP5" i="4"/>
  <c r="AO5" i="4"/>
  <c r="O5" i="4"/>
  <c r="AR4" i="4"/>
  <c r="R4" i="4"/>
  <c r="AP4" i="4"/>
  <c r="P4" i="4"/>
  <c r="D4" i="4" s="1"/>
  <c r="O4" i="4"/>
  <c r="AO4" i="4"/>
  <c r="A33" i="1"/>
  <c r="B32" i="1"/>
  <c r="C32" i="1"/>
  <c r="R3" i="4"/>
  <c r="AR3" i="4"/>
  <c r="AP3" i="4"/>
  <c r="P3" i="4"/>
  <c r="D3" i="4" s="1"/>
  <c r="O3" i="4"/>
  <c r="AO3" i="4"/>
  <c r="K21" i="1"/>
  <c r="G20" i="3" s="1"/>
  <c r="M161" i="4"/>
  <c r="C188" i="3"/>
  <c r="B188" i="3"/>
  <c r="C31" i="3"/>
  <c r="B31" i="3"/>
  <c r="M4" i="4"/>
  <c r="B30" i="3"/>
  <c r="M3" i="4"/>
  <c r="C30" i="3"/>
  <c r="C29" i="3"/>
  <c r="B29" i="3"/>
  <c r="C28" i="3"/>
  <c r="B28" i="3"/>
  <c r="B27" i="3"/>
  <c r="C27" i="3"/>
  <c r="C26" i="3"/>
  <c r="B26" i="3"/>
  <c r="B25" i="3"/>
  <c r="C25" i="3"/>
  <c r="B24" i="3"/>
  <c r="C24" i="3"/>
  <c r="B23" i="3"/>
  <c r="C23" i="3"/>
  <c r="C22" i="3"/>
  <c r="B22" i="3"/>
  <c r="C20" i="3"/>
  <c r="B20" i="3"/>
  <c r="B18" i="3"/>
  <c r="C18" i="3"/>
  <c r="C16" i="3"/>
  <c r="B16" i="3"/>
  <c r="B14" i="3"/>
  <c r="C14" i="3"/>
  <c r="C13" i="3"/>
  <c r="B13" i="3"/>
  <c r="B12" i="3"/>
  <c r="C12" i="3"/>
  <c r="C10" i="3"/>
  <c r="B10" i="3"/>
  <c r="B8" i="3"/>
  <c r="C8" i="3"/>
  <c r="B7" i="3"/>
  <c r="C7" i="3"/>
  <c r="C6" i="3"/>
  <c r="B6" i="3"/>
  <c r="C5" i="3"/>
  <c r="B5" i="3"/>
  <c r="B4" i="3"/>
  <c r="C4" i="3"/>
  <c r="C3" i="3"/>
  <c r="B3" i="3"/>
  <c r="C2" i="3"/>
  <c r="B2" i="3"/>
  <c r="Q40" i="4"/>
  <c r="F67" i="3"/>
  <c r="AQ40" i="4"/>
  <c r="P40" i="4"/>
  <c r="D40" i="4" s="1"/>
  <c r="AO40" i="4"/>
  <c r="E67" i="3"/>
  <c r="N67" i="3" s="1"/>
  <c r="O40" i="4"/>
  <c r="R39" i="4"/>
  <c r="F39" i="4" s="1"/>
  <c r="P39" i="4"/>
  <c r="D39" i="4" s="1"/>
  <c r="E66" i="3"/>
  <c r="N66" i="3" s="1"/>
  <c r="F66" i="3"/>
  <c r="O66" i="3" s="1"/>
  <c r="Q39" i="4"/>
  <c r="E39" i="4" s="1"/>
  <c r="N65" i="3"/>
  <c r="F65" i="3"/>
  <c r="O65" i="3" s="1"/>
  <c r="Q38" i="4"/>
  <c r="E38" i="4" s="1"/>
  <c r="D4" i="11"/>
  <c r="O37" i="4"/>
  <c r="C37" i="4" s="1"/>
  <c r="E64" i="3"/>
  <c r="N64" i="3" s="1"/>
  <c r="V143" i="14"/>
  <c r="V141" i="14"/>
  <c r="C64" i="6"/>
  <c r="A65" i="6"/>
  <c r="B64" i="6"/>
  <c r="C63" i="3"/>
  <c r="M35" i="4"/>
  <c r="C62" i="3"/>
  <c r="M36" i="4"/>
  <c r="A65" i="1"/>
  <c r="C64" i="1"/>
  <c r="B64" i="1"/>
  <c r="P34" i="4"/>
  <c r="D34" i="4" s="1"/>
  <c r="E61" i="3"/>
  <c r="N61" i="3" s="1"/>
  <c r="Q954" i="14"/>
  <c r="Q947" i="14"/>
  <c r="J132" i="14"/>
  <c r="V132" i="14" s="1"/>
  <c r="J294" i="14"/>
  <c r="J212" i="14"/>
  <c r="R212" i="14" s="1"/>
  <c r="J201" i="14"/>
  <c r="J188" i="14"/>
  <c r="Q188" i="14" s="1"/>
  <c r="Q1235" i="14"/>
  <c r="R1244" i="14"/>
  <c r="R1241" i="14"/>
  <c r="Q1241" i="14"/>
  <c r="P1241" i="14"/>
  <c r="Q1236" i="14"/>
  <c r="Q1217" i="14"/>
  <c r="Q1168" i="14"/>
  <c r="Q1167" i="14"/>
  <c r="Q1166" i="14"/>
  <c r="P1166" i="14"/>
  <c r="R1165" i="14"/>
  <c r="Q1165" i="14"/>
  <c r="P1165" i="14"/>
  <c r="Q1164" i="14"/>
  <c r="R1148" i="14"/>
  <c r="R1147" i="14"/>
  <c r="Q1146" i="14"/>
  <c r="Q1145" i="14"/>
  <c r="R1140" i="14"/>
  <c r="R1138" i="14"/>
  <c r="R1132" i="14"/>
  <c r="Q1132" i="14"/>
  <c r="P1130" i="14"/>
  <c r="Q1129" i="14"/>
  <c r="P1121" i="14"/>
  <c r="Q1115" i="14"/>
  <c r="Q1110" i="14"/>
  <c r="Q1108" i="14"/>
  <c r="P1106" i="14"/>
  <c r="P1105" i="14"/>
  <c r="Q1101" i="14"/>
  <c r="P1095" i="14"/>
  <c r="Q1092" i="14"/>
  <c r="Q1090" i="14"/>
  <c r="Q1078" i="14"/>
  <c r="P1074" i="14"/>
  <c r="P1072" i="14"/>
  <c r="Q1071" i="14"/>
  <c r="R1063" i="14"/>
  <c r="P1060" i="14"/>
  <c r="R1057" i="14"/>
  <c r="Q1055" i="14"/>
  <c r="Q1054" i="14"/>
  <c r="R1051" i="14"/>
  <c r="P1045" i="14"/>
  <c r="Q1033" i="14"/>
  <c r="R1032" i="14"/>
  <c r="R1028" i="14"/>
  <c r="R1025" i="14"/>
  <c r="R1023" i="14"/>
  <c r="Q1023" i="14"/>
  <c r="R1021" i="14"/>
  <c r="Q1021" i="14"/>
  <c r="P1020" i="14"/>
  <c r="R1019" i="14"/>
  <c r="Q1019" i="14"/>
  <c r="R1017" i="14"/>
  <c r="R1012" i="14"/>
  <c r="Q1012" i="14"/>
  <c r="R1011" i="14"/>
  <c r="R1009" i="14"/>
  <c r="R1005" i="14"/>
  <c r="P1005" i="14"/>
  <c r="R1004" i="14"/>
  <c r="P1004" i="14"/>
  <c r="P998" i="14"/>
  <c r="Q997" i="14"/>
  <c r="Q996" i="14"/>
  <c r="R995" i="14"/>
  <c r="Q993" i="14"/>
  <c r="R992" i="14"/>
  <c r="Q992" i="14"/>
  <c r="R991" i="14"/>
  <c r="P991" i="14"/>
  <c r="P990" i="14"/>
  <c r="P985" i="14"/>
  <c r="Q983" i="14"/>
  <c r="P982" i="14"/>
  <c r="R977" i="14"/>
  <c r="Q974" i="14"/>
  <c r="R973" i="14"/>
  <c r="Q970" i="14"/>
  <c r="Q969" i="14"/>
  <c r="R968" i="14"/>
  <c r="R967" i="14"/>
  <c r="J216" i="14"/>
  <c r="P1244" i="14"/>
  <c r="R1240" i="14"/>
  <c r="Q1240" i="14"/>
  <c r="P1240" i="14"/>
  <c r="R1239" i="14"/>
  <c r="Q1239" i="14"/>
  <c r="P1239" i="14"/>
  <c r="R1230" i="14"/>
  <c r="P1219" i="14"/>
  <c r="P1216" i="14"/>
  <c r="Q1196" i="14"/>
  <c r="Q1192" i="14"/>
  <c r="R1177" i="14"/>
  <c r="Q1171" i="14"/>
  <c r="Q1170" i="14"/>
  <c r="R1169" i="14"/>
  <c r="Q1169" i="14"/>
  <c r="Q1161" i="14"/>
  <c r="Q1151" i="14"/>
  <c r="P1149" i="14"/>
  <c r="P1147" i="14"/>
  <c r="R1144" i="14"/>
  <c r="Q1144" i="14"/>
  <c r="R1143" i="14"/>
  <c r="P1143" i="14"/>
  <c r="P1139" i="14"/>
  <c r="Q1137" i="14"/>
  <c r="R1136" i="14"/>
  <c r="R1135" i="14"/>
  <c r="P1134" i="14"/>
  <c r="R1133" i="14"/>
  <c r="P1122" i="14"/>
  <c r="R1117" i="14"/>
  <c r="P1116" i="14"/>
  <c r="R1112" i="14"/>
  <c r="Q1112" i="14"/>
  <c r="R1100" i="14"/>
  <c r="Q1100" i="14"/>
  <c r="P1100" i="14"/>
  <c r="Q1089" i="14"/>
  <c r="R1087" i="14"/>
  <c r="Q1086" i="14"/>
  <c r="Q1085" i="14"/>
  <c r="P1081" i="14"/>
  <c r="P1079" i="14"/>
  <c r="Q1077" i="14"/>
  <c r="R1076" i="14"/>
  <c r="P1075" i="14"/>
  <c r="R1073" i="14"/>
  <c r="Q1072" i="14"/>
  <c r="Q1070" i="14"/>
  <c r="Q1026" i="14"/>
  <c r="P1023" i="14"/>
  <c r="R1022" i="14"/>
  <c r="P1022" i="14"/>
  <c r="P1019" i="14"/>
  <c r="Q1018" i="14"/>
  <c r="Q1017" i="14"/>
  <c r="Q1016" i="14"/>
  <c r="Q1015" i="14"/>
  <c r="Q1011" i="14"/>
  <c r="Q1010" i="14"/>
  <c r="Q1009" i="14"/>
  <c r="R1008" i="14"/>
  <c r="P1006" i="14"/>
  <c r="Q1004" i="14"/>
  <c r="P1003" i="14"/>
  <c r="R1001" i="14"/>
  <c r="P1001" i="14"/>
  <c r="Q1000" i="14"/>
  <c r="P997" i="14"/>
  <c r="Q990" i="14"/>
  <c r="Q987" i="14"/>
  <c r="R984" i="14"/>
  <c r="R983" i="14"/>
  <c r="Q982" i="14"/>
  <c r="R981" i="14"/>
  <c r="R975" i="14"/>
  <c r="R972" i="14"/>
  <c r="R971" i="14"/>
  <c r="Q971" i="14"/>
  <c r="R950" i="14"/>
  <c r="R949" i="14"/>
  <c r="P949" i="14"/>
  <c r="R947" i="14"/>
  <c r="R943" i="14"/>
  <c r="Q943" i="14"/>
  <c r="P943" i="14"/>
  <c r="R942" i="14"/>
  <c r="P942" i="14"/>
  <c r="R941" i="14"/>
  <c r="Q941" i="14"/>
  <c r="P941" i="14"/>
  <c r="R940" i="14"/>
  <c r="Q940" i="14"/>
  <c r="P940" i="14"/>
  <c r="Q936" i="14"/>
  <c r="P936" i="14"/>
  <c r="Q935" i="14"/>
  <c r="P935" i="14"/>
  <c r="Q931" i="14"/>
  <c r="P931" i="14"/>
  <c r="R930" i="14"/>
  <c r="Q930" i="14"/>
  <c r="R929" i="14"/>
  <c r="P929" i="14"/>
  <c r="R928" i="14"/>
  <c r="P928" i="14"/>
  <c r="R927" i="14"/>
  <c r="Q927" i="14"/>
  <c r="R926" i="14"/>
  <c r="Q925" i="14"/>
  <c r="Q923" i="14"/>
  <c r="R920" i="14"/>
  <c r="Q920" i="14"/>
  <c r="P920" i="14"/>
  <c r="P919" i="14"/>
  <c r="Q918" i="14"/>
  <c r="R916" i="14"/>
  <c r="P916" i="14"/>
  <c r="Q915" i="14"/>
  <c r="P914" i="14"/>
  <c r="R912" i="14"/>
  <c r="P912" i="14"/>
  <c r="Q911" i="14"/>
  <c r="P910" i="14"/>
  <c r="R907" i="14"/>
  <c r="Q907" i="14"/>
  <c r="P907" i="14"/>
  <c r="P906" i="14"/>
  <c r="Q904" i="14"/>
  <c r="P904" i="14"/>
  <c r="Q903" i="14"/>
  <c r="Q901" i="14"/>
  <c r="Q900" i="14"/>
  <c r="R899" i="14"/>
  <c r="P899" i="14"/>
  <c r="Q898" i="14"/>
  <c r="R896" i="14"/>
  <c r="P896" i="14"/>
  <c r="R894" i="14"/>
  <c r="P894" i="14"/>
  <c r="R893" i="14"/>
  <c r="P893" i="14"/>
  <c r="R892" i="14"/>
  <c r="Q892" i="14"/>
  <c r="P892" i="14"/>
  <c r="Q891" i="14"/>
  <c r="Q890" i="14"/>
  <c r="R889" i="14"/>
  <c r="P889" i="14"/>
  <c r="Q888" i="14"/>
  <c r="P887" i="14"/>
  <c r="Q886" i="14"/>
  <c r="P886" i="14"/>
  <c r="Q885" i="14"/>
  <c r="Q883" i="14"/>
  <c r="R882" i="14"/>
  <c r="P882" i="14"/>
  <c r="R880" i="14"/>
  <c r="P880" i="14"/>
  <c r="Q879" i="14"/>
  <c r="P878" i="14"/>
  <c r="Q877" i="14"/>
  <c r="R876" i="14"/>
  <c r="Q875" i="14"/>
  <c r="Q873" i="14"/>
  <c r="Q872" i="14"/>
  <c r="R871" i="14"/>
  <c r="P871" i="14"/>
  <c r="R867" i="14"/>
  <c r="Q866" i="14"/>
  <c r="R527" i="14"/>
  <c r="Q527" i="14"/>
  <c r="P527" i="14"/>
  <c r="Q525" i="14"/>
  <c r="R518" i="14"/>
  <c r="P517" i="14"/>
  <c r="Q516" i="14"/>
  <c r="R512" i="14"/>
  <c r="Q512" i="14"/>
  <c r="R511" i="14"/>
  <c r="Q511" i="14"/>
  <c r="P511" i="14"/>
  <c r="R509" i="14"/>
  <c r="P509" i="14"/>
  <c r="Q508" i="14"/>
  <c r="P508" i="14"/>
  <c r="P506" i="14"/>
  <c r="Q503" i="14"/>
  <c r="R501" i="14"/>
  <c r="P501" i="14"/>
  <c r="P498" i="14"/>
  <c r="J285" i="14"/>
  <c r="J268" i="14"/>
  <c r="J266" i="14"/>
  <c r="P261" i="14"/>
  <c r="R259" i="14"/>
  <c r="R257" i="14"/>
  <c r="Q257" i="14"/>
  <c r="Q256" i="14"/>
  <c r="P256" i="14"/>
  <c r="R255" i="14"/>
  <c r="P254" i="14"/>
  <c r="P252" i="14"/>
  <c r="P242" i="14"/>
  <c r="Q241" i="14"/>
  <c r="R240" i="14"/>
  <c r="Q238" i="14"/>
  <c r="R236" i="14"/>
  <c r="P236" i="14"/>
  <c r="R234" i="14"/>
  <c r="Q231" i="14"/>
  <c r="Q230" i="14"/>
  <c r="Q227" i="14"/>
  <c r="R226" i="14"/>
  <c r="P226" i="14"/>
  <c r="R224" i="14"/>
  <c r="P224" i="14"/>
  <c r="R222" i="14"/>
  <c r="Q222" i="14"/>
  <c r="R219" i="14"/>
  <c r="R1242" i="14"/>
  <c r="Q1238" i="14"/>
  <c r="P1238" i="14"/>
  <c r="R1237" i="14"/>
  <c r="Q1237" i="14"/>
  <c r="P1237" i="14"/>
  <c r="R1231" i="14"/>
  <c r="Q1230" i="14"/>
  <c r="P1230" i="14"/>
  <c r="R1223" i="14"/>
  <c r="R1219" i="14"/>
  <c r="R1218" i="14"/>
  <c r="Q1218" i="14"/>
  <c r="P1218" i="14"/>
  <c r="P1217" i="14"/>
  <c r="Q1215" i="14"/>
  <c r="P1215" i="14"/>
  <c r="R1214" i="14"/>
  <c r="Q1214" i="14"/>
  <c r="P1214" i="14"/>
  <c r="R1213" i="14"/>
  <c r="Q1213" i="14"/>
  <c r="P1213" i="14"/>
  <c r="Q1212" i="14"/>
  <c r="P1212" i="14"/>
  <c r="R1211" i="14"/>
  <c r="Q1211" i="14"/>
  <c r="R1209" i="14"/>
  <c r="Q1209" i="14"/>
  <c r="P1209" i="14"/>
  <c r="R1208" i="14"/>
  <c r="P1208" i="14"/>
  <c r="R1207" i="14"/>
  <c r="P1207" i="14"/>
  <c r="R1196" i="14"/>
  <c r="P1196" i="14"/>
  <c r="Q1195" i="14"/>
  <c r="R1193" i="14"/>
  <c r="P1193" i="14"/>
  <c r="R1191" i="14"/>
  <c r="P1191" i="14"/>
  <c r="R1188" i="14"/>
  <c r="Q1187" i="14"/>
  <c r="R1185" i="14"/>
  <c r="P1185" i="14"/>
  <c r="P1184" i="14"/>
  <c r="R1182" i="14"/>
  <c r="P1182" i="14"/>
  <c r="P1174" i="14"/>
  <c r="R1154" i="14"/>
  <c r="Q1154" i="14"/>
  <c r="P1154" i="14"/>
  <c r="R1153" i="14"/>
  <c r="Q1153" i="14"/>
  <c r="P1153" i="14"/>
  <c r="R1152" i="14"/>
  <c r="Q1152" i="14"/>
  <c r="P1152" i="14"/>
  <c r="P1151" i="14"/>
  <c r="R1150" i="14"/>
  <c r="Q1150" i="14"/>
  <c r="P1150" i="14"/>
  <c r="P1145" i="14"/>
  <c r="Q1143" i="14"/>
  <c r="Q1142" i="14"/>
  <c r="Q1141" i="14"/>
  <c r="Q1140" i="14"/>
  <c r="R1139" i="14"/>
  <c r="P1135" i="14"/>
  <c r="P1132" i="14"/>
  <c r="R1121" i="14"/>
  <c r="Q1121" i="14"/>
  <c r="P1120" i="14"/>
  <c r="R1119" i="14"/>
  <c r="Q1111" i="14"/>
  <c r="R1110" i="14"/>
  <c r="R1108" i="14"/>
  <c r="R1107" i="14"/>
  <c r="Q1107" i="14"/>
  <c r="Q1104" i="14"/>
  <c r="R1102" i="14"/>
  <c r="R1101" i="14"/>
  <c r="Q1066" i="14"/>
  <c r="P1065" i="14"/>
  <c r="P1063" i="14"/>
  <c r="P1041" i="14"/>
  <c r="P1039" i="14"/>
  <c r="Q1037" i="14"/>
  <c r="Q1035" i="14"/>
  <c r="Q1034" i="14"/>
  <c r="Q1032" i="14"/>
  <c r="P1030" i="14"/>
  <c r="R1027" i="14"/>
  <c r="P1027" i="14"/>
  <c r="Q1022" i="14"/>
  <c r="P1021" i="14"/>
  <c r="R1020" i="14"/>
  <c r="Q1020" i="14"/>
  <c r="R1018" i="14"/>
  <c r="P1018" i="14"/>
  <c r="P1016" i="14"/>
  <c r="R1014" i="14"/>
  <c r="P1014" i="14"/>
  <c r="R1013" i="14"/>
  <c r="P1013" i="14"/>
  <c r="P1011" i="14"/>
  <c r="R1010" i="14"/>
  <c r="P1010" i="14"/>
  <c r="P1009" i="14"/>
  <c r="P1007" i="14"/>
  <c r="R1006" i="14"/>
  <c r="R1002" i="14"/>
  <c r="P1002" i="14"/>
  <c r="Q999" i="14"/>
  <c r="P995" i="14"/>
  <c r="R994" i="14"/>
  <c r="P993" i="14"/>
  <c r="P992" i="14"/>
  <c r="Q988" i="14"/>
  <c r="R985" i="14"/>
  <c r="P984" i="14"/>
  <c r="P980" i="14"/>
  <c r="P973" i="14"/>
  <c r="P969" i="14"/>
  <c r="Q968" i="14"/>
  <c r="Q966" i="14"/>
  <c r="Q964" i="14"/>
  <c r="R961" i="14"/>
  <c r="P961" i="14"/>
  <c r="R959" i="14"/>
  <c r="Q958" i="14"/>
  <c r="R957" i="14"/>
  <c r="P954" i="14"/>
  <c r="R953" i="14"/>
  <c r="Q953" i="14"/>
  <c r="R952" i="14"/>
  <c r="Q952" i="14"/>
  <c r="P952" i="14"/>
  <c r="P951" i="14"/>
  <c r="Q950" i="14"/>
  <c r="P950" i="14"/>
  <c r="R948" i="14"/>
  <c r="Q948" i="14"/>
  <c r="P947" i="14"/>
  <c r="P946" i="14"/>
  <c r="R945" i="14"/>
  <c r="Q945" i="14"/>
  <c r="P945" i="14"/>
  <c r="Q942" i="14"/>
  <c r="P939" i="14"/>
  <c r="Q937" i="14"/>
  <c r="R934" i="14"/>
  <c r="P934" i="14"/>
  <c r="Q933" i="14"/>
  <c r="P932" i="14"/>
  <c r="P930" i="14"/>
  <c r="P927" i="14"/>
  <c r="P926" i="14"/>
  <c r="R924" i="14"/>
  <c r="P924" i="14"/>
  <c r="R923" i="14"/>
  <c r="P922" i="14"/>
  <c r="P921" i="14"/>
  <c r="P918" i="14"/>
  <c r="R913" i="14"/>
  <c r="P913" i="14"/>
  <c r="R910" i="14"/>
  <c r="Q910" i="14"/>
  <c r="R908" i="14"/>
  <c r="P908" i="14"/>
  <c r="P900" i="14"/>
  <c r="Q899" i="14"/>
  <c r="R898" i="14"/>
  <c r="P898" i="14"/>
  <c r="R897" i="14"/>
  <c r="P897" i="14"/>
  <c r="Q896" i="14"/>
  <c r="P895" i="14"/>
  <c r="Q893" i="14"/>
  <c r="R890" i="14"/>
  <c r="Q889" i="14"/>
  <c r="R884" i="14"/>
  <c r="Q884" i="14"/>
  <c r="P884" i="14"/>
  <c r="R881" i="14"/>
  <c r="P881" i="14"/>
  <c r="Q878" i="14"/>
  <c r="R877" i="14"/>
  <c r="P877" i="14"/>
  <c r="P876" i="14"/>
  <c r="R875" i="14"/>
  <c r="P875" i="14"/>
  <c r="Q874" i="14"/>
  <c r="R872" i="14"/>
  <c r="P872" i="14"/>
  <c r="Q869" i="14"/>
  <c r="Q868" i="14"/>
  <c r="P867" i="14"/>
  <c r="R526" i="14"/>
  <c r="Q526" i="14"/>
  <c r="P526" i="14"/>
  <c r="R499" i="14"/>
  <c r="R495" i="14"/>
  <c r="P495" i="14"/>
  <c r="J292" i="14"/>
  <c r="J291" i="14"/>
  <c r="J290" i="14"/>
  <c r="Q259" i="14"/>
  <c r="Q258" i="14"/>
  <c r="Q255" i="14"/>
  <c r="Q247" i="14"/>
  <c r="R245" i="14"/>
  <c r="Q245" i="14"/>
  <c r="P245" i="14"/>
  <c r="Q234" i="14"/>
  <c r="R233" i="14"/>
  <c r="Q233" i="14"/>
  <c r="P233" i="14"/>
  <c r="R229" i="14"/>
  <c r="Q229" i="14"/>
  <c r="R227" i="14"/>
  <c r="P227" i="14"/>
  <c r="Q225" i="14"/>
  <c r="P222" i="14"/>
  <c r="Q221" i="14"/>
  <c r="Q1244" i="14"/>
  <c r="Q1242" i="14"/>
  <c r="R1235" i="14"/>
  <c r="R1217" i="14"/>
  <c r="R1216" i="14"/>
  <c r="R1195" i="14"/>
  <c r="R1194" i="14"/>
  <c r="Q1194" i="14"/>
  <c r="P1194" i="14"/>
  <c r="P1187" i="14"/>
  <c r="Q1185" i="14"/>
  <c r="P1183" i="14"/>
  <c r="R1181" i="14"/>
  <c r="P1181" i="14"/>
  <c r="R1180" i="14"/>
  <c r="Q1180" i="14"/>
  <c r="P1180" i="14"/>
  <c r="R1168" i="14"/>
  <c r="P1163" i="14"/>
  <c r="R1161" i="14"/>
  <c r="R1160" i="14"/>
  <c r="P1160" i="14"/>
  <c r="P1158" i="14"/>
  <c r="R1157" i="14"/>
  <c r="P1157" i="14"/>
  <c r="R1156" i="14"/>
  <c r="Q1156" i="14"/>
  <c r="P1156" i="14"/>
  <c r="P1127" i="14"/>
  <c r="R1126" i="14"/>
  <c r="Q1126" i="14"/>
  <c r="P1126" i="14"/>
  <c r="R1125" i="14"/>
  <c r="Q1125" i="14"/>
  <c r="P1125" i="14"/>
  <c r="Q1124" i="14"/>
  <c r="Q1120" i="14"/>
  <c r="P1119" i="14"/>
  <c r="R1116" i="14"/>
  <c r="Q1116" i="14"/>
  <c r="Q1114" i="14"/>
  <c r="Q1113" i="14"/>
  <c r="P1111" i="14"/>
  <c r="P1110" i="14"/>
  <c r="Q1109" i="14"/>
  <c r="P1107" i="14"/>
  <c r="Q1105" i="14"/>
  <c r="R1103" i="14"/>
  <c r="P1103" i="14"/>
  <c r="P1102" i="14"/>
  <c r="P1101" i="14"/>
  <c r="R1069" i="14"/>
  <c r="Q1069" i="14"/>
  <c r="P1069" i="14"/>
  <c r="Q1068" i="14"/>
  <c r="R1067" i="14"/>
  <c r="Q1067" i="14"/>
  <c r="R1066" i="14"/>
  <c r="P1066" i="14"/>
  <c r="Q1065" i="14"/>
  <c r="R1064" i="14"/>
  <c r="P1064" i="14"/>
  <c r="Q1063" i="14"/>
  <c r="P1062" i="14"/>
  <c r="Q1061" i="14"/>
  <c r="Q1059" i="14"/>
  <c r="Q1058" i="14"/>
  <c r="P1054" i="14"/>
  <c r="Q1052" i="14"/>
  <c r="P1051" i="14"/>
  <c r="Q1050" i="14"/>
  <c r="P1050" i="14"/>
  <c r="R1049" i="14"/>
  <c r="Q1049" i="14"/>
  <c r="P1049" i="14"/>
  <c r="Q1045" i="14"/>
  <c r="P968" i="14"/>
  <c r="P967" i="14"/>
  <c r="Q521" i="14"/>
  <c r="P520" i="14"/>
  <c r="J215" i="14"/>
  <c r="J177" i="14"/>
  <c r="J150" i="14"/>
  <c r="V142" i="14"/>
  <c r="V140" i="14"/>
  <c r="J134" i="14"/>
  <c r="V134" i="14" s="1"/>
  <c r="V127" i="14"/>
  <c r="V122" i="14"/>
  <c r="V119" i="14"/>
  <c r="V114" i="14"/>
  <c r="R1243" i="14"/>
  <c r="R1199" i="14"/>
  <c r="R1189" i="14"/>
  <c r="Q1189" i="14"/>
  <c r="P1189" i="14"/>
  <c r="R1186" i="14"/>
  <c r="Q1182" i="14"/>
  <c r="P1179" i="14"/>
  <c r="Q1178" i="14"/>
  <c r="R1171" i="14"/>
  <c r="R1170" i="14"/>
  <c r="R1155" i="14"/>
  <c r="Q1155" i="14"/>
  <c r="P1155" i="14"/>
  <c r="R1151" i="14"/>
  <c r="Q1149" i="14"/>
  <c r="R1146" i="14"/>
  <c r="P1146" i="14"/>
  <c r="R1145" i="14"/>
  <c r="Q1139" i="14"/>
  <c r="Q1138" i="14"/>
  <c r="P1138" i="14"/>
  <c r="Q1136" i="14"/>
  <c r="Q1135" i="14"/>
  <c r="R1134" i="14"/>
  <c r="P1133" i="14"/>
  <c r="Q1131" i="14"/>
  <c r="R1130" i="14"/>
  <c r="Q1130" i="14"/>
  <c r="R1129" i="14"/>
  <c r="P1129" i="14"/>
  <c r="R1128" i="14"/>
  <c r="Q1128" i="14"/>
  <c r="P1128" i="14"/>
  <c r="P1099" i="14"/>
  <c r="Q1095" i="14"/>
  <c r="R1092" i="14"/>
  <c r="P1092" i="14"/>
  <c r="P1090" i="14"/>
  <c r="P1089" i="14"/>
  <c r="R1088" i="14"/>
  <c r="P1086" i="14"/>
  <c r="R1079" i="14"/>
  <c r="R1077" i="14"/>
  <c r="R1072" i="14"/>
  <c r="R1042" i="14"/>
  <c r="Q1042" i="14"/>
  <c r="P1042" i="14"/>
  <c r="R1038" i="14"/>
  <c r="R1037" i="14"/>
  <c r="R1036" i="14"/>
  <c r="P1033" i="14"/>
  <c r="R1029" i="14"/>
  <c r="P1029" i="14"/>
  <c r="P1025" i="14"/>
  <c r="P1017" i="14"/>
  <c r="R1015" i="14"/>
  <c r="P1015" i="14"/>
  <c r="Q1014" i="14"/>
  <c r="Q1013" i="14"/>
  <c r="P1012" i="14"/>
  <c r="P1008" i="14"/>
  <c r="R1007" i="14"/>
  <c r="Q1007" i="14"/>
  <c r="Q1006" i="14"/>
  <c r="Q1002" i="14"/>
  <c r="R1000" i="14"/>
  <c r="P999" i="14"/>
  <c r="Q998" i="14"/>
  <c r="R997" i="14"/>
  <c r="R993" i="14"/>
  <c r="Q991" i="14"/>
  <c r="R990" i="14"/>
  <c r="R989" i="14"/>
  <c r="P989" i="14"/>
  <c r="P981" i="14"/>
  <c r="R980" i="14"/>
  <c r="Q980" i="14"/>
  <c r="R964" i="14"/>
  <c r="Q963" i="14"/>
  <c r="P959" i="14"/>
  <c r="P958" i="14"/>
  <c r="Q957" i="14"/>
  <c r="P956" i="14"/>
  <c r="R954" i="14"/>
  <c r="R944" i="14"/>
  <c r="Q944" i="14"/>
  <c r="P944" i="14"/>
  <c r="R939" i="14"/>
  <c r="Q938" i="14"/>
  <c r="R936" i="14"/>
  <c r="R933" i="14"/>
  <c r="R931" i="14"/>
  <c r="Q929" i="14"/>
  <c r="Q924" i="14"/>
  <c r="R922" i="14"/>
  <c r="R919" i="14"/>
  <c r="Q919" i="14"/>
  <c r="R918" i="14"/>
  <c r="Q916" i="14"/>
  <c r="Q914" i="14"/>
  <c r="Q913" i="14"/>
  <c r="Q912" i="14"/>
  <c r="P911" i="14"/>
  <c r="R909" i="14"/>
  <c r="Q909" i="14"/>
  <c r="P909" i="14"/>
  <c r="R906" i="14"/>
  <c r="Q906" i="14"/>
  <c r="R905" i="14"/>
  <c r="Q905" i="14"/>
  <c r="R904" i="14"/>
  <c r="R903" i="14"/>
  <c r="Q902" i="14"/>
  <c r="R901" i="14"/>
  <c r="P901" i="14"/>
  <c r="R900" i="14"/>
  <c r="R895" i="14"/>
  <c r="Q895" i="14"/>
  <c r="P890" i="14"/>
  <c r="R888" i="14"/>
  <c r="P888" i="14"/>
  <c r="R887" i="14"/>
  <c r="R885" i="14"/>
  <c r="P885" i="14"/>
  <c r="R883" i="14"/>
  <c r="P883" i="14"/>
  <c r="R879" i="14"/>
  <c r="R878" i="14"/>
  <c r="Q876" i="14"/>
  <c r="P870" i="14"/>
  <c r="R868" i="14"/>
  <c r="P868" i="14"/>
  <c r="Q867" i="14"/>
  <c r="Q523" i="14"/>
  <c r="Q520" i="14"/>
  <c r="P518" i="14"/>
  <c r="R517" i="14"/>
  <c r="Q517" i="14"/>
  <c r="R514" i="14"/>
  <c r="P514" i="14"/>
  <c r="Q513" i="14"/>
  <c r="R510" i="14"/>
  <c r="P504" i="14"/>
  <c r="R502" i="14"/>
  <c r="Q500" i="14"/>
  <c r="R498" i="14"/>
  <c r="R497" i="14"/>
  <c r="P497" i="14"/>
  <c r="J267" i="14"/>
  <c r="J265" i="14"/>
  <c r="P260" i="14"/>
  <c r="Q244" i="14"/>
  <c r="P241" i="14"/>
  <c r="R239" i="14"/>
  <c r="Q239" i="14"/>
  <c r="R238" i="14"/>
  <c r="P238" i="14"/>
  <c r="Q237" i="14"/>
  <c r="Q236" i="14"/>
  <c r="R232" i="14"/>
  <c r="R218" i="14"/>
  <c r="Q1243" i="14"/>
  <c r="P1243" i="14"/>
  <c r="P1236" i="14"/>
  <c r="P1235" i="14"/>
  <c r="R1234" i="14"/>
  <c r="Q1234" i="14"/>
  <c r="P1234" i="14"/>
  <c r="Q1233" i="14"/>
  <c r="P1233" i="14"/>
  <c r="Q1232" i="14"/>
  <c r="Q1231" i="14"/>
  <c r="P1231" i="14"/>
  <c r="R1229" i="14"/>
  <c r="Q1229" i="14"/>
  <c r="P1229" i="14"/>
  <c r="R1228" i="14"/>
  <c r="Q1228" i="14"/>
  <c r="P1228" i="14"/>
  <c r="R1227" i="14"/>
  <c r="Q1227" i="14"/>
  <c r="P1227" i="14"/>
  <c r="Q1226" i="14"/>
  <c r="P1226" i="14"/>
  <c r="R1212" i="14"/>
  <c r="P1211" i="14"/>
  <c r="R1210" i="14"/>
  <c r="Q1210" i="14"/>
  <c r="P1210" i="14"/>
  <c r="Q1207" i="14"/>
  <c r="R1202" i="14"/>
  <c r="P1201" i="14"/>
  <c r="P1199" i="14"/>
  <c r="Q1198" i="14"/>
  <c r="R1197" i="14"/>
  <c r="Q1197" i="14"/>
  <c r="P1197" i="14"/>
  <c r="R1190" i="14"/>
  <c r="Q1190" i="14"/>
  <c r="P1190" i="14"/>
  <c r="Q1183" i="14"/>
  <c r="Q1181" i="14"/>
  <c r="R1179" i="14"/>
  <c r="R1178" i="14"/>
  <c r="P1178" i="14"/>
  <c r="P1177" i="14"/>
  <c r="R1166" i="14"/>
  <c r="R1164" i="14"/>
  <c r="R1163" i="14"/>
  <c r="Q1163" i="14"/>
  <c r="Q1159" i="14"/>
  <c r="Q1157" i="14"/>
  <c r="R1127" i="14"/>
  <c r="Q1127" i="14"/>
  <c r="R1123" i="14"/>
  <c r="R1122" i="14"/>
  <c r="R1120" i="14"/>
  <c r="Q1119" i="14"/>
  <c r="R1118" i="14"/>
  <c r="P1118" i="14"/>
  <c r="P1115" i="14"/>
  <c r="R1111" i="14"/>
  <c r="Q1106" i="14"/>
  <c r="Q1102" i="14"/>
  <c r="Q1097" i="14"/>
  <c r="R1094" i="14"/>
  <c r="R1089" i="14"/>
  <c r="R1086" i="14"/>
  <c r="R1082" i="14"/>
  <c r="Q1079" i="14"/>
  <c r="P1078" i="14"/>
  <c r="P1076" i="14"/>
  <c r="Q1053" i="14"/>
  <c r="R1047" i="14"/>
  <c r="P983" i="14"/>
  <c r="R979" i="14"/>
  <c r="P979" i="14"/>
  <c r="P978" i="14"/>
  <c r="P977" i="14"/>
  <c r="Q976" i="14"/>
  <c r="P522" i="14"/>
  <c r="R519" i="14"/>
  <c r="P519" i="14"/>
  <c r="P513" i="14"/>
  <c r="Q505" i="14"/>
  <c r="R503" i="14"/>
  <c r="J264" i="14"/>
  <c r="R260" i="14"/>
  <c r="Q260" i="14"/>
  <c r="P259" i="14"/>
  <c r="P255" i="14"/>
  <c r="Q254" i="14"/>
  <c r="Q253" i="14"/>
  <c r="P240" i="14"/>
  <c r="R231" i="14"/>
  <c r="Q226" i="14"/>
  <c r="Q220" i="14"/>
  <c r="P218" i="14"/>
  <c r="J217" i="14"/>
  <c r="J214" i="14"/>
  <c r="J213" i="14"/>
  <c r="J210" i="14"/>
  <c r="J208" i="14"/>
  <c r="J203" i="14"/>
  <c r="J196" i="14"/>
  <c r="J195" i="14"/>
  <c r="J194" i="14"/>
  <c r="J185" i="14"/>
  <c r="J183" i="14"/>
  <c r="J182" i="14"/>
  <c r="J181" i="14"/>
  <c r="J180" i="14"/>
  <c r="J175" i="14"/>
  <c r="J170" i="14"/>
  <c r="V155" i="14"/>
  <c r="V153" i="14"/>
  <c r="J151" i="14"/>
  <c r="V135" i="14"/>
  <c r="V113" i="14"/>
  <c r="V112" i="14"/>
  <c r="P1242" i="14"/>
  <c r="R1238" i="14"/>
  <c r="R1233" i="14"/>
  <c r="R1232" i="14"/>
  <c r="P1232" i="14"/>
  <c r="R1225" i="14"/>
  <c r="R1224" i="14"/>
  <c r="Q1224" i="14"/>
  <c r="P1224" i="14"/>
  <c r="Q1223" i="14"/>
  <c r="P1223" i="14"/>
  <c r="R1222" i="14"/>
  <c r="Q1222" i="14"/>
  <c r="P1222" i="14"/>
  <c r="R1221" i="14"/>
  <c r="Q1221" i="14"/>
  <c r="P1221" i="14"/>
  <c r="R1220" i="14"/>
  <c r="Q1220" i="14"/>
  <c r="P1220" i="14"/>
  <c r="Q1219" i="14"/>
  <c r="Q1216" i="14"/>
  <c r="R1215" i="14"/>
  <c r="R1203" i="14"/>
  <c r="Q1202" i="14"/>
  <c r="P1202" i="14"/>
  <c r="R1187" i="14"/>
  <c r="R1184" i="14"/>
  <c r="Q1179" i="14"/>
  <c r="P1176" i="14"/>
  <c r="Q1175" i="14"/>
  <c r="Q1174" i="14"/>
  <c r="R1173" i="14"/>
  <c r="Q1173" i="14"/>
  <c r="Q1172" i="14"/>
  <c r="P1171" i="14"/>
  <c r="R1149" i="14"/>
  <c r="Q1148" i="14"/>
  <c r="P1148" i="14"/>
  <c r="P1140" i="14"/>
  <c r="P1137" i="14"/>
  <c r="R1131" i="14"/>
  <c r="R1068" i="14"/>
  <c r="P1068" i="14"/>
  <c r="P1067" i="14"/>
  <c r="R1065" i="14"/>
  <c r="Q1064" i="14"/>
  <c r="Q1051" i="14"/>
  <c r="P1047" i="14"/>
  <c r="R1043" i="14"/>
  <c r="P1043" i="14"/>
  <c r="Q1003" i="14"/>
  <c r="P1000" i="14"/>
  <c r="R998" i="14"/>
  <c r="R996" i="14"/>
  <c r="P996" i="14"/>
  <c r="P994" i="14"/>
  <c r="R988" i="14"/>
  <c r="P988" i="14"/>
  <c r="P987" i="14"/>
  <c r="R986" i="14"/>
  <c r="P986" i="14"/>
  <c r="Q985" i="14"/>
  <c r="Q984" i="14"/>
  <c r="R982" i="14"/>
  <c r="Q977" i="14"/>
  <c r="R976" i="14"/>
  <c r="P976" i="14"/>
  <c r="Q975" i="14"/>
  <c r="Q973" i="14"/>
  <c r="Q972" i="14"/>
  <c r="P972" i="14"/>
  <c r="R969" i="14"/>
  <c r="R965" i="14"/>
  <c r="Q965" i="14"/>
  <c r="P965" i="14"/>
  <c r="R962" i="14"/>
  <c r="P962" i="14"/>
  <c r="Q961" i="14"/>
  <c r="P960" i="14"/>
  <c r="Q959" i="14"/>
  <c r="R956" i="14"/>
  <c r="Q956" i="14"/>
  <c r="R955" i="14"/>
  <c r="Q955" i="14"/>
  <c r="J262" i="14"/>
  <c r="R256" i="14"/>
  <c r="R252" i="14"/>
  <c r="Q252" i="14"/>
  <c r="R251" i="14"/>
  <c r="Q251" i="14"/>
  <c r="P251" i="14"/>
  <c r="R250" i="14"/>
  <c r="Q250" i="14"/>
  <c r="P250" i="14"/>
  <c r="Q249" i="14"/>
  <c r="R248" i="14"/>
  <c r="Q248" i="14"/>
  <c r="P248" i="14"/>
  <c r="R246" i="14"/>
  <c r="P246" i="14"/>
  <c r="R241" i="14"/>
  <c r="P239" i="14"/>
  <c r="P235" i="14"/>
  <c r="P234" i="14"/>
  <c r="P232" i="14"/>
  <c r="R230" i="14"/>
  <c r="P230" i="14"/>
  <c r="P229" i="14"/>
  <c r="P225" i="14"/>
  <c r="R220" i="14"/>
  <c r="P219" i="14"/>
  <c r="Q218" i="14"/>
  <c r="J206" i="14"/>
  <c r="J205" i="14"/>
  <c r="J202" i="14"/>
  <c r="J200" i="14"/>
  <c r="J191" i="14"/>
  <c r="J190" i="14"/>
  <c r="J178" i="14"/>
  <c r="J168" i="14"/>
  <c r="J167" i="14"/>
  <c r="J165" i="14"/>
  <c r="V160" i="14"/>
  <c r="V148" i="14"/>
  <c r="V147" i="14"/>
  <c r="V144" i="14"/>
  <c r="P1206" i="14"/>
  <c r="P1195" i="14"/>
  <c r="Q1193" i="14"/>
  <c r="R1192" i="14"/>
  <c r="P1192" i="14"/>
  <c r="Q1191" i="14"/>
  <c r="Q1188" i="14"/>
  <c r="P1188" i="14"/>
  <c r="Q1186" i="14"/>
  <c r="P1186" i="14"/>
  <c r="Q1184" i="14"/>
  <c r="R1183" i="14"/>
  <c r="Q1177" i="14"/>
  <c r="R1176" i="14"/>
  <c r="R1175" i="14"/>
  <c r="P1175" i="14"/>
  <c r="R1174" i="14"/>
  <c r="R1172" i="14"/>
  <c r="P1169" i="14"/>
  <c r="Q1147" i="14"/>
  <c r="P1144" i="14"/>
  <c r="R1142" i="14"/>
  <c r="P1142" i="14"/>
  <c r="R1141" i="14"/>
  <c r="P1141" i="14"/>
  <c r="R1137" i="14"/>
  <c r="P1136" i="14"/>
  <c r="Q1134" i="14"/>
  <c r="Q1133" i="14"/>
  <c r="P1131" i="14"/>
  <c r="R1099" i="14"/>
  <c r="Q1099" i="14"/>
  <c r="R1098" i="14"/>
  <c r="P1098" i="14"/>
  <c r="P1097" i="14"/>
  <c r="R1095" i="14"/>
  <c r="P1094" i="14"/>
  <c r="P1091" i="14"/>
  <c r="R1090" i="14"/>
  <c r="P1088" i="14"/>
  <c r="P1087" i="14"/>
  <c r="R1084" i="14"/>
  <c r="P1084" i="14"/>
  <c r="R1083" i="14"/>
  <c r="Q1081" i="14"/>
  <c r="P1077" i="14"/>
  <c r="Q1076" i="14"/>
  <c r="R1041" i="14"/>
  <c r="Q1041" i="14"/>
  <c r="R1040" i="14"/>
  <c r="Q1040" i="14"/>
  <c r="P1040" i="14"/>
  <c r="R1039" i="14"/>
  <c r="Q1039" i="14"/>
  <c r="Q1038" i="14"/>
  <c r="P1036" i="14"/>
  <c r="R1035" i="14"/>
  <c r="R1034" i="14"/>
  <c r="P1034" i="14"/>
  <c r="P1028" i="14"/>
  <c r="Q1027" i="14"/>
  <c r="R1016" i="14"/>
  <c r="Q1008" i="14"/>
  <c r="Q1005" i="14"/>
  <c r="R1003" i="14"/>
  <c r="Q1001" i="14"/>
  <c r="R999" i="14"/>
  <c r="Q995" i="14"/>
  <c r="Q994" i="14"/>
  <c r="Q989" i="14"/>
  <c r="R987" i="14"/>
  <c r="Q986" i="14"/>
  <c r="Q981" i="14"/>
  <c r="Q979" i="14"/>
  <c r="R978" i="14"/>
  <c r="Q978" i="14"/>
  <c r="P975" i="14"/>
  <c r="R974" i="14"/>
  <c r="P974" i="14"/>
  <c r="P971" i="14"/>
  <c r="R970" i="14"/>
  <c r="P970" i="14"/>
  <c r="Q967" i="14"/>
  <c r="R966" i="14"/>
  <c r="P966" i="14"/>
  <c r="P964" i="14"/>
  <c r="R963" i="14"/>
  <c r="P963" i="14"/>
  <c r="Q962" i="14"/>
  <c r="R960" i="14"/>
  <c r="Q960" i="14"/>
  <c r="R958" i="14"/>
  <c r="P957" i="14"/>
  <c r="P955" i="14"/>
  <c r="P953" i="14"/>
  <c r="R951" i="14"/>
  <c r="Q951" i="14"/>
  <c r="Q949" i="14"/>
  <c r="P948" i="14"/>
  <c r="R946" i="14"/>
  <c r="Q946" i="14"/>
  <c r="Q939" i="14"/>
  <c r="R938" i="14"/>
  <c r="P938" i="14"/>
  <c r="R937" i="14"/>
  <c r="P937" i="14"/>
  <c r="R935" i="14"/>
  <c r="Q934" i="14"/>
  <c r="P933" i="14"/>
  <c r="R932" i="14"/>
  <c r="Q932" i="14"/>
  <c r="Q928" i="14"/>
  <c r="Q926" i="14"/>
  <c r="R925" i="14"/>
  <c r="P925" i="14"/>
  <c r="P923" i="14"/>
  <c r="Q922" i="14"/>
  <c r="R921" i="14"/>
  <c r="Q921" i="14"/>
  <c r="R917" i="14"/>
  <c r="Q917" i="14"/>
  <c r="P917" i="14"/>
  <c r="R915" i="14"/>
  <c r="P915" i="14"/>
  <c r="R914" i="14"/>
  <c r="R911" i="14"/>
  <c r="Q908" i="14"/>
  <c r="P905" i="14"/>
  <c r="P903" i="14"/>
  <c r="R902" i="14"/>
  <c r="P902" i="14"/>
  <c r="Q897" i="14"/>
  <c r="Q894" i="14"/>
  <c r="R891" i="14"/>
  <c r="P891" i="14"/>
  <c r="Q887" i="14"/>
  <c r="R886" i="14"/>
  <c r="Q882" i="14"/>
  <c r="Q881" i="14"/>
  <c r="Q880" i="14"/>
  <c r="P879" i="14"/>
  <c r="R874" i="14"/>
  <c r="P874" i="14"/>
  <c r="R873" i="14"/>
  <c r="P873" i="14"/>
  <c r="Q871" i="14"/>
  <c r="R870" i="14"/>
  <c r="Q870" i="14"/>
  <c r="R869" i="14"/>
  <c r="P869" i="14"/>
  <c r="R866" i="14"/>
  <c r="P866" i="14"/>
  <c r="R520" i="14"/>
  <c r="Q519" i="14"/>
  <c r="R516" i="14"/>
  <c r="P516" i="14"/>
  <c r="R515" i="14"/>
  <c r="Q515" i="14"/>
  <c r="R513" i="14"/>
  <c r="P510" i="14"/>
  <c r="R507" i="14"/>
  <c r="P507" i="14"/>
  <c r="P503" i="14"/>
  <c r="Q501" i="14"/>
  <c r="Q499" i="14"/>
  <c r="P499" i="14"/>
  <c r="P496" i="14"/>
  <c r="J289" i="14"/>
  <c r="J288" i="14"/>
  <c r="J287" i="14"/>
  <c r="J286" i="14"/>
  <c r="J263" i="14"/>
  <c r="R261" i="14"/>
  <c r="Q261" i="14"/>
  <c r="R254" i="14"/>
  <c r="R253" i="14"/>
  <c r="R249" i="14"/>
  <c r="R247" i="14"/>
  <c r="P247" i="14"/>
  <c r="R244" i="14"/>
  <c r="P244" i="14"/>
  <c r="Q243" i="14"/>
  <c r="Q240" i="14"/>
  <c r="P237" i="14"/>
  <c r="Q228" i="14"/>
  <c r="Q224" i="14"/>
  <c r="R223" i="14"/>
  <c r="P223" i="14"/>
  <c r="R221" i="14"/>
  <c r="J204" i="14"/>
  <c r="J199" i="14"/>
  <c r="J184" i="14"/>
  <c r="J179" i="14"/>
  <c r="J172" i="14"/>
  <c r="V161" i="14"/>
  <c r="V159" i="14"/>
  <c r="J149" i="14"/>
  <c r="V146" i="14"/>
  <c r="J137" i="14"/>
  <c r="J131" i="14"/>
  <c r="J130" i="14"/>
  <c r="J129" i="14"/>
  <c r="J128" i="14"/>
  <c r="V123" i="14"/>
  <c r="V120" i="14"/>
  <c r="V118" i="14"/>
  <c r="V117" i="14"/>
  <c r="R1236" i="14"/>
  <c r="R1226" i="14"/>
  <c r="Q1225" i="14"/>
  <c r="P1225" i="14"/>
  <c r="Q1208" i="14"/>
  <c r="R1206" i="14"/>
  <c r="Q1206" i="14"/>
  <c r="R1205" i="14"/>
  <c r="Q1205" i="14"/>
  <c r="P1205" i="14"/>
  <c r="R1204" i="14"/>
  <c r="Q1204" i="14"/>
  <c r="P1204" i="14"/>
  <c r="Q1203" i="14"/>
  <c r="P1203" i="14"/>
  <c r="R1201" i="14"/>
  <c r="Q1201" i="14"/>
  <c r="R1200" i="14"/>
  <c r="Q1200" i="14"/>
  <c r="P1200" i="14"/>
  <c r="Q1199" i="14"/>
  <c r="R1198" i="14"/>
  <c r="P1198" i="14"/>
  <c r="Q1176" i="14"/>
  <c r="P1173" i="14"/>
  <c r="P1172" i="14"/>
  <c r="P1170" i="14"/>
  <c r="P1168" i="14"/>
  <c r="R1167" i="14"/>
  <c r="P1167" i="14"/>
  <c r="P1164" i="14"/>
  <c r="R1162" i="14"/>
  <c r="Q1162" i="14"/>
  <c r="P1162" i="14"/>
  <c r="P1161" i="14"/>
  <c r="Q1160" i="14"/>
  <c r="R1159" i="14"/>
  <c r="P1159" i="14"/>
  <c r="R1158" i="14"/>
  <c r="Q1158" i="14"/>
  <c r="R1124" i="14"/>
  <c r="P1124" i="14"/>
  <c r="Q1123" i="14"/>
  <c r="P1123" i="14"/>
  <c r="Q1122" i="14"/>
  <c r="Q1118" i="14"/>
  <c r="Q1117" i="14"/>
  <c r="P1117" i="14"/>
  <c r="R1115" i="14"/>
  <c r="R1114" i="14"/>
  <c r="P1114" i="14"/>
  <c r="R1113" i="14"/>
  <c r="P1113" i="14"/>
  <c r="P1112" i="14"/>
  <c r="R1109" i="14"/>
  <c r="P1109" i="14"/>
  <c r="P1108" i="14"/>
  <c r="R1106" i="14"/>
  <c r="R1105" i="14"/>
  <c r="R1104" i="14"/>
  <c r="P1104" i="14"/>
  <c r="Q1103" i="14"/>
  <c r="R1096" i="14"/>
  <c r="Q1094" i="14"/>
  <c r="R1091" i="14"/>
  <c r="P1085" i="14"/>
  <c r="Q1083" i="14"/>
  <c r="Q1082" i="14"/>
  <c r="Q1080" i="14"/>
  <c r="R1075" i="14"/>
  <c r="R1074" i="14"/>
  <c r="P1073" i="14"/>
  <c r="R1071" i="14"/>
  <c r="P1071" i="14"/>
  <c r="R1070" i="14"/>
  <c r="P1070" i="14"/>
  <c r="Q1062" i="14"/>
  <c r="R1061" i="14"/>
  <c r="P1061" i="14"/>
  <c r="P1057" i="14"/>
  <c r="R1055" i="14"/>
  <c r="P1055" i="14"/>
  <c r="R1053" i="14"/>
  <c r="P1053" i="14"/>
  <c r="P1052" i="14"/>
  <c r="Q1048" i="14"/>
  <c r="R1044" i="14"/>
  <c r="P1044" i="14"/>
  <c r="P1038" i="14"/>
  <c r="Q1036" i="14"/>
  <c r="R1033" i="14"/>
  <c r="Q1031" i="14"/>
  <c r="R1030" i="14"/>
  <c r="Q1029" i="14"/>
  <c r="Q1028" i="14"/>
  <c r="R1026" i="14"/>
  <c r="P1026" i="14"/>
  <c r="Q1025" i="14"/>
  <c r="R1024" i="14"/>
  <c r="Q1024" i="14"/>
  <c r="P1024" i="14"/>
  <c r="R525" i="14"/>
  <c r="P525" i="14"/>
  <c r="R524" i="14"/>
  <c r="Q524" i="14"/>
  <c r="P524" i="14"/>
  <c r="R523" i="14"/>
  <c r="P523" i="14"/>
  <c r="R522" i="14"/>
  <c r="Q522" i="14"/>
  <c r="R521" i="14"/>
  <c r="P521" i="14"/>
  <c r="Q518" i="14"/>
  <c r="P515" i="14"/>
  <c r="Q514" i="14"/>
  <c r="P512" i="14"/>
  <c r="Q510" i="14"/>
  <c r="Q509" i="14"/>
  <c r="Q507" i="14"/>
  <c r="R505" i="14"/>
  <c r="P505" i="14"/>
  <c r="R504" i="14"/>
  <c r="Q504" i="14"/>
  <c r="Q502" i="14"/>
  <c r="R500" i="14"/>
  <c r="Q498" i="14"/>
  <c r="Q497" i="14"/>
  <c r="R496" i="14"/>
  <c r="Q496" i="14"/>
  <c r="J293" i="14"/>
  <c r="J207" i="14"/>
  <c r="J192" i="14"/>
  <c r="J189" i="14"/>
  <c r="J186" i="14"/>
  <c r="J171" i="14"/>
  <c r="V154" i="14"/>
  <c r="V125" i="14"/>
  <c r="V124" i="14"/>
  <c r="V121" i="14"/>
  <c r="V115" i="14"/>
  <c r="R865" i="14"/>
  <c r="Q865" i="14"/>
  <c r="P865" i="14"/>
  <c r="R864" i="14"/>
  <c r="Q864" i="14"/>
  <c r="P864" i="14"/>
  <c r="R863" i="14"/>
  <c r="Q863" i="14"/>
  <c r="P863" i="14"/>
  <c r="R862" i="14"/>
  <c r="Q862" i="14"/>
  <c r="P862" i="14"/>
  <c r="R861" i="14"/>
  <c r="Q861" i="14"/>
  <c r="P861" i="14"/>
  <c r="R860" i="14"/>
  <c r="Q860" i="14"/>
  <c r="P860" i="14"/>
  <c r="R859" i="14"/>
  <c r="Q859" i="14"/>
  <c r="P859" i="14"/>
  <c r="R858" i="14"/>
  <c r="Q858" i="14"/>
  <c r="P858" i="14"/>
  <c r="R857" i="14"/>
  <c r="Q857" i="14"/>
  <c r="P857" i="14"/>
  <c r="R856" i="14"/>
  <c r="Q856" i="14"/>
  <c r="P856" i="14"/>
  <c r="R855" i="14"/>
  <c r="Q855" i="14"/>
  <c r="P855" i="14"/>
  <c r="R854" i="14"/>
  <c r="Q854" i="14"/>
  <c r="P854" i="14"/>
  <c r="R853" i="14"/>
  <c r="Q853" i="14"/>
  <c r="P853" i="14"/>
  <c r="R852" i="14"/>
  <c r="Q852" i="14"/>
  <c r="P852" i="14"/>
  <c r="R851" i="14"/>
  <c r="Q851" i="14"/>
  <c r="P851" i="14"/>
  <c r="R850" i="14"/>
  <c r="Q850" i="14"/>
  <c r="P850" i="14"/>
  <c r="R849" i="14"/>
  <c r="Q849" i="14"/>
  <c r="P849" i="14"/>
  <c r="R848" i="14"/>
  <c r="Q848" i="14"/>
  <c r="P848" i="14"/>
  <c r="R847" i="14"/>
  <c r="Q847" i="14"/>
  <c r="P847" i="14"/>
  <c r="R846" i="14"/>
  <c r="Q846" i="14"/>
  <c r="P846" i="14"/>
  <c r="R845" i="14"/>
  <c r="Q845" i="14"/>
  <c r="P845" i="14"/>
  <c r="R844" i="14"/>
  <c r="Q844" i="14"/>
  <c r="P844" i="14"/>
  <c r="R843" i="14"/>
  <c r="Q843" i="14"/>
  <c r="P843" i="14"/>
  <c r="R842" i="14"/>
  <c r="Q842" i="14"/>
  <c r="P842" i="14"/>
  <c r="R841" i="14"/>
  <c r="Q841" i="14"/>
  <c r="P841" i="14"/>
  <c r="R840" i="14"/>
  <c r="Q840" i="14"/>
  <c r="P840" i="14"/>
  <c r="R839" i="14"/>
  <c r="Q839" i="14"/>
  <c r="P839" i="14"/>
  <c r="R838" i="14"/>
  <c r="Q838" i="14"/>
  <c r="P838" i="14"/>
  <c r="R837" i="14"/>
  <c r="Q837" i="14"/>
  <c r="P837" i="14"/>
  <c r="R836" i="14"/>
  <c r="Q836" i="14"/>
  <c r="P836" i="14"/>
  <c r="R835" i="14"/>
  <c r="Q835" i="14"/>
  <c r="P835" i="14"/>
  <c r="R834" i="14"/>
  <c r="Q834" i="14"/>
  <c r="P834" i="14"/>
  <c r="R833" i="14"/>
  <c r="Q833" i="14"/>
  <c r="P833" i="14"/>
  <c r="R832" i="14"/>
  <c r="Q832" i="14"/>
  <c r="P832" i="14"/>
  <c r="R831" i="14"/>
  <c r="Q831" i="14"/>
  <c r="P831" i="14"/>
  <c r="R830" i="14"/>
  <c r="Q830" i="14"/>
  <c r="P830" i="14"/>
  <c r="R829" i="14"/>
  <c r="Q829" i="14"/>
  <c r="P829" i="14"/>
  <c r="R828" i="14"/>
  <c r="Q828" i="14"/>
  <c r="P828" i="14"/>
  <c r="R827" i="14"/>
  <c r="Q827" i="14"/>
  <c r="P827" i="14"/>
  <c r="R826" i="14"/>
  <c r="Q826" i="14"/>
  <c r="P826" i="14"/>
  <c r="R825" i="14"/>
  <c r="Q825" i="14"/>
  <c r="P825" i="14"/>
  <c r="R824" i="14"/>
  <c r="Q824" i="14"/>
  <c r="P824" i="14"/>
  <c r="R823" i="14"/>
  <c r="Q823" i="14"/>
  <c r="P823" i="14"/>
  <c r="R822" i="14"/>
  <c r="Q822" i="14"/>
  <c r="P822" i="14"/>
  <c r="R821" i="14"/>
  <c r="Q821" i="14"/>
  <c r="P821" i="14"/>
  <c r="R820" i="14"/>
  <c r="Q820" i="14"/>
  <c r="P820" i="14"/>
  <c r="R819" i="14"/>
  <c r="Q819" i="14"/>
  <c r="P819" i="14"/>
  <c r="R818" i="14"/>
  <c r="Q818" i="14"/>
  <c r="P818" i="14"/>
  <c r="R817" i="14"/>
  <c r="Q817" i="14"/>
  <c r="P817" i="14"/>
  <c r="R816" i="14"/>
  <c r="Q816" i="14"/>
  <c r="P816" i="14"/>
  <c r="R815" i="14"/>
  <c r="Q815" i="14"/>
  <c r="P815" i="14"/>
  <c r="R814" i="14"/>
  <c r="Q814" i="14"/>
  <c r="P814" i="14"/>
  <c r="R813" i="14"/>
  <c r="Q813" i="14"/>
  <c r="P813" i="14"/>
  <c r="R812" i="14"/>
  <c r="Q812" i="14"/>
  <c r="P812" i="14"/>
  <c r="R811" i="14"/>
  <c r="Q811" i="14"/>
  <c r="P811" i="14"/>
  <c r="R810" i="14"/>
  <c r="Q810" i="14"/>
  <c r="P810" i="14"/>
  <c r="R809" i="14"/>
  <c r="Q809" i="14"/>
  <c r="P809" i="14"/>
  <c r="R808" i="14"/>
  <c r="Q808" i="14"/>
  <c r="P808" i="14"/>
  <c r="R807" i="14"/>
  <c r="Q807" i="14"/>
  <c r="P807" i="14"/>
  <c r="R806" i="14"/>
  <c r="Q806" i="14"/>
  <c r="P806" i="14"/>
  <c r="R805" i="14"/>
  <c r="Q805" i="14"/>
  <c r="P805" i="14"/>
  <c r="R804" i="14"/>
  <c r="Q804" i="14"/>
  <c r="P804" i="14"/>
  <c r="R803" i="14"/>
  <c r="Q803" i="14"/>
  <c r="P803" i="14"/>
  <c r="R802" i="14"/>
  <c r="Q802" i="14"/>
  <c r="P802" i="14"/>
  <c r="R801" i="14"/>
  <c r="Q801" i="14"/>
  <c r="P801" i="14"/>
  <c r="R800" i="14"/>
  <c r="Q800" i="14"/>
  <c r="P800" i="14"/>
  <c r="R799" i="14"/>
  <c r="Q799" i="14"/>
  <c r="P799" i="14"/>
  <c r="R798" i="14"/>
  <c r="Q798" i="14"/>
  <c r="P798" i="14"/>
  <c r="R797" i="14"/>
  <c r="Q797" i="14"/>
  <c r="P797" i="14"/>
  <c r="R796" i="14"/>
  <c r="Q796" i="14"/>
  <c r="P796" i="14"/>
  <c r="R795" i="14"/>
  <c r="Q795" i="14"/>
  <c r="P795" i="14"/>
  <c r="R794" i="14"/>
  <c r="Q794" i="14"/>
  <c r="P794" i="14"/>
  <c r="R793" i="14"/>
  <c r="Q793" i="14"/>
  <c r="P793" i="14"/>
  <c r="R792" i="14"/>
  <c r="Q792" i="14"/>
  <c r="P792" i="14"/>
  <c r="R791" i="14"/>
  <c r="Q791" i="14"/>
  <c r="P791" i="14"/>
  <c r="R790" i="14"/>
  <c r="Q790" i="14"/>
  <c r="P790" i="14"/>
  <c r="R789" i="14"/>
  <c r="Q789" i="14"/>
  <c r="P789" i="14"/>
  <c r="R788" i="14"/>
  <c r="Q788" i="14"/>
  <c r="P788" i="14"/>
  <c r="R787" i="14"/>
  <c r="Q787" i="14"/>
  <c r="P787" i="14"/>
  <c r="R786" i="14"/>
  <c r="Q786" i="14"/>
  <c r="P786" i="14"/>
  <c r="R785" i="14"/>
  <c r="Q785" i="14"/>
  <c r="P785" i="14"/>
  <c r="R784" i="14"/>
  <c r="Q784" i="14"/>
  <c r="P784" i="14"/>
  <c r="R783" i="14"/>
  <c r="Q783" i="14"/>
  <c r="P783" i="14"/>
  <c r="R782" i="14"/>
  <c r="Q782" i="14"/>
  <c r="P782" i="14"/>
  <c r="R781" i="14"/>
  <c r="Q781" i="14"/>
  <c r="P781" i="14"/>
  <c r="R780" i="14"/>
  <c r="Q780" i="14"/>
  <c r="P780" i="14"/>
  <c r="R779" i="14"/>
  <c r="Q779" i="14"/>
  <c r="P779" i="14"/>
  <c r="R778" i="14"/>
  <c r="Q778" i="14"/>
  <c r="P778" i="14"/>
  <c r="R777" i="14"/>
  <c r="Q777" i="14"/>
  <c r="P777" i="14"/>
  <c r="R776" i="14"/>
  <c r="Q776" i="14"/>
  <c r="P776" i="14"/>
  <c r="R775" i="14"/>
  <c r="Q775" i="14"/>
  <c r="P775" i="14"/>
  <c r="R774" i="14"/>
  <c r="Q774" i="14"/>
  <c r="P774" i="14"/>
  <c r="R773" i="14"/>
  <c r="Q773" i="14"/>
  <c r="P773" i="14"/>
  <c r="R772" i="14"/>
  <c r="Q772" i="14"/>
  <c r="P772" i="14"/>
  <c r="R771" i="14"/>
  <c r="Q771" i="14"/>
  <c r="P771" i="14"/>
  <c r="R770" i="14"/>
  <c r="Q770" i="14"/>
  <c r="P770" i="14"/>
  <c r="R769" i="14"/>
  <c r="Q769" i="14"/>
  <c r="P769" i="14"/>
  <c r="R768" i="14"/>
  <c r="Q768" i="14"/>
  <c r="P768" i="14"/>
  <c r="R767" i="14"/>
  <c r="Q767" i="14"/>
  <c r="P767" i="14"/>
  <c r="R766" i="14"/>
  <c r="Q766" i="14"/>
  <c r="P766" i="14"/>
  <c r="R765" i="14"/>
  <c r="Q765" i="14"/>
  <c r="P765" i="14"/>
  <c r="R764" i="14"/>
  <c r="Q764" i="14"/>
  <c r="P764" i="14"/>
  <c r="R763" i="14"/>
  <c r="Q763" i="14"/>
  <c r="P763" i="14"/>
  <c r="R762" i="14"/>
  <c r="Q762" i="14"/>
  <c r="P762" i="14"/>
  <c r="R761" i="14"/>
  <c r="Q761" i="14"/>
  <c r="P761" i="14"/>
  <c r="R760" i="14"/>
  <c r="Q760" i="14"/>
  <c r="P760" i="14"/>
  <c r="R759" i="14"/>
  <c r="Q759" i="14"/>
  <c r="P759" i="14"/>
  <c r="R758" i="14"/>
  <c r="Q758" i="14"/>
  <c r="P758" i="14"/>
  <c r="R757" i="14"/>
  <c r="Q757" i="14"/>
  <c r="P757" i="14"/>
  <c r="R756" i="14"/>
  <c r="Q756" i="14"/>
  <c r="P756" i="14"/>
  <c r="R755" i="14"/>
  <c r="Q755" i="14"/>
  <c r="P755" i="14"/>
  <c r="R754" i="14"/>
  <c r="Q754" i="14"/>
  <c r="P754" i="14"/>
  <c r="R753" i="14"/>
  <c r="Q753" i="14"/>
  <c r="P753" i="14"/>
  <c r="R752" i="14"/>
  <c r="Q752" i="14"/>
  <c r="P752" i="14"/>
  <c r="R751" i="14"/>
  <c r="Q751" i="14"/>
  <c r="P751" i="14"/>
  <c r="R750" i="14"/>
  <c r="Q750" i="14"/>
  <c r="P750" i="14"/>
  <c r="R749" i="14"/>
  <c r="Q749" i="14"/>
  <c r="P749" i="14"/>
  <c r="R748" i="14"/>
  <c r="Q748" i="14"/>
  <c r="P748" i="14"/>
  <c r="R747" i="14"/>
  <c r="Q747" i="14"/>
  <c r="P747" i="14"/>
  <c r="R746" i="14"/>
  <c r="Q746" i="14"/>
  <c r="P746" i="14"/>
  <c r="R745" i="14"/>
  <c r="Q745" i="14"/>
  <c r="P745" i="14"/>
  <c r="R744" i="14"/>
  <c r="Q744" i="14"/>
  <c r="P744" i="14"/>
  <c r="R743" i="14"/>
  <c r="Q743" i="14"/>
  <c r="P743" i="14"/>
  <c r="R742" i="14"/>
  <c r="Q742" i="14"/>
  <c r="P742" i="14"/>
  <c r="R741" i="14"/>
  <c r="Q741" i="14"/>
  <c r="P741" i="14"/>
  <c r="R740" i="14"/>
  <c r="Q740" i="14"/>
  <c r="P740" i="14"/>
  <c r="R739" i="14"/>
  <c r="Q739" i="14"/>
  <c r="P739" i="14"/>
  <c r="R738" i="14"/>
  <c r="Q738" i="14"/>
  <c r="P738" i="14"/>
  <c r="R737" i="14"/>
  <c r="Q737" i="14"/>
  <c r="P737" i="14"/>
  <c r="R736" i="14"/>
  <c r="Q736" i="14"/>
  <c r="P736" i="14"/>
  <c r="R735" i="14"/>
  <c r="Q735" i="14"/>
  <c r="P735" i="14"/>
  <c r="R734" i="14"/>
  <c r="Q734" i="14"/>
  <c r="P734" i="14"/>
  <c r="R733" i="14"/>
  <c r="Q733" i="14"/>
  <c r="P733" i="14"/>
  <c r="R732" i="14"/>
  <c r="Q732" i="14"/>
  <c r="P732" i="14"/>
  <c r="R731" i="14"/>
  <c r="Q731" i="14"/>
  <c r="P731" i="14"/>
  <c r="R730" i="14"/>
  <c r="Q730" i="14"/>
  <c r="P730" i="14"/>
  <c r="R729" i="14"/>
  <c r="Q729" i="14"/>
  <c r="P729" i="14"/>
  <c r="R728" i="14"/>
  <c r="Q728" i="14"/>
  <c r="P728" i="14"/>
  <c r="R727" i="14"/>
  <c r="Q727" i="14"/>
  <c r="P727" i="14"/>
  <c r="R726" i="14"/>
  <c r="Q726" i="14"/>
  <c r="P726" i="14"/>
  <c r="R725" i="14"/>
  <c r="Q725" i="14"/>
  <c r="P725" i="14"/>
  <c r="R724" i="14"/>
  <c r="Q724" i="14"/>
  <c r="P724" i="14"/>
  <c r="R723" i="14"/>
  <c r="Q723" i="14"/>
  <c r="P723" i="14"/>
  <c r="R722" i="14"/>
  <c r="Q722" i="14"/>
  <c r="P722" i="14"/>
  <c r="R721" i="14"/>
  <c r="Q721" i="14"/>
  <c r="P721" i="14"/>
  <c r="R720" i="14"/>
  <c r="Q720" i="14"/>
  <c r="P720" i="14"/>
  <c r="R719" i="14"/>
  <c r="Q719" i="14"/>
  <c r="P719" i="14"/>
  <c r="R718" i="14"/>
  <c r="Q718" i="14"/>
  <c r="P718" i="14"/>
  <c r="R717" i="14"/>
  <c r="Q717" i="14"/>
  <c r="P717" i="14"/>
  <c r="R716" i="14"/>
  <c r="Q716" i="14"/>
  <c r="P716" i="14"/>
  <c r="R715" i="14"/>
  <c r="Q715" i="14"/>
  <c r="P715" i="14"/>
  <c r="R714" i="14"/>
  <c r="Q714" i="14"/>
  <c r="P714" i="14"/>
  <c r="R713" i="14"/>
  <c r="Q713" i="14"/>
  <c r="P713" i="14"/>
  <c r="R712" i="14"/>
  <c r="Q712" i="14"/>
  <c r="P712" i="14"/>
  <c r="R711" i="14"/>
  <c r="Q711" i="14"/>
  <c r="P711" i="14"/>
  <c r="R710" i="14"/>
  <c r="Q710" i="14"/>
  <c r="P710" i="14"/>
  <c r="R709" i="14"/>
  <c r="Q709" i="14"/>
  <c r="P709" i="14"/>
  <c r="R708" i="14"/>
  <c r="Q708" i="14"/>
  <c r="P708" i="14"/>
  <c r="R707" i="14"/>
  <c r="Q707" i="14"/>
  <c r="P707" i="14"/>
  <c r="R706" i="14"/>
  <c r="Q706" i="14"/>
  <c r="P706" i="14"/>
  <c r="R705" i="14"/>
  <c r="Q705" i="14"/>
  <c r="P705" i="14"/>
  <c r="R704" i="14"/>
  <c r="Q704" i="14"/>
  <c r="P704" i="14"/>
  <c r="R703" i="14"/>
  <c r="Q703" i="14"/>
  <c r="P703" i="14"/>
  <c r="R702" i="14"/>
  <c r="Q702" i="14"/>
  <c r="P702" i="14"/>
  <c r="R701" i="14"/>
  <c r="Q701" i="14"/>
  <c r="P701" i="14"/>
  <c r="R700" i="14"/>
  <c r="Q700" i="14"/>
  <c r="P700" i="14"/>
  <c r="R699" i="14"/>
  <c r="Q699" i="14"/>
  <c r="P699" i="14"/>
  <c r="R698" i="14"/>
  <c r="Q698" i="14"/>
  <c r="P698" i="14"/>
  <c r="R697" i="14"/>
  <c r="Q697" i="14"/>
  <c r="P697" i="14"/>
  <c r="R696" i="14"/>
  <c r="Q696" i="14"/>
  <c r="P696" i="14"/>
  <c r="R695" i="14"/>
  <c r="Q695" i="14"/>
  <c r="P695" i="14"/>
  <c r="R694" i="14"/>
  <c r="Q694" i="14"/>
  <c r="P694" i="14"/>
  <c r="R693" i="14"/>
  <c r="Q693" i="14"/>
  <c r="P693" i="14"/>
  <c r="R692" i="14"/>
  <c r="Q692" i="14"/>
  <c r="P692" i="14"/>
  <c r="R691" i="14"/>
  <c r="Q691" i="14"/>
  <c r="P691" i="14"/>
  <c r="R690" i="14"/>
  <c r="Q690" i="14"/>
  <c r="P690" i="14"/>
  <c r="R689" i="14"/>
  <c r="Q689" i="14"/>
  <c r="P689" i="14"/>
  <c r="R688" i="14"/>
  <c r="Q688" i="14"/>
  <c r="P688" i="14"/>
  <c r="R687" i="14"/>
  <c r="Q687" i="14"/>
  <c r="P687" i="14"/>
  <c r="R686" i="14"/>
  <c r="Q686" i="14"/>
  <c r="P686" i="14"/>
  <c r="R685" i="14"/>
  <c r="Q685" i="14"/>
  <c r="P685" i="14"/>
  <c r="R684" i="14"/>
  <c r="Q684" i="14"/>
  <c r="P684" i="14"/>
  <c r="R683" i="14"/>
  <c r="Q683" i="14"/>
  <c r="P683" i="14"/>
  <c r="R682" i="14"/>
  <c r="Q682" i="14"/>
  <c r="P682" i="14"/>
  <c r="R681" i="14"/>
  <c r="Q681" i="14"/>
  <c r="P681" i="14"/>
  <c r="R680" i="14"/>
  <c r="Q680" i="14"/>
  <c r="P680" i="14"/>
  <c r="R679" i="14"/>
  <c r="Q679" i="14"/>
  <c r="P679" i="14"/>
  <c r="R678" i="14"/>
  <c r="Q678" i="14"/>
  <c r="P678" i="14"/>
  <c r="R677" i="14"/>
  <c r="Q677" i="14"/>
  <c r="P677" i="14"/>
  <c r="R676" i="14"/>
  <c r="Q676" i="14"/>
  <c r="P676" i="14"/>
  <c r="R675" i="14"/>
  <c r="Q675" i="14"/>
  <c r="P675" i="14"/>
  <c r="R674" i="14"/>
  <c r="Q674" i="14"/>
  <c r="P674" i="14"/>
  <c r="R673" i="14"/>
  <c r="Q673" i="14"/>
  <c r="P673" i="14"/>
  <c r="R672" i="14"/>
  <c r="Q672" i="14"/>
  <c r="P672" i="14"/>
  <c r="R671" i="14"/>
  <c r="Q671" i="14"/>
  <c r="P671" i="14"/>
  <c r="R670" i="14"/>
  <c r="Q670" i="14"/>
  <c r="P670" i="14"/>
  <c r="R669" i="14"/>
  <c r="Q669" i="14"/>
  <c r="P669" i="14"/>
  <c r="R668" i="14"/>
  <c r="Q668" i="14"/>
  <c r="P668" i="14"/>
  <c r="R667" i="14"/>
  <c r="Q667" i="14"/>
  <c r="P667" i="14"/>
  <c r="R666" i="14"/>
  <c r="Q666" i="14"/>
  <c r="P666" i="14"/>
  <c r="R665" i="14"/>
  <c r="Q665" i="14"/>
  <c r="P665" i="14"/>
  <c r="R664" i="14"/>
  <c r="Q664" i="14"/>
  <c r="P664" i="14"/>
  <c r="R663" i="14"/>
  <c r="Q663" i="14"/>
  <c r="P663" i="14"/>
  <c r="R662" i="14"/>
  <c r="Q662" i="14"/>
  <c r="P662" i="14"/>
  <c r="R661" i="14"/>
  <c r="Q661" i="14"/>
  <c r="P661" i="14"/>
  <c r="R660" i="14"/>
  <c r="Q660" i="14"/>
  <c r="P660" i="14"/>
  <c r="R659" i="14"/>
  <c r="Q659" i="14"/>
  <c r="P659" i="14"/>
  <c r="R658" i="14"/>
  <c r="Q658" i="14"/>
  <c r="P658" i="14"/>
  <c r="R657" i="14"/>
  <c r="Q657" i="14"/>
  <c r="P657" i="14"/>
  <c r="R656" i="14"/>
  <c r="Q656" i="14"/>
  <c r="P656" i="14"/>
  <c r="R655" i="14"/>
  <c r="Q655" i="14"/>
  <c r="P655" i="14"/>
  <c r="R654" i="14"/>
  <c r="Q654" i="14"/>
  <c r="P654" i="14"/>
  <c r="R653" i="14"/>
  <c r="Q653" i="14"/>
  <c r="P653" i="14"/>
  <c r="R652" i="14"/>
  <c r="Q652" i="14"/>
  <c r="P652" i="14"/>
  <c r="R651" i="14"/>
  <c r="Q651" i="14"/>
  <c r="P651" i="14"/>
  <c r="R650" i="14"/>
  <c r="Q650" i="14"/>
  <c r="P650" i="14"/>
  <c r="R649" i="14"/>
  <c r="Q649" i="14"/>
  <c r="P649" i="14"/>
  <c r="R648" i="14"/>
  <c r="Q648" i="14"/>
  <c r="P648" i="14"/>
  <c r="R647" i="14"/>
  <c r="Q647" i="14"/>
  <c r="P647" i="14"/>
  <c r="R646" i="14"/>
  <c r="Q646" i="14"/>
  <c r="P646" i="14"/>
  <c r="R645" i="14"/>
  <c r="Q645" i="14"/>
  <c r="P645" i="14"/>
  <c r="R644" i="14"/>
  <c r="Q644" i="14"/>
  <c r="P644" i="14"/>
  <c r="R643" i="14"/>
  <c r="Q643" i="14"/>
  <c r="P643" i="14"/>
  <c r="R642" i="14"/>
  <c r="Q642" i="14"/>
  <c r="P642" i="14"/>
  <c r="R641" i="14"/>
  <c r="Q641" i="14"/>
  <c r="P641" i="14"/>
  <c r="R640" i="14"/>
  <c r="Q640" i="14"/>
  <c r="P640" i="14"/>
  <c r="R639" i="14"/>
  <c r="Q639" i="14"/>
  <c r="P639" i="14"/>
  <c r="R638" i="14"/>
  <c r="Q638" i="14"/>
  <c r="P638" i="14"/>
  <c r="R637" i="14"/>
  <c r="Q637" i="14"/>
  <c r="P637" i="14"/>
  <c r="R636" i="14"/>
  <c r="Q636" i="14"/>
  <c r="P636" i="14"/>
  <c r="R635" i="14"/>
  <c r="Q635" i="14"/>
  <c r="P635" i="14"/>
  <c r="R634" i="14"/>
  <c r="Q634" i="14"/>
  <c r="P634" i="14"/>
  <c r="R633" i="14"/>
  <c r="Q633" i="14"/>
  <c r="P633" i="14"/>
  <c r="R632" i="14"/>
  <c r="Q632" i="14"/>
  <c r="P632" i="14"/>
  <c r="R631" i="14"/>
  <c r="Q631" i="14"/>
  <c r="P631" i="14"/>
  <c r="R630" i="14"/>
  <c r="Q630" i="14"/>
  <c r="P630" i="14"/>
  <c r="R629" i="14"/>
  <c r="Q629" i="14"/>
  <c r="P629" i="14"/>
  <c r="R628" i="14"/>
  <c r="Q628" i="14"/>
  <c r="P628" i="14"/>
  <c r="R627" i="14"/>
  <c r="Q627" i="14"/>
  <c r="P627" i="14"/>
  <c r="R626" i="14"/>
  <c r="Q626" i="14"/>
  <c r="P626" i="14"/>
  <c r="R625" i="14"/>
  <c r="Q625" i="14"/>
  <c r="P625" i="14"/>
  <c r="R624" i="14"/>
  <c r="Q624" i="14"/>
  <c r="P624" i="14"/>
  <c r="R623" i="14"/>
  <c r="Q623" i="14"/>
  <c r="P623" i="14"/>
  <c r="R622" i="14"/>
  <c r="Q622" i="14"/>
  <c r="P622" i="14"/>
  <c r="R621" i="14"/>
  <c r="Q621" i="14"/>
  <c r="P621" i="14"/>
  <c r="R620" i="14"/>
  <c r="Q620" i="14"/>
  <c r="P620" i="14"/>
  <c r="R619" i="14"/>
  <c r="Q619" i="14"/>
  <c r="P619" i="14"/>
  <c r="R618" i="14"/>
  <c r="Q618" i="14"/>
  <c r="P618" i="14"/>
  <c r="R617" i="14"/>
  <c r="Q617" i="14"/>
  <c r="P617" i="14"/>
  <c r="R616" i="14"/>
  <c r="Q616" i="14"/>
  <c r="P616" i="14"/>
  <c r="R615" i="14"/>
  <c r="Q615" i="14"/>
  <c r="P615" i="14"/>
  <c r="R614" i="14"/>
  <c r="Q614" i="14"/>
  <c r="P614" i="14"/>
  <c r="R613" i="14"/>
  <c r="Q613" i="14"/>
  <c r="P613" i="14"/>
  <c r="R612" i="14"/>
  <c r="Q612" i="14"/>
  <c r="P612" i="14"/>
  <c r="R611" i="14"/>
  <c r="Q611" i="14"/>
  <c r="P611" i="14"/>
  <c r="R610" i="14"/>
  <c r="Q610" i="14"/>
  <c r="P610" i="14"/>
  <c r="R609" i="14"/>
  <c r="Q609" i="14"/>
  <c r="P609" i="14"/>
  <c r="R608" i="14"/>
  <c r="Q608" i="14"/>
  <c r="P608" i="14"/>
  <c r="R607" i="14"/>
  <c r="Q607" i="14"/>
  <c r="P607" i="14"/>
  <c r="R606" i="14"/>
  <c r="Q606" i="14"/>
  <c r="P606" i="14"/>
  <c r="R605" i="14"/>
  <c r="Q605" i="14"/>
  <c r="P605" i="14"/>
  <c r="R604" i="14"/>
  <c r="Q604" i="14"/>
  <c r="P604" i="14"/>
  <c r="R603" i="14"/>
  <c r="Q603" i="14"/>
  <c r="P603" i="14"/>
  <c r="R602" i="14"/>
  <c r="Q602" i="14"/>
  <c r="P602" i="14"/>
  <c r="R601" i="14"/>
  <c r="Q601" i="14"/>
  <c r="P601" i="14"/>
  <c r="R600" i="14"/>
  <c r="Q600" i="14"/>
  <c r="P600" i="14"/>
  <c r="R599" i="14"/>
  <c r="Q599" i="14"/>
  <c r="P599" i="14"/>
  <c r="R598" i="14"/>
  <c r="Q598" i="14"/>
  <c r="P598" i="14"/>
  <c r="R597" i="14"/>
  <c r="Q597" i="14"/>
  <c r="P597" i="14"/>
  <c r="R596" i="14"/>
  <c r="Q596" i="14"/>
  <c r="P596" i="14"/>
  <c r="R595" i="14"/>
  <c r="Q595" i="14"/>
  <c r="P595" i="14"/>
  <c r="R594" i="14"/>
  <c r="Q594" i="14"/>
  <c r="P594" i="14"/>
  <c r="R593" i="14"/>
  <c r="Q593" i="14"/>
  <c r="P593" i="14"/>
  <c r="R592" i="14"/>
  <c r="Q592" i="14"/>
  <c r="P592" i="14"/>
  <c r="R591" i="14"/>
  <c r="Q591" i="14"/>
  <c r="P591" i="14"/>
  <c r="R590" i="14"/>
  <c r="Q590" i="14"/>
  <c r="P590" i="14"/>
  <c r="R589" i="14"/>
  <c r="Q589" i="14"/>
  <c r="P589" i="14"/>
  <c r="R588" i="14"/>
  <c r="Q588" i="14"/>
  <c r="P588" i="14"/>
  <c r="R587" i="14"/>
  <c r="Q587" i="14"/>
  <c r="P587" i="14"/>
  <c r="R586" i="14"/>
  <c r="Q586" i="14"/>
  <c r="P586" i="14"/>
  <c r="R585" i="14"/>
  <c r="Q585" i="14"/>
  <c r="P585" i="14"/>
  <c r="R584" i="14"/>
  <c r="Q584" i="14"/>
  <c r="P584" i="14"/>
  <c r="R583" i="14"/>
  <c r="Q583" i="14"/>
  <c r="P583" i="14"/>
  <c r="R582" i="14"/>
  <c r="Q582" i="14"/>
  <c r="P582" i="14"/>
  <c r="R581" i="14"/>
  <c r="Q581" i="14"/>
  <c r="P581" i="14"/>
  <c r="R580" i="14"/>
  <c r="Q580" i="14"/>
  <c r="P580" i="14"/>
  <c r="R579" i="14"/>
  <c r="Q579" i="14"/>
  <c r="P579" i="14"/>
  <c r="R578" i="14"/>
  <c r="Q578" i="14"/>
  <c r="P578" i="14"/>
  <c r="R577" i="14"/>
  <c r="Q577" i="14"/>
  <c r="P577" i="14"/>
  <c r="R576" i="14"/>
  <c r="Q576" i="14"/>
  <c r="P576" i="14"/>
  <c r="R575" i="14"/>
  <c r="Q575" i="14"/>
  <c r="P575" i="14"/>
  <c r="R574" i="14"/>
  <c r="Q574" i="14"/>
  <c r="P574" i="14"/>
  <c r="R573" i="14"/>
  <c r="Q573" i="14"/>
  <c r="P573" i="14"/>
  <c r="R572" i="14"/>
  <c r="Q572" i="14"/>
  <c r="P572" i="14"/>
  <c r="R571" i="14"/>
  <c r="Q571" i="14"/>
  <c r="P571" i="14"/>
  <c r="R570" i="14"/>
  <c r="Q570" i="14"/>
  <c r="P570" i="14"/>
  <c r="R569" i="14"/>
  <c r="Q569" i="14"/>
  <c r="P569" i="14"/>
  <c r="R568" i="14"/>
  <c r="Q568" i="14"/>
  <c r="P568" i="14"/>
  <c r="R567" i="14"/>
  <c r="Q567" i="14"/>
  <c r="P567" i="14"/>
  <c r="R566" i="14"/>
  <c r="Q566" i="14"/>
  <c r="P566" i="14"/>
  <c r="R565" i="14"/>
  <c r="Q565" i="14"/>
  <c r="P565" i="14"/>
  <c r="R564" i="14"/>
  <c r="Q564" i="14"/>
  <c r="P564" i="14"/>
  <c r="R563" i="14"/>
  <c r="Q563" i="14"/>
  <c r="P563" i="14"/>
  <c r="R562" i="14"/>
  <c r="Q562" i="14"/>
  <c r="P562" i="14"/>
  <c r="R561" i="14"/>
  <c r="Q561" i="14"/>
  <c r="P561" i="14"/>
  <c r="R560" i="14"/>
  <c r="Q560" i="14"/>
  <c r="P560" i="14"/>
  <c r="R559" i="14"/>
  <c r="Q559" i="14"/>
  <c r="P559" i="14"/>
  <c r="R558" i="14"/>
  <c r="Q558" i="14"/>
  <c r="P558" i="14"/>
  <c r="R557" i="14"/>
  <c r="Q557" i="14"/>
  <c r="P557" i="14"/>
  <c r="R556" i="14"/>
  <c r="Q556" i="14"/>
  <c r="P556" i="14"/>
  <c r="R555" i="14"/>
  <c r="Q555" i="14"/>
  <c r="P555" i="14"/>
  <c r="R554" i="14"/>
  <c r="Q554" i="14"/>
  <c r="P554" i="14"/>
  <c r="R553" i="14"/>
  <c r="Q553" i="14"/>
  <c r="P553" i="14"/>
  <c r="R552" i="14"/>
  <c r="Q552" i="14"/>
  <c r="P552" i="14"/>
  <c r="R551" i="14"/>
  <c r="Q551" i="14"/>
  <c r="P551" i="14"/>
  <c r="R550" i="14"/>
  <c r="Q550" i="14"/>
  <c r="P550" i="14"/>
  <c r="R549" i="14"/>
  <c r="Q549" i="14"/>
  <c r="P549" i="14"/>
  <c r="R548" i="14"/>
  <c r="Q548" i="14"/>
  <c r="P548" i="14"/>
  <c r="R547" i="14"/>
  <c r="Q547" i="14"/>
  <c r="P547" i="14"/>
  <c r="R546" i="14"/>
  <c r="Q546" i="14"/>
  <c r="P546" i="14"/>
  <c r="R545" i="14"/>
  <c r="Q545" i="14"/>
  <c r="P545" i="14"/>
  <c r="R544" i="14"/>
  <c r="Q544" i="14"/>
  <c r="P544" i="14"/>
  <c r="R543" i="14"/>
  <c r="Q543" i="14"/>
  <c r="P543" i="14"/>
  <c r="R542" i="14"/>
  <c r="Q542" i="14"/>
  <c r="P542" i="14"/>
  <c r="R541" i="14"/>
  <c r="Q541" i="14"/>
  <c r="P541" i="14"/>
  <c r="R540" i="14"/>
  <c r="Q540" i="14"/>
  <c r="P540" i="14"/>
  <c r="R539" i="14"/>
  <c r="Q539" i="14"/>
  <c r="P539" i="14"/>
  <c r="R538" i="14"/>
  <c r="Q538" i="14"/>
  <c r="P538" i="14"/>
  <c r="R537" i="14"/>
  <c r="Q537" i="14"/>
  <c r="P537" i="14"/>
  <c r="R536" i="14"/>
  <c r="Q536" i="14"/>
  <c r="P536" i="14"/>
  <c r="R535" i="14"/>
  <c r="Q535" i="14"/>
  <c r="P535" i="14"/>
  <c r="R534" i="14"/>
  <c r="Q534" i="14"/>
  <c r="P534" i="14"/>
  <c r="R533" i="14"/>
  <c r="Q533" i="14"/>
  <c r="P533" i="14"/>
  <c r="R532" i="14"/>
  <c r="Q532" i="14"/>
  <c r="P532" i="14"/>
  <c r="R531" i="14"/>
  <c r="Q531" i="14"/>
  <c r="P531" i="14"/>
  <c r="R530" i="14"/>
  <c r="Q530" i="14"/>
  <c r="P530" i="14"/>
  <c r="R529" i="14"/>
  <c r="Q529" i="14"/>
  <c r="P529" i="14"/>
  <c r="R528" i="14"/>
  <c r="Q528" i="14"/>
  <c r="P528" i="14"/>
  <c r="R494" i="14"/>
  <c r="Q494" i="14"/>
  <c r="P494" i="14"/>
  <c r="R493" i="14"/>
  <c r="Q493" i="14"/>
  <c r="P493" i="14"/>
  <c r="R492" i="14"/>
  <c r="Q492" i="14"/>
  <c r="P492" i="14"/>
  <c r="R491" i="14"/>
  <c r="Q491" i="14"/>
  <c r="P491" i="14"/>
  <c r="R490" i="14"/>
  <c r="Q490" i="14"/>
  <c r="P490" i="14"/>
  <c r="R489" i="14"/>
  <c r="Q489" i="14"/>
  <c r="P489" i="14"/>
  <c r="R488" i="14"/>
  <c r="Q488" i="14"/>
  <c r="P488" i="14"/>
  <c r="R487" i="14"/>
  <c r="Q487" i="14"/>
  <c r="P487" i="14"/>
  <c r="R486" i="14"/>
  <c r="Q486" i="14"/>
  <c r="P486" i="14"/>
  <c r="R485" i="14"/>
  <c r="Q485" i="14"/>
  <c r="P485" i="14"/>
  <c r="R484" i="14"/>
  <c r="Q484" i="14"/>
  <c r="P484" i="14"/>
  <c r="R483" i="14"/>
  <c r="Q483" i="14"/>
  <c r="P483" i="14"/>
  <c r="R482" i="14"/>
  <c r="Q482" i="14"/>
  <c r="P482" i="14"/>
  <c r="R481" i="14"/>
  <c r="Q481" i="14"/>
  <c r="P481" i="14"/>
  <c r="R480" i="14"/>
  <c r="Q480" i="14"/>
  <c r="P480" i="14"/>
  <c r="R479" i="14"/>
  <c r="Q479" i="14"/>
  <c r="P479" i="14"/>
  <c r="R478" i="14"/>
  <c r="Q478" i="14"/>
  <c r="P478" i="14"/>
  <c r="R477" i="14"/>
  <c r="Q477" i="14"/>
  <c r="P477" i="14"/>
  <c r="R476" i="14"/>
  <c r="Q476" i="14"/>
  <c r="P476" i="14"/>
  <c r="R475" i="14"/>
  <c r="Q475" i="14"/>
  <c r="P475" i="14"/>
  <c r="R474" i="14"/>
  <c r="Q474" i="14"/>
  <c r="P474" i="14"/>
  <c r="R473" i="14"/>
  <c r="Q473" i="14"/>
  <c r="P473" i="14"/>
  <c r="R472" i="14"/>
  <c r="Q472" i="14"/>
  <c r="P472" i="14"/>
  <c r="R471" i="14"/>
  <c r="Q471" i="14"/>
  <c r="P471" i="14"/>
  <c r="R470" i="14"/>
  <c r="Q470" i="14"/>
  <c r="P470" i="14"/>
  <c r="R469" i="14"/>
  <c r="Q469" i="14"/>
  <c r="P469" i="14"/>
  <c r="R468" i="14"/>
  <c r="Q468" i="14"/>
  <c r="P468" i="14"/>
  <c r="R467" i="14"/>
  <c r="Q467" i="14"/>
  <c r="P467" i="14"/>
  <c r="R466" i="14"/>
  <c r="Q466" i="14"/>
  <c r="P466" i="14"/>
  <c r="R465" i="14"/>
  <c r="Q465" i="14"/>
  <c r="P465" i="14"/>
  <c r="R464" i="14"/>
  <c r="Q464" i="14"/>
  <c r="P464" i="14"/>
  <c r="R463" i="14"/>
  <c r="Q463" i="14"/>
  <c r="P463" i="14"/>
  <c r="R462" i="14"/>
  <c r="Q462" i="14"/>
  <c r="P462" i="14"/>
  <c r="R461" i="14"/>
  <c r="Q461" i="14"/>
  <c r="P461" i="14"/>
  <c r="R460" i="14"/>
  <c r="Q460" i="14"/>
  <c r="P460" i="14"/>
  <c r="R459" i="14"/>
  <c r="Q459" i="14"/>
  <c r="P459" i="14"/>
  <c r="R458" i="14"/>
  <c r="Q458" i="14"/>
  <c r="P458" i="14"/>
  <c r="R457" i="14"/>
  <c r="Q457" i="14"/>
  <c r="P457" i="14"/>
  <c r="R456" i="14"/>
  <c r="Q456" i="14"/>
  <c r="P456" i="14"/>
  <c r="R455" i="14"/>
  <c r="Q455" i="14"/>
  <c r="P455" i="14"/>
  <c r="R454" i="14"/>
  <c r="Q454" i="14"/>
  <c r="P454" i="14"/>
  <c r="R453" i="14"/>
  <c r="Q453" i="14"/>
  <c r="P453" i="14"/>
  <c r="R452" i="14"/>
  <c r="Q452" i="14"/>
  <c r="P452" i="14"/>
  <c r="R451" i="14"/>
  <c r="Q451" i="14"/>
  <c r="P451" i="14"/>
  <c r="R450" i="14"/>
  <c r="Q450" i="14"/>
  <c r="P450" i="14"/>
  <c r="R449" i="14"/>
  <c r="Q449" i="14"/>
  <c r="P449" i="14"/>
  <c r="R448" i="14"/>
  <c r="Q448" i="14"/>
  <c r="P448" i="14"/>
  <c r="R447" i="14"/>
  <c r="Q447" i="14"/>
  <c r="P447" i="14"/>
  <c r="R446" i="14"/>
  <c r="Q446" i="14"/>
  <c r="P446" i="14"/>
  <c r="R445" i="14"/>
  <c r="Q445" i="14"/>
  <c r="P445" i="14"/>
  <c r="R444" i="14"/>
  <c r="Q444" i="14"/>
  <c r="P444" i="14"/>
  <c r="R443" i="14"/>
  <c r="Q443" i="14"/>
  <c r="P443" i="14"/>
  <c r="R442" i="14"/>
  <c r="Q442" i="14"/>
  <c r="P442" i="14"/>
  <c r="R441" i="14"/>
  <c r="Q441" i="14"/>
  <c r="P441" i="14"/>
  <c r="R440" i="14"/>
  <c r="Q440" i="14"/>
  <c r="P440" i="14"/>
  <c r="R439" i="14"/>
  <c r="Q439" i="14"/>
  <c r="P439" i="14"/>
  <c r="R438" i="14"/>
  <c r="Q438" i="14"/>
  <c r="P438" i="14"/>
  <c r="R437" i="14"/>
  <c r="Q437" i="14"/>
  <c r="P437" i="14"/>
  <c r="R436" i="14"/>
  <c r="Q436" i="14"/>
  <c r="P436" i="14"/>
  <c r="R435" i="14"/>
  <c r="Q435" i="14"/>
  <c r="P435" i="14"/>
  <c r="R434" i="14"/>
  <c r="Q434" i="14"/>
  <c r="P434" i="14"/>
  <c r="R433" i="14"/>
  <c r="Q433" i="14"/>
  <c r="P433" i="14"/>
  <c r="R432" i="14"/>
  <c r="Q432" i="14"/>
  <c r="P432" i="14"/>
  <c r="R431" i="14"/>
  <c r="Q431" i="14"/>
  <c r="P431" i="14"/>
  <c r="R430" i="14"/>
  <c r="Q430" i="14"/>
  <c r="P430" i="14"/>
  <c r="R429" i="14"/>
  <c r="Q429" i="14"/>
  <c r="P429" i="14"/>
  <c r="R428" i="14"/>
  <c r="Q428" i="14"/>
  <c r="P428" i="14"/>
  <c r="R427" i="14"/>
  <c r="Q427" i="14"/>
  <c r="P427" i="14"/>
  <c r="R426" i="14"/>
  <c r="Q426" i="14"/>
  <c r="P426" i="14"/>
  <c r="R425" i="14"/>
  <c r="Q425" i="14"/>
  <c r="P425" i="14"/>
  <c r="R424" i="14"/>
  <c r="Q424" i="14"/>
  <c r="P424" i="14"/>
  <c r="R423" i="14"/>
  <c r="Q423" i="14"/>
  <c r="P423" i="14"/>
  <c r="R422" i="14"/>
  <c r="Q422" i="14"/>
  <c r="P422" i="14"/>
  <c r="R421" i="14"/>
  <c r="Q421" i="14"/>
  <c r="P421" i="14"/>
  <c r="R420" i="14"/>
  <c r="Q420" i="14"/>
  <c r="P420" i="14"/>
  <c r="R419" i="14"/>
  <c r="Q419" i="14"/>
  <c r="P419" i="14"/>
  <c r="R418" i="14"/>
  <c r="Q418" i="14"/>
  <c r="P418" i="14"/>
  <c r="R417" i="14"/>
  <c r="Q417" i="14"/>
  <c r="P417" i="14"/>
  <c r="R416" i="14"/>
  <c r="Q416" i="14"/>
  <c r="P416" i="14"/>
  <c r="R415" i="14"/>
  <c r="Q415" i="14"/>
  <c r="P415" i="14"/>
  <c r="R414" i="14"/>
  <c r="Q414" i="14"/>
  <c r="P414" i="14"/>
  <c r="R413" i="14"/>
  <c r="Q413" i="14"/>
  <c r="P413" i="14"/>
  <c r="R412" i="14"/>
  <c r="Q412" i="14"/>
  <c r="P412" i="14"/>
  <c r="R411" i="14"/>
  <c r="Q411" i="14"/>
  <c r="P411" i="14"/>
  <c r="R410" i="14"/>
  <c r="Q410" i="14"/>
  <c r="P410" i="14"/>
  <c r="R409" i="14"/>
  <c r="Q409" i="14"/>
  <c r="P409" i="14"/>
  <c r="R408" i="14"/>
  <c r="Q408" i="14"/>
  <c r="P408" i="14"/>
  <c r="R407" i="14"/>
  <c r="Q407" i="14"/>
  <c r="P407" i="14"/>
  <c r="R406" i="14"/>
  <c r="Q406" i="14"/>
  <c r="P406" i="14"/>
  <c r="R405" i="14"/>
  <c r="Q405" i="14"/>
  <c r="P405" i="14"/>
  <c r="R404" i="14"/>
  <c r="Q404" i="14"/>
  <c r="P404" i="14"/>
  <c r="R403" i="14"/>
  <c r="Q403" i="14"/>
  <c r="P403" i="14"/>
  <c r="R402" i="14"/>
  <c r="Q402" i="14"/>
  <c r="P402" i="14"/>
  <c r="R401" i="14"/>
  <c r="Q401" i="14"/>
  <c r="P401" i="14"/>
  <c r="R400" i="14"/>
  <c r="Q400" i="14"/>
  <c r="P400" i="14"/>
  <c r="R399" i="14"/>
  <c r="Q399" i="14"/>
  <c r="P399" i="14"/>
  <c r="R398" i="14"/>
  <c r="Q398" i="14"/>
  <c r="P398" i="14"/>
  <c r="R397" i="14"/>
  <c r="Q397" i="14"/>
  <c r="P397" i="14"/>
  <c r="R396" i="14"/>
  <c r="Q396" i="14"/>
  <c r="P396" i="14"/>
  <c r="R395" i="14"/>
  <c r="Q395" i="14"/>
  <c r="P395" i="14"/>
  <c r="R394" i="14"/>
  <c r="Q394" i="14"/>
  <c r="P394" i="14"/>
  <c r="R393" i="14"/>
  <c r="Q393" i="14"/>
  <c r="P393" i="14"/>
  <c r="R392" i="14"/>
  <c r="Q392" i="14"/>
  <c r="P392" i="14"/>
  <c r="R391" i="14"/>
  <c r="Q391" i="14"/>
  <c r="P391" i="14"/>
  <c r="R390" i="14"/>
  <c r="Q390" i="14"/>
  <c r="P390" i="14"/>
  <c r="R389" i="14"/>
  <c r="Q389" i="14"/>
  <c r="P389" i="14"/>
  <c r="R388" i="14"/>
  <c r="Q388" i="14"/>
  <c r="P388" i="14"/>
  <c r="R387" i="14"/>
  <c r="Q387" i="14"/>
  <c r="P387" i="14"/>
  <c r="R386" i="14"/>
  <c r="Q386" i="14"/>
  <c r="P386" i="14"/>
  <c r="R385" i="14"/>
  <c r="Q385" i="14"/>
  <c r="P385" i="14"/>
  <c r="R384" i="14"/>
  <c r="Q384" i="14"/>
  <c r="P384" i="14"/>
  <c r="R383" i="14"/>
  <c r="Q383" i="14"/>
  <c r="P383" i="14"/>
  <c r="R382" i="14"/>
  <c r="Q382" i="14"/>
  <c r="P382" i="14"/>
  <c r="R381" i="14"/>
  <c r="Q381" i="14"/>
  <c r="P381" i="14"/>
  <c r="R380" i="14"/>
  <c r="Q380" i="14"/>
  <c r="P380" i="14"/>
  <c r="R379" i="14"/>
  <c r="Q379" i="14"/>
  <c r="P379" i="14"/>
  <c r="R378" i="14"/>
  <c r="Q378" i="14"/>
  <c r="P378" i="14"/>
  <c r="J377" i="14"/>
  <c r="J376" i="14"/>
  <c r="J375" i="14"/>
  <c r="J374" i="14"/>
  <c r="J373" i="14"/>
  <c r="J372" i="14"/>
  <c r="J371" i="14"/>
  <c r="J370" i="14"/>
  <c r="J369" i="14"/>
  <c r="J368" i="14"/>
  <c r="J367" i="14"/>
  <c r="J366" i="14"/>
  <c r="J365" i="14"/>
  <c r="J364" i="14"/>
  <c r="J363" i="14"/>
  <c r="J362" i="14"/>
  <c r="J361" i="14"/>
  <c r="J360" i="14"/>
  <c r="J359" i="14"/>
  <c r="J358" i="14"/>
  <c r="J357" i="14"/>
  <c r="J356" i="14"/>
  <c r="J355" i="14"/>
  <c r="J354" i="14"/>
  <c r="J353" i="14"/>
  <c r="J352" i="14"/>
  <c r="J351" i="14"/>
  <c r="J350" i="14"/>
  <c r="J349" i="14"/>
  <c r="J348" i="14"/>
  <c r="J347" i="14"/>
  <c r="J346" i="14"/>
  <c r="J345" i="14"/>
  <c r="J344" i="14"/>
  <c r="J343" i="14"/>
  <c r="J342" i="14"/>
  <c r="J341" i="14"/>
  <c r="J340" i="14"/>
  <c r="J339" i="14"/>
  <c r="J338" i="14"/>
  <c r="J336" i="14"/>
  <c r="J335" i="14"/>
  <c r="J334" i="14"/>
  <c r="J333" i="14"/>
  <c r="J332" i="14"/>
  <c r="J331" i="14"/>
  <c r="J330" i="14"/>
  <c r="J329" i="14"/>
  <c r="J328" i="14"/>
  <c r="J327" i="14"/>
  <c r="J326" i="14"/>
  <c r="J325" i="14"/>
  <c r="J324" i="14"/>
  <c r="J323" i="14"/>
  <c r="J322" i="14"/>
  <c r="J321" i="14"/>
  <c r="J320" i="14"/>
  <c r="J319" i="14"/>
  <c r="J318" i="14"/>
  <c r="J317" i="14"/>
  <c r="J316" i="14"/>
  <c r="J315" i="14"/>
  <c r="J314" i="14"/>
  <c r="J313" i="14"/>
  <c r="J312" i="14"/>
  <c r="J311" i="14"/>
  <c r="J310" i="14"/>
  <c r="J309" i="14"/>
  <c r="J308" i="14"/>
  <c r="J307" i="14"/>
  <c r="J306" i="14"/>
  <c r="J305" i="14"/>
  <c r="J304" i="14"/>
  <c r="J303" i="14"/>
  <c r="J302" i="14"/>
  <c r="J301" i="14"/>
  <c r="J300" i="14"/>
  <c r="J299" i="14"/>
  <c r="J298" i="14"/>
  <c r="J297" i="14"/>
  <c r="J296" i="14"/>
  <c r="J295" i="14"/>
  <c r="J111" i="14"/>
  <c r="J110" i="14"/>
  <c r="J109" i="14"/>
  <c r="J108" i="14"/>
  <c r="J107" i="14"/>
  <c r="J105" i="14"/>
  <c r="V104" i="14"/>
  <c r="V103" i="14"/>
  <c r="V102" i="14"/>
  <c r="V101" i="14"/>
  <c r="V100" i="14"/>
  <c r="V99" i="14"/>
  <c r="V98" i="14"/>
  <c r="V97" i="14"/>
  <c r="V96" i="14"/>
  <c r="V95" i="14"/>
  <c r="V94" i="14"/>
  <c r="V93" i="14"/>
  <c r="V92" i="14"/>
  <c r="V91" i="14"/>
  <c r="J89" i="14"/>
  <c r="J88" i="14"/>
  <c r="J87" i="14"/>
  <c r="J86" i="14"/>
  <c r="J85" i="14"/>
  <c r="J84" i="14"/>
  <c r="J83" i="14"/>
  <c r="J82" i="14"/>
  <c r="J81" i="14"/>
  <c r="J77" i="14"/>
  <c r="V76" i="14"/>
  <c r="J75" i="14"/>
  <c r="J74" i="14"/>
  <c r="J73" i="14"/>
  <c r="J72" i="14"/>
  <c r="J71" i="14"/>
  <c r="J70" i="14"/>
  <c r="J69" i="14"/>
  <c r="J68" i="14"/>
  <c r="J67" i="14"/>
  <c r="J66" i="14"/>
  <c r="V64" i="14"/>
  <c r="J63" i="14"/>
  <c r="J62" i="14"/>
  <c r="V61" i="14"/>
  <c r="V48" i="14"/>
  <c r="V47" i="14"/>
  <c r="V46" i="14"/>
  <c r="J45" i="14"/>
  <c r="J44" i="14"/>
  <c r="J43" i="14"/>
  <c r="J42" i="14"/>
  <c r="J41" i="14"/>
  <c r="J40" i="14"/>
  <c r="J39" i="14"/>
  <c r="J38" i="14"/>
  <c r="J37" i="14"/>
  <c r="J36" i="14"/>
  <c r="J35" i="14"/>
  <c r="J34" i="14"/>
  <c r="J33" i="14"/>
  <c r="J32" i="14"/>
  <c r="V31" i="14"/>
  <c r="V16" i="14"/>
  <c r="J15" i="14"/>
  <c r="J14" i="14"/>
  <c r="J13" i="14"/>
  <c r="J12" i="14"/>
  <c r="J11" i="14"/>
  <c r="J10" i="14"/>
  <c r="J9" i="14"/>
  <c r="J8" i="14"/>
  <c r="J7" i="14"/>
  <c r="J6" i="14"/>
  <c r="J5" i="14"/>
  <c r="J4" i="14"/>
  <c r="R235" i="14"/>
  <c r="Q232" i="14"/>
  <c r="P231" i="14"/>
  <c r="R225" i="14"/>
  <c r="Q223" i="14"/>
  <c r="P221" i="14"/>
  <c r="Q219" i="14"/>
  <c r="J198" i="14"/>
  <c r="J193" i="14"/>
  <c r="J187" i="14"/>
  <c r="J173" i="14"/>
  <c r="J169" i="14"/>
  <c r="J163" i="14"/>
  <c r="J162" i="14"/>
  <c r="V157" i="14"/>
  <c r="J152" i="14"/>
  <c r="V138" i="14"/>
  <c r="J133" i="14"/>
  <c r="V126" i="14"/>
  <c r="V116" i="14"/>
  <c r="Q1098" i="14"/>
  <c r="R1097" i="14"/>
  <c r="Q1096" i="14"/>
  <c r="P1096" i="14"/>
  <c r="R1093" i="14"/>
  <c r="Q1093" i="14"/>
  <c r="P1093" i="14"/>
  <c r="Q1091" i="14"/>
  <c r="Q1088" i="14"/>
  <c r="Q1087" i="14"/>
  <c r="R1085" i="14"/>
  <c r="Q1084" i="14"/>
  <c r="P1083" i="14"/>
  <c r="P1082" i="14"/>
  <c r="R1081" i="14"/>
  <c r="R1080" i="14"/>
  <c r="P1080" i="14"/>
  <c r="R1078" i="14"/>
  <c r="Q1075" i="14"/>
  <c r="Q1074" i="14"/>
  <c r="Q1073" i="14"/>
  <c r="R1062" i="14"/>
  <c r="R1060" i="14"/>
  <c r="Q1060" i="14"/>
  <c r="R1059" i="14"/>
  <c r="P1059" i="14"/>
  <c r="R1058" i="14"/>
  <c r="P1058" i="14"/>
  <c r="Q1057" i="14"/>
  <c r="R1056" i="14"/>
  <c r="Q1056" i="14"/>
  <c r="P1056" i="14"/>
  <c r="R1054" i="14"/>
  <c r="R1052" i="14"/>
  <c r="R1050" i="14"/>
  <c r="R1048" i="14"/>
  <c r="P1048" i="14"/>
  <c r="Q1047" i="14"/>
  <c r="R1046" i="14"/>
  <c r="Q1046" i="14"/>
  <c r="P1046" i="14"/>
  <c r="R1045" i="14"/>
  <c r="Q1044" i="14"/>
  <c r="Q1043" i="14"/>
  <c r="P1037" i="14"/>
  <c r="P1035" i="14"/>
  <c r="P1032" i="14"/>
  <c r="R1031" i="14"/>
  <c r="P1031" i="14"/>
  <c r="Q1030" i="14"/>
  <c r="R508" i="14"/>
  <c r="R506" i="14"/>
  <c r="Q506" i="14"/>
  <c r="P502" i="14"/>
  <c r="P500" i="14"/>
  <c r="Q495" i="14"/>
  <c r="J269" i="14"/>
  <c r="R258" i="14"/>
  <c r="P258" i="14"/>
  <c r="P257" i="14"/>
  <c r="P253" i="14"/>
  <c r="P249" i="14"/>
  <c r="Q246" i="14"/>
  <c r="R243" i="14"/>
  <c r="P243" i="14"/>
  <c r="R242" i="14"/>
  <c r="Q242" i="14"/>
  <c r="R237" i="14"/>
  <c r="Q235" i="14"/>
  <c r="R228" i="14"/>
  <c r="P228" i="14"/>
  <c r="P220" i="14"/>
  <c r="J211" i="14"/>
  <c r="J209" i="14"/>
  <c r="J197" i="14"/>
  <c r="J176" i="14"/>
  <c r="J174" i="14"/>
  <c r="J164" i="14"/>
  <c r="V158" i="14"/>
  <c r="V156" i="14"/>
  <c r="V145" i="14"/>
  <c r="V139" i="14"/>
  <c r="O33" i="4"/>
  <c r="C33" i="4" s="1"/>
  <c r="E60" i="3"/>
  <c r="N60" i="3" s="1"/>
  <c r="D30" i="4" l="1"/>
  <c r="C23" i="4"/>
  <c r="C22" i="4"/>
  <c r="F6" i="4"/>
  <c r="C8" i="4"/>
  <c r="F4" i="4"/>
  <c r="D15" i="4"/>
  <c r="F24" i="4"/>
  <c r="C29" i="4"/>
  <c r="D24" i="4"/>
  <c r="C30" i="4"/>
  <c r="C5" i="4"/>
  <c r="C49" i="4"/>
  <c r="F5" i="4"/>
  <c r="F32" i="4"/>
  <c r="C40" i="4"/>
  <c r="E30" i="4"/>
  <c r="D29" i="4"/>
  <c r="C15" i="4"/>
  <c r="D14" i="4"/>
  <c r="F10" i="4"/>
  <c r="D6" i="4"/>
  <c r="C6" i="4"/>
  <c r="C11" i="4"/>
  <c r="E52" i="4"/>
  <c r="C52" i="4"/>
  <c r="E49" i="4"/>
  <c r="E48" i="4"/>
  <c r="C48" i="4"/>
  <c r="C47" i="4"/>
  <c r="E37" i="4"/>
  <c r="E35" i="4"/>
  <c r="C35" i="4"/>
  <c r="F34" i="4"/>
  <c r="E33" i="4"/>
  <c r="C28" i="4"/>
  <c r="F25" i="4"/>
  <c r="C25" i="4"/>
  <c r="C19" i="4"/>
  <c r="F15" i="4"/>
  <c r="D11" i="4"/>
  <c r="E29" i="4"/>
  <c r="C24" i="4"/>
  <c r="E6" i="4"/>
  <c r="C27" i="4"/>
  <c r="D5" i="4"/>
  <c r="C32" i="4"/>
  <c r="E32" i="4"/>
  <c r="D32" i="4"/>
  <c r="F27" i="4"/>
  <c r="F28" i="4"/>
  <c r="D27" i="4"/>
  <c r="D25" i="4"/>
  <c r="E50" i="4"/>
  <c r="C50" i="4"/>
  <c r="C4" i="4"/>
  <c r="E40" i="4"/>
  <c r="F3" i="4"/>
  <c r="C3" i="4"/>
  <c r="V83" i="13"/>
  <c r="P18" i="11" s="1"/>
  <c r="Q18" i="11" s="1"/>
  <c r="R18" i="11" s="1"/>
  <c r="S18" i="11" s="1"/>
  <c r="V99" i="13"/>
  <c r="V148" i="13"/>
  <c r="E16" i="16"/>
  <c r="U83" i="13"/>
  <c r="K18" i="11" s="1"/>
  <c r="L18" i="11" s="1"/>
  <c r="M18" i="11" s="1"/>
  <c r="N18" i="11" s="1"/>
  <c r="O18" i="11" s="1"/>
  <c r="U99" i="13"/>
  <c r="U148" i="13"/>
  <c r="T83" i="13"/>
  <c r="G18" i="11" s="1"/>
  <c r="H18" i="11" s="1"/>
  <c r="I18" i="11" s="1"/>
  <c r="T99" i="13"/>
  <c r="T148" i="13"/>
  <c r="S83" i="13"/>
  <c r="C18" i="11" s="1"/>
  <c r="D18" i="11" s="1"/>
  <c r="E18" i="11" s="1"/>
  <c r="S99" i="13"/>
  <c r="S148" i="13"/>
  <c r="R83" i="13"/>
  <c r="R99" i="13"/>
  <c r="R148" i="13"/>
  <c r="Q83" i="13"/>
  <c r="Q99" i="13"/>
  <c r="Q148" i="13"/>
  <c r="O83" i="13"/>
  <c r="O99" i="13"/>
  <c r="O148" i="13"/>
  <c r="N83" i="13"/>
  <c r="N99" i="13"/>
  <c r="P83" i="13"/>
  <c r="P148" i="13"/>
  <c r="P99" i="13"/>
  <c r="N102" i="13"/>
  <c r="N120" i="13"/>
  <c r="AO177" i="13"/>
  <c r="S177" i="13"/>
  <c r="S261" i="13" s="1"/>
  <c r="T177" i="13"/>
  <c r="T261" i="13" s="1"/>
  <c r="U177" i="13"/>
  <c r="U261" i="13" s="1"/>
  <c r="V177" i="13"/>
  <c r="V261" i="13" s="1"/>
  <c r="W177" i="13"/>
  <c r="W261" i="13" s="1"/>
  <c r="X177" i="13"/>
  <c r="X261" i="13" s="1"/>
  <c r="Q177" i="13"/>
  <c r="Q261" i="13" s="1"/>
  <c r="P261" i="13"/>
  <c r="BA177" i="13"/>
  <c r="AZ177" i="13"/>
  <c r="AY177" i="13"/>
  <c r="AK177" i="13"/>
  <c r="AX177" i="13"/>
  <c r="AW177" i="13"/>
  <c r="AV177" i="13"/>
  <c r="AU177" i="13"/>
  <c r="AT177" i="13"/>
  <c r="R177" i="13"/>
  <c r="R261" i="13" s="1"/>
  <c r="AS177" i="13"/>
  <c r="AR177" i="13"/>
  <c r="AQ177" i="13"/>
  <c r="AP177" i="13"/>
  <c r="AN177" i="13"/>
  <c r="AM177" i="13"/>
  <c r="AL177" i="13"/>
  <c r="AJ177" i="13"/>
  <c r="AI177" i="13"/>
  <c r="AH177" i="13"/>
  <c r="AG177" i="13"/>
  <c r="AF177" i="13"/>
  <c r="AE177" i="13"/>
  <c r="AD177" i="13"/>
  <c r="AC177" i="13"/>
  <c r="AB177" i="13"/>
  <c r="Y177" i="13"/>
  <c r="Y261" i="13" s="1"/>
  <c r="AA177" i="13"/>
  <c r="AA261" i="13" s="1"/>
  <c r="Z177" i="13"/>
  <c r="Z261" i="13" s="1"/>
  <c r="AZ198" i="13"/>
  <c r="BA175" i="13"/>
  <c r="AG95" i="13"/>
  <c r="AG146" i="13"/>
  <c r="AG100" i="13"/>
  <c r="AF146" i="13"/>
  <c r="AF100" i="13"/>
  <c r="AF95" i="13"/>
  <c r="AE100" i="13"/>
  <c r="AE95" i="13"/>
  <c r="AE146" i="13"/>
  <c r="AD146" i="13"/>
  <c r="AD100" i="13"/>
  <c r="AD95" i="13"/>
  <c r="AC146" i="13"/>
  <c r="AC100" i="13"/>
  <c r="AC95" i="13"/>
  <c r="AB100" i="13"/>
  <c r="AB95" i="13"/>
  <c r="AB146" i="13"/>
  <c r="AA100" i="13"/>
  <c r="AA146" i="13"/>
  <c r="AA95" i="13"/>
  <c r="Z95" i="13"/>
  <c r="Z100" i="13"/>
  <c r="Z146" i="13"/>
  <c r="Y95" i="13"/>
  <c r="Y146" i="13"/>
  <c r="Y100" i="13"/>
  <c r="X146" i="13"/>
  <c r="X100" i="13"/>
  <c r="X95" i="13"/>
  <c r="W146" i="13"/>
  <c r="W100" i="13"/>
  <c r="W95" i="13"/>
  <c r="E5" i="16"/>
  <c r="V146" i="13"/>
  <c r="V100" i="13"/>
  <c r="V95" i="13"/>
  <c r="P7" i="11" s="1"/>
  <c r="Q7" i="11" s="1"/>
  <c r="R7" i="11" s="1"/>
  <c r="S7" i="11" s="1"/>
  <c r="U146" i="13"/>
  <c r="U100" i="13"/>
  <c r="U95" i="13"/>
  <c r="K7" i="11" s="1"/>
  <c r="L7" i="11" s="1"/>
  <c r="M7" i="11" s="1"/>
  <c r="N7" i="11" s="1"/>
  <c r="O7" i="11" s="1"/>
  <c r="T146" i="13"/>
  <c r="T100" i="13"/>
  <c r="T95" i="13"/>
  <c r="G7" i="11" s="1"/>
  <c r="S146" i="13"/>
  <c r="S100" i="13"/>
  <c r="S95" i="13"/>
  <c r="C7" i="11" s="1"/>
  <c r="D7" i="11" s="1"/>
  <c r="E7" i="11" s="1"/>
  <c r="R146" i="13"/>
  <c r="R100" i="13"/>
  <c r="R95" i="13"/>
  <c r="B7" i="11" s="1"/>
  <c r="Q146" i="13"/>
  <c r="Q100" i="13"/>
  <c r="Q95" i="13"/>
  <c r="P146" i="13"/>
  <c r="P100" i="13"/>
  <c r="P95" i="13"/>
  <c r="O100" i="13"/>
  <c r="O95" i="13"/>
  <c r="O146" i="13"/>
  <c r="P172" i="13" s="1"/>
  <c r="N95" i="13"/>
  <c r="N100" i="13"/>
  <c r="Q132" i="14"/>
  <c r="R132" i="14"/>
  <c r="P132" i="14"/>
  <c r="P292" i="13"/>
  <c r="P214" i="13"/>
  <c r="Q201" i="14"/>
  <c r="R201" i="14"/>
  <c r="P201" i="14"/>
  <c r="R188" i="14"/>
  <c r="P188" i="14"/>
  <c r="AM131" i="13"/>
  <c r="AS111" i="13"/>
  <c r="AR111" i="13"/>
  <c r="AQ111" i="13"/>
  <c r="AP111" i="13"/>
  <c r="AO111" i="13"/>
  <c r="AN111" i="13"/>
  <c r="AM111" i="13"/>
  <c r="AL111" i="13"/>
  <c r="AK111" i="13"/>
  <c r="AJ111" i="13"/>
  <c r="W45" i="13"/>
  <c r="X76" i="13"/>
  <c r="W83" i="13"/>
  <c r="W99" i="13"/>
  <c r="W148" i="13"/>
  <c r="W147" i="13" s="1"/>
  <c r="O106" i="13"/>
  <c r="R59" i="13"/>
  <c r="Q103" i="13" a="1"/>
  <c r="Q104" i="13" a="1"/>
  <c r="P106" i="13"/>
  <c r="P102" i="13" s="1"/>
  <c r="AY25" i="13"/>
  <c r="AM30" i="13"/>
  <c r="AX25" i="13"/>
  <c r="AL30" i="13"/>
  <c r="AW25" i="13"/>
  <c r="AK30" i="13"/>
  <c r="AV25" i="13"/>
  <c r="AJ30" i="13"/>
  <c r="AU25" i="13"/>
  <c r="AI30" i="13"/>
  <c r="AT25" i="13"/>
  <c r="AH30" i="13"/>
  <c r="AS25" i="13"/>
  <c r="AG30" i="13"/>
  <c r="AR25" i="13"/>
  <c r="AF30" i="13"/>
  <c r="AQ25" i="13"/>
  <c r="AE30" i="13"/>
  <c r="AP25" i="13"/>
  <c r="AD30" i="13"/>
  <c r="AO25" i="13"/>
  <c r="AC30" i="13"/>
  <c r="AN25" i="13"/>
  <c r="AB30" i="13"/>
  <c r="N217" i="13"/>
  <c r="AY23" i="13"/>
  <c r="AM24" i="13"/>
  <c r="AM28" i="13"/>
  <c r="AA29" i="13"/>
  <c r="AX23" i="13"/>
  <c r="AL24" i="13"/>
  <c r="AL28" i="13"/>
  <c r="Z29" i="13"/>
  <c r="AW23" i="13"/>
  <c r="AK24" i="13"/>
  <c r="AK28" i="13"/>
  <c r="Y29" i="13"/>
  <c r="X29" i="13"/>
  <c r="AV23" i="13"/>
  <c r="AJ24" i="13"/>
  <c r="AJ28" i="13"/>
  <c r="W29" i="13"/>
  <c r="AU23" i="13"/>
  <c r="AI24" i="13"/>
  <c r="AI28" i="13"/>
  <c r="V29" i="13"/>
  <c r="AT23" i="13"/>
  <c r="AH24" i="13"/>
  <c r="AH28" i="13"/>
  <c r="AS23" i="13"/>
  <c r="AG24" i="13"/>
  <c r="AG28" i="13"/>
  <c r="U29" i="13"/>
  <c r="AR23" i="13"/>
  <c r="AF24" i="13"/>
  <c r="AF28" i="13"/>
  <c r="T29" i="13"/>
  <c r="AQ23" i="13"/>
  <c r="AE24" i="13"/>
  <c r="AE28" i="13"/>
  <c r="S29" i="13"/>
  <c r="R29" i="13"/>
  <c r="AP23" i="13"/>
  <c r="AD24" i="13"/>
  <c r="AD28" i="13"/>
  <c r="AO23" i="13"/>
  <c r="AC24" i="13"/>
  <c r="AC28" i="13"/>
  <c r="Q29" i="13"/>
  <c r="P29" i="13"/>
  <c r="AN23" i="13"/>
  <c r="AB24" i="13"/>
  <c r="AB28" i="13"/>
  <c r="B33" i="6"/>
  <c r="C33" i="6"/>
  <c r="A34" i="6"/>
  <c r="B33" i="1"/>
  <c r="C33" i="1"/>
  <c r="A34" i="1"/>
  <c r="A32" i="3"/>
  <c r="N161" i="4"/>
  <c r="Y161" i="4"/>
  <c r="A161" i="4"/>
  <c r="B161" i="4" s="1"/>
  <c r="N4" i="4"/>
  <c r="Y4" i="4"/>
  <c r="A4" i="4"/>
  <c r="B4" i="4" s="1"/>
  <c r="Y3" i="4"/>
  <c r="A3" i="4"/>
  <c r="B3" i="4" s="1"/>
  <c r="N3" i="4"/>
  <c r="V65" i="14"/>
  <c r="R65" i="14"/>
  <c r="Q65" i="14"/>
  <c r="P65" i="14"/>
  <c r="P166" i="14"/>
  <c r="V166" i="14"/>
  <c r="Q166" i="14"/>
  <c r="R166" i="14"/>
  <c r="R136" i="14"/>
  <c r="Q136" i="14"/>
  <c r="P136" i="14"/>
  <c r="V136" i="14"/>
  <c r="Q106" i="14"/>
  <c r="V106" i="14"/>
  <c r="R106" i="14"/>
  <c r="P106" i="14"/>
  <c r="P90" i="14"/>
  <c r="Q90" i="14"/>
  <c r="R90" i="14"/>
  <c r="V90" i="14"/>
  <c r="P80" i="14"/>
  <c r="Q80" i="14"/>
  <c r="R80" i="14"/>
  <c r="V80" i="14"/>
  <c r="Q79" i="14"/>
  <c r="R79" i="14"/>
  <c r="V79" i="14"/>
  <c r="P79" i="14"/>
  <c r="P78" i="14"/>
  <c r="Q78" i="14"/>
  <c r="V78" i="14"/>
  <c r="R78" i="14"/>
  <c r="Q128" i="13"/>
  <c r="P133" i="13"/>
  <c r="AI90" i="13"/>
  <c r="AH94" i="13"/>
  <c r="R294" i="14"/>
  <c r="Q294" i="14"/>
  <c r="P294" i="14"/>
  <c r="Q212" i="14"/>
  <c r="P212" i="14"/>
  <c r="O67" i="3"/>
  <c r="E4" i="11"/>
  <c r="D5" i="11"/>
  <c r="C65" i="6"/>
  <c r="B65" i="6"/>
  <c r="A66" i="6"/>
  <c r="Y35" i="4"/>
  <c r="N35" i="4"/>
  <c r="A35" i="4"/>
  <c r="B35" i="4" s="1"/>
  <c r="N36" i="4"/>
  <c r="Y36" i="4"/>
  <c r="A36" i="4"/>
  <c r="B36" i="4" s="1"/>
  <c r="B65" i="1"/>
  <c r="C65" i="1"/>
  <c r="A66" i="1"/>
  <c r="A64" i="3"/>
  <c r="V170" i="14"/>
  <c r="V149" i="14"/>
  <c r="V151" i="14"/>
  <c r="V167" i="14"/>
  <c r="P216" i="14"/>
  <c r="Q216" i="14"/>
  <c r="R216" i="14"/>
  <c r="Q285" i="14"/>
  <c r="P285" i="14"/>
  <c r="R285" i="14"/>
  <c r="Q268" i="14"/>
  <c r="R268" i="14"/>
  <c r="P268" i="14"/>
  <c r="Q266" i="14"/>
  <c r="P266" i="14"/>
  <c r="R266" i="14"/>
  <c r="Q292" i="14"/>
  <c r="P292" i="14"/>
  <c r="R292" i="14"/>
  <c r="P291" i="14"/>
  <c r="Q291" i="14"/>
  <c r="R291" i="14"/>
  <c r="P290" i="14"/>
  <c r="Q290" i="14"/>
  <c r="R290" i="14"/>
  <c r="P215" i="14"/>
  <c r="Q215" i="14"/>
  <c r="R215" i="14"/>
  <c r="P177" i="14"/>
  <c r="R177" i="14"/>
  <c r="Q177" i="14"/>
  <c r="R150" i="14"/>
  <c r="V150" i="14"/>
  <c r="Q150" i="14"/>
  <c r="P150" i="14"/>
  <c r="R134" i="14"/>
  <c r="P134" i="14"/>
  <c r="Q134" i="14"/>
  <c r="R267" i="14"/>
  <c r="P267" i="14"/>
  <c r="Q267" i="14"/>
  <c r="R265" i="14"/>
  <c r="Q265" i="14"/>
  <c r="P265" i="14"/>
  <c r="P264" i="14"/>
  <c r="Q264" i="14"/>
  <c r="R264" i="14"/>
  <c r="P217" i="14"/>
  <c r="Q217" i="14"/>
  <c r="R217" i="14"/>
  <c r="P214" i="14"/>
  <c r="Q214" i="14"/>
  <c r="R214" i="14"/>
  <c r="P213" i="14"/>
  <c r="R213" i="14"/>
  <c r="Q213" i="14"/>
  <c r="P210" i="14"/>
  <c r="R210" i="14"/>
  <c r="Q210" i="14"/>
  <c r="Q208" i="14"/>
  <c r="P208" i="14"/>
  <c r="R208" i="14"/>
  <c r="Q203" i="14"/>
  <c r="P203" i="14"/>
  <c r="R203" i="14"/>
  <c r="Q196" i="14"/>
  <c r="P196" i="14"/>
  <c r="R196" i="14"/>
  <c r="Q195" i="14"/>
  <c r="P195" i="14"/>
  <c r="R195" i="14"/>
  <c r="Q194" i="14"/>
  <c r="R194" i="14"/>
  <c r="P194" i="14"/>
  <c r="P185" i="14"/>
  <c r="R185" i="14"/>
  <c r="Q185" i="14"/>
  <c r="Q183" i="14"/>
  <c r="R183" i="14"/>
  <c r="P183" i="14"/>
  <c r="P182" i="14"/>
  <c r="R182" i="14"/>
  <c r="Q182" i="14"/>
  <c r="P181" i="14"/>
  <c r="R181" i="14"/>
  <c r="Q181" i="14"/>
  <c r="P180" i="14"/>
  <c r="Q180" i="14"/>
  <c r="R180" i="14"/>
  <c r="Q175" i="14"/>
  <c r="R175" i="14"/>
  <c r="P175" i="14"/>
  <c r="Q170" i="14"/>
  <c r="P170" i="14"/>
  <c r="R170" i="14"/>
  <c r="R151" i="14"/>
  <c r="P151" i="14"/>
  <c r="Q151" i="14"/>
  <c r="Q262" i="14"/>
  <c r="P262" i="14"/>
  <c r="R262" i="14"/>
  <c r="R206" i="14"/>
  <c r="Q206" i="14"/>
  <c r="P206" i="14"/>
  <c r="R205" i="14"/>
  <c r="P205" i="14"/>
  <c r="Q205" i="14"/>
  <c r="Q202" i="14"/>
  <c r="P202" i="14"/>
  <c r="R202" i="14"/>
  <c r="P200" i="14"/>
  <c r="Q200" i="14"/>
  <c r="R200" i="14"/>
  <c r="R191" i="14"/>
  <c r="P191" i="14"/>
  <c r="Q191" i="14"/>
  <c r="Q190" i="14"/>
  <c r="R190" i="14"/>
  <c r="P190" i="14"/>
  <c r="R178" i="14"/>
  <c r="P178" i="14"/>
  <c r="Q178" i="14"/>
  <c r="P168" i="14"/>
  <c r="Q168" i="14"/>
  <c r="R168" i="14"/>
  <c r="Q167" i="14"/>
  <c r="R167" i="14"/>
  <c r="P167" i="14"/>
  <c r="R165" i="14"/>
  <c r="Q165" i="14"/>
  <c r="V165" i="14"/>
  <c r="P165" i="14"/>
  <c r="P289" i="14"/>
  <c r="R289" i="14"/>
  <c r="Q289" i="14"/>
  <c r="P288" i="14"/>
  <c r="Q288" i="14"/>
  <c r="R288" i="14"/>
  <c r="Q287" i="14"/>
  <c r="P287" i="14"/>
  <c r="R287" i="14"/>
  <c r="Q286" i="14"/>
  <c r="P286" i="14"/>
  <c r="R286" i="14"/>
  <c r="Q263" i="14"/>
  <c r="P263" i="14"/>
  <c r="R263" i="14"/>
  <c r="Q204" i="14"/>
  <c r="R204" i="14"/>
  <c r="P204" i="14"/>
  <c r="Q199" i="14"/>
  <c r="R199" i="14"/>
  <c r="P199" i="14"/>
  <c r="R184" i="14"/>
  <c r="P184" i="14"/>
  <c r="Q184" i="14"/>
  <c r="Q179" i="14"/>
  <c r="P179" i="14"/>
  <c r="R179" i="14"/>
  <c r="Q172" i="14"/>
  <c r="P172" i="14"/>
  <c r="R172" i="14"/>
  <c r="V172" i="14"/>
  <c r="Q149" i="14"/>
  <c r="P149" i="14"/>
  <c r="R149" i="14"/>
  <c r="Q137" i="14"/>
  <c r="P137" i="14"/>
  <c r="R137" i="14"/>
  <c r="Q131" i="14"/>
  <c r="R131" i="14"/>
  <c r="P131" i="14"/>
  <c r="P130" i="14"/>
  <c r="R130" i="14"/>
  <c r="Q130" i="14"/>
  <c r="Q129" i="14"/>
  <c r="P129" i="14"/>
  <c r="R129" i="14"/>
  <c r="V129" i="14"/>
  <c r="Q128" i="14"/>
  <c r="P128" i="14"/>
  <c r="R128" i="14"/>
  <c r="P293" i="14"/>
  <c r="Q293" i="14"/>
  <c r="R293" i="14"/>
  <c r="P207" i="14"/>
  <c r="Q207" i="14"/>
  <c r="R207" i="14"/>
  <c r="R192" i="14"/>
  <c r="P192" i="14"/>
  <c r="Q192" i="14"/>
  <c r="Q189" i="14"/>
  <c r="R189" i="14"/>
  <c r="P189" i="14"/>
  <c r="Q186" i="14"/>
  <c r="P186" i="14"/>
  <c r="R186" i="14"/>
  <c r="V171" i="14"/>
  <c r="P171" i="14"/>
  <c r="R171" i="14"/>
  <c r="Q171" i="14"/>
  <c r="P377" i="14"/>
  <c r="Q377" i="14"/>
  <c r="R377" i="14"/>
  <c r="P376" i="14"/>
  <c r="Q376" i="14"/>
  <c r="R376" i="14"/>
  <c r="P375" i="14"/>
  <c r="Q375" i="14"/>
  <c r="R375" i="14"/>
  <c r="P374" i="14"/>
  <c r="Q374" i="14"/>
  <c r="R374" i="14"/>
  <c r="P373" i="14"/>
  <c r="Q373" i="14"/>
  <c r="R373" i="14"/>
  <c r="P372" i="14"/>
  <c r="Q372" i="14"/>
  <c r="R372" i="14"/>
  <c r="P371" i="14"/>
  <c r="Q371" i="14"/>
  <c r="R371" i="14"/>
  <c r="P370" i="14"/>
  <c r="Q370" i="14"/>
  <c r="R370" i="14"/>
  <c r="P369" i="14"/>
  <c r="Q369" i="14"/>
  <c r="R369" i="14"/>
  <c r="P368" i="14"/>
  <c r="Q368" i="14"/>
  <c r="R368" i="14"/>
  <c r="P367" i="14"/>
  <c r="Q367" i="14"/>
  <c r="R367" i="14"/>
  <c r="P366" i="14"/>
  <c r="Q366" i="14"/>
  <c r="R366" i="14"/>
  <c r="P365" i="14"/>
  <c r="Q365" i="14"/>
  <c r="R365" i="14"/>
  <c r="P364" i="14"/>
  <c r="Q364" i="14"/>
  <c r="R364" i="14"/>
  <c r="P363" i="14"/>
  <c r="Q363" i="14"/>
  <c r="R363" i="14"/>
  <c r="P362" i="14"/>
  <c r="Q362" i="14"/>
  <c r="R362" i="14"/>
  <c r="P361" i="14"/>
  <c r="Q361" i="14"/>
  <c r="R361" i="14"/>
  <c r="P360" i="14"/>
  <c r="Q360" i="14"/>
  <c r="R360" i="14"/>
  <c r="P359" i="14"/>
  <c r="Q359" i="14"/>
  <c r="R359" i="14"/>
  <c r="P358" i="14"/>
  <c r="Q358" i="14"/>
  <c r="R358" i="14"/>
  <c r="P357" i="14"/>
  <c r="Q357" i="14"/>
  <c r="R357" i="14"/>
  <c r="P356" i="14"/>
  <c r="Q356" i="14"/>
  <c r="R356" i="14"/>
  <c r="P355" i="14"/>
  <c r="Q355" i="14"/>
  <c r="R355" i="14"/>
  <c r="P354" i="14"/>
  <c r="Q354" i="14"/>
  <c r="R354" i="14"/>
  <c r="P353" i="14"/>
  <c r="Q353" i="14"/>
  <c r="R353" i="14"/>
  <c r="P352" i="14"/>
  <c r="Q352" i="14"/>
  <c r="R352" i="14"/>
  <c r="P351" i="14"/>
  <c r="Q351" i="14"/>
  <c r="R351" i="14"/>
  <c r="P350" i="14"/>
  <c r="Q350" i="14"/>
  <c r="R350" i="14"/>
  <c r="P349" i="14"/>
  <c r="Q349" i="14"/>
  <c r="R349" i="14"/>
  <c r="P348" i="14"/>
  <c r="Q348" i="14"/>
  <c r="R348" i="14"/>
  <c r="P347" i="14"/>
  <c r="Q347" i="14"/>
  <c r="R347" i="14"/>
  <c r="P346" i="14"/>
  <c r="Q346" i="14"/>
  <c r="R346" i="14"/>
  <c r="P345" i="14"/>
  <c r="Q345" i="14"/>
  <c r="R345" i="14"/>
  <c r="P344" i="14"/>
  <c r="Q344" i="14"/>
  <c r="R344" i="14"/>
  <c r="P343" i="14"/>
  <c r="Q343" i="14"/>
  <c r="R343" i="14"/>
  <c r="P342" i="14"/>
  <c r="Q342" i="14"/>
  <c r="R342" i="14"/>
  <c r="P341" i="14"/>
  <c r="Q341" i="14"/>
  <c r="R341" i="14"/>
  <c r="P340" i="14"/>
  <c r="Q340" i="14"/>
  <c r="R340" i="14"/>
  <c r="P339" i="14"/>
  <c r="Q339" i="14"/>
  <c r="R339" i="14"/>
  <c r="P338" i="14"/>
  <c r="Q338" i="14"/>
  <c r="R338" i="14"/>
  <c r="P336" i="14"/>
  <c r="Q336" i="14"/>
  <c r="R336" i="14"/>
  <c r="P335" i="14"/>
  <c r="Q335" i="14"/>
  <c r="R335" i="14"/>
  <c r="P334" i="14"/>
  <c r="Q334" i="14"/>
  <c r="R334" i="14"/>
  <c r="P333" i="14"/>
  <c r="Q333" i="14"/>
  <c r="R333" i="14"/>
  <c r="P332" i="14"/>
  <c r="Q332" i="14"/>
  <c r="R332" i="14"/>
  <c r="P331" i="14"/>
  <c r="Q331" i="14"/>
  <c r="R331" i="14"/>
  <c r="P330" i="14"/>
  <c r="Q330" i="14"/>
  <c r="R330" i="14"/>
  <c r="P329" i="14"/>
  <c r="Q329" i="14"/>
  <c r="R329" i="14"/>
  <c r="P328" i="14"/>
  <c r="Q328" i="14"/>
  <c r="R328" i="14"/>
  <c r="P327" i="14"/>
  <c r="Q327" i="14"/>
  <c r="R327" i="14"/>
  <c r="P326" i="14"/>
  <c r="Q326" i="14"/>
  <c r="R326" i="14"/>
  <c r="P325" i="14"/>
  <c r="Q325" i="14"/>
  <c r="R325" i="14"/>
  <c r="P324" i="14"/>
  <c r="Q324" i="14"/>
  <c r="R324" i="14"/>
  <c r="P323" i="14"/>
  <c r="Q323" i="14"/>
  <c r="R323" i="14"/>
  <c r="P322" i="14"/>
  <c r="Q322" i="14"/>
  <c r="R322" i="14"/>
  <c r="P321" i="14"/>
  <c r="Q321" i="14"/>
  <c r="R321" i="14"/>
  <c r="P320" i="14"/>
  <c r="Q320" i="14"/>
  <c r="R320" i="14"/>
  <c r="P319" i="14"/>
  <c r="Q319" i="14"/>
  <c r="R319" i="14"/>
  <c r="P318" i="14"/>
  <c r="Q318" i="14"/>
  <c r="R318" i="14"/>
  <c r="P317" i="14"/>
  <c r="Q317" i="14"/>
  <c r="R317" i="14"/>
  <c r="P316" i="14"/>
  <c r="Q316" i="14"/>
  <c r="R316" i="14"/>
  <c r="P315" i="14"/>
  <c r="Q315" i="14"/>
  <c r="R315" i="14"/>
  <c r="P314" i="14"/>
  <c r="Q314" i="14"/>
  <c r="R314" i="14"/>
  <c r="P313" i="14"/>
  <c r="Q313" i="14"/>
  <c r="R313" i="14"/>
  <c r="P312" i="14"/>
  <c r="Q312" i="14"/>
  <c r="R312" i="14"/>
  <c r="P311" i="14"/>
  <c r="Q311" i="14"/>
  <c r="R311" i="14"/>
  <c r="P310" i="14"/>
  <c r="Q310" i="14"/>
  <c r="R310" i="14"/>
  <c r="P309" i="14"/>
  <c r="Q309" i="14"/>
  <c r="R309" i="14"/>
  <c r="P308" i="14"/>
  <c r="Q308" i="14"/>
  <c r="R308" i="14"/>
  <c r="P307" i="14"/>
  <c r="Q307" i="14"/>
  <c r="R307" i="14"/>
  <c r="P306" i="14"/>
  <c r="Q306" i="14"/>
  <c r="R306" i="14"/>
  <c r="P305" i="14"/>
  <c r="Q305" i="14"/>
  <c r="R305" i="14"/>
  <c r="P304" i="14"/>
  <c r="Q304" i="14"/>
  <c r="R304" i="14"/>
  <c r="P303" i="14"/>
  <c r="Q303" i="14"/>
  <c r="R303" i="14"/>
  <c r="P302" i="14"/>
  <c r="Q302" i="14"/>
  <c r="R302" i="14"/>
  <c r="P301" i="14"/>
  <c r="Q301" i="14"/>
  <c r="R301" i="14"/>
  <c r="P300" i="14"/>
  <c r="Q300" i="14"/>
  <c r="R300" i="14"/>
  <c r="P299" i="14"/>
  <c r="Q299" i="14"/>
  <c r="R299" i="14"/>
  <c r="P298" i="14"/>
  <c r="Q298" i="14"/>
  <c r="R298" i="14"/>
  <c r="P297" i="14"/>
  <c r="Q297" i="14"/>
  <c r="R297" i="14"/>
  <c r="P296" i="14"/>
  <c r="Q296" i="14"/>
  <c r="R296" i="14"/>
  <c r="P295" i="14"/>
  <c r="Q295" i="14"/>
  <c r="R295" i="14"/>
  <c r="P111" i="14"/>
  <c r="Q111" i="14"/>
  <c r="R111" i="14"/>
  <c r="P110" i="14"/>
  <c r="Q110" i="14"/>
  <c r="R110" i="14"/>
  <c r="P109" i="14"/>
  <c r="Q109" i="14"/>
  <c r="R109" i="14"/>
  <c r="P108" i="14"/>
  <c r="Q108" i="14"/>
  <c r="R108" i="14"/>
  <c r="P107" i="14"/>
  <c r="Q107" i="14"/>
  <c r="R107" i="14"/>
  <c r="P105" i="14"/>
  <c r="Q105" i="14"/>
  <c r="R105" i="14"/>
  <c r="P89" i="14"/>
  <c r="Q89" i="14"/>
  <c r="R89" i="14"/>
  <c r="P88" i="14"/>
  <c r="Q88" i="14"/>
  <c r="R88" i="14"/>
  <c r="P87" i="14"/>
  <c r="Q87" i="14"/>
  <c r="R87" i="14"/>
  <c r="P86" i="14"/>
  <c r="Q86" i="14"/>
  <c r="R86" i="14"/>
  <c r="P85" i="14"/>
  <c r="Q85" i="14"/>
  <c r="R85" i="14"/>
  <c r="P84" i="14"/>
  <c r="Q84" i="14"/>
  <c r="R84" i="14"/>
  <c r="P83" i="14"/>
  <c r="Q83" i="14"/>
  <c r="R83" i="14"/>
  <c r="P82" i="14"/>
  <c r="Q82" i="14"/>
  <c r="R82" i="14"/>
  <c r="P81" i="14"/>
  <c r="Q81" i="14"/>
  <c r="R81" i="14"/>
  <c r="P77" i="14"/>
  <c r="Q77" i="14"/>
  <c r="R77" i="14"/>
  <c r="P75" i="14"/>
  <c r="Q75" i="14"/>
  <c r="R75" i="14"/>
  <c r="P74" i="14"/>
  <c r="Q74" i="14"/>
  <c r="R74" i="14"/>
  <c r="P73" i="14"/>
  <c r="Q73" i="14"/>
  <c r="R73" i="14"/>
  <c r="P72" i="14"/>
  <c r="Q72" i="14"/>
  <c r="R72" i="14"/>
  <c r="P71" i="14"/>
  <c r="Q71" i="14"/>
  <c r="R71" i="14"/>
  <c r="P70" i="14"/>
  <c r="Q70" i="14"/>
  <c r="R70" i="14"/>
  <c r="P69" i="14"/>
  <c r="Q69" i="14"/>
  <c r="R69" i="14"/>
  <c r="P68" i="14"/>
  <c r="Q68" i="14"/>
  <c r="R68" i="14"/>
  <c r="P67" i="14"/>
  <c r="Q67" i="14"/>
  <c r="R67" i="14"/>
  <c r="P66" i="14"/>
  <c r="Q66" i="14"/>
  <c r="R66" i="14"/>
  <c r="P63" i="14"/>
  <c r="Q63" i="14"/>
  <c r="R63" i="14"/>
  <c r="P62" i="14"/>
  <c r="Q62" i="14"/>
  <c r="R62" i="14"/>
  <c r="P45" i="14"/>
  <c r="Q45" i="14"/>
  <c r="R45" i="14"/>
  <c r="P44" i="14"/>
  <c r="Q44" i="14"/>
  <c r="R44" i="14"/>
  <c r="P43" i="14"/>
  <c r="Q43" i="14"/>
  <c r="R43" i="14"/>
  <c r="P42" i="14"/>
  <c r="Q42" i="14"/>
  <c r="R42" i="14"/>
  <c r="P41" i="14"/>
  <c r="Q41" i="14"/>
  <c r="R41" i="14"/>
  <c r="P40" i="14"/>
  <c r="Q40" i="14"/>
  <c r="R40" i="14"/>
  <c r="P39" i="14"/>
  <c r="Q39" i="14"/>
  <c r="R39" i="14"/>
  <c r="P38" i="14"/>
  <c r="Q38" i="14"/>
  <c r="R38" i="14"/>
  <c r="P37" i="14"/>
  <c r="Q37" i="14"/>
  <c r="R37" i="14"/>
  <c r="P36" i="14"/>
  <c r="Q36" i="14"/>
  <c r="R36" i="14"/>
  <c r="P35" i="14"/>
  <c r="Q35" i="14"/>
  <c r="R35" i="14"/>
  <c r="P34" i="14"/>
  <c r="Q34" i="14"/>
  <c r="R34" i="14"/>
  <c r="P33" i="14"/>
  <c r="Q33" i="14"/>
  <c r="R33" i="14"/>
  <c r="P32" i="14"/>
  <c r="Q32" i="14"/>
  <c r="R32" i="14"/>
  <c r="P15" i="14"/>
  <c r="Q15" i="14"/>
  <c r="R15" i="14"/>
  <c r="P14" i="14"/>
  <c r="Q14" i="14"/>
  <c r="R14" i="14"/>
  <c r="P13" i="14"/>
  <c r="Q13" i="14"/>
  <c r="R13" i="14"/>
  <c r="P12" i="14"/>
  <c r="Q12" i="14"/>
  <c r="R12" i="14"/>
  <c r="P11" i="14"/>
  <c r="Q11" i="14"/>
  <c r="R11" i="14"/>
  <c r="P10" i="14"/>
  <c r="Q10" i="14"/>
  <c r="R10" i="14"/>
  <c r="P9" i="14"/>
  <c r="Q9" i="14"/>
  <c r="R9" i="14"/>
  <c r="P8" i="14"/>
  <c r="Q8" i="14"/>
  <c r="R8" i="14"/>
  <c r="P7" i="14"/>
  <c r="Q7" i="14"/>
  <c r="R7" i="14"/>
  <c r="P6" i="14"/>
  <c r="Q6" i="14"/>
  <c r="R6" i="14"/>
  <c r="P5" i="14"/>
  <c r="Q5" i="14"/>
  <c r="R5" i="14"/>
  <c r="P4" i="14"/>
  <c r="Q4" i="14"/>
  <c r="R4" i="14"/>
  <c r="R198" i="14"/>
  <c r="P198" i="14"/>
  <c r="Q198" i="14"/>
  <c r="Q193" i="14"/>
  <c r="P193" i="14"/>
  <c r="R193" i="14"/>
  <c r="Q187" i="14"/>
  <c r="R187" i="14"/>
  <c r="P187" i="14"/>
  <c r="P173" i="14"/>
  <c r="R173" i="14"/>
  <c r="Q173" i="14"/>
  <c r="V173" i="14"/>
  <c r="Q169" i="14"/>
  <c r="P169" i="14"/>
  <c r="R169" i="14"/>
  <c r="Q163" i="14"/>
  <c r="P163" i="14"/>
  <c r="R163" i="14"/>
  <c r="R162" i="14"/>
  <c r="P162" i="14"/>
  <c r="Q162" i="14"/>
  <c r="Q152" i="14"/>
  <c r="P152" i="14"/>
  <c r="R152" i="14"/>
  <c r="Q133" i="14"/>
  <c r="R133" i="14"/>
  <c r="P133" i="14"/>
  <c r="R269" i="14"/>
  <c r="Q269" i="14"/>
  <c r="P269" i="14"/>
  <c r="Q211" i="14"/>
  <c r="P211" i="14"/>
  <c r="R211" i="14"/>
  <c r="Q209" i="14"/>
  <c r="P209" i="14"/>
  <c r="R209" i="14"/>
  <c r="P197" i="14"/>
  <c r="Q197" i="14"/>
  <c r="R197" i="14"/>
  <c r="Q176" i="14"/>
  <c r="P176" i="14"/>
  <c r="R176" i="14"/>
  <c r="P174" i="14"/>
  <c r="Q174" i="14"/>
  <c r="R174" i="14"/>
  <c r="V174" i="14"/>
  <c r="P164" i="14"/>
  <c r="Q164" i="14"/>
  <c r="R164" i="14"/>
  <c r="V164" i="14"/>
  <c r="V168" i="14"/>
  <c r="V152" i="14"/>
  <c r="V133" i="14"/>
  <c r="V130" i="14"/>
  <c r="V15" i="14"/>
  <c r="J30" i="14" s="1"/>
  <c r="V13" i="14"/>
  <c r="J29" i="14" s="1"/>
  <c r="V10" i="14"/>
  <c r="J25" i="14" s="1"/>
  <c r="V25" i="14" s="1"/>
  <c r="J55" i="14" s="1"/>
  <c r="V9" i="14"/>
  <c r="V8" i="14"/>
  <c r="V7" i="14"/>
  <c r="V6" i="14"/>
  <c r="V5" i="14"/>
  <c r="J20" i="14" s="1"/>
  <c r="V4" i="14"/>
  <c r="J19" i="14" s="1"/>
  <c r="V12" i="14"/>
  <c r="J28" i="14" s="1"/>
  <c r="V111" i="14"/>
  <c r="V110" i="14"/>
  <c r="V109" i="14"/>
  <c r="V108" i="14"/>
  <c r="V107" i="14"/>
  <c r="V105" i="14"/>
  <c r="V89" i="14"/>
  <c r="V88" i="14"/>
  <c r="V87" i="14"/>
  <c r="V86" i="14"/>
  <c r="V85" i="14"/>
  <c r="V84" i="14"/>
  <c r="V83" i="14"/>
  <c r="V82" i="14"/>
  <c r="V81" i="14"/>
  <c r="V77" i="14"/>
  <c r="V75" i="14"/>
  <c r="V74" i="14"/>
  <c r="V73" i="14"/>
  <c r="V72" i="14"/>
  <c r="V71" i="14"/>
  <c r="V70" i="14"/>
  <c r="V69" i="14"/>
  <c r="V68" i="14"/>
  <c r="V67" i="14"/>
  <c r="V66" i="14"/>
  <c r="V63" i="14"/>
  <c r="V62" i="14"/>
  <c r="V45" i="14"/>
  <c r="V44" i="14"/>
  <c r="V43" i="14"/>
  <c r="V42" i="14"/>
  <c r="V41" i="14"/>
  <c r="V40" i="14"/>
  <c r="V39" i="14"/>
  <c r="V38" i="14"/>
  <c r="V37" i="14"/>
  <c r="V36" i="14"/>
  <c r="V35" i="14"/>
  <c r="V34" i="14"/>
  <c r="V33" i="14"/>
  <c r="V32" i="14"/>
  <c r="V14" i="14"/>
  <c r="V11" i="14"/>
  <c r="V163" i="14"/>
  <c r="V162" i="14"/>
  <c r="V131" i="14"/>
  <c r="V128" i="14"/>
  <c r="V137" i="14"/>
  <c r="V169" i="14"/>
  <c r="U16" i="11"/>
  <c r="G14" i="16"/>
  <c r="V147" i="13" l="1"/>
  <c r="W174" i="13"/>
  <c r="V197" i="13"/>
  <c r="V291" i="13" s="1"/>
  <c r="U147" i="13"/>
  <c r="U197" i="13"/>
  <c r="U291" i="13" s="1"/>
  <c r="V174" i="13"/>
  <c r="T147" i="13"/>
  <c r="T197" i="13"/>
  <c r="T291" i="13" s="1"/>
  <c r="U174" i="13"/>
  <c r="S147" i="13"/>
  <c r="T174" i="13"/>
  <c r="S197" i="13"/>
  <c r="S291" i="13" s="1"/>
  <c r="R147" i="13"/>
  <c r="S174" i="13"/>
  <c r="R197" i="13"/>
  <c r="R291" i="13" s="1"/>
  <c r="Q147" i="13"/>
  <c r="R174" i="13"/>
  <c r="Q197" i="13"/>
  <c r="Q291" i="13" s="1"/>
  <c r="P174" i="13"/>
  <c r="O147" i="13"/>
  <c r="J18" i="11"/>
  <c r="C16" i="16" s="1"/>
  <c r="P147" i="13"/>
  <c r="P197" i="13"/>
  <c r="Q174" i="13"/>
  <c r="O158" i="13"/>
  <c r="O102" i="13"/>
  <c r="O120" i="13"/>
  <c r="AH172" i="13"/>
  <c r="AG195" i="13"/>
  <c r="AG172" i="13"/>
  <c r="AF195" i="13"/>
  <c r="AF172" i="13"/>
  <c r="AE195" i="13"/>
  <c r="AE172" i="13"/>
  <c r="AD195" i="13"/>
  <c r="AD172" i="13"/>
  <c r="AC195" i="13"/>
  <c r="AC172" i="13"/>
  <c r="AB195" i="13"/>
  <c r="AB172" i="13"/>
  <c r="AA195" i="13"/>
  <c r="AA289" i="13" s="1"/>
  <c r="AA172" i="13"/>
  <c r="Z195" i="13"/>
  <c r="Z289" i="13" s="1"/>
  <c r="Z172" i="13"/>
  <c r="Y195" i="13"/>
  <c r="Y289" i="13" s="1"/>
  <c r="Y172" i="13"/>
  <c r="X195" i="13"/>
  <c r="X289" i="13" s="1"/>
  <c r="X172" i="13"/>
  <c r="W195" i="13"/>
  <c r="W289" i="13" s="1"/>
  <c r="W172" i="13"/>
  <c r="V195" i="13"/>
  <c r="V289" i="13" s="1"/>
  <c r="V172" i="13"/>
  <c r="U195" i="13"/>
  <c r="U289" i="13" s="1"/>
  <c r="U172" i="13"/>
  <c r="T195" i="13"/>
  <c r="T289" i="13" s="1"/>
  <c r="H7" i="11"/>
  <c r="T172" i="13"/>
  <c r="S195" i="13"/>
  <c r="S289" i="13" s="1"/>
  <c r="S172" i="13"/>
  <c r="R195" i="13"/>
  <c r="R289" i="13" s="1"/>
  <c r="R172" i="13"/>
  <c r="Q195" i="13"/>
  <c r="Q289" i="13" s="1"/>
  <c r="Q172" i="13"/>
  <c r="P195" i="13"/>
  <c r="Q206" i="13"/>
  <c r="Q214" i="13" s="1"/>
  <c r="P311" i="13"/>
  <c r="P158" i="13"/>
  <c r="P120" i="13"/>
  <c r="BA111" i="13"/>
  <c r="AZ111" i="13"/>
  <c r="AY111" i="13"/>
  <c r="AX111" i="13"/>
  <c r="AW111" i="13"/>
  <c r="AV111" i="13"/>
  <c r="AU111" i="13"/>
  <c r="AT111" i="13"/>
  <c r="W46" i="13"/>
  <c r="W47" i="13"/>
  <c r="X78" i="13"/>
  <c r="X126" i="13"/>
  <c r="X173" i="13"/>
  <c r="W196" i="13"/>
  <c r="X174" i="13"/>
  <c r="W197" i="13"/>
  <c r="S59" i="13"/>
  <c r="R103" i="13" a="1"/>
  <c r="R104" i="13" a="1"/>
  <c r="Q106" i="13"/>
  <c r="Q102" i="13" s="1"/>
  <c r="AY30" i="13"/>
  <c r="AX30" i="13"/>
  <c r="AW30" i="13"/>
  <c r="AV30" i="13"/>
  <c r="AU30" i="13"/>
  <c r="AT30" i="13"/>
  <c r="AS30" i="13"/>
  <c r="AR30" i="13"/>
  <c r="AQ30" i="13"/>
  <c r="AP30" i="13"/>
  <c r="BA25" i="13"/>
  <c r="AO30" i="13"/>
  <c r="AZ25" i="13"/>
  <c r="AN30" i="13"/>
  <c r="AY24" i="13"/>
  <c r="AY28" i="13"/>
  <c r="AM29" i="13"/>
  <c r="AX24" i="13"/>
  <c r="AX28" i="13"/>
  <c r="AL29" i="13"/>
  <c r="AW24" i="13"/>
  <c r="AW28" i="13"/>
  <c r="AK29" i="13"/>
  <c r="AV24" i="13"/>
  <c r="AV28" i="13"/>
  <c r="AJ29" i="13"/>
  <c r="AU24" i="13"/>
  <c r="AU28" i="13"/>
  <c r="AI29" i="13"/>
  <c r="AT24" i="13"/>
  <c r="AT28" i="13"/>
  <c r="AH29" i="13"/>
  <c r="AS24" i="13"/>
  <c r="AS28" i="13"/>
  <c r="AG29" i="13"/>
  <c r="AR24" i="13"/>
  <c r="AR28" i="13"/>
  <c r="AF29" i="13"/>
  <c r="AQ24" i="13"/>
  <c r="AQ28" i="13"/>
  <c r="AE29" i="13"/>
  <c r="AP24" i="13"/>
  <c r="AP28" i="13"/>
  <c r="AD29" i="13"/>
  <c r="BA23" i="13"/>
  <c r="AO24" i="13"/>
  <c r="AO28" i="13"/>
  <c r="AC29" i="13"/>
  <c r="AZ23" i="13"/>
  <c r="AN24" i="13"/>
  <c r="AN28" i="13"/>
  <c r="AB29" i="13"/>
  <c r="B34" i="6"/>
  <c r="C34" i="6"/>
  <c r="A35" i="6"/>
  <c r="B34" i="1"/>
  <c r="C34" i="1"/>
  <c r="A35" i="1"/>
  <c r="A33" i="3"/>
  <c r="C32" i="3"/>
  <c r="M5" i="4"/>
  <c r="B32" i="3"/>
  <c r="AB161" i="4"/>
  <c r="AM161" i="4"/>
  <c r="AN161" i="4" s="1"/>
  <c r="AB4" i="4"/>
  <c r="AM4" i="4"/>
  <c r="AN4" i="4" s="1"/>
  <c r="AB3" i="4"/>
  <c r="AM3" i="4"/>
  <c r="AN3" i="4" s="1"/>
  <c r="Q133" i="13"/>
  <c r="N134" i="13"/>
  <c r="N136" i="13" s="1"/>
  <c r="AJ90" i="13"/>
  <c r="AI94" i="13"/>
  <c r="AH146" i="13"/>
  <c r="AH100" i="13"/>
  <c r="AH95" i="13"/>
  <c r="W145" i="13"/>
  <c r="W144" i="13"/>
  <c r="R128" i="13"/>
  <c r="G25" i="16"/>
  <c r="U27" i="11"/>
  <c r="F7" i="11"/>
  <c r="B5" i="16" s="1"/>
  <c r="F18" i="11"/>
  <c r="F4" i="11"/>
  <c r="E5" i="11"/>
  <c r="D16" i="16"/>
  <c r="V30" i="14"/>
  <c r="J60" i="14" s="1"/>
  <c r="B66" i="6"/>
  <c r="A67" i="6"/>
  <c r="C66" i="6"/>
  <c r="AB35" i="4"/>
  <c r="AM35" i="4"/>
  <c r="AN35" i="4" s="1"/>
  <c r="AM36" i="4"/>
  <c r="AN36" i="4" s="1"/>
  <c r="AB36" i="4"/>
  <c r="B66" i="1"/>
  <c r="C66" i="1"/>
  <c r="A67" i="1"/>
  <c r="A65" i="3"/>
  <c r="B64" i="3"/>
  <c r="C64" i="3"/>
  <c r="M37" i="4"/>
  <c r="V29" i="14"/>
  <c r="J59" i="14" s="1"/>
  <c r="R30" i="14"/>
  <c r="Q30" i="14"/>
  <c r="P30" i="14"/>
  <c r="R29" i="14"/>
  <c r="Q29" i="14"/>
  <c r="P29" i="14"/>
  <c r="R25" i="14"/>
  <c r="Q25" i="14"/>
  <c r="P25" i="14"/>
  <c r="J23" i="14"/>
  <c r="J24" i="14"/>
  <c r="J21" i="14"/>
  <c r="J22" i="14"/>
  <c r="V20" i="14"/>
  <c r="J50" i="14" s="1"/>
  <c r="R20" i="14"/>
  <c r="Q20" i="14"/>
  <c r="P20" i="14"/>
  <c r="V19" i="14"/>
  <c r="J49" i="14" s="1"/>
  <c r="R19" i="14"/>
  <c r="Q19" i="14"/>
  <c r="P19" i="14"/>
  <c r="R28" i="14"/>
  <c r="Q28" i="14"/>
  <c r="P28" i="14"/>
  <c r="V28" i="14"/>
  <c r="J58" i="14" s="1"/>
  <c r="V55" i="14"/>
  <c r="R55" i="14"/>
  <c r="Q55" i="14"/>
  <c r="P55" i="14"/>
  <c r="J26" i="14"/>
  <c r="J27" i="14"/>
  <c r="V145" i="13" l="1"/>
  <c r="V196" i="13"/>
  <c r="V290" i="13" s="1"/>
  <c r="V144" i="13"/>
  <c r="W173" i="13"/>
  <c r="U145" i="13"/>
  <c r="U144" i="13"/>
  <c r="U196" i="13"/>
  <c r="U290" i="13" s="1"/>
  <c r="V173" i="13"/>
  <c r="T145" i="13"/>
  <c r="T196" i="13"/>
  <c r="T290" i="13" s="1"/>
  <c r="T144" i="13"/>
  <c r="U173" i="13"/>
  <c r="S145" i="13"/>
  <c r="S196" i="13"/>
  <c r="S290" i="13" s="1"/>
  <c r="T173" i="13"/>
  <c r="S144" i="13"/>
  <c r="R196" i="13"/>
  <c r="R290" i="13" s="1"/>
  <c r="S173" i="13"/>
  <c r="R144" i="13"/>
  <c r="R145" i="13"/>
  <c r="Q145" i="13"/>
  <c r="Q196" i="13"/>
  <c r="Q290" i="13" s="1"/>
  <c r="R173" i="13"/>
  <c r="Q144" i="13"/>
  <c r="O145" i="13"/>
  <c r="O144" i="13"/>
  <c r="P173" i="13"/>
  <c r="U18" i="11"/>
  <c r="I7" i="11"/>
  <c r="P145" i="13"/>
  <c r="P144" i="13"/>
  <c r="P213" i="13"/>
  <c r="P291" i="13"/>
  <c r="Q173" i="13"/>
  <c r="P196" i="13"/>
  <c r="P289" i="13"/>
  <c r="P211" i="13"/>
  <c r="Y76" i="13"/>
  <c r="X82" i="13"/>
  <c r="X148" i="13" s="1"/>
  <c r="X45" i="13"/>
  <c r="Q158" i="13"/>
  <c r="Q120" i="13"/>
  <c r="R206" i="13"/>
  <c r="R214" i="13" s="1"/>
  <c r="Q311" i="13"/>
  <c r="AC289" i="13"/>
  <c r="W290" i="13"/>
  <c r="W291" i="13"/>
  <c r="T59" i="13"/>
  <c r="S103" i="13" a="1"/>
  <c r="S104" i="13" a="1"/>
  <c r="R106" i="13"/>
  <c r="BA30" i="13"/>
  <c r="AZ30" i="13"/>
  <c r="AY29" i="13"/>
  <c r="AX29" i="13"/>
  <c r="AW29" i="13"/>
  <c r="AV29" i="13"/>
  <c r="AU29" i="13"/>
  <c r="AT29" i="13"/>
  <c r="AS29" i="13"/>
  <c r="AR29" i="13"/>
  <c r="AQ29" i="13"/>
  <c r="AP29" i="13"/>
  <c r="BA24" i="13"/>
  <c r="BA28" i="13"/>
  <c r="AO29" i="13"/>
  <c r="AZ24" i="13"/>
  <c r="AZ28" i="13"/>
  <c r="AN29" i="13"/>
  <c r="B35" i="6"/>
  <c r="C35" i="6"/>
  <c r="A36" i="6"/>
  <c r="B35" i="1"/>
  <c r="C35" i="1"/>
  <c r="A36" i="1"/>
  <c r="A34" i="3"/>
  <c r="C33" i="3"/>
  <c r="M6" i="4"/>
  <c r="B33" i="3"/>
  <c r="N5" i="4"/>
  <c r="Y5" i="4"/>
  <c r="A5" i="4"/>
  <c r="B5" i="4" s="1"/>
  <c r="AJ94" i="13"/>
  <c r="AK90" i="13"/>
  <c r="AI146" i="13"/>
  <c r="AI100" i="13"/>
  <c r="AI95" i="13"/>
  <c r="AI172" i="13"/>
  <c r="AH195" i="13"/>
  <c r="W194" i="13"/>
  <c r="X171" i="13"/>
  <c r="W193" i="13"/>
  <c r="X170" i="13"/>
  <c r="O134" i="13"/>
  <c r="O136" i="13" s="1"/>
  <c r="R133" i="13"/>
  <c r="S128" i="13"/>
  <c r="T128" i="13" s="1"/>
  <c r="U128" i="13" s="1"/>
  <c r="V60" i="14"/>
  <c r="R60" i="14"/>
  <c r="Q60" i="14"/>
  <c r="P60" i="14"/>
  <c r="V59" i="14"/>
  <c r="R59" i="14"/>
  <c r="Q59" i="14"/>
  <c r="P59" i="14"/>
  <c r="B7" i="16"/>
  <c r="U9" i="11"/>
  <c r="B18" i="16"/>
  <c r="B16" i="16"/>
  <c r="B17" i="16"/>
  <c r="G4" i="11"/>
  <c r="F5" i="11"/>
  <c r="B67" i="6"/>
  <c r="A68" i="6"/>
  <c r="C67" i="6"/>
  <c r="B67" i="1"/>
  <c r="C67" i="1"/>
  <c r="A68" i="1"/>
  <c r="A66" i="3"/>
  <c r="B65" i="3"/>
  <c r="C65" i="3"/>
  <c r="M38" i="4"/>
  <c r="A37" i="4"/>
  <c r="B37" i="4" s="1"/>
  <c r="N37" i="4"/>
  <c r="Y37" i="4"/>
  <c r="V23" i="14"/>
  <c r="R23" i="14"/>
  <c r="Q23" i="14"/>
  <c r="P23" i="14"/>
  <c r="V24" i="14"/>
  <c r="R24" i="14"/>
  <c r="Q24" i="14"/>
  <c r="P24" i="14"/>
  <c r="V21" i="14"/>
  <c r="R21" i="14"/>
  <c r="Q21" i="14"/>
  <c r="P21" i="14"/>
  <c r="V22" i="14"/>
  <c r="R22" i="14"/>
  <c r="Q22" i="14"/>
  <c r="P22" i="14"/>
  <c r="V50" i="14"/>
  <c r="R50" i="14"/>
  <c r="Q50" i="14"/>
  <c r="P50" i="14"/>
  <c r="V49" i="14"/>
  <c r="R49" i="14"/>
  <c r="Q49" i="14"/>
  <c r="P49" i="14"/>
  <c r="V58" i="14"/>
  <c r="R58" i="14"/>
  <c r="Q58" i="14"/>
  <c r="P58" i="14"/>
  <c r="V26" i="14"/>
  <c r="R26" i="14"/>
  <c r="Q26" i="14"/>
  <c r="P26" i="14"/>
  <c r="V27" i="14"/>
  <c r="R27" i="14"/>
  <c r="Q27" i="14"/>
  <c r="P27" i="14"/>
  <c r="O152" i="13" l="1"/>
  <c r="O164" i="13" s="1"/>
  <c r="O185" i="13" s="1"/>
  <c r="P171" i="13"/>
  <c r="W171" i="13"/>
  <c r="V194" i="13"/>
  <c r="V288" i="13" s="1"/>
  <c r="W170" i="13"/>
  <c r="V193" i="13"/>
  <c r="V171" i="13"/>
  <c r="U194" i="13"/>
  <c r="U288" i="13" s="1"/>
  <c r="V170" i="13"/>
  <c r="U193" i="13"/>
  <c r="U150" i="13"/>
  <c r="U171" i="13"/>
  <c r="T194" i="13"/>
  <c r="T288" i="13" s="1"/>
  <c r="U170" i="13"/>
  <c r="T193" i="13"/>
  <c r="T171" i="13"/>
  <c r="S194" i="13"/>
  <c r="S288" i="13" s="1"/>
  <c r="T170" i="13"/>
  <c r="S193" i="13"/>
  <c r="S170" i="13"/>
  <c r="R193" i="13"/>
  <c r="S171" i="13"/>
  <c r="R194" i="13"/>
  <c r="R288" i="13" s="1"/>
  <c r="R171" i="13"/>
  <c r="Q194" i="13"/>
  <c r="Q288" i="13" s="1"/>
  <c r="R170" i="13"/>
  <c r="Q193" i="13"/>
  <c r="P170" i="13"/>
  <c r="O156" i="13"/>
  <c r="O168" i="13" s="1"/>
  <c r="O189" i="13" s="1"/>
  <c r="O155" i="13"/>
  <c r="O167" i="13" s="1"/>
  <c r="O188" i="13" s="1"/>
  <c r="O154" i="13"/>
  <c r="O166" i="13" s="1"/>
  <c r="O187" i="13" s="1"/>
  <c r="O153" i="13"/>
  <c r="O165" i="13" s="1"/>
  <c r="O186" i="13" s="1"/>
  <c r="O151" i="13"/>
  <c r="O163" i="13" s="1"/>
  <c r="J7" i="11"/>
  <c r="P156" i="13"/>
  <c r="P168" i="13" s="1"/>
  <c r="P155" i="13"/>
  <c r="P167" i="13" s="1"/>
  <c r="P154" i="13"/>
  <c r="P166" i="13" s="1"/>
  <c r="P152" i="13"/>
  <c r="P164" i="13" s="1"/>
  <c r="Q171" i="13"/>
  <c r="P194" i="13"/>
  <c r="Q170" i="13"/>
  <c r="P193" i="13"/>
  <c r="P153" i="13"/>
  <c r="P165" i="13" s="1"/>
  <c r="P151" i="13"/>
  <c r="P163" i="13" s="1"/>
  <c r="P310" i="13"/>
  <c r="Q205" i="13"/>
  <c r="Q213" i="13" s="1"/>
  <c r="P290" i="13"/>
  <c r="P212" i="13"/>
  <c r="P308" i="13"/>
  <c r="Q203" i="13"/>
  <c r="Q211" i="13" s="1"/>
  <c r="Y126" i="13"/>
  <c r="Y45" i="13"/>
  <c r="Z76" i="13"/>
  <c r="Y82" i="13"/>
  <c r="Q156" i="13"/>
  <c r="Q168" i="13" s="1"/>
  <c r="Q155" i="13"/>
  <c r="Q167" i="13" s="1"/>
  <c r="Q154" i="13"/>
  <c r="Q166" i="13" s="1"/>
  <c r="Q153" i="13"/>
  <c r="Q165" i="13" s="1"/>
  <c r="Q152" i="13"/>
  <c r="Q164" i="13" s="1"/>
  <c r="Q151" i="13"/>
  <c r="Q163" i="13" s="1"/>
  <c r="X147" i="13"/>
  <c r="X144" i="13" s="1"/>
  <c r="X99" i="13"/>
  <c r="X83" i="13"/>
  <c r="X46" i="13"/>
  <c r="X47" i="13"/>
  <c r="S206" i="13"/>
  <c r="S214" i="13" s="1"/>
  <c r="R311" i="13"/>
  <c r="Y174" i="13"/>
  <c r="X197" i="13"/>
  <c r="U59" i="13"/>
  <c r="T103" i="13" a="1"/>
  <c r="T104" i="13" a="1"/>
  <c r="S106" i="13"/>
  <c r="S142" i="13"/>
  <c r="S150" i="13"/>
  <c r="BA29" i="13"/>
  <c r="AZ29" i="13"/>
  <c r="B36" i="6"/>
  <c r="C36" i="6"/>
  <c r="A37" i="6"/>
  <c r="B36" i="1"/>
  <c r="C36" i="1"/>
  <c r="A37" i="1"/>
  <c r="A35" i="3"/>
  <c r="C34" i="3"/>
  <c r="M7" i="4"/>
  <c r="B34" i="3"/>
  <c r="N6" i="4"/>
  <c r="Y6" i="4"/>
  <c r="A6" i="4"/>
  <c r="B6" i="4" s="1"/>
  <c r="AB5" i="4"/>
  <c r="AM5" i="4"/>
  <c r="AN5" i="4" s="1"/>
  <c r="AJ146" i="13"/>
  <c r="AJ100" i="13"/>
  <c r="AJ95" i="13"/>
  <c r="AL90" i="13"/>
  <c r="AK94" i="13"/>
  <c r="AJ172" i="13"/>
  <c r="AI195" i="13"/>
  <c r="W288" i="13"/>
  <c r="V217" i="13"/>
  <c r="V218" i="13"/>
  <c r="W287" i="13"/>
  <c r="R134" i="13"/>
  <c r="U133" i="13"/>
  <c r="Q134" i="13"/>
  <c r="T133" i="13"/>
  <c r="P134" i="13"/>
  <c r="S133" i="13"/>
  <c r="R158" i="13"/>
  <c r="R120" i="13"/>
  <c r="R102" i="13"/>
  <c r="V128" i="13"/>
  <c r="B6" i="16"/>
  <c r="G7" i="16"/>
  <c r="G18" i="16"/>
  <c r="G16" i="16"/>
  <c r="H4" i="11"/>
  <c r="G5" i="11"/>
  <c r="U20" i="11"/>
  <c r="C68" i="6"/>
  <c r="B68" i="6"/>
  <c r="A69" i="6"/>
  <c r="B68" i="1"/>
  <c r="C68" i="1"/>
  <c r="A69" i="1"/>
  <c r="A67" i="3"/>
  <c r="C66" i="3"/>
  <c r="B66" i="3"/>
  <c r="M39" i="4"/>
  <c r="Y38" i="4"/>
  <c r="N38" i="4"/>
  <c r="A38" i="4"/>
  <c r="B38" i="4" s="1"/>
  <c r="AB37" i="4"/>
  <c r="AM37" i="4"/>
  <c r="AN37" i="4" s="1"/>
  <c r="J53" i="14"/>
  <c r="J54" i="14"/>
  <c r="J51" i="14"/>
  <c r="J52" i="14"/>
  <c r="J56" i="14"/>
  <c r="J57" i="14"/>
  <c r="V287" i="13" l="1"/>
  <c r="U218" i="13"/>
  <c r="U217" i="13"/>
  <c r="U287" i="13"/>
  <c r="T217" i="13"/>
  <c r="T218" i="13"/>
  <c r="S217" i="13"/>
  <c r="T287" i="13"/>
  <c r="S218" i="13"/>
  <c r="R217" i="13"/>
  <c r="R218" i="13"/>
  <c r="S287" i="13"/>
  <c r="R287" i="13"/>
  <c r="Q218" i="13"/>
  <c r="Q217" i="13"/>
  <c r="Q287" i="13"/>
  <c r="P217" i="13"/>
  <c r="P218" i="13"/>
  <c r="O216" i="13"/>
  <c r="O184" i="13"/>
  <c r="C5" i="16"/>
  <c r="G5" i="16" s="1"/>
  <c r="U7" i="11"/>
  <c r="P316" i="13"/>
  <c r="P320" i="13"/>
  <c r="P329" i="13" s="1"/>
  <c r="P258" i="13"/>
  <c r="P300" i="13" s="1"/>
  <c r="P189" i="13"/>
  <c r="P257" i="13"/>
  <c r="P299" i="13" s="1"/>
  <c r="P319" i="13"/>
  <c r="P328" i="13" s="1"/>
  <c r="P188" i="13"/>
  <c r="P318" i="13"/>
  <c r="P256" i="13"/>
  <c r="P298" i="13" s="1"/>
  <c r="P187" i="13"/>
  <c r="P315" i="13"/>
  <c r="P185" i="13"/>
  <c r="P254" i="13"/>
  <c r="P317" i="13"/>
  <c r="P186" i="13"/>
  <c r="P255" i="13"/>
  <c r="P297" i="13" s="1"/>
  <c r="P184" i="13"/>
  <c r="P253" i="13"/>
  <c r="P295" i="13" s="1"/>
  <c r="P288" i="13"/>
  <c r="P210" i="13"/>
  <c r="O218" i="13"/>
  <c r="O217" i="13"/>
  <c r="P209" i="13"/>
  <c r="Q310" i="13"/>
  <c r="R205" i="13"/>
  <c r="R213" i="13" s="1"/>
  <c r="S158" i="13"/>
  <c r="S102" i="13"/>
  <c r="Q204" i="13"/>
  <c r="Q212" i="13" s="1"/>
  <c r="P309" i="13"/>
  <c r="Q308" i="13"/>
  <c r="R203" i="13"/>
  <c r="R211" i="13" s="1"/>
  <c r="Y46" i="13"/>
  <c r="Y47" i="13"/>
  <c r="Z78" i="13"/>
  <c r="Z126" i="13"/>
  <c r="Y148" i="13"/>
  <c r="Y147" i="13" s="1"/>
  <c r="Y99" i="13"/>
  <c r="Y83" i="13"/>
  <c r="Q320" i="13"/>
  <c r="Q329" i="13" s="1"/>
  <c r="Q258" i="13"/>
  <c r="Q300" i="13" s="1"/>
  <c r="Q189" i="13"/>
  <c r="Q319" i="13"/>
  <c r="Q257" i="13"/>
  <c r="Q299" i="13" s="1"/>
  <c r="Q188" i="13"/>
  <c r="Q318" i="13"/>
  <c r="Q256" i="13"/>
  <c r="Q298" i="13" s="1"/>
  <c r="Q187" i="13"/>
  <c r="Q317" i="13"/>
  <c r="Q186" i="13"/>
  <c r="Q255" i="13"/>
  <c r="Q297" i="13" s="1"/>
  <c r="Q316" i="13"/>
  <c r="Q254" i="13"/>
  <c r="Q296" i="13" s="1"/>
  <c r="Q185" i="13"/>
  <c r="Q315" i="13"/>
  <c r="Q253" i="13"/>
  <c r="Q184" i="13"/>
  <c r="Y173" i="13"/>
  <c r="X196" i="13"/>
  <c r="X290" i="13" s="1"/>
  <c r="X145" i="13"/>
  <c r="Y170" i="13"/>
  <c r="X193" i="13"/>
  <c r="X287" i="13" s="1"/>
  <c r="T206" i="13"/>
  <c r="T214" i="13" s="1"/>
  <c r="S311" i="13"/>
  <c r="X291" i="13"/>
  <c r="V59" i="13"/>
  <c r="U103" i="13" a="1"/>
  <c r="U104" i="13" a="1"/>
  <c r="T106" i="13"/>
  <c r="T142" i="13"/>
  <c r="T150" i="13"/>
  <c r="B37" i="6"/>
  <c r="C37" i="6"/>
  <c r="A38" i="6"/>
  <c r="B37" i="1"/>
  <c r="C37" i="1"/>
  <c r="A38" i="1"/>
  <c r="A36" i="3"/>
  <c r="B35" i="3"/>
  <c r="C35" i="3"/>
  <c r="M8" i="4"/>
  <c r="N7" i="4"/>
  <c r="Y7" i="4"/>
  <c r="A7" i="4"/>
  <c r="B7" i="4" s="1"/>
  <c r="AB6" i="4"/>
  <c r="AM6" i="4"/>
  <c r="AN6" i="4" s="1"/>
  <c r="AK172" i="13"/>
  <c r="AJ195" i="13"/>
  <c r="AM90" i="13"/>
  <c r="AL94" i="13"/>
  <c r="AK146" i="13"/>
  <c r="AK100" i="13"/>
  <c r="AK95" i="13"/>
  <c r="Q136" i="13"/>
  <c r="P139" i="13"/>
  <c r="Q139" i="13" s="1"/>
  <c r="R139" i="13" s="1"/>
  <c r="R140" i="13" s="1"/>
  <c r="P136" i="13"/>
  <c r="R151" i="13"/>
  <c r="R163" i="13" s="1"/>
  <c r="R152" i="13"/>
  <c r="R164" i="13" s="1"/>
  <c r="R153" i="13"/>
  <c r="R165" i="13" s="1"/>
  <c r="R154" i="13"/>
  <c r="R166" i="13" s="1"/>
  <c r="R155" i="13"/>
  <c r="R167" i="13" s="1"/>
  <c r="R156" i="13"/>
  <c r="R168" i="13" s="1"/>
  <c r="S134" i="13"/>
  <c r="V133" i="13"/>
  <c r="R136" i="13"/>
  <c r="W128" i="13"/>
  <c r="X128" i="13" s="1"/>
  <c r="I4" i="11"/>
  <c r="H5" i="11"/>
  <c r="A70" i="6"/>
  <c r="C69" i="6"/>
  <c r="B69" i="6"/>
  <c r="B69" i="1"/>
  <c r="C69" i="1"/>
  <c r="A70" i="1"/>
  <c r="A68" i="3"/>
  <c r="B67" i="3"/>
  <c r="C67" i="3"/>
  <c r="M40" i="4"/>
  <c r="N39" i="4"/>
  <c r="Y39" i="4"/>
  <c r="A39" i="4"/>
  <c r="B39" i="4" s="1"/>
  <c r="AB38" i="4"/>
  <c r="AM38" i="4"/>
  <c r="AN38" i="4" s="1"/>
  <c r="V53" i="14"/>
  <c r="R53" i="14"/>
  <c r="Q53" i="14"/>
  <c r="P53" i="14"/>
  <c r="V54" i="14"/>
  <c r="R54" i="14"/>
  <c r="Q54" i="14"/>
  <c r="P54" i="14"/>
  <c r="V51" i="14"/>
  <c r="R51" i="14"/>
  <c r="Q51" i="14"/>
  <c r="P51" i="14"/>
  <c r="V52" i="14"/>
  <c r="R52" i="14"/>
  <c r="Q52" i="14"/>
  <c r="P52" i="14"/>
  <c r="V56" i="14"/>
  <c r="R56" i="14"/>
  <c r="Q56" i="14"/>
  <c r="P56" i="14"/>
  <c r="V57" i="14"/>
  <c r="R57" i="14"/>
  <c r="Q57" i="14"/>
  <c r="P57" i="14"/>
  <c r="Q295" i="13" l="1"/>
  <c r="P296" i="13"/>
  <c r="P327" i="13"/>
  <c r="Q328" i="13"/>
  <c r="R310" i="13"/>
  <c r="S205" i="13"/>
  <c r="S213" i="13" s="1"/>
  <c r="S155" i="13"/>
  <c r="S167" i="13" s="1"/>
  <c r="S154" i="13"/>
  <c r="S166" i="13" s="1"/>
  <c r="S153" i="13"/>
  <c r="S165" i="13" s="1"/>
  <c r="S152" i="13"/>
  <c r="S164" i="13" s="1"/>
  <c r="S156" i="13"/>
  <c r="S168" i="13" s="1"/>
  <c r="S151" i="13"/>
  <c r="S163" i="13" s="1"/>
  <c r="P326" i="13"/>
  <c r="P321" i="13"/>
  <c r="P307" i="13"/>
  <c r="P325" i="13" s="1"/>
  <c r="Q202" i="13"/>
  <c r="Q210" i="13" s="1"/>
  <c r="P306" i="13"/>
  <c r="Q201" i="13"/>
  <c r="Q209" i="13" s="1"/>
  <c r="P216" i="13"/>
  <c r="P222" i="13" s="1"/>
  <c r="Q309" i="13"/>
  <c r="R204" i="13"/>
  <c r="R212" i="13" s="1"/>
  <c r="Q326" i="13"/>
  <c r="Y144" i="13"/>
  <c r="Y145" i="13"/>
  <c r="R308" i="13"/>
  <c r="S203" i="13"/>
  <c r="S211" i="13" s="1"/>
  <c r="Z45" i="13"/>
  <c r="AA76" i="13"/>
  <c r="Z82" i="13"/>
  <c r="Z174" i="13"/>
  <c r="Y197" i="13"/>
  <c r="Y291" i="13" s="1"/>
  <c r="Z173" i="13"/>
  <c r="Y196" i="13"/>
  <c r="Y290" i="13" s="1"/>
  <c r="Q321" i="13"/>
  <c r="T158" i="13"/>
  <c r="T102" i="13"/>
  <c r="X194" i="13"/>
  <c r="Y171" i="13"/>
  <c r="U206" i="13"/>
  <c r="U214" i="13" s="1"/>
  <c r="T311" i="13"/>
  <c r="W59" i="13"/>
  <c r="V103" i="13" a="1"/>
  <c r="V104" i="13" a="1"/>
  <c r="U106" i="13"/>
  <c r="U142" i="13"/>
  <c r="U335" i="13"/>
  <c r="U336" i="13" s="1"/>
  <c r="B38" i="6"/>
  <c r="C38" i="6"/>
  <c r="A39" i="6"/>
  <c r="B38" i="1"/>
  <c r="C38" i="1"/>
  <c r="A39" i="1"/>
  <c r="A37" i="3"/>
  <c r="B36" i="3"/>
  <c r="C36" i="3"/>
  <c r="M9" i="4"/>
  <c r="N8" i="4"/>
  <c r="Y8" i="4"/>
  <c r="A8" i="4"/>
  <c r="B8" i="4" s="1"/>
  <c r="AB7" i="4"/>
  <c r="AM7" i="4"/>
  <c r="AN7" i="4" s="1"/>
  <c r="AM94" i="13"/>
  <c r="AN90" i="13"/>
  <c r="AL146" i="13"/>
  <c r="AL100" i="13"/>
  <c r="AL95" i="13"/>
  <c r="AL172" i="13"/>
  <c r="AK195" i="13"/>
  <c r="R315" i="13"/>
  <c r="R253" i="13"/>
  <c r="R295" i="13" s="1"/>
  <c r="R184" i="13"/>
  <c r="R316" i="13"/>
  <c r="R254" i="13"/>
  <c r="R296" i="13" s="1"/>
  <c r="R185" i="13"/>
  <c r="R317" i="13"/>
  <c r="R186" i="13"/>
  <c r="R255" i="13"/>
  <c r="R297" i="13" s="1"/>
  <c r="R318" i="13"/>
  <c r="R256" i="13"/>
  <c r="R298" i="13" s="1"/>
  <c r="R187" i="13"/>
  <c r="R319" i="13"/>
  <c r="R257" i="13"/>
  <c r="R299" i="13" s="1"/>
  <c r="R188" i="13"/>
  <c r="R320" i="13"/>
  <c r="R329" i="13" s="1"/>
  <c r="R258" i="13"/>
  <c r="R300" i="13" s="1"/>
  <c r="R189" i="13"/>
  <c r="X133" i="13"/>
  <c r="U134" i="13"/>
  <c r="T134" i="13"/>
  <c r="W133" i="13"/>
  <c r="Y128" i="13"/>
  <c r="S139" i="13"/>
  <c r="S140" i="13" s="1"/>
  <c r="S136" i="13"/>
  <c r="J4" i="11"/>
  <c r="I5" i="11"/>
  <c r="B70" i="6"/>
  <c r="A71" i="6"/>
  <c r="C70" i="6"/>
  <c r="B70" i="1"/>
  <c r="C70" i="1"/>
  <c r="A71" i="1"/>
  <c r="A69" i="3"/>
  <c r="B68" i="3"/>
  <c r="C68" i="3"/>
  <c r="M41" i="4"/>
  <c r="Y40" i="4"/>
  <c r="N40" i="4"/>
  <c r="A40" i="4"/>
  <c r="B40" i="4" s="1"/>
  <c r="AB39" i="4"/>
  <c r="AM39" i="4"/>
  <c r="AN39" i="4" s="1"/>
  <c r="R328" i="13" l="1"/>
  <c r="S310" i="13"/>
  <c r="T205" i="13"/>
  <c r="T213" i="13" s="1"/>
  <c r="S319" i="13"/>
  <c r="S257" i="13"/>
  <c r="S299" i="13" s="1"/>
  <c r="S188" i="13"/>
  <c r="S318" i="13"/>
  <c r="S256" i="13"/>
  <c r="S298" i="13" s="1"/>
  <c r="S187" i="13"/>
  <c r="S255" i="13"/>
  <c r="S297" i="13" s="1"/>
  <c r="S317" i="13"/>
  <c r="S186" i="13"/>
  <c r="S316" i="13"/>
  <c r="S254" i="13"/>
  <c r="S296" i="13" s="1"/>
  <c r="S185" i="13"/>
  <c r="S320" i="13"/>
  <c r="S329" i="13" s="1"/>
  <c r="S258" i="13"/>
  <c r="S300" i="13" s="1"/>
  <c r="S189" i="13"/>
  <c r="S315" i="13"/>
  <c r="S253" i="13"/>
  <c r="S295" i="13" s="1"/>
  <c r="S184" i="13"/>
  <c r="S222" i="13"/>
  <c r="R202" i="13"/>
  <c r="R210" i="13" s="1"/>
  <c r="Q307" i="13"/>
  <c r="Q325" i="13" s="1"/>
  <c r="P312" i="13"/>
  <c r="P324" i="13"/>
  <c r="P330" i="13" s="1"/>
  <c r="Q216" i="13"/>
  <c r="Q222" i="13" s="1"/>
  <c r="R201" i="13"/>
  <c r="R209" i="13" s="1"/>
  <c r="Q306" i="13"/>
  <c r="S204" i="13"/>
  <c r="S212" i="13" s="1"/>
  <c r="R309" i="13"/>
  <c r="Q327" i="13"/>
  <c r="Z171" i="13"/>
  <c r="Y194" i="13"/>
  <c r="Y288" i="13" s="1"/>
  <c r="Y193" i="13"/>
  <c r="Z170" i="13"/>
  <c r="S308" i="13"/>
  <c r="T203" i="13"/>
  <c r="T211" i="13" s="1"/>
  <c r="R326" i="13"/>
  <c r="Z46" i="13"/>
  <c r="Z47" i="13"/>
  <c r="AA78" i="13"/>
  <c r="AA126" i="13"/>
  <c r="Z83" i="13"/>
  <c r="Z99" i="13"/>
  <c r="Z148" i="13"/>
  <c r="U158" i="13"/>
  <c r="U102" i="13"/>
  <c r="T151" i="13"/>
  <c r="T163" i="13" s="1"/>
  <c r="T184" i="13" s="1"/>
  <c r="T156" i="13"/>
  <c r="T168" i="13" s="1"/>
  <c r="T155" i="13"/>
  <c r="T167" i="13" s="1"/>
  <c r="T154" i="13"/>
  <c r="T166" i="13" s="1"/>
  <c r="T318" i="13" s="1"/>
  <c r="T153" i="13"/>
  <c r="T165" i="13" s="1"/>
  <c r="T152" i="13"/>
  <c r="T164" i="13" s="1"/>
  <c r="W218" i="13"/>
  <c r="W217" i="13"/>
  <c r="X288" i="13"/>
  <c r="V206" i="13"/>
  <c r="V214" i="13" s="1"/>
  <c r="U311" i="13"/>
  <c r="X59" i="13"/>
  <c r="W103" i="13" a="1"/>
  <c r="W104" i="13" a="1"/>
  <c r="V106" i="13"/>
  <c r="V142" i="13"/>
  <c r="V150" i="13"/>
  <c r="V335" i="13"/>
  <c r="V336" i="13" s="1"/>
  <c r="B39" i="6"/>
  <c r="C39" i="6"/>
  <c r="A40" i="6"/>
  <c r="B39" i="1"/>
  <c r="C39" i="1"/>
  <c r="A40" i="1"/>
  <c r="A38" i="3"/>
  <c r="M10" i="4"/>
  <c r="B37" i="3"/>
  <c r="C37" i="3"/>
  <c r="N9" i="4"/>
  <c r="Y9" i="4"/>
  <c r="A9" i="4"/>
  <c r="B9" i="4" s="1"/>
  <c r="AB8" i="4"/>
  <c r="AM8" i="4"/>
  <c r="AN8" i="4" s="1"/>
  <c r="AM146" i="13"/>
  <c r="AM100" i="13"/>
  <c r="AM95" i="13"/>
  <c r="AO90" i="13"/>
  <c r="AN94" i="13"/>
  <c r="AM172" i="13"/>
  <c r="AL195" i="13"/>
  <c r="U136" i="13"/>
  <c r="T139" i="13"/>
  <c r="T136" i="13"/>
  <c r="Z128" i="13"/>
  <c r="V134" i="13"/>
  <c r="Y133" i="13"/>
  <c r="R321" i="13"/>
  <c r="K4" i="11"/>
  <c r="J5" i="11"/>
  <c r="B71" i="6"/>
  <c r="C71" i="6"/>
  <c r="A72" i="6"/>
  <c r="B71" i="1"/>
  <c r="C71" i="1"/>
  <c r="A72" i="1"/>
  <c r="A70" i="3"/>
  <c r="B69" i="3"/>
  <c r="C69" i="3"/>
  <c r="M42" i="4"/>
  <c r="A41" i="4"/>
  <c r="B41" i="4" s="1"/>
  <c r="N41" i="4"/>
  <c r="Y41" i="4"/>
  <c r="AM40" i="4"/>
  <c r="AN40" i="4" s="1"/>
  <c r="AB40" i="4"/>
  <c r="S321" i="13" l="1"/>
  <c r="S301" i="13"/>
  <c r="S328" i="13"/>
  <c r="S326" i="13"/>
  <c r="T310" i="13"/>
  <c r="U205" i="13"/>
  <c r="U213" i="13" s="1"/>
  <c r="Q324" i="13"/>
  <c r="Q330" i="13" s="1"/>
  <c r="Q312" i="13"/>
  <c r="S202" i="13"/>
  <c r="S210" i="13" s="1"/>
  <c r="R307" i="13"/>
  <c r="R325" i="13" s="1"/>
  <c r="S201" i="13"/>
  <c r="S209" i="13" s="1"/>
  <c r="R306" i="13"/>
  <c r="R216" i="13"/>
  <c r="R222" i="13" s="1"/>
  <c r="T204" i="13"/>
  <c r="T212" i="13" s="1"/>
  <c r="S309" i="13"/>
  <c r="R327" i="13"/>
  <c r="X217" i="13"/>
  <c r="X218" i="13"/>
  <c r="Y287" i="13"/>
  <c r="T308" i="13"/>
  <c r="U203" i="13"/>
  <c r="U211" i="13" s="1"/>
  <c r="AA128" i="13"/>
  <c r="AA45" i="13"/>
  <c r="AB76" i="13"/>
  <c r="AA82" i="13"/>
  <c r="Z147" i="13"/>
  <c r="AA174" i="13"/>
  <c r="Z197" i="13"/>
  <c r="Z291" i="13" s="1"/>
  <c r="U155" i="13"/>
  <c r="U167" i="13" s="1"/>
  <c r="U154" i="13"/>
  <c r="U166" i="13" s="1"/>
  <c r="U152" i="13"/>
  <c r="U164" i="13" s="1"/>
  <c r="U156" i="13"/>
  <c r="U168" i="13" s="1"/>
  <c r="U153" i="13"/>
  <c r="U165" i="13" s="1"/>
  <c r="U151" i="13"/>
  <c r="U163" i="13" s="1"/>
  <c r="T315" i="13"/>
  <c r="T253" i="13"/>
  <c r="T295" i="13" s="1"/>
  <c r="T320" i="13"/>
  <c r="T329" i="13" s="1"/>
  <c r="T258" i="13"/>
  <c r="T300" i="13" s="1"/>
  <c r="T189" i="13"/>
  <c r="T257" i="13"/>
  <c r="T299" i="13" s="1"/>
  <c r="T188" i="13"/>
  <c r="T319" i="13"/>
  <c r="T256" i="13"/>
  <c r="T298" i="13" s="1"/>
  <c r="T187" i="13"/>
  <c r="T317" i="13"/>
  <c r="T186" i="13"/>
  <c r="T255" i="13"/>
  <c r="T297" i="13" s="1"/>
  <c r="T316" i="13"/>
  <c r="T254" i="13"/>
  <c r="T296" i="13" s="1"/>
  <c r="T185" i="13"/>
  <c r="T222" i="13"/>
  <c r="V158" i="13"/>
  <c r="V102" i="13"/>
  <c r="W206" i="13"/>
  <c r="W214" i="13" s="1"/>
  <c r="V311" i="13"/>
  <c r="Y59" i="13"/>
  <c r="X103" i="13" a="1"/>
  <c r="X104" i="13" a="1"/>
  <c r="W106" i="13"/>
  <c r="W142" i="13"/>
  <c r="W335" i="13"/>
  <c r="W336" i="13" s="1"/>
  <c r="B40" i="6"/>
  <c r="C40" i="6"/>
  <c r="A41" i="6"/>
  <c r="B40" i="1"/>
  <c r="C40" i="1"/>
  <c r="A41" i="1"/>
  <c r="A39" i="3"/>
  <c r="C38" i="3"/>
  <c r="B38" i="3"/>
  <c r="M11" i="4"/>
  <c r="N10" i="4"/>
  <c r="Y10" i="4"/>
  <c r="A10" i="4"/>
  <c r="B10" i="4" s="1"/>
  <c r="AB9" i="4"/>
  <c r="AM9" i="4"/>
  <c r="AN9" i="4" s="1"/>
  <c r="AN172" i="13"/>
  <c r="AM195" i="13"/>
  <c r="AO94" i="13"/>
  <c r="AP90" i="13"/>
  <c r="AN146" i="13"/>
  <c r="AN100" i="13"/>
  <c r="AN95" i="13"/>
  <c r="Z133" i="13"/>
  <c r="W134" i="13"/>
  <c r="V136" i="13"/>
  <c r="T140" i="13"/>
  <c r="U139" i="13"/>
  <c r="L4" i="11"/>
  <c r="K5" i="11"/>
  <c r="A73" i="6"/>
  <c r="B72" i="6"/>
  <c r="C72" i="6"/>
  <c r="B72" i="1"/>
  <c r="C72" i="1"/>
  <c r="A73" i="1"/>
  <c r="A71" i="3"/>
  <c r="C70" i="3"/>
  <c r="B70" i="3"/>
  <c r="M43" i="4"/>
  <c r="Y42" i="4"/>
  <c r="A42" i="4"/>
  <c r="B42" i="4" s="1"/>
  <c r="N42" i="4"/>
  <c r="AB41" i="4"/>
  <c r="AM41" i="4"/>
  <c r="AN41" i="4" s="1"/>
  <c r="U310" i="13" l="1"/>
  <c r="V205" i="13"/>
  <c r="V213" i="13" s="1"/>
  <c r="R324" i="13"/>
  <c r="R330" i="13" s="1"/>
  <c r="R312" i="13"/>
  <c r="T328" i="13"/>
  <c r="T202" i="13"/>
  <c r="T210" i="13" s="1"/>
  <c r="S307" i="13"/>
  <c r="S325" i="13" s="1"/>
  <c r="S306" i="13"/>
  <c r="T201" i="13"/>
  <c r="T209" i="13" s="1"/>
  <c r="S216" i="13"/>
  <c r="U204" i="13"/>
  <c r="U212" i="13" s="1"/>
  <c r="T309" i="13"/>
  <c r="S327" i="13"/>
  <c r="T301" i="13"/>
  <c r="T326" i="13"/>
  <c r="V156" i="13"/>
  <c r="V168" i="13" s="1"/>
  <c r="V155" i="13"/>
  <c r="V167" i="13" s="1"/>
  <c r="V154" i="13"/>
  <c r="V166" i="13" s="1"/>
  <c r="V153" i="13"/>
  <c r="V165" i="13" s="1"/>
  <c r="V152" i="13"/>
  <c r="V164" i="13" s="1"/>
  <c r="V151" i="13"/>
  <c r="V163" i="13" s="1"/>
  <c r="T321" i="13"/>
  <c r="U308" i="13"/>
  <c r="V203" i="13"/>
  <c r="V211" i="13" s="1"/>
  <c r="X134" i="13"/>
  <c r="X136" i="13" s="1"/>
  <c r="AA133" i="13"/>
  <c r="AB126" i="13"/>
  <c r="AB128" i="13" s="1"/>
  <c r="AB78" i="13"/>
  <c r="AA148" i="13"/>
  <c r="AA99" i="13"/>
  <c r="AA83" i="13"/>
  <c r="U319" i="13"/>
  <c r="U188" i="13"/>
  <c r="U257" i="13"/>
  <c r="U299" i="13" s="1"/>
  <c r="U187" i="13"/>
  <c r="U256" i="13"/>
  <c r="U298" i="13" s="1"/>
  <c r="U318" i="13"/>
  <c r="U185" i="13"/>
  <c r="U254" i="13"/>
  <c r="U296" i="13" s="1"/>
  <c r="U316" i="13"/>
  <c r="U320" i="13"/>
  <c r="U329" i="13" s="1"/>
  <c r="U189" i="13"/>
  <c r="U258" i="13"/>
  <c r="U300" i="13" s="1"/>
  <c r="U186" i="13"/>
  <c r="U255" i="13"/>
  <c r="U297" i="13" s="1"/>
  <c r="U317" i="13"/>
  <c r="U315" i="13"/>
  <c r="U222" i="13"/>
  <c r="U253" i="13"/>
  <c r="U295" i="13" s="1"/>
  <c r="U184" i="13"/>
  <c r="AA47" i="13"/>
  <c r="AA46" i="13"/>
  <c r="Z145" i="13"/>
  <c r="Z144" i="13"/>
  <c r="Z196" i="13"/>
  <c r="Z290" i="13" s="1"/>
  <c r="AA173" i="13"/>
  <c r="W158" i="13"/>
  <c r="W156" i="13" s="1"/>
  <c r="W168" i="13" s="1"/>
  <c r="W102" i="13"/>
  <c r="X206" i="13"/>
  <c r="X214" i="13" s="1"/>
  <c r="W311" i="13"/>
  <c r="Z59" i="13"/>
  <c r="Y103" i="13" a="1"/>
  <c r="Y104" i="13" a="1"/>
  <c r="X106" i="13"/>
  <c r="X142" i="13"/>
  <c r="X335" i="13"/>
  <c r="X336" i="13" s="1"/>
  <c r="B41" i="6"/>
  <c r="C41" i="6"/>
  <c r="A42" i="6"/>
  <c r="B41" i="1"/>
  <c r="C41" i="1"/>
  <c r="A42" i="1"/>
  <c r="A40" i="3"/>
  <c r="C39" i="3"/>
  <c r="M12" i="4"/>
  <c r="B39" i="3"/>
  <c r="N11" i="4"/>
  <c r="Y11" i="4"/>
  <c r="A11" i="4"/>
  <c r="B11" i="4" s="1"/>
  <c r="AB10" i="4"/>
  <c r="AM10" i="4"/>
  <c r="AN10" i="4" s="1"/>
  <c r="AO146" i="13"/>
  <c r="AO100" i="13"/>
  <c r="AO95" i="13"/>
  <c r="AP94" i="13"/>
  <c r="AQ90" i="13"/>
  <c r="AO172" i="13"/>
  <c r="AN195" i="13"/>
  <c r="W136" i="13"/>
  <c r="U140" i="13"/>
  <c r="V139" i="13"/>
  <c r="M4" i="11"/>
  <c r="L5" i="11"/>
  <c r="C6" i="16"/>
  <c r="C17" i="16"/>
  <c r="A74" i="6"/>
  <c r="B73" i="6"/>
  <c r="C73" i="6"/>
  <c r="B73" i="1"/>
  <c r="C73" i="1"/>
  <c r="A74" i="1"/>
  <c r="A72" i="3"/>
  <c r="M44" i="4"/>
  <c r="B71" i="3"/>
  <c r="C71" i="3"/>
  <c r="A43" i="4"/>
  <c r="B43" i="4" s="1"/>
  <c r="N43" i="4"/>
  <c r="Y43" i="4"/>
  <c r="AB42" i="4"/>
  <c r="AM42" i="4"/>
  <c r="AN42" i="4" s="1"/>
  <c r="U328" i="13" l="1"/>
  <c r="V310" i="13"/>
  <c r="W205" i="13"/>
  <c r="W213" i="13" s="1"/>
  <c r="S324" i="13"/>
  <c r="S330" i="13" s="1"/>
  <c r="S312" i="13"/>
  <c r="U202" i="13"/>
  <c r="U210" i="13" s="1"/>
  <c r="T307" i="13"/>
  <c r="T325" i="13" s="1"/>
  <c r="T216" i="13"/>
  <c r="U201" i="13"/>
  <c r="U209" i="13" s="1"/>
  <c r="T306" i="13"/>
  <c r="V204" i="13"/>
  <c r="V212" i="13" s="1"/>
  <c r="U309" i="13"/>
  <c r="U327" i="13" s="1"/>
  <c r="T327" i="13"/>
  <c r="W155" i="13"/>
  <c r="W167" i="13" s="1"/>
  <c r="W154" i="13"/>
  <c r="W166" i="13" s="1"/>
  <c r="W153" i="13"/>
  <c r="W165" i="13" s="1"/>
  <c r="W152" i="13"/>
  <c r="W164" i="13" s="1"/>
  <c r="W151" i="13"/>
  <c r="W163" i="13" s="1"/>
  <c r="W184" i="13" s="1"/>
  <c r="U321" i="13"/>
  <c r="U301" i="13"/>
  <c r="V320" i="13"/>
  <c r="V329" i="13" s="1"/>
  <c r="V189" i="13"/>
  <c r="V258" i="13"/>
  <c r="V300" i="13" s="1"/>
  <c r="V319" i="13"/>
  <c r="V257" i="13"/>
  <c r="V299" i="13" s="1"/>
  <c r="V188" i="13"/>
  <c r="V318" i="13"/>
  <c r="V256" i="13"/>
  <c r="V298" i="13" s="1"/>
  <c r="V187" i="13"/>
  <c r="V317" i="13"/>
  <c r="V186" i="13"/>
  <c r="V255" i="13"/>
  <c r="V297" i="13" s="1"/>
  <c r="V316" i="13"/>
  <c r="V254" i="13"/>
  <c r="V296" i="13" s="1"/>
  <c r="V185" i="13"/>
  <c r="U326" i="13"/>
  <c r="V222" i="13"/>
  <c r="V315" i="13"/>
  <c r="V253" i="13"/>
  <c r="V295" i="13" s="1"/>
  <c r="V184" i="13"/>
  <c r="V308" i="13"/>
  <c r="W203" i="13"/>
  <c r="W211" i="13" s="1"/>
  <c r="AB45" i="13"/>
  <c r="AC76" i="13"/>
  <c r="AB82" i="13"/>
  <c r="AA147" i="13"/>
  <c r="AB174" i="13"/>
  <c r="AA197" i="13"/>
  <c r="AA291" i="13" s="1"/>
  <c r="X158" i="13"/>
  <c r="X102" i="13"/>
  <c r="AA171" i="13"/>
  <c r="Z194" i="13"/>
  <c r="Z288" i="13" s="1"/>
  <c r="AA170" i="13"/>
  <c r="Z193" i="13"/>
  <c r="Y206" i="13"/>
  <c r="Y214" i="13" s="1"/>
  <c r="X311" i="13"/>
  <c r="AB133" i="13"/>
  <c r="Y134" i="13"/>
  <c r="V140" i="13"/>
  <c r="W139" i="13"/>
  <c r="AA59" i="13"/>
  <c r="Z103" i="13" a="1"/>
  <c r="Z104" i="13" a="1"/>
  <c r="Y106" i="13"/>
  <c r="Y142" i="13"/>
  <c r="Y335" i="13"/>
  <c r="Y336" i="13" s="1"/>
  <c r="W320" i="13"/>
  <c r="W329" i="13" s="1"/>
  <c r="W258" i="13"/>
  <c r="W300" i="13" s="1"/>
  <c r="W189" i="13"/>
  <c r="B42" i="6"/>
  <c r="C42" i="6"/>
  <c r="A43" i="6"/>
  <c r="B42" i="1"/>
  <c r="C42" i="1"/>
  <c r="A43" i="1"/>
  <c r="A41" i="3"/>
  <c r="M13" i="4"/>
  <c r="B40" i="3"/>
  <c r="C40" i="3"/>
  <c r="N12" i="4"/>
  <c r="Y12" i="4"/>
  <c r="A12" i="4"/>
  <c r="B12" i="4" s="1"/>
  <c r="AB11" i="4"/>
  <c r="AM11" i="4"/>
  <c r="AN11" i="4" s="1"/>
  <c r="AP172" i="13"/>
  <c r="AO195" i="13"/>
  <c r="AP146" i="13"/>
  <c r="AP100" i="13"/>
  <c r="AP95" i="13"/>
  <c r="AR90" i="13"/>
  <c r="AQ94" i="13"/>
  <c r="N4" i="11"/>
  <c r="M5" i="11"/>
  <c r="A75" i="6"/>
  <c r="C74" i="6"/>
  <c r="B74" i="6"/>
  <c r="B74" i="1"/>
  <c r="C74" i="1"/>
  <c r="A75" i="1"/>
  <c r="A73" i="3"/>
  <c r="M45" i="4"/>
  <c r="B72" i="3"/>
  <c r="C72" i="3"/>
  <c r="A44" i="4"/>
  <c r="B44" i="4" s="1"/>
  <c r="N44" i="4"/>
  <c r="Y44" i="4"/>
  <c r="AB43" i="4"/>
  <c r="AM43" i="4"/>
  <c r="AN43" i="4" s="1"/>
  <c r="V328" i="13" l="1"/>
  <c r="W310" i="13"/>
  <c r="X205" i="13"/>
  <c r="X213" i="13" s="1"/>
  <c r="V202" i="13"/>
  <c r="V210" i="13" s="1"/>
  <c r="U307" i="13"/>
  <c r="U325" i="13" s="1"/>
  <c r="V201" i="13"/>
  <c r="V209" i="13" s="1"/>
  <c r="U306" i="13"/>
  <c r="U216" i="13"/>
  <c r="T324" i="13"/>
  <c r="T330" i="13" s="1"/>
  <c r="T312" i="13"/>
  <c r="W204" i="13"/>
  <c r="W212" i="13" s="1"/>
  <c r="V309" i="13"/>
  <c r="V321" i="13"/>
  <c r="V326" i="13"/>
  <c r="W319" i="13"/>
  <c r="W257" i="13"/>
  <c r="W299" i="13" s="1"/>
  <c r="W188" i="13"/>
  <c r="W318" i="13"/>
  <c r="W256" i="13"/>
  <c r="W298" i="13" s="1"/>
  <c r="W187" i="13"/>
  <c r="W317" i="13"/>
  <c r="W186" i="13"/>
  <c r="W255" i="13"/>
  <c r="W297" i="13" s="1"/>
  <c r="W316" i="13"/>
  <c r="W254" i="13"/>
  <c r="W296" i="13" s="1"/>
  <c r="W185" i="13"/>
  <c r="V301" i="13"/>
  <c r="R223" i="13"/>
  <c r="R221" i="13" s="1"/>
  <c r="Q223" i="13"/>
  <c r="Q221" i="13" s="1"/>
  <c r="P223" i="13"/>
  <c r="P221" i="13" s="1"/>
  <c r="W315" i="13"/>
  <c r="W223" i="13"/>
  <c r="W222" i="13"/>
  <c r="T223" i="13"/>
  <c r="T221" i="13" s="1"/>
  <c r="T123" i="13" s="1"/>
  <c r="U223" i="13"/>
  <c r="U221" i="13" s="1"/>
  <c r="U123" i="13" s="1"/>
  <c r="S223" i="13"/>
  <c r="S221" i="13" s="1"/>
  <c r="S123" i="13" s="1"/>
  <c r="V223" i="13"/>
  <c r="V221" i="13" s="1"/>
  <c r="V123" i="13" s="1"/>
  <c r="W253" i="13"/>
  <c r="W295" i="13" s="1"/>
  <c r="AB46" i="13"/>
  <c r="AB47" i="13"/>
  <c r="AA196" i="13"/>
  <c r="AA290" i="13" s="1"/>
  <c r="AB173" i="13"/>
  <c r="AA144" i="13"/>
  <c r="AA145" i="13"/>
  <c r="W308" i="13"/>
  <c r="X203" i="13"/>
  <c r="X211" i="13" s="1"/>
  <c r="AC78" i="13"/>
  <c r="AC126" i="13"/>
  <c r="AC128" i="13" s="1"/>
  <c r="AB83" i="13"/>
  <c r="AB99" i="13"/>
  <c r="AB148" i="13"/>
  <c r="X156" i="13"/>
  <c r="X168" i="13" s="1"/>
  <c r="X189" i="13" s="1"/>
  <c r="X155" i="13"/>
  <c r="X167" i="13" s="1"/>
  <c r="X154" i="13"/>
  <c r="X166" i="13" s="1"/>
  <c r="X153" i="13"/>
  <c r="X165" i="13" s="1"/>
  <c r="X152" i="13"/>
  <c r="X164" i="13" s="1"/>
  <c r="X151" i="13"/>
  <c r="X163" i="13" s="1"/>
  <c r="Y158" i="13"/>
  <c r="Y102" i="13"/>
  <c r="Z287" i="13"/>
  <c r="Z335" i="13" s="1"/>
  <c r="Y218" i="13"/>
  <c r="Y217" i="13"/>
  <c r="Z206" i="13"/>
  <c r="Z214" i="13" s="1"/>
  <c r="Y311" i="13"/>
  <c r="Y136" i="13"/>
  <c r="X139" i="13"/>
  <c r="Y139" i="13" s="1"/>
  <c r="W140" i="13"/>
  <c r="AB59" i="13"/>
  <c r="AA103" i="13" a="1"/>
  <c r="AA104" i="13" a="1"/>
  <c r="Z106" i="13"/>
  <c r="Z142" i="13"/>
  <c r="B43" i="6"/>
  <c r="C43" i="6"/>
  <c r="A44" i="6"/>
  <c r="B43" i="1"/>
  <c r="C43" i="1"/>
  <c r="A44" i="1"/>
  <c r="A42" i="3"/>
  <c r="C41" i="3"/>
  <c r="B41" i="3"/>
  <c r="M14" i="4"/>
  <c r="N13" i="4"/>
  <c r="Y13" i="4"/>
  <c r="A13" i="4"/>
  <c r="B13" i="4" s="1"/>
  <c r="AB12" i="4"/>
  <c r="AM12" i="4"/>
  <c r="AN12" i="4" s="1"/>
  <c r="AQ172" i="13"/>
  <c r="AP195" i="13"/>
  <c r="AS90" i="13"/>
  <c r="AR94" i="13"/>
  <c r="AQ146" i="13"/>
  <c r="AQ100" i="13"/>
  <c r="AQ95" i="13"/>
  <c r="O4" i="11"/>
  <c r="N5" i="11"/>
  <c r="C75" i="6"/>
  <c r="A76" i="6"/>
  <c r="B75" i="6"/>
  <c r="B75" i="1"/>
  <c r="C75" i="1"/>
  <c r="A76" i="1"/>
  <c r="A74" i="3"/>
  <c r="C73" i="3"/>
  <c r="B73" i="3"/>
  <c r="M46" i="4"/>
  <c r="A45" i="4"/>
  <c r="B45" i="4" s="1"/>
  <c r="N45" i="4"/>
  <c r="Y45" i="4"/>
  <c r="AM44" i="4"/>
  <c r="AN44" i="4" s="1"/>
  <c r="AB44" i="4"/>
  <c r="X310" i="13" l="1"/>
  <c r="Y205" i="13"/>
  <c r="Y213" i="13" s="1"/>
  <c r="W328" i="13"/>
  <c r="V307" i="13"/>
  <c r="V325" i="13" s="1"/>
  <c r="W202" i="13"/>
  <c r="W210" i="13" s="1"/>
  <c r="W201" i="13"/>
  <c r="W209" i="13" s="1"/>
  <c r="V306" i="13"/>
  <c r="V216" i="13"/>
  <c r="U324" i="13"/>
  <c r="U330" i="13" s="1"/>
  <c r="U312" i="13"/>
  <c r="T331" i="13"/>
  <c r="X204" i="13"/>
  <c r="X212" i="13" s="1"/>
  <c r="W309" i="13"/>
  <c r="V327" i="13"/>
  <c r="W321" i="13"/>
  <c r="W221" i="13"/>
  <c r="W301" i="13"/>
  <c r="W326" i="13"/>
  <c r="AB170" i="13"/>
  <c r="AA193" i="13"/>
  <c r="AB171" i="13"/>
  <c r="AA194" i="13"/>
  <c r="AA288" i="13" s="1"/>
  <c r="X308" i="13"/>
  <c r="Y203" i="13"/>
  <c r="Y211" i="13" s="1"/>
  <c r="AD76" i="13"/>
  <c r="AC45" i="13"/>
  <c r="AC82" i="13"/>
  <c r="AB147" i="13"/>
  <c r="AC174" i="13"/>
  <c r="AB197" i="13"/>
  <c r="X188" i="13"/>
  <c r="X319" i="13"/>
  <c r="X257" i="13"/>
  <c r="X299" i="13" s="1"/>
  <c r="X320" i="13"/>
  <c r="X329" i="13" s="1"/>
  <c r="X258" i="13"/>
  <c r="X300" i="13" s="1"/>
  <c r="X318" i="13"/>
  <c r="X256" i="13"/>
  <c r="X298" i="13" s="1"/>
  <c r="X187" i="13"/>
  <c r="X317" i="13"/>
  <c r="X186" i="13"/>
  <c r="X255" i="13"/>
  <c r="X297" i="13" s="1"/>
  <c r="X316" i="13"/>
  <c r="X254" i="13"/>
  <c r="X296" i="13" s="1"/>
  <c r="X185" i="13"/>
  <c r="X315" i="13"/>
  <c r="X253" i="13"/>
  <c r="X295" i="13" s="1"/>
  <c r="X184" i="13"/>
  <c r="Z158" i="13"/>
  <c r="Z102" i="13"/>
  <c r="Y156" i="13"/>
  <c r="Y168" i="13" s="1"/>
  <c r="Y155" i="13"/>
  <c r="Y167" i="13" s="1"/>
  <c r="Y154" i="13"/>
  <c r="Y166" i="13" s="1"/>
  <c r="Y153" i="13"/>
  <c r="Y165" i="13" s="1"/>
  <c r="Y152" i="13"/>
  <c r="Y164" i="13" s="1"/>
  <c r="Y151" i="13"/>
  <c r="Y163" i="13" s="1"/>
  <c r="AC133" i="13"/>
  <c r="Z134" i="13"/>
  <c r="AA206" i="13"/>
  <c r="AA214" i="13" s="1"/>
  <c r="Z311" i="13"/>
  <c r="X140" i="13"/>
  <c r="Y140" i="13" s="1"/>
  <c r="AC59" i="13"/>
  <c r="AB103" i="13" a="1"/>
  <c r="AB104" i="13" a="1"/>
  <c r="AA106" i="13"/>
  <c r="AA142" i="13"/>
  <c r="B44" i="6"/>
  <c r="C44" i="6"/>
  <c r="A45" i="6"/>
  <c r="B44" i="1"/>
  <c r="C44" i="1"/>
  <c r="A45" i="1"/>
  <c r="A43" i="3"/>
  <c r="C42" i="3"/>
  <c r="M15" i="4"/>
  <c r="B42" i="3"/>
  <c r="N14" i="4"/>
  <c r="Y14" i="4"/>
  <c r="A14" i="4"/>
  <c r="B14" i="4" s="1"/>
  <c r="AB13" i="4"/>
  <c r="AM13" i="4"/>
  <c r="AN13" i="4" s="1"/>
  <c r="AS94" i="13"/>
  <c r="AT90" i="13"/>
  <c r="AR146" i="13"/>
  <c r="AR100" i="13"/>
  <c r="AR95" i="13"/>
  <c r="AR172" i="13"/>
  <c r="AQ195" i="13"/>
  <c r="O5" i="11"/>
  <c r="P4" i="11"/>
  <c r="D6" i="16"/>
  <c r="D17" i="16"/>
  <c r="A77" i="6"/>
  <c r="C76" i="6"/>
  <c r="B76" i="6"/>
  <c r="B76" i="1"/>
  <c r="C76" i="1"/>
  <c r="A77" i="1"/>
  <c r="A75" i="3"/>
  <c r="C74" i="3"/>
  <c r="M47" i="4"/>
  <c r="B74" i="3"/>
  <c r="Y46" i="4"/>
  <c r="A46" i="4"/>
  <c r="B46" i="4" s="1"/>
  <c r="N46" i="4"/>
  <c r="AM45" i="4"/>
  <c r="AN45" i="4" s="1"/>
  <c r="AB45" i="4"/>
  <c r="X328" i="13" l="1"/>
  <c r="Y310" i="13"/>
  <c r="Z205" i="13"/>
  <c r="Z213" i="13" s="1"/>
  <c r="U331" i="13"/>
  <c r="V324" i="13"/>
  <c r="V330" i="13" s="1"/>
  <c r="V312" i="13"/>
  <c r="X202" i="13"/>
  <c r="X210" i="13" s="1"/>
  <c r="W307" i="13"/>
  <c r="X201" i="13"/>
  <c r="X209" i="13" s="1"/>
  <c r="W306" i="13"/>
  <c r="W324" i="13" s="1"/>
  <c r="W216" i="13"/>
  <c r="Y204" i="13"/>
  <c r="Y212" i="13" s="1"/>
  <c r="X309" i="13"/>
  <c r="W327" i="13"/>
  <c r="X326" i="13"/>
  <c r="AA287" i="13"/>
  <c r="Z218" i="13"/>
  <c r="Z217" i="13"/>
  <c r="AB145" i="13"/>
  <c r="AB144" i="13"/>
  <c r="AB196" i="13"/>
  <c r="AC173" i="13"/>
  <c r="Y308" i="13"/>
  <c r="Z203" i="13"/>
  <c r="Z211" i="13" s="1"/>
  <c r="AD78" i="13"/>
  <c r="AD126" i="13"/>
  <c r="AD128" i="13" s="1"/>
  <c r="AC47" i="13"/>
  <c r="AC46" i="13"/>
  <c r="AC83" i="13"/>
  <c r="AC99" i="13"/>
  <c r="AC148" i="13"/>
  <c r="P5" i="11"/>
  <c r="Q4" i="11"/>
  <c r="X321" i="13"/>
  <c r="X301" i="13"/>
  <c r="AA158" i="13"/>
  <c r="AA102" i="13"/>
  <c r="Z156" i="13"/>
  <c r="Z168" i="13" s="1"/>
  <c r="Z155" i="13"/>
  <c r="Z167" i="13" s="1"/>
  <c r="Z154" i="13"/>
  <c r="Z166" i="13" s="1"/>
  <c r="Z153" i="13"/>
  <c r="Z165" i="13" s="1"/>
  <c r="Z152" i="13"/>
  <c r="Z164" i="13" s="1"/>
  <c r="Z151" i="13"/>
  <c r="Z163" i="13" s="1"/>
  <c r="Y320" i="13"/>
  <c r="Y329" i="13" s="1"/>
  <c r="Y258" i="13"/>
  <c r="Y300" i="13" s="1"/>
  <c r="Y189" i="13"/>
  <c r="Y257" i="13"/>
  <c r="Y299" i="13" s="1"/>
  <c r="Y319" i="13"/>
  <c r="Y188" i="13"/>
  <c r="Y318" i="13"/>
  <c r="Y256" i="13"/>
  <c r="Y298" i="13" s="1"/>
  <c r="Y187" i="13"/>
  <c r="Y317" i="13"/>
  <c r="Y186" i="13"/>
  <c r="Y255" i="13"/>
  <c r="Y297" i="13" s="1"/>
  <c r="Y316" i="13"/>
  <c r="Y254" i="13"/>
  <c r="Y296" i="13" s="1"/>
  <c r="Y185" i="13"/>
  <c r="Y315" i="13"/>
  <c r="Y253" i="13"/>
  <c r="Y295" i="13" s="1"/>
  <c r="Y184" i="13"/>
  <c r="Z139" i="13"/>
  <c r="Z140" i="13" s="1"/>
  <c r="Z136" i="13"/>
  <c r="AB206" i="13"/>
  <c r="AB214" i="13" s="1"/>
  <c r="AC206" i="13" s="1"/>
  <c r="AC214" i="13" s="1"/>
  <c r="AD206" i="13" s="1"/>
  <c r="AD214" i="13" s="1"/>
  <c r="AA311" i="13"/>
  <c r="AD59" i="13"/>
  <c r="AB106" i="13"/>
  <c r="AB142" i="13"/>
  <c r="B45" i="6"/>
  <c r="C45" i="6"/>
  <c r="A46" i="6"/>
  <c r="B45" i="1"/>
  <c r="C45" i="1"/>
  <c r="A46" i="1"/>
  <c r="A44" i="3"/>
  <c r="C43" i="3"/>
  <c r="B43" i="3"/>
  <c r="M16" i="4"/>
  <c r="N15" i="4"/>
  <c r="Y15" i="4"/>
  <c r="A15" i="4"/>
  <c r="B15" i="4" s="1"/>
  <c r="AB14" i="4"/>
  <c r="AM14" i="4"/>
  <c r="AN14" i="4" s="1"/>
  <c r="AS146" i="13"/>
  <c r="AS100" i="13"/>
  <c r="AS95" i="13"/>
  <c r="AT94" i="13"/>
  <c r="AU90" i="13"/>
  <c r="AS172" i="13"/>
  <c r="AR195" i="13"/>
  <c r="G6" i="16"/>
  <c r="G17" i="16"/>
  <c r="U19" i="11"/>
  <c r="U8" i="11"/>
  <c r="C77" i="6"/>
  <c r="A78" i="6"/>
  <c r="B77" i="6"/>
  <c r="B77" i="1"/>
  <c r="C77" i="1"/>
  <c r="A78" i="1"/>
  <c r="A76" i="3"/>
  <c r="B75" i="3"/>
  <c r="C75" i="3"/>
  <c r="M48" i="4"/>
  <c r="Y47" i="4"/>
  <c r="A47" i="4"/>
  <c r="B47" i="4" s="1"/>
  <c r="N47" i="4"/>
  <c r="AM46" i="4"/>
  <c r="AN46" i="4" s="1"/>
  <c r="AB46" i="4"/>
  <c r="Q5" i="11" l="1"/>
  <c r="R4" i="11"/>
  <c r="Y328" i="13"/>
  <c r="Z310" i="13"/>
  <c r="AA205" i="13"/>
  <c r="AA213" i="13" s="1"/>
  <c r="V331" i="13"/>
  <c r="W325" i="13"/>
  <c r="W330" i="13" s="1"/>
  <c r="W312" i="13"/>
  <c r="Y202" i="13"/>
  <c r="Y210" i="13" s="1"/>
  <c r="X307" i="13"/>
  <c r="X325" i="13" s="1"/>
  <c r="Y201" i="13"/>
  <c r="Y209" i="13" s="1"/>
  <c r="X216" i="13"/>
  <c r="X306" i="13"/>
  <c r="Y309" i="13"/>
  <c r="Y327" i="13" s="1"/>
  <c r="Z204" i="13"/>
  <c r="Z212" i="13" s="1"/>
  <c r="X327" i="13"/>
  <c r="AC104" i="13" a="1"/>
  <c r="AC103" i="13" a="1"/>
  <c r="Y326" i="13"/>
  <c r="Z308" i="13"/>
  <c r="AA203" i="13"/>
  <c r="AA211" i="13" s="1"/>
  <c r="AD45" i="13"/>
  <c r="AE76" i="13"/>
  <c r="AD82" i="13"/>
  <c r="AC147" i="13"/>
  <c r="AD174" i="13"/>
  <c r="AC197" i="13"/>
  <c r="AC171" i="13"/>
  <c r="AB194" i="13"/>
  <c r="AC170" i="13"/>
  <c r="AB193" i="13"/>
  <c r="AA154" i="13"/>
  <c r="AA166" i="13" s="1"/>
  <c r="AA156" i="13"/>
  <c r="AA168" i="13" s="1"/>
  <c r="AA153" i="13"/>
  <c r="AA165" i="13" s="1"/>
  <c r="AA151" i="13"/>
  <c r="AA163" i="13" s="1"/>
  <c r="AA155" i="13"/>
  <c r="AA167" i="13" s="1"/>
  <c r="AA152" i="13"/>
  <c r="AA164" i="13" s="1"/>
  <c r="Y321" i="13"/>
  <c r="Y301" i="13"/>
  <c r="Z320" i="13"/>
  <c r="Z329" i="13" s="1"/>
  <c r="Z258" i="13"/>
  <c r="Z300" i="13" s="1"/>
  <c r="Z189" i="13"/>
  <c r="Z319" i="13"/>
  <c r="Z257" i="13"/>
  <c r="Z299" i="13" s="1"/>
  <c r="Z188" i="13"/>
  <c r="Z318" i="13"/>
  <c r="Z256" i="13"/>
  <c r="Z298" i="13" s="1"/>
  <c r="Z187" i="13"/>
  <c r="Z317" i="13"/>
  <c r="Z186" i="13"/>
  <c r="Z255" i="13"/>
  <c r="Z297" i="13" s="1"/>
  <c r="Z254" i="13"/>
  <c r="Z296" i="13" s="1"/>
  <c r="Z316" i="13"/>
  <c r="Z185" i="13"/>
  <c r="Z253" i="13"/>
  <c r="Z295" i="13" s="1"/>
  <c r="Z184" i="13"/>
  <c r="Z315" i="13"/>
  <c r="AA134" i="13"/>
  <c r="AD133" i="13"/>
  <c r="AE206" i="13"/>
  <c r="AE214" i="13" s="1"/>
  <c r="AE59" i="13"/>
  <c r="B46" i="6"/>
  <c r="C46" i="6"/>
  <c r="A47" i="6"/>
  <c r="B46" i="1"/>
  <c r="C46" i="1"/>
  <c r="A47" i="1"/>
  <c r="A45" i="3"/>
  <c r="B44" i="3"/>
  <c r="C44" i="3"/>
  <c r="M17" i="4"/>
  <c r="N16" i="4"/>
  <c r="Y16" i="4"/>
  <c r="A16" i="4"/>
  <c r="B16" i="4" s="1"/>
  <c r="AB15" i="4"/>
  <c r="AM15" i="4"/>
  <c r="AN15" i="4" s="1"/>
  <c r="AT172" i="13"/>
  <c r="AS195" i="13"/>
  <c r="AT146" i="13"/>
  <c r="AT100" i="13"/>
  <c r="AT95" i="13"/>
  <c r="AU94" i="13"/>
  <c r="AV90" i="13"/>
  <c r="AB102" i="13"/>
  <c r="AB158" i="13"/>
  <c r="A79" i="6"/>
  <c r="B78" i="6"/>
  <c r="C78" i="6"/>
  <c r="B78" i="1"/>
  <c r="C78" i="1"/>
  <c r="A79" i="1"/>
  <c r="A77" i="3"/>
  <c r="M49" i="4"/>
  <c r="C76" i="3"/>
  <c r="B76" i="3"/>
  <c r="Y48" i="4"/>
  <c r="A48" i="4"/>
  <c r="B48" i="4" s="1"/>
  <c r="N48" i="4"/>
  <c r="AM47" i="4"/>
  <c r="AN47" i="4" s="1"/>
  <c r="AB47" i="4"/>
  <c r="R5" i="11" l="1"/>
  <c r="S4" i="11"/>
  <c r="S5" i="11" s="1"/>
  <c r="Z328" i="13"/>
  <c r="AB205" i="13"/>
  <c r="AB213" i="13" s="1"/>
  <c r="AC205" i="13" s="1"/>
  <c r="AC213" i="13" s="1"/>
  <c r="AA310" i="13"/>
  <c r="W331" i="13"/>
  <c r="Z202" i="13"/>
  <c r="Z210" i="13" s="1"/>
  <c r="Y307" i="13"/>
  <c r="Y325" i="13" s="1"/>
  <c r="Y216" i="13"/>
  <c r="Z201" i="13"/>
  <c r="Z209" i="13" s="1"/>
  <c r="Y306" i="13"/>
  <c r="X324" i="13"/>
  <c r="X330" i="13" s="1"/>
  <c r="X312" i="13"/>
  <c r="AA204" i="13"/>
  <c r="AA212" i="13" s="1"/>
  <c r="Z309" i="13"/>
  <c r="AC106" i="13"/>
  <c r="AC142" i="13"/>
  <c r="Z326" i="13"/>
  <c r="AA308" i="13"/>
  <c r="AB203" i="13"/>
  <c r="AB211" i="13" s="1"/>
  <c r="AC203" i="13" s="1"/>
  <c r="AC211" i="13" s="1"/>
  <c r="AD47" i="13"/>
  <c r="AD46" i="13"/>
  <c r="AC144" i="13"/>
  <c r="AC145" i="13"/>
  <c r="AC196" i="13"/>
  <c r="AD173" i="13"/>
  <c r="AE78" i="13"/>
  <c r="AE126" i="13"/>
  <c r="AE128" i="13" s="1"/>
  <c r="AD83" i="13"/>
  <c r="AD99" i="13"/>
  <c r="AD148" i="13"/>
  <c r="AA218" i="13"/>
  <c r="AA217" i="13"/>
  <c r="AA318" i="13"/>
  <c r="AA256" i="13"/>
  <c r="AA298" i="13" s="1"/>
  <c r="AA187" i="13"/>
  <c r="AA320" i="13"/>
  <c r="AA329" i="13" s="1"/>
  <c r="AA258" i="13"/>
  <c r="AA300" i="13" s="1"/>
  <c r="AA189" i="13"/>
  <c r="AA317" i="13"/>
  <c r="AA186" i="13"/>
  <c r="AA255" i="13"/>
  <c r="AA297" i="13" s="1"/>
  <c r="AA315" i="13"/>
  <c r="AA253" i="13"/>
  <c r="AA295" i="13" s="1"/>
  <c r="AA184" i="13"/>
  <c r="AA319" i="13"/>
  <c r="AA257" i="13"/>
  <c r="AA299" i="13" s="1"/>
  <c r="AA188" i="13"/>
  <c r="AA316" i="13"/>
  <c r="AA254" i="13"/>
  <c r="AA296" i="13" s="1"/>
  <c r="AA185" i="13"/>
  <c r="Z301" i="13"/>
  <c r="Z321" i="13"/>
  <c r="AA139" i="13"/>
  <c r="AA140" i="13" s="1"/>
  <c r="AA136" i="13"/>
  <c r="AF206" i="13"/>
  <c r="AF214" i="13" s="1"/>
  <c r="AF59" i="13"/>
  <c r="B47" i="6"/>
  <c r="C47" i="6"/>
  <c r="A48" i="6"/>
  <c r="B47" i="1"/>
  <c r="C47" i="1"/>
  <c r="A48" i="1"/>
  <c r="A46" i="3"/>
  <c r="C45" i="3"/>
  <c r="M18" i="4"/>
  <c r="B45" i="3"/>
  <c r="N17" i="4"/>
  <c r="Y17" i="4"/>
  <c r="A17" i="4"/>
  <c r="B17" i="4" s="1"/>
  <c r="AB16" i="4"/>
  <c r="AM16" i="4"/>
  <c r="AN16" i="4" s="1"/>
  <c r="AU172" i="13"/>
  <c r="AT195" i="13"/>
  <c r="AU146" i="13"/>
  <c r="AU100" i="13"/>
  <c r="AU95" i="13"/>
  <c r="AW90" i="13"/>
  <c r="AV94" i="13"/>
  <c r="AB151" i="13"/>
  <c r="AB163" i="13" s="1"/>
  <c r="AB184" i="13" s="1"/>
  <c r="AB152" i="13"/>
  <c r="AB164" i="13" s="1"/>
  <c r="AB185" i="13" s="1"/>
  <c r="AB153" i="13"/>
  <c r="AB165" i="13" s="1"/>
  <c r="AB186" i="13" s="1"/>
  <c r="AB154" i="13"/>
  <c r="AB166" i="13" s="1"/>
  <c r="AB187" i="13" s="1"/>
  <c r="AB155" i="13"/>
  <c r="AB167" i="13" s="1"/>
  <c r="AB188" i="13" s="1"/>
  <c r="AB156" i="13"/>
  <c r="AB168" i="13" s="1"/>
  <c r="AB189" i="13" s="1"/>
  <c r="C79" i="6"/>
  <c r="A80" i="6"/>
  <c r="B79" i="6"/>
  <c r="B79" i="1"/>
  <c r="C79" i="1"/>
  <c r="A80" i="1"/>
  <c r="A78" i="3"/>
  <c r="B77" i="3"/>
  <c r="C77" i="3"/>
  <c r="M50" i="4"/>
  <c r="Y49" i="4"/>
  <c r="A49" i="4"/>
  <c r="B49" i="4" s="1"/>
  <c r="N49" i="4"/>
  <c r="AM48" i="4"/>
  <c r="AN48" i="4" s="1"/>
  <c r="AB48" i="4"/>
  <c r="AA328" i="13" l="1"/>
  <c r="X331" i="13"/>
  <c r="AA202" i="13"/>
  <c r="AA210" i="13" s="1"/>
  <c r="Z307" i="13"/>
  <c r="AA201" i="13"/>
  <c r="AA209" i="13" s="1"/>
  <c r="Z306" i="13"/>
  <c r="Z324" i="13" s="1"/>
  <c r="Z216" i="13"/>
  <c r="Y312" i="13"/>
  <c r="Y324" i="13"/>
  <c r="Y330" i="13" s="1"/>
  <c r="AB204" i="13"/>
  <c r="AB212" i="13" s="1"/>
  <c r="AA309" i="13"/>
  <c r="Z327" i="13"/>
  <c r="AC158" i="13"/>
  <c r="AC102" i="13"/>
  <c r="AF76" i="13"/>
  <c r="AE45" i="13"/>
  <c r="AE82" i="13"/>
  <c r="AD147" i="13"/>
  <c r="AE174" i="13"/>
  <c r="AD197" i="13"/>
  <c r="AA326" i="13"/>
  <c r="AD104" i="13" a="1"/>
  <c r="AD103" i="13" a="1"/>
  <c r="AD170" i="13"/>
  <c r="AC193" i="13"/>
  <c r="AC194" i="13"/>
  <c r="AD171" i="13"/>
  <c r="AA321" i="13"/>
  <c r="AA301" i="13"/>
  <c r="AE133" i="13"/>
  <c r="AB134" i="13"/>
  <c r="AG206" i="13"/>
  <c r="AG214" i="13" s="1"/>
  <c r="AD203" i="13"/>
  <c r="AD211" i="13" s="1"/>
  <c r="AD205" i="13"/>
  <c r="AG59" i="13"/>
  <c r="B48" i="6"/>
  <c r="C48" i="6"/>
  <c r="A49" i="6"/>
  <c r="B48" i="1"/>
  <c r="C48" i="1"/>
  <c r="A49" i="1"/>
  <c r="A47" i="3"/>
  <c r="C46" i="3"/>
  <c r="M19" i="4"/>
  <c r="B46" i="3"/>
  <c r="N18" i="4"/>
  <c r="Y18" i="4"/>
  <c r="A18" i="4"/>
  <c r="B18" i="4" s="1"/>
  <c r="AB17" i="4"/>
  <c r="AM17" i="4"/>
  <c r="AN17" i="4" s="1"/>
  <c r="AV172" i="13"/>
  <c r="AU195" i="13"/>
  <c r="AW94" i="13"/>
  <c r="AX90" i="13"/>
  <c r="AV146" i="13"/>
  <c r="AV100" i="13"/>
  <c r="AV95" i="13"/>
  <c r="A81" i="6"/>
  <c r="C80" i="6"/>
  <c r="B80" i="6"/>
  <c r="B80" i="1"/>
  <c r="C80" i="1"/>
  <c r="A81" i="1"/>
  <c r="A79" i="3"/>
  <c r="C78" i="3"/>
  <c r="B78" i="3"/>
  <c r="M51" i="4"/>
  <c r="A50" i="4"/>
  <c r="B50" i="4" s="1"/>
  <c r="N50" i="4"/>
  <c r="Y50" i="4"/>
  <c r="AM49" i="4"/>
  <c r="AN49" i="4" s="1"/>
  <c r="AB49" i="4"/>
  <c r="Y331" i="13" l="1"/>
  <c r="Z325" i="13"/>
  <c r="Z330" i="13" s="1"/>
  <c r="Z312" i="13"/>
  <c r="AA307" i="13"/>
  <c r="AA325" i="13" s="1"/>
  <c r="AB202" i="13"/>
  <c r="AB210" i="13" s="1"/>
  <c r="AB201" i="13"/>
  <c r="AB209" i="13" s="1"/>
  <c r="AA306" i="13"/>
  <c r="AA216" i="13"/>
  <c r="AC204" i="13"/>
  <c r="AC212" i="13" s="1"/>
  <c r="AA327" i="13"/>
  <c r="AC151" i="13"/>
  <c r="AC163" i="13" s="1"/>
  <c r="AC184" i="13" s="1"/>
  <c r="AC156" i="13"/>
  <c r="AC168" i="13" s="1"/>
  <c r="AC189" i="13" s="1"/>
  <c r="AC155" i="13"/>
  <c r="AC167" i="13" s="1"/>
  <c r="AC188" i="13" s="1"/>
  <c r="AC154" i="13"/>
  <c r="AC166" i="13" s="1"/>
  <c r="AC187" i="13" s="1"/>
  <c r="AC153" i="13"/>
  <c r="AC165" i="13" s="1"/>
  <c r="AC186" i="13" s="1"/>
  <c r="AC152" i="13"/>
  <c r="AC164" i="13" s="1"/>
  <c r="AC185" i="13" s="1"/>
  <c r="AD213" i="13"/>
  <c r="AE205" i="13" s="1"/>
  <c r="AD144" i="13"/>
  <c r="AD145" i="13"/>
  <c r="AD196" i="13"/>
  <c r="AE173" i="13"/>
  <c r="AF78" i="13"/>
  <c r="AF126" i="13"/>
  <c r="AF128" i="13" s="1"/>
  <c r="AE47" i="13"/>
  <c r="AE46" i="13"/>
  <c r="AE83" i="13"/>
  <c r="AE99" i="13"/>
  <c r="AE148" i="13"/>
  <c r="AB136" i="13"/>
  <c r="AB139" i="13"/>
  <c r="AB140" i="13" s="1"/>
  <c r="AD142" i="13"/>
  <c r="AD106" i="13"/>
  <c r="AB217" i="13"/>
  <c r="AB218" i="13"/>
  <c r="AH206" i="13"/>
  <c r="AH214" i="13" s="1"/>
  <c r="AE203" i="13"/>
  <c r="AE211" i="13" s="1"/>
  <c r="AH59" i="13"/>
  <c r="B49" i="6"/>
  <c r="C49" i="6"/>
  <c r="A50" i="6"/>
  <c r="B49" i="1"/>
  <c r="C49" i="1"/>
  <c r="A50" i="1"/>
  <c r="A48" i="3"/>
  <c r="C47" i="3"/>
  <c r="B47" i="3"/>
  <c r="M20" i="4"/>
  <c r="N19" i="4"/>
  <c r="Y19" i="4"/>
  <c r="A19" i="4"/>
  <c r="B19" i="4" s="1"/>
  <c r="AB18" i="4"/>
  <c r="AM18" i="4"/>
  <c r="AN18" i="4" s="1"/>
  <c r="AW146" i="13"/>
  <c r="AW100" i="13"/>
  <c r="AW95" i="13"/>
  <c r="AX94" i="13"/>
  <c r="AY90" i="13"/>
  <c r="AW172" i="13"/>
  <c r="AV195" i="13"/>
  <c r="B81" i="6"/>
  <c r="A82" i="6"/>
  <c r="C81" i="6"/>
  <c r="B81" i="1"/>
  <c r="C81" i="1"/>
  <c r="A82" i="1"/>
  <c r="A80" i="3"/>
  <c r="C79" i="3"/>
  <c r="B79" i="3"/>
  <c r="M52" i="4"/>
  <c r="N51" i="4"/>
  <c r="Y51" i="4"/>
  <c r="A51" i="4"/>
  <c r="B51" i="4" s="1"/>
  <c r="AB50" i="4"/>
  <c r="AM50" i="4"/>
  <c r="AN50" i="4" s="1"/>
  <c r="Z331" i="13" l="1"/>
  <c r="AB216" i="13"/>
  <c r="AC202" i="13"/>
  <c r="AC210" i="13" s="1"/>
  <c r="AC201" i="13"/>
  <c r="AC209" i="13" s="1"/>
  <c r="AA324" i="13"/>
  <c r="AA330" i="13" s="1"/>
  <c r="AA312" i="13"/>
  <c r="AD204" i="13"/>
  <c r="AD212" i="13" s="1"/>
  <c r="AE204" i="13" s="1"/>
  <c r="AE103" i="13" a="1"/>
  <c r="AE104" i="13" a="1"/>
  <c r="AE147" i="13"/>
  <c r="AF174" i="13"/>
  <c r="AE197" i="13"/>
  <c r="AE213" i="13" s="1"/>
  <c r="AF205" i="13" s="1"/>
  <c r="AE170" i="13"/>
  <c r="AD193" i="13"/>
  <c r="AE171" i="13"/>
  <c r="AD194" i="13"/>
  <c r="AG76" i="13"/>
  <c r="AF45" i="13"/>
  <c r="AF82" i="13"/>
  <c r="AD158" i="13"/>
  <c r="AD102" i="13"/>
  <c r="AF133" i="13"/>
  <c r="AC134" i="13"/>
  <c r="AI206" i="13"/>
  <c r="AI214" i="13" s="1"/>
  <c r="AF203" i="13"/>
  <c r="AF211" i="13" s="1"/>
  <c r="AI59" i="13"/>
  <c r="B50" i="6"/>
  <c r="C50" i="6"/>
  <c r="A51" i="6"/>
  <c r="B50" i="1"/>
  <c r="C50" i="1"/>
  <c r="A51" i="1"/>
  <c r="A49" i="3"/>
  <c r="C48" i="3"/>
  <c r="M21" i="4"/>
  <c r="B48" i="3"/>
  <c r="N20" i="4"/>
  <c r="Y20" i="4"/>
  <c r="A20" i="4"/>
  <c r="B20" i="4" s="1"/>
  <c r="AB19" i="4"/>
  <c r="AM19" i="4"/>
  <c r="AN19" i="4" s="1"/>
  <c r="AX172" i="13"/>
  <c r="AW195" i="13"/>
  <c r="AX146" i="13"/>
  <c r="AX100" i="13"/>
  <c r="AX95" i="13"/>
  <c r="AZ90" i="13"/>
  <c r="AY94" i="13"/>
  <c r="B82" i="6"/>
  <c r="C82" i="6"/>
  <c r="A83" i="6"/>
  <c r="B82" i="1"/>
  <c r="C82" i="1"/>
  <c r="A83" i="1"/>
  <c r="A81" i="3"/>
  <c r="B80" i="3"/>
  <c r="C80" i="3"/>
  <c r="M53" i="4"/>
  <c r="A52" i="4"/>
  <c r="B52" i="4" s="1"/>
  <c r="Y52" i="4"/>
  <c r="N52" i="4"/>
  <c r="AM51" i="4"/>
  <c r="AN51" i="4" s="1"/>
  <c r="AB51" i="4"/>
  <c r="AA331" i="13" l="1"/>
  <c r="AD202" i="13"/>
  <c r="AD210" i="13" s="1"/>
  <c r="AE202" i="13" s="1"/>
  <c r="AC216" i="13"/>
  <c r="AD201" i="13"/>
  <c r="AD209" i="13" s="1"/>
  <c r="AC139" i="13"/>
  <c r="AC140" i="13" s="1"/>
  <c r="AC136" i="13"/>
  <c r="AE144" i="13"/>
  <c r="AE145" i="13"/>
  <c r="AE196" i="13"/>
  <c r="AE212" i="13" s="1"/>
  <c r="AF204" i="13" s="1"/>
  <c r="AF173" i="13"/>
  <c r="AE142" i="13"/>
  <c r="AE106" i="13"/>
  <c r="AG78" i="13"/>
  <c r="AG126" i="13"/>
  <c r="AG128" i="13" s="1"/>
  <c r="AF46" i="13"/>
  <c r="AF47" i="13"/>
  <c r="AF99" i="13"/>
  <c r="AF148" i="13"/>
  <c r="AF83" i="13"/>
  <c r="AC218" i="13"/>
  <c r="AC217" i="13"/>
  <c r="AD151" i="13"/>
  <c r="AD163" i="13" s="1"/>
  <c r="AD152" i="13"/>
  <c r="AD164" i="13" s="1"/>
  <c r="AD185" i="13" s="1"/>
  <c r="AD153" i="13"/>
  <c r="AD165" i="13" s="1"/>
  <c r="AD186" i="13" s="1"/>
  <c r="AD154" i="13"/>
  <c r="AD166" i="13" s="1"/>
  <c r="AD187" i="13" s="1"/>
  <c r="AD155" i="13"/>
  <c r="AD167" i="13" s="1"/>
  <c r="AD188" i="13" s="1"/>
  <c r="AD156" i="13"/>
  <c r="AD168" i="13" s="1"/>
  <c r="AD189" i="13" s="1"/>
  <c r="AJ206" i="13"/>
  <c r="AJ214" i="13" s="1"/>
  <c r="AG203" i="13"/>
  <c r="AG211" i="13" s="1"/>
  <c r="AJ59" i="13"/>
  <c r="B51" i="6"/>
  <c r="C51" i="6"/>
  <c r="A52" i="6"/>
  <c r="B51" i="1"/>
  <c r="C51" i="1"/>
  <c r="A52" i="1"/>
  <c r="A50" i="3"/>
  <c r="C49" i="3"/>
  <c r="B49" i="3"/>
  <c r="M22" i="4"/>
  <c r="N21" i="4"/>
  <c r="Y21" i="4"/>
  <c r="A21" i="4"/>
  <c r="B21" i="4" s="1"/>
  <c r="AB20" i="4"/>
  <c r="AM20" i="4"/>
  <c r="AN20" i="4" s="1"/>
  <c r="AY172" i="13"/>
  <c r="AX195" i="13"/>
  <c r="AZ94" i="13"/>
  <c r="BA90" i="13"/>
  <c r="BA94" i="13" s="1"/>
  <c r="AY146" i="13"/>
  <c r="AY100" i="13"/>
  <c r="AY95" i="13"/>
  <c r="C83" i="6"/>
  <c r="B83" i="6"/>
  <c r="A84" i="6"/>
  <c r="B83" i="1"/>
  <c r="C83" i="1"/>
  <c r="A84" i="1"/>
  <c r="A82" i="3"/>
  <c r="B81" i="3"/>
  <c r="C81" i="3"/>
  <c r="M54" i="4"/>
  <c r="A53" i="4"/>
  <c r="B53" i="4" s="1"/>
  <c r="N53" i="4"/>
  <c r="Y53" i="4"/>
  <c r="AM52" i="4"/>
  <c r="AN52" i="4" s="1"/>
  <c r="AB52" i="4"/>
  <c r="AF170" i="13" l="1"/>
  <c r="AE193" i="13"/>
  <c r="AF171" i="13"/>
  <c r="AE194" i="13"/>
  <c r="AE210" i="13" s="1"/>
  <c r="AF202" i="13" s="1"/>
  <c r="AE201" i="13"/>
  <c r="AE102" i="13"/>
  <c r="AE158" i="13"/>
  <c r="AE153" i="13" s="1"/>
  <c r="AE165" i="13" s="1"/>
  <c r="AE186" i="13" s="1"/>
  <c r="AG45" i="13"/>
  <c r="AG82" i="13"/>
  <c r="AF103" i="13" a="1"/>
  <c r="AF104" i="13" a="1"/>
  <c r="AF147" i="13"/>
  <c r="AG174" i="13"/>
  <c r="AF197" i="13"/>
  <c r="AF213" i="13" s="1"/>
  <c r="AG205" i="13" s="1"/>
  <c r="AD216" i="13"/>
  <c r="AD184" i="13"/>
  <c r="AG133" i="13"/>
  <c r="AD134" i="13"/>
  <c r="AK206" i="13"/>
  <c r="AK214" i="13" s="1"/>
  <c r="AH203" i="13"/>
  <c r="AH211" i="13" s="1"/>
  <c r="AK59" i="13"/>
  <c r="B52" i="6"/>
  <c r="C52" i="6"/>
  <c r="A53" i="6"/>
  <c r="B52" i="1"/>
  <c r="C52" i="1"/>
  <c r="A53" i="1"/>
  <c r="A51" i="3"/>
  <c r="C50" i="3"/>
  <c r="B50" i="3"/>
  <c r="M23" i="4"/>
  <c r="N22" i="4"/>
  <c r="Y22" i="4"/>
  <c r="A22" i="4"/>
  <c r="B22" i="4" s="1"/>
  <c r="AB21" i="4"/>
  <c r="AM21" i="4"/>
  <c r="AN21" i="4" s="1"/>
  <c r="AZ146" i="13"/>
  <c r="AZ100" i="13"/>
  <c r="AZ95" i="13"/>
  <c r="BA146" i="13"/>
  <c r="BA195" i="13" s="1"/>
  <c r="BA100" i="13"/>
  <c r="BA95" i="13"/>
  <c r="AZ172" i="13"/>
  <c r="AY195" i="13"/>
  <c r="C84" i="6"/>
  <c r="B84" i="6"/>
  <c r="A85" i="6"/>
  <c r="B84" i="1"/>
  <c r="C84" i="1"/>
  <c r="A85" i="1"/>
  <c r="A83" i="3"/>
  <c r="B82" i="3"/>
  <c r="C82" i="3"/>
  <c r="M55" i="4"/>
  <c r="A54" i="4"/>
  <c r="B54" i="4" s="1"/>
  <c r="N54" i="4"/>
  <c r="Y54" i="4"/>
  <c r="AM53" i="4"/>
  <c r="AN53" i="4" s="1"/>
  <c r="AB53" i="4"/>
  <c r="AE156" i="13" l="1"/>
  <c r="AE168" i="13" s="1"/>
  <c r="AE189" i="13" s="1"/>
  <c r="AE151" i="13"/>
  <c r="AE163" i="13" s="1"/>
  <c r="AE184" i="13" s="1"/>
  <c r="AE152" i="13"/>
  <c r="AE164" i="13" s="1"/>
  <c r="AE185" i="13" s="1"/>
  <c r="AE154" i="13"/>
  <c r="AE166" i="13" s="1"/>
  <c r="AE187" i="13" s="1"/>
  <c r="AE155" i="13"/>
  <c r="AE167" i="13" s="1"/>
  <c r="AE188" i="13" s="1"/>
  <c r="AG47" i="13"/>
  <c r="AG46" i="13"/>
  <c r="AG148" i="13"/>
  <c r="AG83" i="13"/>
  <c r="AG99" i="13"/>
  <c r="AH76" i="13" s="1"/>
  <c r="AE209" i="13"/>
  <c r="AF142" i="13"/>
  <c r="AF106" i="13"/>
  <c r="AG173" i="13"/>
  <c r="AF196" i="13"/>
  <c r="AF212" i="13" s="1"/>
  <c r="AG204" i="13" s="1"/>
  <c r="AD218" i="13"/>
  <c r="AD217" i="13"/>
  <c r="AF144" i="13"/>
  <c r="AF145" i="13"/>
  <c r="AD139" i="13"/>
  <c r="AD140" i="13" s="1"/>
  <c r="AD136" i="13"/>
  <c r="AL206" i="13"/>
  <c r="AL214" i="13" s="1"/>
  <c r="AI203" i="13"/>
  <c r="AI211" i="13" s="1"/>
  <c r="AL59" i="13"/>
  <c r="B53" i="6"/>
  <c r="C53" i="6"/>
  <c r="A54" i="6"/>
  <c r="B53" i="1"/>
  <c r="C53" i="1"/>
  <c r="A54" i="1"/>
  <c r="A52" i="3"/>
  <c r="B51" i="3"/>
  <c r="C51" i="3"/>
  <c r="M24" i="4"/>
  <c r="N23" i="4"/>
  <c r="Y23" i="4"/>
  <c r="A23" i="4"/>
  <c r="B23" i="4" s="1"/>
  <c r="AB22" i="4"/>
  <c r="AM22" i="4"/>
  <c r="AN22" i="4" s="1"/>
  <c r="BA172" i="13"/>
  <c r="AZ195" i="13"/>
  <c r="B85" i="6"/>
  <c r="A86" i="6"/>
  <c r="C85" i="6"/>
  <c r="B85" i="1"/>
  <c r="C85" i="1"/>
  <c r="A86" i="1"/>
  <c r="A84" i="3"/>
  <c r="C83" i="3"/>
  <c r="B83" i="3"/>
  <c r="M56" i="4"/>
  <c r="Y55" i="4"/>
  <c r="A55" i="4"/>
  <c r="B55" i="4" s="1"/>
  <c r="N55" i="4"/>
  <c r="AB54" i="4"/>
  <c r="AM54" i="4"/>
  <c r="AN54" i="4" s="1"/>
  <c r="AF102" i="13" l="1"/>
  <c r="AF158" i="13"/>
  <c r="AF151" i="13" s="1"/>
  <c r="AF163" i="13" s="1"/>
  <c r="AF184" i="13" s="1"/>
  <c r="AG147" i="13"/>
  <c r="AH174" i="13"/>
  <c r="AG197" i="13"/>
  <c r="AG213" i="13" s="1"/>
  <c r="AH205" i="13" s="1"/>
  <c r="AH78" i="13"/>
  <c r="AH126" i="13"/>
  <c r="AH128" i="13" s="1"/>
  <c r="AG103" i="13" a="1"/>
  <c r="AG104" i="13" a="1"/>
  <c r="AF201" i="13"/>
  <c r="AE216" i="13"/>
  <c r="AG170" i="13"/>
  <c r="AF193" i="13"/>
  <c r="AG171" i="13"/>
  <c r="AF194" i="13"/>
  <c r="AF210" i="13" s="1"/>
  <c r="AG202" i="13" s="1"/>
  <c r="AM206" i="13"/>
  <c r="AM214" i="13" s="1"/>
  <c r="AJ203" i="13"/>
  <c r="AJ211" i="13" s="1"/>
  <c r="AM59" i="13"/>
  <c r="B54" i="6"/>
  <c r="C54" i="6"/>
  <c r="A55" i="6"/>
  <c r="B54" i="1"/>
  <c r="C54" i="1"/>
  <c r="A55" i="1"/>
  <c r="A53" i="3"/>
  <c r="C52" i="3"/>
  <c r="B52" i="3"/>
  <c r="M25" i="4"/>
  <c r="N24" i="4"/>
  <c r="Y24" i="4"/>
  <c r="A24" i="4"/>
  <c r="B24" i="4" s="1"/>
  <c r="AB23" i="4"/>
  <c r="AM23" i="4"/>
  <c r="AN23" i="4" s="1"/>
  <c r="A87" i="6"/>
  <c r="C86" i="6"/>
  <c r="B86" i="6"/>
  <c r="B86" i="1"/>
  <c r="C86" i="1"/>
  <c r="A87" i="1"/>
  <c r="A85" i="3"/>
  <c r="C84" i="3"/>
  <c r="B84" i="3"/>
  <c r="M57" i="4"/>
  <c r="Y56" i="4"/>
  <c r="A56" i="4"/>
  <c r="B56" i="4" s="1"/>
  <c r="N56" i="4"/>
  <c r="AB55" i="4"/>
  <c r="AM55" i="4"/>
  <c r="AN55" i="4" s="1"/>
  <c r="AF156" i="13" l="1"/>
  <c r="AF168" i="13" s="1"/>
  <c r="AF189" i="13" s="1"/>
  <c r="AF155" i="13"/>
  <c r="AF167" i="13" s="1"/>
  <c r="AF188" i="13" s="1"/>
  <c r="AF153" i="13"/>
  <c r="AF165" i="13" s="1"/>
  <c r="AF186" i="13" s="1"/>
  <c r="AF152" i="13"/>
  <c r="AF164" i="13" s="1"/>
  <c r="AF185" i="13" s="1"/>
  <c r="AF154" i="13"/>
  <c r="AF166" i="13" s="1"/>
  <c r="AF187" i="13" s="1"/>
  <c r="AG145" i="13"/>
  <c r="AG196" i="13"/>
  <c r="AG212" i="13" s="1"/>
  <c r="AH204" i="13" s="1"/>
  <c r="AH173" i="13"/>
  <c r="AG144" i="13"/>
  <c r="AH82" i="13"/>
  <c r="AH45" i="13"/>
  <c r="AG106" i="13"/>
  <c r="AG142" i="13"/>
  <c r="AE218" i="13"/>
  <c r="AE217" i="13"/>
  <c r="AF209" i="13"/>
  <c r="AH133" i="13"/>
  <c r="AE134" i="13"/>
  <c r="AN206" i="13"/>
  <c r="AN214" i="13" s="1"/>
  <c r="AK203" i="13"/>
  <c r="AK211" i="13" s="1"/>
  <c r="AN59" i="13"/>
  <c r="B55" i="6"/>
  <c r="C55" i="6"/>
  <c r="A56" i="6"/>
  <c r="B55" i="1"/>
  <c r="C55" i="1"/>
  <c r="A56" i="1"/>
  <c r="A54" i="3"/>
  <c r="M26" i="4"/>
  <c r="B53" i="3"/>
  <c r="C53" i="3"/>
  <c r="N25" i="4"/>
  <c r="Y25" i="4"/>
  <c r="A25" i="4"/>
  <c r="B25" i="4" s="1"/>
  <c r="AB24" i="4"/>
  <c r="AM24" i="4"/>
  <c r="AN24" i="4" s="1"/>
  <c r="C87" i="6"/>
  <c r="A88" i="6"/>
  <c r="B87" i="6"/>
  <c r="B87" i="1"/>
  <c r="C87" i="1"/>
  <c r="A88" i="1"/>
  <c r="A86" i="3"/>
  <c r="C85" i="3"/>
  <c r="B85" i="3"/>
  <c r="M58" i="4"/>
  <c r="A57" i="4"/>
  <c r="B57" i="4" s="1"/>
  <c r="N57" i="4"/>
  <c r="Y57" i="4"/>
  <c r="AB56" i="4"/>
  <c r="AM56" i="4"/>
  <c r="AN56" i="4" s="1"/>
  <c r="AG193" i="13" l="1"/>
  <c r="AH170" i="13"/>
  <c r="AH83" i="13"/>
  <c r="AH99" i="13"/>
  <c r="AI76" i="13" s="1"/>
  <c r="AH148" i="13"/>
  <c r="AH47" i="13"/>
  <c r="AH46" i="13"/>
  <c r="AH171" i="13"/>
  <c r="AG194" i="13"/>
  <c r="AG158" i="13"/>
  <c r="AG102" i="13"/>
  <c r="AF216" i="13"/>
  <c r="AG201" i="13"/>
  <c r="AE139" i="13"/>
  <c r="AE140" i="13" s="1"/>
  <c r="AE136" i="13"/>
  <c r="AO206" i="13"/>
  <c r="AO214" i="13" s="1"/>
  <c r="AL203" i="13"/>
  <c r="AL211" i="13" s="1"/>
  <c r="AO59" i="13"/>
  <c r="B56" i="6"/>
  <c r="C56" i="6"/>
  <c r="A57" i="6"/>
  <c r="B56" i="1"/>
  <c r="C56" i="1"/>
  <c r="A57" i="1"/>
  <c r="A55" i="3"/>
  <c r="C54" i="3"/>
  <c r="M27" i="4"/>
  <c r="B54" i="3"/>
  <c r="N26" i="4"/>
  <c r="Y26" i="4"/>
  <c r="A26" i="4"/>
  <c r="B26" i="4" s="1"/>
  <c r="AB25" i="4"/>
  <c r="AM25" i="4"/>
  <c r="AN25" i="4" s="1"/>
  <c r="C88" i="6"/>
  <c r="B88" i="6"/>
  <c r="A89" i="6"/>
  <c r="B88" i="1"/>
  <c r="C88" i="1"/>
  <c r="A89" i="1"/>
  <c r="A87" i="3"/>
  <c r="C86" i="3"/>
  <c r="M59" i="4"/>
  <c r="B86" i="3"/>
  <c r="A58" i="4"/>
  <c r="B58" i="4" s="1"/>
  <c r="N58" i="4"/>
  <c r="Y58" i="4"/>
  <c r="AB57" i="4"/>
  <c r="AM57" i="4"/>
  <c r="AN57" i="4" s="1"/>
  <c r="AI126" i="13" l="1"/>
  <c r="AI128" i="13" s="1"/>
  <c r="AI78" i="13"/>
  <c r="AG209" i="13"/>
  <c r="AH201" i="13" s="1"/>
  <c r="AH147" i="13"/>
  <c r="AI174" i="13"/>
  <c r="AH197" i="13"/>
  <c r="AH213" i="13" s="1"/>
  <c r="AI205" i="13" s="1"/>
  <c r="AH103" i="13" a="1"/>
  <c r="AH142" i="13" s="1"/>
  <c r="AH104" i="13" a="1"/>
  <c r="AF217" i="13"/>
  <c r="AF218" i="13"/>
  <c r="AG210" i="13"/>
  <c r="AG156" i="13"/>
  <c r="AG168" i="13" s="1"/>
  <c r="AG189" i="13" s="1"/>
  <c r="AG155" i="13"/>
  <c r="AG167" i="13" s="1"/>
  <c r="AG188" i="13" s="1"/>
  <c r="AG153" i="13"/>
  <c r="AG165" i="13" s="1"/>
  <c r="AG186" i="13" s="1"/>
  <c r="AG154" i="13"/>
  <c r="AG166" i="13" s="1"/>
  <c r="AG187" i="13" s="1"/>
  <c r="AG152" i="13"/>
  <c r="AG164" i="13" s="1"/>
  <c r="AG185" i="13" s="1"/>
  <c r="AG151" i="13"/>
  <c r="AG163" i="13" s="1"/>
  <c r="AG184" i="13" s="1"/>
  <c r="AP206" i="13"/>
  <c r="AP214" i="13" s="1"/>
  <c r="AM203" i="13"/>
  <c r="AM211" i="13" s="1"/>
  <c r="AP59" i="13"/>
  <c r="B57" i="6"/>
  <c r="C57" i="6"/>
  <c r="A58" i="6"/>
  <c r="B57" i="1"/>
  <c r="C57" i="1"/>
  <c r="A58" i="1"/>
  <c r="A56" i="3"/>
  <c r="B55" i="3"/>
  <c r="C55" i="3"/>
  <c r="M28" i="4"/>
  <c r="N27" i="4"/>
  <c r="Y27" i="4"/>
  <c r="A27" i="4"/>
  <c r="B27" i="4" s="1"/>
  <c r="AB26" i="4"/>
  <c r="AM26" i="4"/>
  <c r="AN26" i="4" s="1"/>
  <c r="C89" i="6"/>
  <c r="B89" i="6"/>
  <c r="A90" i="6"/>
  <c r="B89" i="1"/>
  <c r="C89" i="1"/>
  <c r="A90" i="1"/>
  <c r="A88" i="3"/>
  <c r="B87" i="3"/>
  <c r="C87" i="3"/>
  <c r="M60" i="4"/>
  <c r="N59" i="4"/>
  <c r="Y59" i="4"/>
  <c r="A59" i="4"/>
  <c r="B59" i="4" s="1"/>
  <c r="AB58" i="4"/>
  <c r="AM58" i="4"/>
  <c r="AN58" i="4" s="1"/>
  <c r="AH106" i="13" l="1"/>
  <c r="AI82" i="13"/>
  <c r="AI45" i="13"/>
  <c r="AH144" i="13"/>
  <c r="AH145" i="13"/>
  <c r="AH196" i="13"/>
  <c r="AH212" i="13" s="1"/>
  <c r="AI204" i="13" s="1"/>
  <c r="AI173" i="13"/>
  <c r="AH202" i="13"/>
  <c r="AG216" i="13"/>
  <c r="AI133" i="13"/>
  <c r="AF134" i="13"/>
  <c r="AQ206" i="13"/>
  <c r="AQ214" i="13" s="1"/>
  <c r="AN203" i="13"/>
  <c r="AN211" i="13" s="1"/>
  <c r="AQ59" i="13"/>
  <c r="B58" i="6"/>
  <c r="C58" i="6"/>
  <c r="A59" i="6"/>
  <c r="B58" i="1"/>
  <c r="C58" i="1"/>
  <c r="A59" i="1"/>
  <c r="A57" i="3"/>
  <c r="M29" i="4"/>
  <c r="B56" i="3"/>
  <c r="C56" i="3"/>
  <c r="N28" i="4"/>
  <c r="Y28" i="4"/>
  <c r="A28" i="4"/>
  <c r="B28" i="4" s="1"/>
  <c r="AB27" i="4"/>
  <c r="AM27" i="4"/>
  <c r="AN27" i="4" s="1"/>
  <c r="B90" i="6"/>
  <c r="A91" i="6"/>
  <c r="C90" i="6"/>
  <c r="B90" i="1"/>
  <c r="C90" i="1"/>
  <c r="A91" i="1"/>
  <c r="A89" i="3"/>
  <c r="C88" i="3"/>
  <c r="B88" i="3"/>
  <c r="M61" i="4"/>
  <c r="N60" i="4"/>
  <c r="Y60" i="4"/>
  <c r="A60" i="4"/>
  <c r="B60" i="4" s="1"/>
  <c r="AM59" i="4"/>
  <c r="AN59" i="4" s="1"/>
  <c r="AB59" i="4"/>
  <c r="AH158" i="13" l="1"/>
  <c r="AH102" i="13"/>
  <c r="AI83" i="13"/>
  <c r="AI99" i="13"/>
  <c r="AJ76" i="13" s="1"/>
  <c r="AI148" i="13"/>
  <c r="AI46" i="13"/>
  <c r="AI47" i="13"/>
  <c r="AI170" i="13"/>
  <c r="AH193" i="13"/>
  <c r="AI171" i="13"/>
  <c r="AH194" i="13"/>
  <c r="AH210" i="13" s="1"/>
  <c r="AI202" i="13" s="1"/>
  <c r="AF136" i="13"/>
  <c r="AF139" i="13"/>
  <c r="AF140" i="13" s="1"/>
  <c r="AR206" i="13"/>
  <c r="AR214" i="13" s="1"/>
  <c r="AO203" i="13"/>
  <c r="AO211" i="13" s="1"/>
  <c r="AR59" i="13"/>
  <c r="B59" i="6"/>
  <c r="C59" i="6"/>
  <c r="A60" i="6"/>
  <c r="B59" i="1"/>
  <c r="C59" i="1"/>
  <c r="A60" i="1"/>
  <c r="A58" i="3"/>
  <c r="C57" i="3"/>
  <c r="B57" i="3"/>
  <c r="M30" i="4"/>
  <c r="N29" i="4"/>
  <c r="Y29" i="4"/>
  <c r="A29" i="4"/>
  <c r="B29" i="4" s="1"/>
  <c r="AB28" i="4"/>
  <c r="AM28" i="4"/>
  <c r="AN28" i="4" s="1"/>
  <c r="B91" i="6"/>
  <c r="A92" i="6"/>
  <c r="C91" i="6"/>
  <c r="B91" i="1"/>
  <c r="C91" i="1"/>
  <c r="A92" i="1"/>
  <c r="A90" i="3"/>
  <c r="B89" i="3"/>
  <c r="M62" i="4"/>
  <c r="C89" i="3"/>
  <c r="N61" i="4"/>
  <c r="Y61" i="4"/>
  <c r="A61" i="4"/>
  <c r="B61" i="4" s="1"/>
  <c r="AB60" i="4"/>
  <c r="AM60" i="4"/>
  <c r="AN60" i="4" s="1"/>
  <c r="AH155" i="13" l="1"/>
  <c r="AH167" i="13" s="1"/>
  <c r="AH188" i="13" s="1"/>
  <c r="AH152" i="13"/>
  <c r="AH164" i="13" s="1"/>
  <c r="AH185" i="13" s="1"/>
  <c r="AH156" i="13"/>
  <c r="AH168" i="13" s="1"/>
  <c r="AH189" i="13" s="1"/>
  <c r="AH151" i="13"/>
  <c r="AH163" i="13" s="1"/>
  <c r="AH184" i="13" s="1"/>
  <c r="AH153" i="13"/>
  <c r="AH165" i="13" s="1"/>
  <c r="AH186" i="13" s="1"/>
  <c r="AH154" i="13"/>
  <c r="AH166" i="13" s="1"/>
  <c r="AH187" i="13" s="1"/>
  <c r="AI104" i="13" a="1"/>
  <c r="AI103" i="13" a="1"/>
  <c r="AJ78" i="13"/>
  <c r="AJ126" i="13"/>
  <c r="AI147" i="13"/>
  <c r="AJ174" i="13"/>
  <c r="AI197" i="13"/>
  <c r="AI213" i="13" s="1"/>
  <c r="AJ205" i="13" s="1"/>
  <c r="AG217" i="13"/>
  <c r="AH209" i="13"/>
  <c r="AG218" i="13"/>
  <c r="AS206" i="13"/>
  <c r="AS214" i="13" s="1"/>
  <c r="AP203" i="13"/>
  <c r="AP211" i="13" s="1"/>
  <c r="AS59" i="13"/>
  <c r="B60" i="6"/>
  <c r="C60" i="6"/>
  <c r="A61" i="6"/>
  <c r="B60" i="1"/>
  <c r="C60" i="1"/>
  <c r="A61" i="1"/>
  <c r="A59" i="3"/>
  <c r="C58" i="3"/>
  <c r="M31" i="4"/>
  <c r="B58" i="3"/>
  <c r="N30" i="4"/>
  <c r="Y30" i="4"/>
  <c r="A30" i="4"/>
  <c r="B30" i="4" s="1"/>
  <c r="AB29" i="4"/>
  <c r="AM29" i="4"/>
  <c r="AN29" i="4" s="1"/>
  <c r="B92" i="6"/>
  <c r="A93" i="6"/>
  <c r="C92" i="6"/>
  <c r="B92" i="1"/>
  <c r="C92" i="1"/>
  <c r="A93" i="1"/>
  <c r="A91" i="3"/>
  <c r="M63" i="4"/>
  <c r="B90" i="3"/>
  <c r="C90" i="3"/>
  <c r="N62" i="4"/>
  <c r="Y62" i="4"/>
  <c r="A62" i="4"/>
  <c r="B62" i="4" s="1"/>
  <c r="AB61" i="4"/>
  <c r="AM61" i="4"/>
  <c r="AN61" i="4" s="1"/>
  <c r="AI201" i="13" l="1"/>
  <c r="AH216" i="13"/>
  <c r="AI142" i="13"/>
  <c r="AI106" i="13"/>
  <c r="AJ45" i="13"/>
  <c r="AJ82" i="13"/>
  <c r="AJ128" i="13"/>
  <c r="AI196" i="13"/>
  <c r="AI212" i="13" s="1"/>
  <c r="AJ204" i="13" s="1"/>
  <c r="AJ173" i="13"/>
  <c r="AI144" i="13"/>
  <c r="AI145" i="13"/>
  <c r="AT206" i="13"/>
  <c r="AT214" i="13" s="1"/>
  <c r="AQ203" i="13"/>
  <c r="AQ211" i="13" s="1"/>
  <c r="AT59" i="13"/>
  <c r="B61" i="6"/>
  <c r="C61" i="6"/>
  <c r="A62" i="6"/>
  <c r="B61" i="1"/>
  <c r="C61" i="1"/>
  <c r="A62" i="1"/>
  <c r="A60" i="3"/>
  <c r="M32" i="4"/>
  <c r="B59" i="3"/>
  <c r="C59" i="3"/>
  <c r="N31" i="4"/>
  <c r="Y31" i="4"/>
  <c r="A31" i="4"/>
  <c r="B31" i="4" s="1"/>
  <c r="AB30" i="4"/>
  <c r="AM30" i="4"/>
  <c r="AN30" i="4" s="1"/>
  <c r="A94" i="6"/>
  <c r="C93" i="6"/>
  <c r="B93" i="6"/>
  <c r="B93" i="1"/>
  <c r="C93" i="1"/>
  <c r="A94" i="1"/>
  <c r="A92" i="3"/>
  <c r="B91" i="3"/>
  <c r="C91" i="3"/>
  <c r="M64" i="4"/>
  <c r="N63" i="4"/>
  <c r="Y63" i="4"/>
  <c r="A63" i="4"/>
  <c r="B63" i="4" s="1"/>
  <c r="AB62" i="4"/>
  <c r="AM62" i="4"/>
  <c r="AN62" i="4" s="1"/>
  <c r="AI193" i="13" l="1"/>
  <c r="AI209" i="13" s="1"/>
  <c r="AJ170" i="13"/>
  <c r="AJ133" i="13"/>
  <c r="AG134" i="13"/>
  <c r="AJ171" i="13"/>
  <c r="AI194" i="13"/>
  <c r="AI158" i="13"/>
  <c r="AI156" i="13" s="1"/>
  <c r="AI168" i="13" s="1"/>
  <c r="AI189" i="13" s="1"/>
  <c r="AI102" i="13"/>
  <c r="AJ46" i="13"/>
  <c r="AJ47" i="13"/>
  <c r="AJ99" i="13"/>
  <c r="AK76" i="13" s="1"/>
  <c r="AJ148" i="13"/>
  <c r="AJ83" i="13"/>
  <c r="AU206" i="13"/>
  <c r="AU214" i="13" s="1"/>
  <c r="AR203" i="13"/>
  <c r="AR211" i="13" s="1"/>
  <c r="AU59" i="13"/>
  <c r="B62" i="6"/>
  <c r="C62" i="6"/>
  <c r="B62" i="1"/>
  <c r="C62" i="1"/>
  <c r="A61" i="3"/>
  <c r="B60" i="3"/>
  <c r="C60" i="3"/>
  <c r="M33" i="4"/>
  <c r="N32" i="4"/>
  <c r="Y32" i="4"/>
  <c r="A32" i="4"/>
  <c r="B32" i="4" s="1"/>
  <c r="AB31" i="4"/>
  <c r="AM31" i="4"/>
  <c r="AN31" i="4" s="1"/>
  <c r="A95" i="6"/>
  <c r="B94" i="6"/>
  <c r="C94" i="6"/>
  <c r="B94" i="1"/>
  <c r="C94" i="1"/>
  <c r="A95" i="1"/>
  <c r="A93" i="3"/>
  <c r="C92" i="3"/>
  <c r="M65" i="4"/>
  <c r="B92" i="3"/>
  <c r="A64" i="4"/>
  <c r="B64" i="4" s="1"/>
  <c r="N64" i="4"/>
  <c r="Y64" i="4"/>
  <c r="AB63" i="4"/>
  <c r="AM63" i="4"/>
  <c r="AN63" i="4" s="1"/>
  <c r="AG139" i="13" l="1"/>
  <c r="AG140" i="13" s="1"/>
  <c r="AG136" i="13"/>
  <c r="AJ103" i="13" a="1"/>
  <c r="AI152" i="13"/>
  <c r="AI164" i="13" s="1"/>
  <c r="AI185" i="13" s="1"/>
  <c r="AI155" i="13"/>
  <c r="AI167" i="13" s="1"/>
  <c r="AI188" i="13" s="1"/>
  <c r="AI154" i="13"/>
  <c r="AI166" i="13" s="1"/>
  <c r="AI187" i="13" s="1"/>
  <c r="AI151" i="13"/>
  <c r="AI163" i="13" s="1"/>
  <c r="AI184" i="13" s="1"/>
  <c r="AI153" i="13"/>
  <c r="AI165" i="13" s="1"/>
  <c r="AI186" i="13" s="1"/>
  <c r="AJ104" i="13" a="1"/>
  <c r="AI210" i="13"/>
  <c r="AH217" i="13"/>
  <c r="AH218" i="13"/>
  <c r="AJ197" i="13"/>
  <c r="AJ213" i="13" s="1"/>
  <c r="AK205" i="13" s="1"/>
  <c r="AK174" i="13"/>
  <c r="AJ147" i="13"/>
  <c r="AJ144" i="13" s="1"/>
  <c r="AK126" i="13"/>
  <c r="AK78" i="13"/>
  <c r="AJ201" i="13"/>
  <c r="AV206" i="13"/>
  <c r="AV214" i="13" s="1"/>
  <c r="AS203" i="13"/>
  <c r="AS211" i="13" s="1"/>
  <c r="AV59" i="13"/>
  <c r="C61" i="3"/>
  <c r="B61" i="3"/>
  <c r="M34" i="4"/>
  <c r="N33" i="4"/>
  <c r="Y33" i="4"/>
  <c r="A33" i="4"/>
  <c r="B33" i="4" s="1"/>
  <c r="AB32" i="4"/>
  <c r="AM32" i="4"/>
  <c r="AN32" i="4" s="1"/>
  <c r="A96" i="6"/>
  <c r="C95" i="6"/>
  <c r="B95" i="6"/>
  <c r="B95" i="1"/>
  <c r="C95" i="1"/>
  <c r="A96" i="1"/>
  <c r="A94" i="3"/>
  <c r="C93" i="3"/>
  <c r="B93" i="3"/>
  <c r="M66" i="4"/>
  <c r="A65" i="4"/>
  <c r="B65" i="4" s="1"/>
  <c r="N65" i="4"/>
  <c r="Y65" i="4"/>
  <c r="AB64" i="4"/>
  <c r="AM64" i="4"/>
  <c r="AN64" i="4" s="1"/>
  <c r="AJ145" i="13" l="1"/>
  <c r="AJ196" i="13"/>
  <c r="AJ212" i="13" s="1"/>
  <c r="AK204" i="13" s="1"/>
  <c r="AK173" i="13"/>
  <c r="AJ106" i="13"/>
  <c r="AJ202" i="13"/>
  <c r="AI216" i="13"/>
  <c r="AK128" i="13"/>
  <c r="AK82" i="13"/>
  <c r="AK45" i="13"/>
  <c r="AK170" i="13"/>
  <c r="AJ193" i="13"/>
  <c r="AW206" i="13"/>
  <c r="AW214" i="13" s="1"/>
  <c r="AT203" i="13"/>
  <c r="AT211" i="13" s="1"/>
  <c r="AW59" i="13"/>
  <c r="N34" i="4"/>
  <c r="Y34" i="4"/>
  <c r="A34" i="4"/>
  <c r="B34" i="4" s="1"/>
  <c r="AB33" i="4"/>
  <c r="AM33" i="4"/>
  <c r="AN33" i="4" s="1"/>
  <c r="C96" i="6"/>
  <c r="A97" i="6"/>
  <c r="B96" i="6"/>
  <c r="B96" i="1"/>
  <c r="C96" i="1"/>
  <c r="A97" i="1"/>
  <c r="A95" i="3"/>
  <c r="B94" i="3"/>
  <c r="C94" i="3"/>
  <c r="M67" i="4"/>
  <c r="A66" i="4"/>
  <c r="B66" i="4" s="1"/>
  <c r="N66" i="4"/>
  <c r="Y66" i="4"/>
  <c r="AB65" i="4"/>
  <c r="AM65" i="4"/>
  <c r="AN65" i="4" s="1"/>
  <c r="AK171" i="13" l="1"/>
  <c r="AJ194" i="13"/>
  <c r="AJ102" i="13"/>
  <c r="AJ158" i="13"/>
  <c r="AK99" i="13"/>
  <c r="AL76" i="13" s="1"/>
  <c r="AK148" i="13"/>
  <c r="AK83" i="13"/>
  <c r="AK47" i="13"/>
  <c r="AK46" i="13"/>
  <c r="AK133" i="13"/>
  <c r="AH134" i="13"/>
  <c r="AJ209" i="13"/>
  <c r="AX206" i="13"/>
  <c r="AX214" i="13" s="1"/>
  <c r="AU203" i="13"/>
  <c r="AU211" i="13" s="1"/>
  <c r="AX59" i="13"/>
  <c r="AB34" i="4"/>
  <c r="AM34" i="4"/>
  <c r="AN34" i="4" s="1"/>
  <c r="C97" i="6"/>
  <c r="A98" i="6"/>
  <c r="B97" i="6"/>
  <c r="B97" i="1"/>
  <c r="C97" i="1"/>
  <c r="A98" i="1"/>
  <c r="A96" i="3"/>
  <c r="C95" i="3"/>
  <c r="B95" i="3"/>
  <c r="M68" i="4"/>
  <c r="A67" i="4"/>
  <c r="B67" i="4" s="1"/>
  <c r="N67" i="4"/>
  <c r="Y67" i="4"/>
  <c r="AB66" i="4"/>
  <c r="AM66" i="4"/>
  <c r="AN66" i="4" s="1"/>
  <c r="AI218" i="13" l="1"/>
  <c r="AJ210" i="13"/>
  <c r="AK202" i="13" s="1"/>
  <c r="AI217" i="13"/>
  <c r="AJ156" i="13"/>
  <c r="AJ168" i="13" s="1"/>
  <c r="AJ189" i="13" s="1"/>
  <c r="AJ155" i="13"/>
  <c r="AJ167" i="13" s="1"/>
  <c r="AJ188" i="13" s="1"/>
  <c r="AJ154" i="13"/>
  <c r="AJ166" i="13" s="1"/>
  <c r="AJ153" i="13"/>
  <c r="AJ165" i="13" s="1"/>
  <c r="AJ186" i="13" s="1"/>
  <c r="AJ151" i="13"/>
  <c r="AJ163" i="13" s="1"/>
  <c r="AJ184" i="13" s="1"/>
  <c r="AJ152" i="13"/>
  <c r="AJ164" i="13" s="1"/>
  <c r="AJ185" i="13" s="1"/>
  <c r="AL126" i="13"/>
  <c r="AL78" i="13"/>
  <c r="AL174" i="13"/>
  <c r="AK147" i="13"/>
  <c r="AK197" i="13"/>
  <c r="AK213" i="13" s="1"/>
  <c r="AL205" i="13" s="1"/>
  <c r="AK103" i="13" a="1"/>
  <c r="AK104" i="13" a="1"/>
  <c r="AH139" i="13"/>
  <c r="AH140" i="13" s="1"/>
  <c r="AH136" i="13"/>
  <c r="AK201" i="13"/>
  <c r="AY206" i="13"/>
  <c r="AY214" i="13" s="1"/>
  <c r="AV203" i="13"/>
  <c r="AV211" i="13" s="1"/>
  <c r="AY59" i="13"/>
  <c r="A99" i="6"/>
  <c r="B98" i="6"/>
  <c r="C98" i="6"/>
  <c r="B98" i="1"/>
  <c r="C98" i="1"/>
  <c r="A99" i="1"/>
  <c r="A97" i="3"/>
  <c r="M69" i="4"/>
  <c r="B96" i="3"/>
  <c r="C96" i="3"/>
  <c r="Y68" i="4"/>
  <c r="N68" i="4"/>
  <c r="A68" i="4"/>
  <c r="B68" i="4" s="1"/>
  <c r="AB67" i="4"/>
  <c r="AM67" i="4"/>
  <c r="AN67" i="4" s="1"/>
  <c r="AJ187" i="13" l="1"/>
  <c r="AJ216" i="13"/>
  <c r="AL45" i="13"/>
  <c r="AL82" i="13"/>
  <c r="AL173" i="13"/>
  <c r="AK196" i="13"/>
  <c r="AK212" i="13" s="1"/>
  <c r="AL204" i="13" s="1"/>
  <c r="AK145" i="13"/>
  <c r="AK144" i="13"/>
  <c r="AK106" i="13"/>
  <c r="AL128" i="13"/>
  <c r="AZ206" i="13"/>
  <c r="AZ214" i="13" s="1"/>
  <c r="AW203" i="13"/>
  <c r="AW211" i="13" s="1"/>
  <c r="AZ59" i="13"/>
  <c r="A100" i="6"/>
  <c r="B99" i="6"/>
  <c r="C99" i="6"/>
  <c r="B99" i="1"/>
  <c r="C99" i="1"/>
  <c r="A100" i="1"/>
  <c r="A98" i="3"/>
  <c r="C97" i="3"/>
  <c r="B97" i="3"/>
  <c r="M70" i="4"/>
  <c r="N69" i="4"/>
  <c r="Y69" i="4"/>
  <c r="A69" i="4"/>
  <c r="B69" i="4" s="1"/>
  <c r="AB68" i="4"/>
  <c r="AM68" i="4"/>
  <c r="AN68" i="4" s="1"/>
  <c r="AL133" i="13" l="1"/>
  <c r="AI134" i="13"/>
  <c r="AK102" i="13"/>
  <c r="AK158" i="13"/>
  <c r="AL46" i="13"/>
  <c r="AL47" i="13"/>
  <c r="AL148" i="13"/>
  <c r="AL99" i="13"/>
  <c r="AM76" i="13" s="1"/>
  <c r="AL83" i="13"/>
  <c r="AK194" i="13"/>
  <c r="AK210" i="13" s="1"/>
  <c r="AL202" i="13" s="1"/>
  <c r="AL171" i="13"/>
  <c r="AK193" i="13"/>
  <c r="AL170" i="13"/>
  <c r="BA206" i="13"/>
  <c r="BA214" i="13" s="1"/>
  <c r="AX203" i="13"/>
  <c r="AX211" i="13" s="1"/>
  <c r="BA59" i="13"/>
  <c r="A101" i="6"/>
  <c r="B100" i="6"/>
  <c r="C100" i="6"/>
  <c r="B100" i="1"/>
  <c r="C100" i="1"/>
  <c r="A101" i="1"/>
  <c r="A99" i="3"/>
  <c r="M71" i="4"/>
  <c r="B98" i="3"/>
  <c r="C98" i="3"/>
  <c r="N70" i="4"/>
  <c r="Y70" i="4"/>
  <c r="A70" i="4"/>
  <c r="B70" i="4" s="1"/>
  <c r="AM69" i="4"/>
  <c r="AN69" i="4" s="1"/>
  <c r="AB69" i="4"/>
  <c r="AI139" i="13" l="1"/>
  <c r="AI140" i="13" s="1"/>
  <c r="AI136" i="13"/>
  <c r="AK152" i="13"/>
  <c r="AK164" i="13" s="1"/>
  <c r="AK185" i="13" s="1"/>
  <c r="AK153" i="13"/>
  <c r="AK165" i="13" s="1"/>
  <c r="AK186" i="13" s="1"/>
  <c r="AK154" i="13"/>
  <c r="AK166" i="13" s="1"/>
  <c r="AK187" i="13" s="1"/>
  <c r="AK155" i="13"/>
  <c r="AK167" i="13" s="1"/>
  <c r="AK188" i="13" s="1"/>
  <c r="AK156" i="13"/>
  <c r="AK168" i="13" s="1"/>
  <c r="AK189" i="13" s="1"/>
  <c r="AK151" i="13"/>
  <c r="AK163" i="13" s="1"/>
  <c r="AK184" i="13" s="1"/>
  <c r="AL104" i="13" a="1"/>
  <c r="AL103" i="13" a="1"/>
  <c r="AL197" i="13"/>
  <c r="AL213" i="13" s="1"/>
  <c r="AM205" i="13" s="1"/>
  <c r="AM174" i="13"/>
  <c r="AL147" i="13"/>
  <c r="AM126" i="13"/>
  <c r="AM78" i="13"/>
  <c r="AJ218" i="13"/>
  <c r="AJ217" i="13"/>
  <c r="AK209" i="13"/>
  <c r="AY203" i="13"/>
  <c r="AY211" i="13" s="1"/>
  <c r="B101" i="6"/>
  <c r="C101" i="6"/>
  <c r="A102" i="6"/>
  <c r="B101" i="1"/>
  <c r="C101" i="1"/>
  <c r="A102" i="1"/>
  <c r="A100" i="3"/>
  <c r="B99" i="3"/>
  <c r="C99" i="3"/>
  <c r="M72" i="4"/>
  <c r="N71" i="4"/>
  <c r="Y71" i="4"/>
  <c r="A71" i="4"/>
  <c r="B71" i="4" s="1"/>
  <c r="AB70" i="4"/>
  <c r="AM70" i="4"/>
  <c r="AN70" i="4" s="1"/>
  <c r="AM45" i="13" l="1"/>
  <c r="AM82" i="13"/>
  <c r="AM173" i="13"/>
  <c r="AL196" i="13"/>
  <c r="AL212" i="13" s="1"/>
  <c r="AM204" i="13" s="1"/>
  <c r="AL144" i="13"/>
  <c r="AL145" i="13"/>
  <c r="AM128" i="13"/>
  <c r="AK216" i="13"/>
  <c r="AL201" i="13"/>
  <c r="AL106" i="13"/>
  <c r="AZ203" i="13"/>
  <c r="AZ211" i="13" s="1"/>
  <c r="B102" i="6"/>
  <c r="C102" i="6"/>
  <c r="A103" i="6"/>
  <c r="B102" i="1"/>
  <c r="C102" i="1"/>
  <c r="A103" i="1"/>
  <c r="A101" i="3"/>
  <c r="M73" i="4"/>
  <c r="B100" i="3"/>
  <c r="C100" i="3"/>
  <c r="Y72" i="4"/>
  <c r="N72" i="4"/>
  <c r="A72" i="4"/>
  <c r="B72" i="4" s="1"/>
  <c r="AM71" i="4"/>
  <c r="AN71" i="4" s="1"/>
  <c r="AB71" i="4"/>
  <c r="AM46" i="13" l="1"/>
  <c r="AM47" i="13"/>
  <c r="AM83" i="13"/>
  <c r="AM99" i="13"/>
  <c r="AN76" i="13" s="1"/>
  <c r="AM148" i="13"/>
  <c r="AL158" i="13"/>
  <c r="AL102" i="13"/>
  <c r="AL193" i="13"/>
  <c r="AM170" i="13"/>
  <c r="AL194" i="13"/>
  <c r="AL210" i="13" s="1"/>
  <c r="AM202" i="13" s="1"/>
  <c r="AM171" i="13"/>
  <c r="AM133" i="13"/>
  <c r="AJ134" i="13"/>
  <c r="BA203" i="13"/>
  <c r="BA211" i="13" s="1"/>
  <c r="B103" i="6"/>
  <c r="C103" i="6"/>
  <c r="A104" i="6"/>
  <c r="B103" i="1"/>
  <c r="C103" i="1"/>
  <c r="A104" i="1"/>
  <c r="A102" i="3"/>
  <c r="B101" i="3"/>
  <c r="C101" i="3"/>
  <c r="M74" i="4"/>
  <c r="Y73" i="4"/>
  <c r="A73" i="4"/>
  <c r="B73" i="4" s="1"/>
  <c r="N73" i="4"/>
  <c r="AB72" i="4"/>
  <c r="AM72" i="4"/>
  <c r="AN72" i="4" s="1"/>
  <c r="AM104" i="13" l="1" a="1"/>
  <c r="AM103" i="13" a="1"/>
  <c r="AL151" i="13"/>
  <c r="AL163" i="13" s="1"/>
  <c r="AL184" i="13" s="1"/>
  <c r="AL154" i="13"/>
  <c r="AL166" i="13" s="1"/>
  <c r="AL187" i="13" s="1"/>
  <c r="AL155" i="13"/>
  <c r="AL167" i="13" s="1"/>
  <c r="AL188" i="13" s="1"/>
  <c r="AL156" i="13"/>
  <c r="AL168" i="13" s="1"/>
  <c r="AL189" i="13" s="1"/>
  <c r="AN78" i="13"/>
  <c r="AN126" i="13"/>
  <c r="AM197" i="13"/>
  <c r="AM213" i="13" s="1"/>
  <c r="AN205" i="13" s="1"/>
  <c r="AN174" i="13"/>
  <c r="AM147" i="13"/>
  <c r="AL153" i="13"/>
  <c r="AL165" i="13" s="1"/>
  <c r="AL186" i="13" s="1"/>
  <c r="AL152" i="13"/>
  <c r="AL164" i="13" s="1"/>
  <c r="AL185" i="13" s="1"/>
  <c r="AL209" i="13"/>
  <c r="AK218" i="13"/>
  <c r="AK217" i="13"/>
  <c r="AJ136" i="13"/>
  <c r="AJ139" i="13"/>
  <c r="A105" i="6"/>
  <c r="C104" i="6"/>
  <c r="B104" i="6"/>
  <c r="B104" i="1"/>
  <c r="C104" i="1"/>
  <c r="A105" i="1"/>
  <c r="A103" i="3"/>
  <c r="B102" i="3"/>
  <c r="C102" i="3"/>
  <c r="M75" i="4"/>
  <c r="N74" i="4"/>
  <c r="Y74" i="4"/>
  <c r="A74" i="4"/>
  <c r="B74" i="4" s="1"/>
  <c r="AM73" i="4"/>
  <c r="AN73" i="4" s="1"/>
  <c r="AB73" i="4"/>
  <c r="AM106" i="13" l="1"/>
  <c r="AN128" i="13"/>
  <c r="AN173" i="13"/>
  <c r="AM196" i="13"/>
  <c r="AM212" i="13" s="1"/>
  <c r="AN204" i="13" s="1"/>
  <c r="AM144" i="13"/>
  <c r="AM145" i="13"/>
  <c r="AN82" i="13"/>
  <c r="AN45" i="13"/>
  <c r="AJ140" i="13"/>
  <c r="AM201" i="13"/>
  <c r="AL216" i="13"/>
  <c r="A106" i="6"/>
  <c r="B105" i="6"/>
  <c r="C105" i="6"/>
  <c r="B105" i="1"/>
  <c r="C105" i="1"/>
  <c r="A106" i="1"/>
  <c r="A104" i="3"/>
  <c r="B103" i="3"/>
  <c r="C103" i="3"/>
  <c r="M76" i="4"/>
  <c r="N75" i="4"/>
  <c r="Y75" i="4"/>
  <c r="A75" i="4"/>
  <c r="B75" i="4" s="1"/>
  <c r="AB74" i="4"/>
  <c r="AM74" i="4"/>
  <c r="AN74" i="4" s="1"/>
  <c r="AM102" i="13" l="1"/>
  <c r="AM158" i="13"/>
  <c r="AN170" i="13"/>
  <c r="AM193" i="13"/>
  <c r="AM194" i="13"/>
  <c r="AM210" i="13" s="1"/>
  <c r="AN202" i="13" s="1"/>
  <c r="AN171" i="13"/>
  <c r="AN83" i="13"/>
  <c r="AN148" i="13"/>
  <c r="AN99" i="13"/>
  <c r="AO76" i="13" s="1"/>
  <c r="AN46" i="13"/>
  <c r="AN47" i="13"/>
  <c r="AN133" i="13"/>
  <c r="AK134" i="13"/>
  <c r="C106" i="6"/>
  <c r="A107" i="6"/>
  <c r="B106" i="6"/>
  <c r="B106" i="1"/>
  <c r="C106" i="1"/>
  <c r="A107" i="1"/>
  <c r="A105" i="3"/>
  <c r="B104" i="3"/>
  <c r="C104" i="3"/>
  <c r="M77" i="4"/>
  <c r="A76" i="4"/>
  <c r="B76" i="4" s="1"/>
  <c r="N76" i="4"/>
  <c r="Y76" i="4"/>
  <c r="AB75" i="4"/>
  <c r="AM75" i="4"/>
  <c r="AN75" i="4" s="1"/>
  <c r="AM156" i="13" l="1"/>
  <c r="AM168" i="13" s="1"/>
  <c r="AM189" i="13" s="1"/>
  <c r="AM152" i="13"/>
  <c r="AM164" i="13" s="1"/>
  <c r="AM185" i="13" s="1"/>
  <c r="AM153" i="13"/>
  <c r="AM165" i="13" s="1"/>
  <c r="AM186" i="13" s="1"/>
  <c r="AM155" i="13"/>
  <c r="AM167" i="13" s="1"/>
  <c r="AM188" i="13" s="1"/>
  <c r="AM151" i="13"/>
  <c r="AM163" i="13" s="1"/>
  <c r="AM184" i="13" s="1"/>
  <c r="AM154" i="13"/>
  <c r="AM166" i="13" s="1"/>
  <c r="AM187" i="13" s="1"/>
  <c r="AL217" i="13"/>
  <c r="AL218" i="13"/>
  <c r="AM209" i="13"/>
  <c r="AN197" i="13"/>
  <c r="AN213" i="13" s="1"/>
  <c r="AO205" i="13" s="1"/>
  <c r="AO174" i="13"/>
  <c r="AN147" i="13"/>
  <c r="AO126" i="13"/>
  <c r="AO78" i="13"/>
  <c r="AN103" i="13" a="1"/>
  <c r="AN104" i="13" a="1"/>
  <c r="AK139" i="13"/>
  <c r="AK140" i="13" s="1"/>
  <c r="AK136" i="13"/>
  <c r="C107" i="6"/>
  <c r="A108" i="6"/>
  <c r="B107" i="6"/>
  <c r="B107" i="1"/>
  <c r="C107" i="1"/>
  <c r="A108" i="1"/>
  <c r="A106" i="3"/>
  <c r="B105" i="3"/>
  <c r="C105" i="3"/>
  <c r="M78" i="4"/>
  <c r="Y77" i="4"/>
  <c r="N77" i="4"/>
  <c r="A77" i="4"/>
  <c r="B77" i="4" s="1"/>
  <c r="AB76" i="4"/>
  <c r="AM76" i="4"/>
  <c r="AN76" i="4" s="1"/>
  <c r="AM216" i="13" l="1"/>
  <c r="AN201" i="13"/>
  <c r="AO173" i="13"/>
  <c r="AN196" i="13"/>
  <c r="AN212" i="13" s="1"/>
  <c r="AO204" i="13" s="1"/>
  <c r="AN144" i="13"/>
  <c r="AN145" i="13"/>
  <c r="AO128" i="13"/>
  <c r="AO82" i="13"/>
  <c r="AO45" i="13"/>
  <c r="AN106" i="13"/>
  <c r="B108" i="6"/>
  <c r="A109" i="6"/>
  <c r="C108" i="6"/>
  <c r="B108" i="1"/>
  <c r="C108" i="1"/>
  <c r="A109" i="1"/>
  <c r="A107" i="3"/>
  <c r="B106" i="3"/>
  <c r="C106" i="3"/>
  <c r="M79" i="4"/>
  <c r="N78" i="4"/>
  <c r="Y78" i="4"/>
  <c r="A78" i="4"/>
  <c r="B78" i="4" s="1"/>
  <c r="AB77" i="4"/>
  <c r="AM77" i="4"/>
  <c r="AN77" i="4" s="1"/>
  <c r="AN102" i="13" l="1"/>
  <c r="AN158" i="13"/>
  <c r="AN193" i="13"/>
  <c r="AO170" i="13"/>
  <c r="AN194" i="13"/>
  <c r="AN210" i="13" s="1"/>
  <c r="AO202" i="13" s="1"/>
  <c r="AO171" i="13"/>
  <c r="AO99" i="13"/>
  <c r="AP76" i="13" s="1"/>
  <c r="AO83" i="13"/>
  <c r="AO148" i="13"/>
  <c r="AO147" i="13" s="1"/>
  <c r="AO47" i="13"/>
  <c r="AO46" i="13"/>
  <c r="AL134" i="13"/>
  <c r="AO133" i="13"/>
  <c r="C109" i="6"/>
  <c r="B109" i="6"/>
  <c r="A110" i="6"/>
  <c r="B109" i="1"/>
  <c r="C109" i="1"/>
  <c r="A110" i="1"/>
  <c r="A108" i="3"/>
  <c r="B107" i="3"/>
  <c r="C107" i="3"/>
  <c r="M80" i="4"/>
  <c r="N79" i="4"/>
  <c r="Y79" i="4"/>
  <c r="A79" i="4"/>
  <c r="B79" i="4" s="1"/>
  <c r="AB78" i="4"/>
  <c r="AM78" i="4"/>
  <c r="AN78" i="4" s="1"/>
  <c r="AN152" i="13" l="1"/>
  <c r="AN151" i="13"/>
  <c r="AN153" i="13"/>
  <c r="AN155" i="13"/>
  <c r="AN167" i="13" s="1"/>
  <c r="AN188" i="13" s="1"/>
  <c r="AN154" i="13"/>
  <c r="AN166" i="13" s="1"/>
  <c r="AN187" i="13" s="1"/>
  <c r="AN156" i="13"/>
  <c r="AN168" i="13" s="1"/>
  <c r="AN189" i="13" s="1"/>
  <c r="AN209" i="13"/>
  <c r="AO201" i="13" s="1"/>
  <c r="AM217" i="13"/>
  <c r="AM218" i="13"/>
  <c r="AP78" i="13"/>
  <c r="AP126" i="13"/>
  <c r="AP173" i="13"/>
  <c r="AO196" i="13"/>
  <c r="AO212" i="13" s="1"/>
  <c r="AP204" i="13" s="1"/>
  <c r="AO197" i="13"/>
  <c r="AO213" i="13" s="1"/>
  <c r="AP205" i="13" s="1"/>
  <c r="AP174" i="13"/>
  <c r="AO103" i="13" a="1"/>
  <c r="AO104" i="13" a="1"/>
  <c r="AL136" i="13"/>
  <c r="AL139" i="13"/>
  <c r="AL140" i="13" s="1"/>
  <c r="AO145" i="13"/>
  <c r="AO144" i="13"/>
  <c r="A111" i="6"/>
  <c r="C110" i="6"/>
  <c r="B110" i="6"/>
  <c r="B110" i="1"/>
  <c r="C110" i="1"/>
  <c r="A111" i="1"/>
  <c r="A109" i="3"/>
  <c r="B108" i="3"/>
  <c r="C108" i="3"/>
  <c r="M81" i="4"/>
  <c r="Y80" i="4"/>
  <c r="N80" i="4"/>
  <c r="A80" i="4"/>
  <c r="B80" i="4" s="1"/>
  <c r="AB79" i="4"/>
  <c r="AM79" i="4"/>
  <c r="AN79" i="4" s="1"/>
  <c r="AP171" i="13" l="1"/>
  <c r="AO194" i="13"/>
  <c r="AO210" i="13" s="1"/>
  <c r="AP202" i="13" s="1"/>
  <c r="AP170" i="13"/>
  <c r="AO193" i="13"/>
  <c r="AO106" i="13"/>
  <c r="AP45" i="13"/>
  <c r="AP82" i="13"/>
  <c r="AP128" i="13"/>
  <c r="B111" i="6"/>
  <c r="A112" i="6"/>
  <c r="C111" i="6"/>
  <c r="B111" i="1"/>
  <c r="C111" i="1"/>
  <c r="A112" i="1"/>
  <c r="A110" i="3"/>
  <c r="B109" i="3"/>
  <c r="C109" i="3"/>
  <c r="M82" i="4"/>
  <c r="N81" i="4"/>
  <c r="Y81" i="4"/>
  <c r="A81" i="4"/>
  <c r="B81" i="4" s="1"/>
  <c r="AB80" i="4"/>
  <c r="AM80" i="4"/>
  <c r="AN80" i="4" s="1"/>
  <c r="AM134" i="13" l="1"/>
  <c r="AP133" i="13"/>
  <c r="AN217" i="13"/>
  <c r="AO209" i="13"/>
  <c r="AN218" i="13"/>
  <c r="AP47" i="13"/>
  <c r="AP46" i="13"/>
  <c r="AP83" i="13"/>
  <c r="AP99" i="13"/>
  <c r="AQ76" i="13" s="1"/>
  <c r="AP148" i="13"/>
  <c r="AO158" i="13"/>
  <c r="AO102" i="13"/>
  <c r="A113" i="6"/>
  <c r="C112" i="6"/>
  <c r="B112" i="6"/>
  <c r="B112" i="1"/>
  <c r="C112" i="1"/>
  <c r="A113" i="1"/>
  <c r="A111" i="3"/>
  <c r="B110" i="3"/>
  <c r="C110" i="3"/>
  <c r="M83" i="4"/>
  <c r="N82" i="4"/>
  <c r="Y82" i="4"/>
  <c r="A82" i="4"/>
  <c r="B82" i="4" s="1"/>
  <c r="AB81" i="4"/>
  <c r="AM81" i="4"/>
  <c r="AN81" i="4" s="1"/>
  <c r="AM139" i="13" l="1"/>
  <c r="AM140" i="13" s="1"/>
  <c r="AM136" i="13"/>
  <c r="AP103" i="13" a="1"/>
  <c r="AP104" i="13" a="1"/>
  <c r="AQ78" i="13"/>
  <c r="AQ126" i="13"/>
  <c r="AP197" i="13"/>
  <c r="AP213" i="13" s="1"/>
  <c r="AQ205" i="13" s="1"/>
  <c r="AQ174" i="13"/>
  <c r="AP147" i="13"/>
  <c r="AO151" i="13"/>
  <c r="AO154" i="13"/>
  <c r="AO166" i="13" s="1"/>
  <c r="AO187" i="13" s="1"/>
  <c r="AO152" i="13"/>
  <c r="AO153" i="13"/>
  <c r="AO155" i="13"/>
  <c r="AO167" i="13" s="1"/>
  <c r="AO188" i="13" s="1"/>
  <c r="AO156" i="13"/>
  <c r="AO168" i="13" s="1"/>
  <c r="AO189" i="13" s="1"/>
  <c r="AP201" i="13"/>
  <c r="C113" i="6"/>
  <c r="B113" i="6"/>
  <c r="A114" i="6"/>
  <c r="B113" i="1"/>
  <c r="C113" i="1"/>
  <c r="A114" i="1"/>
  <c r="A112" i="3"/>
  <c r="C111" i="3"/>
  <c r="B111" i="3"/>
  <c r="M84" i="4"/>
  <c r="N83" i="4"/>
  <c r="Y83" i="4"/>
  <c r="A83" i="4"/>
  <c r="B83" i="4" s="1"/>
  <c r="AB82" i="4"/>
  <c r="AM82" i="4"/>
  <c r="AN82" i="4" s="1"/>
  <c r="AQ45" i="13" l="1"/>
  <c r="AQ82" i="13"/>
  <c r="AP144" i="13"/>
  <c r="AP145" i="13"/>
  <c r="AQ173" i="13"/>
  <c r="AP196" i="13"/>
  <c r="AP212" i="13" s="1"/>
  <c r="AQ204" i="13" s="1"/>
  <c r="AP106" i="13"/>
  <c r="AQ128" i="13"/>
  <c r="B114" i="6"/>
  <c r="A115" i="6"/>
  <c r="C114" i="6"/>
  <c r="B114" i="1"/>
  <c r="C114" i="1"/>
  <c r="A115" i="1"/>
  <c r="A113" i="3"/>
  <c r="B112" i="3"/>
  <c r="C112" i="3"/>
  <c r="M85" i="4"/>
  <c r="N84" i="4"/>
  <c r="Y84" i="4"/>
  <c r="A84" i="4"/>
  <c r="B84" i="4" s="1"/>
  <c r="AB83" i="4"/>
  <c r="AM83" i="4"/>
  <c r="AN83" i="4" s="1"/>
  <c r="AQ133" i="13" l="1"/>
  <c r="AN134" i="13"/>
  <c r="AP158" i="13"/>
  <c r="AP151" i="13" s="1"/>
  <c r="AP102" i="13"/>
  <c r="AQ47" i="13"/>
  <c r="AQ46" i="13"/>
  <c r="AQ148" i="13"/>
  <c r="AQ83" i="13"/>
  <c r="AQ99" i="13"/>
  <c r="AR76" i="13" s="1"/>
  <c r="AP193" i="13"/>
  <c r="AQ170" i="13"/>
  <c r="AQ171" i="13"/>
  <c r="AP194" i="13"/>
  <c r="AP210" i="13" s="1"/>
  <c r="AQ202" i="13" s="1"/>
  <c r="A116" i="6"/>
  <c r="C115" i="6"/>
  <c r="B115" i="6"/>
  <c r="B115" i="1"/>
  <c r="C115" i="1"/>
  <c r="A116" i="1"/>
  <c r="A114" i="3"/>
  <c r="M86" i="4"/>
  <c r="B113" i="3"/>
  <c r="C113" i="3"/>
  <c r="N85" i="4"/>
  <c r="Y85" i="4"/>
  <c r="A85" i="4"/>
  <c r="B85" i="4" s="1"/>
  <c r="AB84" i="4"/>
  <c r="AM84" i="4"/>
  <c r="AN84" i="4" s="1"/>
  <c r="AN139" i="13" l="1"/>
  <c r="AN140" i="13" s="1"/>
  <c r="AN136" i="13"/>
  <c r="AP156" i="13"/>
  <c r="AP168" i="13" s="1"/>
  <c r="AP189" i="13" s="1"/>
  <c r="AP155" i="13"/>
  <c r="AP167" i="13" s="1"/>
  <c r="AP188" i="13" s="1"/>
  <c r="AP153" i="13"/>
  <c r="AP152" i="13"/>
  <c r="AP154" i="13"/>
  <c r="AP166" i="13" s="1"/>
  <c r="AP187" i="13" s="1"/>
  <c r="AQ103" i="13" a="1"/>
  <c r="AQ104" i="13" a="1"/>
  <c r="AQ147" i="13"/>
  <c r="AR174" i="13"/>
  <c r="AQ197" i="13"/>
  <c r="AQ213" i="13" s="1"/>
  <c r="AR205" i="13" s="1"/>
  <c r="AR78" i="13"/>
  <c r="AR126" i="13"/>
  <c r="AP209" i="13"/>
  <c r="AQ201" i="13" s="1"/>
  <c r="AO218" i="13"/>
  <c r="AO217" i="13"/>
  <c r="C116" i="6"/>
  <c r="B116" i="6"/>
  <c r="A117" i="6"/>
  <c r="B116" i="1"/>
  <c r="C116" i="1"/>
  <c r="A117" i="1"/>
  <c r="A115" i="3"/>
  <c r="M87" i="4"/>
  <c r="B114" i="3"/>
  <c r="C114" i="3"/>
  <c r="N86" i="4"/>
  <c r="Y86" i="4"/>
  <c r="A86" i="4"/>
  <c r="B86" i="4" s="1"/>
  <c r="AB85" i="4"/>
  <c r="AM85" i="4"/>
  <c r="AN85" i="4" s="1"/>
  <c r="AQ106" i="13" l="1"/>
  <c r="AR173" i="13"/>
  <c r="AQ196" i="13"/>
  <c r="AQ212" i="13" s="1"/>
  <c r="AR204" i="13" s="1"/>
  <c r="AQ145" i="13"/>
  <c r="AQ144" i="13"/>
  <c r="AR45" i="13"/>
  <c r="AR82" i="13"/>
  <c r="AR128" i="13"/>
  <c r="A118" i="6"/>
  <c r="C117" i="6"/>
  <c r="B117" i="6"/>
  <c r="B117" i="1"/>
  <c r="C117" i="1"/>
  <c r="A118" i="1"/>
  <c r="A116" i="3"/>
  <c r="B115" i="3"/>
  <c r="C115" i="3"/>
  <c r="M88" i="4"/>
  <c r="N87" i="4"/>
  <c r="Y87" i="4"/>
  <c r="A87" i="4"/>
  <c r="B87" i="4" s="1"/>
  <c r="AB86" i="4"/>
  <c r="AM86" i="4"/>
  <c r="AN86" i="4" s="1"/>
  <c r="AQ158" i="13" l="1"/>
  <c r="AQ156" i="13" s="1"/>
  <c r="AQ168" i="13" s="1"/>
  <c r="AQ189" i="13" s="1"/>
  <c r="AQ102" i="13"/>
  <c r="AQ194" i="13"/>
  <c r="AQ210" i="13" s="1"/>
  <c r="AR202" i="13" s="1"/>
  <c r="AR171" i="13"/>
  <c r="AQ193" i="13"/>
  <c r="AR170" i="13"/>
  <c r="AR46" i="13"/>
  <c r="AR47" i="13"/>
  <c r="AR148" i="13"/>
  <c r="AR83" i="13"/>
  <c r="AR99" i="13"/>
  <c r="AS76" i="13" s="1"/>
  <c r="AO134" i="13"/>
  <c r="AR133" i="13"/>
  <c r="A119" i="6"/>
  <c r="C118" i="6"/>
  <c r="B118" i="6"/>
  <c r="B118" i="1"/>
  <c r="C118" i="1"/>
  <c r="A119" i="1"/>
  <c r="A117" i="3"/>
  <c r="B116" i="3"/>
  <c r="C116" i="3"/>
  <c r="M89" i="4"/>
  <c r="N88" i="4"/>
  <c r="Y88" i="4"/>
  <c r="A88" i="4"/>
  <c r="B88" i="4" s="1"/>
  <c r="AB87" i="4"/>
  <c r="AM87" i="4"/>
  <c r="AN87" i="4" s="1"/>
  <c r="AQ153" i="13" l="1"/>
  <c r="AQ152" i="13"/>
  <c r="AQ154" i="13"/>
  <c r="AQ166" i="13" s="1"/>
  <c r="AQ187" i="13" s="1"/>
  <c r="AQ151" i="13"/>
  <c r="AQ155" i="13"/>
  <c r="AQ167" i="13" s="1"/>
  <c r="AQ188" i="13" s="1"/>
  <c r="AR103" i="13" a="1"/>
  <c r="AR104" i="13" a="1"/>
  <c r="AP218" i="13"/>
  <c r="AQ209" i="13"/>
  <c r="AR201" i="13" s="1"/>
  <c r="AP217" i="13"/>
  <c r="AR147" i="13"/>
  <c r="AS174" i="13"/>
  <c r="AR197" i="13"/>
  <c r="AR213" i="13" s="1"/>
  <c r="AS205" i="13" s="1"/>
  <c r="AS126" i="13"/>
  <c r="AT76" i="13"/>
  <c r="AS45" i="13"/>
  <c r="AS82" i="13"/>
  <c r="AO136" i="13"/>
  <c r="AO139" i="13"/>
  <c r="AO140" i="13" s="1"/>
  <c r="A120" i="6"/>
  <c r="B119" i="6"/>
  <c r="C119" i="6"/>
  <c r="B119" i="1"/>
  <c r="C119" i="1"/>
  <c r="A120" i="1"/>
  <c r="A118" i="3"/>
  <c r="B117" i="3"/>
  <c r="C117" i="3"/>
  <c r="M90" i="4"/>
  <c r="Y89" i="4"/>
  <c r="A89" i="4"/>
  <c r="B89" i="4" s="1"/>
  <c r="N89" i="4"/>
  <c r="AB88" i="4"/>
  <c r="AM88" i="4"/>
  <c r="AN88" i="4" s="1"/>
  <c r="AR106" i="13" l="1"/>
  <c r="AS128" i="13"/>
  <c r="AR196" i="13"/>
  <c r="AR212" i="13" s="1"/>
  <c r="AS204" i="13" s="1"/>
  <c r="AR145" i="13"/>
  <c r="AR144" i="13"/>
  <c r="AS173" i="13"/>
  <c r="AT78" i="13"/>
  <c r="AT126" i="13"/>
  <c r="AS47" i="13"/>
  <c r="AS46" i="13"/>
  <c r="AS83" i="13"/>
  <c r="AS148" i="13"/>
  <c r="AS99" i="13"/>
  <c r="C120" i="6"/>
  <c r="A121" i="6"/>
  <c r="B120" i="6"/>
  <c r="B120" i="1"/>
  <c r="C120" i="1"/>
  <c r="A121" i="1"/>
  <c r="A119" i="3"/>
  <c r="B118" i="3"/>
  <c r="C118" i="3"/>
  <c r="M91" i="4"/>
  <c r="N90" i="4"/>
  <c r="Y90" i="4"/>
  <c r="A90" i="4"/>
  <c r="B90" i="4" s="1"/>
  <c r="AB89" i="4"/>
  <c r="AM89" i="4"/>
  <c r="AN89" i="4" s="1"/>
  <c r="AR158" i="13" l="1"/>
  <c r="AR152" i="13" s="1"/>
  <c r="AR102" i="13"/>
  <c r="AS133" i="13"/>
  <c r="AP134" i="13"/>
  <c r="AR194" i="13"/>
  <c r="AR210" i="13" s="1"/>
  <c r="AS202" i="13" s="1"/>
  <c r="AS171" i="13"/>
  <c r="AS170" i="13"/>
  <c r="AR193" i="13"/>
  <c r="AS103" i="13" a="1"/>
  <c r="AS104" i="13" a="1"/>
  <c r="AS147" i="13"/>
  <c r="AS197" i="13"/>
  <c r="AS213" i="13" s="1"/>
  <c r="AT205" i="13" s="1"/>
  <c r="AT174" i="13"/>
  <c r="AU76" i="13"/>
  <c r="AT82" i="13"/>
  <c r="AT45" i="13"/>
  <c r="AT128" i="13"/>
  <c r="C121" i="6"/>
  <c r="B121" i="6"/>
  <c r="A122" i="6"/>
  <c r="B121" i="1"/>
  <c r="C121" i="1"/>
  <c r="A122" i="1"/>
  <c r="A120" i="3"/>
  <c r="B119" i="3"/>
  <c r="C119" i="3"/>
  <c r="M92" i="4"/>
  <c r="N91" i="4"/>
  <c r="Y91" i="4"/>
  <c r="A91" i="4"/>
  <c r="B91" i="4" s="1"/>
  <c r="AB90" i="4"/>
  <c r="AM90" i="4"/>
  <c r="AN90" i="4" s="1"/>
  <c r="AR151" i="13" l="1"/>
  <c r="AR156" i="13"/>
  <c r="AR168" i="13" s="1"/>
  <c r="AR189" i="13" s="1"/>
  <c r="AR155" i="13"/>
  <c r="AR167" i="13" s="1"/>
  <c r="AR188" i="13" s="1"/>
  <c r="AR154" i="13"/>
  <c r="AR166" i="13" s="1"/>
  <c r="AR187" i="13" s="1"/>
  <c r="AR153" i="13"/>
  <c r="AP136" i="13"/>
  <c r="AP139" i="13"/>
  <c r="AP140" i="13" s="1"/>
  <c r="AQ134" i="13"/>
  <c r="AT133" i="13"/>
  <c r="AR209" i="13"/>
  <c r="AQ218" i="13"/>
  <c r="AQ217" i="13"/>
  <c r="AS145" i="13"/>
  <c r="AS196" i="13"/>
  <c r="AS212" i="13" s="1"/>
  <c r="AT204" i="13" s="1"/>
  <c r="AS144" i="13"/>
  <c r="AT173" i="13"/>
  <c r="AU126" i="13"/>
  <c r="AU78" i="13"/>
  <c r="AT148" i="13"/>
  <c r="AT99" i="13"/>
  <c r="AT83" i="13"/>
  <c r="AT46" i="13"/>
  <c r="AT47" i="13"/>
  <c r="AS106" i="13"/>
  <c r="A123" i="6"/>
  <c r="B122" i="6"/>
  <c r="C122" i="6"/>
  <c r="B122" i="1"/>
  <c r="C122" i="1"/>
  <c r="A123" i="1"/>
  <c r="A121" i="3"/>
  <c r="C120" i="3"/>
  <c r="M93" i="4"/>
  <c r="B120" i="3"/>
  <c r="N92" i="4"/>
  <c r="Y92" i="4"/>
  <c r="A92" i="4"/>
  <c r="B92" i="4" s="1"/>
  <c r="AB91" i="4"/>
  <c r="AM91" i="4"/>
  <c r="AN91" i="4" s="1"/>
  <c r="AT104" i="13" l="1" a="1"/>
  <c r="AQ136" i="13"/>
  <c r="AQ139" i="13"/>
  <c r="AQ140" i="13" s="1"/>
  <c r="AS158" i="13"/>
  <c r="AS152" i="13" s="1"/>
  <c r="AS102" i="13"/>
  <c r="AT103" i="13" a="1"/>
  <c r="AT171" i="13"/>
  <c r="AS194" i="13"/>
  <c r="AS210" i="13" s="1"/>
  <c r="AT202" i="13" s="1"/>
  <c r="AT170" i="13"/>
  <c r="AS193" i="13"/>
  <c r="AU128" i="13"/>
  <c r="AU82" i="13"/>
  <c r="AU45" i="13"/>
  <c r="AV76" i="13"/>
  <c r="AT147" i="13"/>
  <c r="AU174" i="13"/>
  <c r="AT197" i="13"/>
  <c r="AT213" i="13" s="1"/>
  <c r="AU205" i="13" s="1"/>
  <c r="AS201" i="13"/>
  <c r="C123" i="6"/>
  <c r="B123" i="6"/>
  <c r="A124" i="6"/>
  <c r="B123" i="1"/>
  <c r="C123" i="1"/>
  <c r="A124" i="1"/>
  <c r="A122" i="3"/>
  <c r="B121" i="3"/>
  <c r="C121" i="3"/>
  <c r="M94" i="4"/>
  <c r="A93" i="4"/>
  <c r="B93" i="4" s="1"/>
  <c r="N93" i="4"/>
  <c r="Y93" i="4"/>
  <c r="AB92" i="4"/>
  <c r="AM92" i="4"/>
  <c r="AN92" i="4" s="1"/>
  <c r="AT106" i="13" l="1"/>
  <c r="AS156" i="13"/>
  <c r="AS168" i="13" s="1"/>
  <c r="AS189" i="13" s="1"/>
  <c r="AS154" i="13"/>
  <c r="AS166" i="13" s="1"/>
  <c r="AS187" i="13" s="1"/>
  <c r="AS153" i="13"/>
  <c r="AS151" i="13"/>
  <c r="AS155" i="13"/>
  <c r="AS167" i="13" s="1"/>
  <c r="AS188" i="13" s="1"/>
  <c r="AS209" i="13"/>
  <c r="AT201" i="13" s="1"/>
  <c r="AR218" i="13"/>
  <c r="AR217" i="13"/>
  <c r="AU148" i="13"/>
  <c r="AU99" i="13"/>
  <c r="AU83" i="13"/>
  <c r="AU46" i="13"/>
  <c r="AU47" i="13"/>
  <c r="AV78" i="13"/>
  <c r="AV126" i="13"/>
  <c r="AT144" i="13"/>
  <c r="AT196" i="13"/>
  <c r="AT212" i="13" s="1"/>
  <c r="AU204" i="13" s="1"/>
  <c r="AT145" i="13"/>
  <c r="AU173" i="13"/>
  <c r="AU133" i="13"/>
  <c r="AR134" i="13"/>
  <c r="A125" i="6"/>
  <c r="B124" i="6"/>
  <c r="C124" i="6"/>
  <c r="B124" i="1"/>
  <c r="C124" i="1"/>
  <c r="A125" i="1"/>
  <c r="A123" i="3"/>
  <c r="B122" i="3"/>
  <c r="C122" i="3"/>
  <c r="M95" i="4"/>
  <c r="N94" i="4"/>
  <c r="Y94" i="4"/>
  <c r="A94" i="4"/>
  <c r="B94" i="4" s="1"/>
  <c r="AB93" i="4"/>
  <c r="AM93" i="4"/>
  <c r="AN93" i="4" s="1"/>
  <c r="AT102" i="13" l="1"/>
  <c r="AT158" i="13"/>
  <c r="AU147" i="13"/>
  <c r="AV174" i="13"/>
  <c r="AU197" i="13"/>
  <c r="AU213" i="13" s="1"/>
  <c r="AV205" i="13" s="1"/>
  <c r="AU103" i="13" a="1"/>
  <c r="AU104" i="13" a="1"/>
  <c r="AV45" i="13"/>
  <c r="AV82" i="13"/>
  <c r="AT193" i="13"/>
  <c r="AU170" i="13"/>
  <c r="AT194" i="13"/>
  <c r="AT210" i="13" s="1"/>
  <c r="AU202" i="13" s="1"/>
  <c r="AU171" i="13"/>
  <c r="AR139" i="13"/>
  <c r="AR140" i="13" s="1"/>
  <c r="AR136" i="13"/>
  <c r="AV128" i="13"/>
  <c r="A126" i="6"/>
  <c r="C125" i="6"/>
  <c r="B125" i="6"/>
  <c r="B125" i="1"/>
  <c r="C125" i="1"/>
  <c r="A126" i="1"/>
  <c r="A124" i="3"/>
  <c r="B123" i="3"/>
  <c r="C123" i="3"/>
  <c r="M96" i="4"/>
  <c r="Y95" i="4"/>
  <c r="A95" i="4"/>
  <c r="B95" i="4" s="1"/>
  <c r="N95" i="4"/>
  <c r="AM94" i="4"/>
  <c r="AN94" i="4" s="1"/>
  <c r="AB94" i="4"/>
  <c r="AT155" i="13" l="1"/>
  <c r="AT167" i="13" s="1"/>
  <c r="AT188" i="13" s="1"/>
  <c r="AT153" i="13"/>
  <c r="AT152" i="13"/>
  <c r="AT156" i="13"/>
  <c r="AT168" i="13" s="1"/>
  <c r="AT189" i="13" s="1"/>
  <c r="AT151" i="13"/>
  <c r="AT154" i="13"/>
  <c r="AT166" i="13" s="1"/>
  <c r="AT187" i="13" s="1"/>
  <c r="AV133" i="13"/>
  <c r="AS134" i="13"/>
  <c r="AU196" i="13"/>
  <c r="AU212" i="13" s="1"/>
  <c r="AV204" i="13" s="1"/>
  <c r="AU144" i="13"/>
  <c r="AU145" i="13"/>
  <c r="AV173" i="13"/>
  <c r="AV47" i="13"/>
  <c r="AV46" i="13"/>
  <c r="AV148" i="13"/>
  <c r="AV83" i="13"/>
  <c r="AV99" i="13"/>
  <c r="AW76" i="13" s="1"/>
  <c r="AS217" i="13"/>
  <c r="AS218" i="13"/>
  <c r="AT209" i="13"/>
  <c r="AU201" i="13" s="1"/>
  <c r="AU106" i="13"/>
  <c r="C126" i="6"/>
  <c r="A127" i="6"/>
  <c r="B126" i="6"/>
  <c r="B126" i="1"/>
  <c r="C126" i="1"/>
  <c r="A127" i="1"/>
  <c r="A125" i="3"/>
  <c r="B124" i="3"/>
  <c r="C124" i="3"/>
  <c r="M97" i="4"/>
  <c r="A96" i="4"/>
  <c r="B96" i="4" s="1"/>
  <c r="N96" i="4"/>
  <c r="Y96" i="4"/>
  <c r="AM95" i="4"/>
  <c r="AN95" i="4" s="1"/>
  <c r="AB95" i="4"/>
  <c r="AU102" i="13" l="1"/>
  <c r="AU158" i="13"/>
  <c r="AS136" i="13"/>
  <c r="AS139" i="13"/>
  <c r="AS140" i="13" s="1"/>
  <c r="AU193" i="13"/>
  <c r="AV170" i="13"/>
  <c r="AV171" i="13"/>
  <c r="AU194" i="13"/>
  <c r="AU210" i="13" s="1"/>
  <c r="AV202" i="13" s="1"/>
  <c r="AV103" i="13" a="1"/>
  <c r="AV104" i="13" a="1"/>
  <c r="AW174" i="13"/>
  <c r="AV197" i="13"/>
  <c r="AV213" i="13" s="1"/>
  <c r="AW205" i="13" s="1"/>
  <c r="AV147" i="13"/>
  <c r="AW126" i="13"/>
  <c r="AW78" i="13"/>
  <c r="A128" i="6"/>
  <c r="B127" i="6"/>
  <c r="C127" i="6"/>
  <c r="B127" i="1"/>
  <c r="C127" i="1"/>
  <c r="A128" i="1"/>
  <c r="A126" i="3"/>
  <c r="B125" i="3"/>
  <c r="C125" i="3"/>
  <c r="M98" i="4"/>
  <c r="A97" i="4"/>
  <c r="B97" i="4" s="1"/>
  <c r="N97" i="4"/>
  <c r="Y97" i="4"/>
  <c r="AM96" i="4"/>
  <c r="AN96" i="4" s="1"/>
  <c r="AB96" i="4"/>
  <c r="AU152" i="13" l="1"/>
  <c r="AU154" i="13"/>
  <c r="AU166" i="13" s="1"/>
  <c r="AU187" i="13" s="1"/>
  <c r="AU156" i="13"/>
  <c r="AU168" i="13" s="1"/>
  <c r="AU189" i="13" s="1"/>
  <c r="AU155" i="13"/>
  <c r="AU167" i="13" s="1"/>
  <c r="AU188" i="13" s="1"/>
  <c r="AU151" i="13"/>
  <c r="AU153" i="13"/>
  <c r="AT217" i="13"/>
  <c r="AT218" i="13"/>
  <c r="AU209" i="13"/>
  <c r="AV196" i="13"/>
  <c r="AV212" i="13" s="1"/>
  <c r="AW204" i="13" s="1"/>
  <c r="AV145" i="13"/>
  <c r="AV144" i="13"/>
  <c r="AW173" i="13"/>
  <c r="AV106" i="13"/>
  <c r="AW128" i="13"/>
  <c r="AW82" i="13"/>
  <c r="AW45" i="13"/>
  <c r="A129" i="6"/>
  <c r="C128" i="6"/>
  <c r="B128" i="6"/>
  <c r="B128" i="1"/>
  <c r="C128" i="1"/>
  <c r="A129" i="1"/>
  <c r="A127" i="3"/>
  <c r="B126" i="3"/>
  <c r="C126" i="3"/>
  <c r="M99" i="4"/>
  <c r="Y98" i="4"/>
  <c r="N98" i="4"/>
  <c r="A98" i="4"/>
  <c r="B98" i="4" s="1"/>
  <c r="AM97" i="4"/>
  <c r="AN97" i="4" s="1"/>
  <c r="AB97" i="4"/>
  <c r="AV102" i="13" l="1"/>
  <c r="AV158" i="13"/>
  <c r="AT134" i="13"/>
  <c r="AW133" i="13"/>
  <c r="AV201" i="13"/>
  <c r="AW171" i="13"/>
  <c r="AV194" i="13"/>
  <c r="AV210" i="13" s="1"/>
  <c r="AW202" i="13" s="1"/>
  <c r="AW170" i="13"/>
  <c r="AV193" i="13"/>
  <c r="AW148" i="13"/>
  <c r="AW83" i="13"/>
  <c r="AW99" i="13"/>
  <c r="AX76" i="13" s="1"/>
  <c r="AW46" i="13"/>
  <c r="AW47" i="13"/>
  <c r="C129" i="6"/>
  <c r="B129" i="6"/>
  <c r="A130" i="6"/>
  <c r="B129" i="1"/>
  <c r="C129" i="1"/>
  <c r="A130" i="1"/>
  <c r="A128" i="3"/>
  <c r="B127" i="3"/>
  <c r="C127" i="3"/>
  <c r="M100" i="4"/>
  <c r="N99" i="4"/>
  <c r="Y99" i="4"/>
  <c r="A99" i="4"/>
  <c r="B99" i="4" s="1"/>
  <c r="AB98" i="4"/>
  <c r="AM98" i="4"/>
  <c r="AN98" i="4" s="1"/>
  <c r="AV152" i="13" l="1"/>
  <c r="AV151" i="13"/>
  <c r="AV155" i="13"/>
  <c r="AV167" i="13" s="1"/>
  <c r="AV188" i="13" s="1"/>
  <c r="AV156" i="13"/>
  <c r="AV168" i="13" s="1"/>
  <c r="AV189" i="13" s="1"/>
  <c r="AV154" i="13"/>
  <c r="AV166" i="13" s="1"/>
  <c r="AV187" i="13" s="1"/>
  <c r="AV153" i="13"/>
  <c r="AW104" i="13" a="1"/>
  <c r="AT139" i="13"/>
  <c r="AT140" i="13" s="1"/>
  <c r="AT136" i="13"/>
  <c r="AV209" i="13"/>
  <c r="AW201" i="13" s="1"/>
  <c r="AW103" i="13" a="1"/>
  <c r="AU218" i="13"/>
  <c r="AU217" i="13"/>
  <c r="AW147" i="13"/>
  <c r="AX174" i="13"/>
  <c r="AW197" i="13"/>
  <c r="AW213" i="13" s="1"/>
  <c r="AX205" i="13" s="1"/>
  <c r="AX126" i="13"/>
  <c r="AX78" i="13"/>
  <c r="C130" i="6"/>
  <c r="A131" i="6"/>
  <c r="B130" i="6"/>
  <c r="B130" i="1"/>
  <c r="C130" i="1"/>
  <c r="A131" i="1"/>
  <c r="A129" i="3"/>
  <c r="B128" i="3"/>
  <c r="C128" i="3"/>
  <c r="M101" i="4"/>
  <c r="N100" i="4"/>
  <c r="Y100" i="4"/>
  <c r="A100" i="4"/>
  <c r="B100" i="4" s="1"/>
  <c r="AB99" i="4"/>
  <c r="AM99" i="4"/>
  <c r="AN99" i="4" s="1"/>
  <c r="AW106" i="13" l="1"/>
  <c r="AW145" i="13"/>
  <c r="AW196" i="13"/>
  <c r="AW212" i="13" s="1"/>
  <c r="AX204" i="13" s="1"/>
  <c r="AX173" i="13"/>
  <c r="AW144" i="13"/>
  <c r="AX128" i="13"/>
  <c r="AX45" i="13"/>
  <c r="AX82" i="13"/>
  <c r="B131" i="6"/>
  <c r="C131" i="6"/>
  <c r="A132" i="6"/>
  <c r="B131" i="1"/>
  <c r="C131" i="1"/>
  <c r="A132" i="1"/>
  <c r="A130" i="3"/>
  <c r="B129" i="3"/>
  <c r="C129" i="3"/>
  <c r="M102" i="4"/>
  <c r="N101" i="4"/>
  <c r="Y101" i="4"/>
  <c r="A101" i="4"/>
  <c r="B101" i="4" s="1"/>
  <c r="AB100" i="4"/>
  <c r="AM100" i="4"/>
  <c r="AN100" i="4" s="1"/>
  <c r="AW102" i="13" l="1"/>
  <c r="AW158" i="13"/>
  <c r="AW194" i="13"/>
  <c r="AW210" i="13" s="1"/>
  <c r="AX202" i="13" s="1"/>
  <c r="AX171" i="13"/>
  <c r="AW193" i="13"/>
  <c r="AX170" i="13"/>
  <c r="AX47" i="13"/>
  <c r="AX46" i="13"/>
  <c r="AX83" i="13"/>
  <c r="AX99" i="13"/>
  <c r="AY76" i="13" s="1"/>
  <c r="AX148" i="13"/>
  <c r="AX147" i="13" s="1"/>
  <c r="AU134" i="13"/>
  <c r="AX133" i="13"/>
  <c r="A133" i="6"/>
  <c r="B132" i="6"/>
  <c r="C132" i="6"/>
  <c r="B132" i="1"/>
  <c r="C132" i="1"/>
  <c r="A133" i="1"/>
  <c r="A131" i="3"/>
  <c r="B130" i="3"/>
  <c r="C130" i="3"/>
  <c r="M103" i="4"/>
  <c r="N102" i="4"/>
  <c r="Y102" i="4"/>
  <c r="A102" i="4"/>
  <c r="B102" i="4" s="1"/>
  <c r="AB101" i="4"/>
  <c r="AM101" i="4"/>
  <c r="AN101" i="4" s="1"/>
  <c r="AW153" i="13" l="1"/>
  <c r="AW151" i="13"/>
  <c r="AW154" i="13"/>
  <c r="AW166" i="13" s="1"/>
  <c r="AW187" i="13" s="1"/>
  <c r="AW155" i="13"/>
  <c r="AW167" i="13" s="1"/>
  <c r="AW188" i="13" s="1"/>
  <c r="AW156" i="13"/>
  <c r="AW168" i="13" s="1"/>
  <c r="AW189" i="13" s="1"/>
  <c r="AW152" i="13"/>
  <c r="AW209" i="13"/>
  <c r="AX201" i="13" s="1"/>
  <c r="AV217" i="13"/>
  <c r="AV218" i="13"/>
  <c r="AX104" i="13" a="1"/>
  <c r="AX103" i="13" a="1"/>
  <c r="AY173" i="13"/>
  <c r="AX196" i="13"/>
  <c r="AX212" i="13" s="1"/>
  <c r="AY204" i="13" s="1"/>
  <c r="AY78" i="13"/>
  <c r="AY126" i="13"/>
  <c r="AX197" i="13"/>
  <c r="AX213" i="13" s="1"/>
  <c r="AY205" i="13" s="1"/>
  <c r="AY174" i="13"/>
  <c r="AU139" i="13"/>
  <c r="AU140" i="13" s="1"/>
  <c r="AU136" i="13"/>
  <c r="AX144" i="13"/>
  <c r="AX145" i="13"/>
  <c r="C133" i="6"/>
  <c r="A134" i="6"/>
  <c r="B133" i="6"/>
  <c r="B133" i="1"/>
  <c r="C133" i="1"/>
  <c r="A134" i="1"/>
  <c r="A132" i="3"/>
  <c r="B131" i="3"/>
  <c r="C131" i="3"/>
  <c r="M104" i="4"/>
  <c r="N103" i="4"/>
  <c r="Y103" i="4"/>
  <c r="A103" i="4"/>
  <c r="B103" i="4" s="1"/>
  <c r="AB102" i="4"/>
  <c r="AM102" i="4"/>
  <c r="AN102" i="4" s="1"/>
  <c r="AY128" i="13" l="1"/>
  <c r="AY170" i="13"/>
  <c r="AX193" i="13"/>
  <c r="AX194" i="13"/>
  <c r="AX210" i="13" s="1"/>
  <c r="AY202" i="13" s="1"/>
  <c r="AY171" i="13"/>
  <c r="AX106" i="13"/>
  <c r="AY45" i="13"/>
  <c r="AY82" i="13"/>
  <c r="C134" i="6"/>
  <c r="A135" i="6"/>
  <c r="B134" i="6"/>
  <c r="B134" i="1"/>
  <c r="C134" i="1"/>
  <c r="A135" i="1"/>
  <c r="A133" i="3"/>
  <c r="B132" i="3"/>
  <c r="C132" i="3"/>
  <c r="M105" i="4"/>
  <c r="N104" i="4"/>
  <c r="Y104" i="4"/>
  <c r="A104" i="4"/>
  <c r="B104" i="4" s="1"/>
  <c r="AB103" i="4"/>
  <c r="AM103" i="4"/>
  <c r="AN103" i="4" s="1"/>
  <c r="AX102" i="13" l="1"/>
  <c r="AX158" i="13"/>
  <c r="AW217" i="13"/>
  <c r="AW218" i="13"/>
  <c r="AX209" i="13"/>
  <c r="AY201" i="13" s="1"/>
  <c r="AY46" i="13"/>
  <c r="AY47" i="13"/>
  <c r="AY83" i="13"/>
  <c r="AY148" i="13"/>
  <c r="AY99" i="13"/>
  <c r="AZ76" i="13" s="1"/>
  <c r="AY133" i="13"/>
  <c r="AY136" i="13" s="1"/>
  <c r="AV134" i="13"/>
  <c r="A136" i="6"/>
  <c r="C135" i="6"/>
  <c r="B135" i="6"/>
  <c r="B135" i="1"/>
  <c r="C135" i="1"/>
  <c r="A136" i="1"/>
  <c r="A134" i="3"/>
  <c r="B133" i="3"/>
  <c r="C133" i="3"/>
  <c r="M106" i="4"/>
  <c r="N105" i="4"/>
  <c r="Y105" i="4"/>
  <c r="A105" i="4"/>
  <c r="B105" i="4" s="1"/>
  <c r="AB104" i="4"/>
  <c r="AM104" i="4"/>
  <c r="AN104" i="4" s="1"/>
  <c r="AX156" i="13" l="1"/>
  <c r="AX168" i="13" s="1"/>
  <c r="AX189" i="13" s="1"/>
  <c r="AX155" i="13"/>
  <c r="AX167" i="13" s="1"/>
  <c r="AX188" i="13" s="1"/>
  <c r="AX153" i="13"/>
  <c r="AY103" i="13" a="1"/>
  <c r="AY104" i="13" a="1"/>
  <c r="AX152" i="13"/>
  <c r="AX151" i="13"/>
  <c r="AX154" i="13"/>
  <c r="AX166" i="13" s="1"/>
  <c r="AX187" i="13" s="1"/>
  <c r="AY147" i="13"/>
  <c r="AZ174" i="13"/>
  <c r="AY197" i="13"/>
  <c r="AY213" i="13" s="1"/>
  <c r="AZ205" i="13" s="1"/>
  <c r="AZ78" i="13"/>
  <c r="AZ126" i="13"/>
  <c r="AV136" i="13"/>
  <c r="AV139" i="13"/>
  <c r="AV140" i="13" s="1"/>
  <c r="B136" i="6"/>
  <c r="C136" i="6"/>
  <c r="A137" i="6"/>
  <c r="B136" i="1"/>
  <c r="C136" i="1"/>
  <c r="A137" i="1"/>
  <c r="A135" i="3"/>
  <c r="B134" i="3"/>
  <c r="C134" i="3"/>
  <c r="M107" i="4"/>
  <c r="N106" i="4"/>
  <c r="Y106" i="4"/>
  <c r="A106" i="4"/>
  <c r="B106" i="4" s="1"/>
  <c r="AB105" i="4"/>
  <c r="AM105" i="4"/>
  <c r="AN105" i="4" s="1"/>
  <c r="AY106" i="13" l="1"/>
  <c r="AY144" i="13"/>
  <c r="AY196" i="13"/>
  <c r="AY212" i="13" s="1"/>
  <c r="AZ204" i="13" s="1"/>
  <c r="AZ173" i="13"/>
  <c r="AY145" i="13"/>
  <c r="AZ45" i="13"/>
  <c r="AZ82" i="13"/>
  <c r="AZ128" i="13"/>
  <c r="C137" i="6"/>
  <c r="A138" i="6"/>
  <c r="B137" i="6"/>
  <c r="B137" i="1"/>
  <c r="C137" i="1"/>
  <c r="A138" i="1"/>
  <c r="A136" i="3"/>
  <c r="B135" i="3"/>
  <c r="C135" i="3"/>
  <c r="M108" i="4"/>
  <c r="N107" i="4"/>
  <c r="Y107" i="4"/>
  <c r="A107" i="4"/>
  <c r="B107" i="4" s="1"/>
  <c r="AB106" i="4"/>
  <c r="AM106" i="4"/>
  <c r="AN106" i="4" s="1"/>
  <c r="AY158" i="13" l="1"/>
  <c r="AY102" i="13"/>
  <c r="AY160" i="13"/>
  <c r="AV160" i="13"/>
  <c r="AN160" i="13"/>
  <c r="AU160" i="13"/>
  <c r="AQ160" i="13"/>
  <c r="AW160" i="13"/>
  <c r="AT160" i="13"/>
  <c r="AP160" i="13"/>
  <c r="AZ170" i="13"/>
  <c r="AY193" i="13"/>
  <c r="AS160" i="13"/>
  <c r="AX160" i="13"/>
  <c r="AR160" i="13"/>
  <c r="BA160" i="13"/>
  <c r="AO160" i="13"/>
  <c r="AZ160" i="13"/>
  <c r="AZ171" i="13"/>
  <c r="AY194" i="13"/>
  <c r="AY210" i="13" s="1"/>
  <c r="AZ202" i="13" s="1"/>
  <c r="AZ46" i="13"/>
  <c r="AZ47" i="13"/>
  <c r="AZ83" i="13"/>
  <c r="AZ99" i="13"/>
  <c r="BA76" i="13" s="1"/>
  <c r="AZ148" i="13"/>
  <c r="AZ147" i="13" s="1"/>
  <c r="AW134" i="13"/>
  <c r="AZ133" i="13"/>
  <c r="AZ136" i="13" s="1"/>
  <c r="B138" i="6"/>
  <c r="A139" i="6"/>
  <c r="C138" i="6"/>
  <c r="B138" i="1"/>
  <c r="C138" i="1"/>
  <c r="A139" i="1"/>
  <c r="A137" i="3"/>
  <c r="B136" i="3"/>
  <c r="C136" i="3"/>
  <c r="M109" i="4"/>
  <c r="N108" i="4"/>
  <c r="Y108" i="4"/>
  <c r="A108" i="4"/>
  <c r="B108" i="4" s="1"/>
  <c r="AB107" i="4"/>
  <c r="AM107" i="4"/>
  <c r="AN107" i="4" s="1"/>
  <c r="AY156" i="13" l="1"/>
  <c r="AY168" i="13" s="1"/>
  <c r="AY189" i="13" s="1"/>
  <c r="AY154" i="13"/>
  <c r="AY166" i="13" s="1"/>
  <c r="AY187" i="13" s="1"/>
  <c r="AY151" i="13"/>
  <c r="AY163" i="13" s="1"/>
  <c r="AY184" i="13" s="1"/>
  <c r="AY152" i="13"/>
  <c r="AY164" i="13" s="1"/>
  <c r="AY185" i="13" s="1"/>
  <c r="AY155" i="13"/>
  <c r="AY167" i="13" s="1"/>
  <c r="AY188" i="13" s="1"/>
  <c r="AY153" i="13"/>
  <c r="AY165" i="13" s="1"/>
  <c r="AY186" i="13" s="1"/>
  <c r="AV164" i="13"/>
  <c r="AV185" i="13" s="1"/>
  <c r="AV163" i="13"/>
  <c r="AV165" i="13"/>
  <c r="AV186" i="13" s="1"/>
  <c r="AN163" i="13"/>
  <c r="AN164" i="13"/>
  <c r="AN185" i="13" s="1"/>
  <c r="AN165" i="13"/>
  <c r="AN186" i="13" s="1"/>
  <c r="AU163" i="13"/>
  <c r="AU165" i="13"/>
  <c r="AU186" i="13" s="1"/>
  <c r="AU164" i="13"/>
  <c r="AU185" i="13" s="1"/>
  <c r="AQ163" i="13"/>
  <c r="AQ165" i="13"/>
  <c r="AQ186" i="13" s="1"/>
  <c r="AQ164" i="13"/>
  <c r="AQ185" i="13" s="1"/>
  <c r="AW164" i="13"/>
  <c r="AW185" i="13" s="1"/>
  <c r="AW165" i="13"/>
  <c r="AW186" i="13" s="1"/>
  <c r="AW163" i="13"/>
  <c r="AT164" i="13"/>
  <c r="AT185" i="13" s="1"/>
  <c r="AT165" i="13"/>
  <c r="AT186" i="13" s="1"/>
  <c r="AT163" i="13"/>
  <c r="AP165" i="13"/>
  <c r="AP186" i="13" s="1"/>
  <c r="AP163" i="13"/>
  <c r="AP164" i="13"/>
  <c r="AP185" i="13" s="1"/>
  <c r="AX218" i="13"/>
  <c r="AX217" i="13"/>
  <c r="AY209" i="13"/>
  <c r="AS163" i="13"/>
  <c r="AS164" i="13"/>
  <c r="AS185" i="13" s="1"/>
  <c r="AS165" i="13"/>
  <c r="AS186" i="13" s="1"/>
  <c r="AX163" i="13"/>
  <c r="AX164" i="13"/>
  <c r="AX185" i="13" s="1"/>
  <c r="AX165" i="13"/>
  <c r="AX186" i="13" s="1"/>
  <c r="AR165" i="13"/>
  <c r="AR186" i="13" s="1"/>
  <c r="AR163" i="13"/>
  <c r="AR164" i="13"/>
  <c r="AR185" i="13" s="1"/>
  <c r="AO165" i="13"/>
  <c r="AO186" i="13" s="1"/>
  <c r="AO164" i="13"/>
  <c r="AO185" i="13" s="1"/>
  <c r="AO163" i="13"/>
  <c r="AZ104" i="13" a="1"/>
  <c r="AZ103" i="13" a="1"/>
  <c r="AZ145" i="13"/>
  <c r="AZ196" i="13"/>
  <c r="AZ212" i="13" s="1"/>
  <c r="BA204" i="13" s="1"/>
  <c r="AZ144" i="13"/>
  <c r="BA173" i="13"/>
  <c r="BA78" i="13"/>
  <c r="BA126" i="13"/>
  <c r="BA174" i="13"/>
  <c r="AZ197" i="13"/>
  <c r="AZ213" i="13" s="1"/>
  <c r="BA205" i="13" s="1"/>
  <c r="AW139" i="13"/>
  <c r="AW140" i="13" s="1"/>
  <c r="AW136" i="13"/>
  <c r="C139" i="6"/>
  <c r="A140" i="6"/>
  <c r="B139" i="6"/>
  <c r="B139" i="1"/>
  <c r="C139" i="1"/>
  <c r="A140" i="1"/>
  <c r="A138" i="3"/>
  <c r="B137" i="3"/>
  <c r="C137" i="3"/>
  <c r="M110" i="4"/>
  <c r="Y109" i="4"/>
  <c r="N109" i="4"/>
  <c r="A109" i="4"/>
  <c r="B109" i="4" s="1"/>
  <c r="AB108" i="4"/>
  <c r="AM108" i="4"/>
  <c r="AN108" i="4" s="1"/>
  <c r="AV184" i="13" l="1"/>
  <c r="AV216" i="13"/>
  <c r="AN184" i="13"/>
  <c r="AN216" i="13"/>
  <c r="AU216" i="13"/>
  <c r="AU184" i="13"/>
  <c r="AQ216" i="13"/>
  <c r="AQ184" i="13"/>
  <c r="AW216" i="13"/>
  <c r="AW184" i="13"/>
  <c r="AT216" i="13"/>
  <c r="AT184" i="13"/>
  <c r="AP184" i="13"/>
  <c r="AP216" i="13"/>
  <c r="AY216" i="13"/>
  <c r="AZ201" i="13"/>
  <c r="AS216" i="13"/>
  <c r="AS184" i="13"/>
  <c r="AX216" i="13"/>
  <c r="AX184" i="13"/>
  <c r="AR216" i="13"/>
  <c r="AR184" i="13"/>
  <c r="AO184" i="13"/>
  <c r="AO216" i="13"/>
  <c r="BA171" i="13"/>
  <c r="AZ194" i="13"/>
  <c r="AZ210" i="13" s="1"/>
  <c r="BA202" i="13" s="1"/>
  <c r="AZ193" i="13"/>
  <c r="BA170" i="13"/>
  <c r="BA45" i="13"/>
  <c r="BA82" i="13"/>
  <c r="BA128" i="13"/>
  <c r="AZ106" i="13"/>
  <c r="C140" i="6"/>
  <c r="A141" i="6"/>
  <c r="B140" i="6"/>
  <c r="B140" i="1"/>
  <c r="C140" i="1"/>
  <c r="A141" i="1"/>
  <c r="A139" i="3"/>
  <c r="B138" i="3"/>
  <c r="C138" i="3"/>
  <c r="M111" i="4"/>
  <c r="Y110" i="4"/>
  <c r="A110" i="4"/>
  <c r="B110" i="4" s="1"/>
  <c r="N110" i="4"/>
  <c r="AM109" i="4"/>
  <c r="AN109" i="4" s="1"/>
  <c r="AB109" i="4"/>
  <c r="AZ102" i="13" l="1"/>
  <c r="AZ158" i="13"/>
  <c r="AZ209" i="13"/>
  <c r="AY217" i="13"/>
  <c r="AY218" i="13"/>
  <c r="BA46" i="13"/>
  <c r="BA47" i="13"/>
  <c r="BA148" i="13"/>
  <c r="BA99" i="13"/>
  <c r="BA83" i="13"/>
  <c r="AX134" i="13"/>
  <c r="BA133" i="13"/>
  <c r="BA136" i="13" s="1"/>
  <c r="A142" i="6"/>
  <c r="B141" i="6"/>
  <c r="C141" i="6"/>
  <c r="B141" i="1"/>
  <c r="C141" i="1"/>
  <c r="A142" i="1"/>
  <c r="A140" i="3"/>
  <c r="B139" i="3"/>
  <c r="C139" i="3"/>
  <c r="M112" i="4"/>
  <c r="N111" i="4"/>
  <c r="Y111" i="4"/>
  <c r="A111" i="4"/>
  <c r="B111" i="4" s="1"/>
  <c r="AB110" i="4"/>
  <c r="AM110" i="4"/>
  <c r="AN110" i="4" s="1"/>
  <c r="BA104" i="13" l="1" a="1"/>
  <c r="BA103" i="13" a="1"/>
  <c r="AZ153" i="13"/>
  <c r="AZ165" i="13" s="1"/>
  <c r="AZ186" i="13" s="1"/>
  <c r="AZ151" i="13"/>
  <c r="AZ163" i="13" s="1"/>
  <c r="AZ154" i="13"/>
  <c r="AZ166" i="13" s="1"/>
  <c r="AZ187" i="13" s="1"/>
  <c r="AZ152" i="13"/>
  <c r="AZ164" i="13" s="1"/>
  <c r="AZ185" i="13" s="1"/>
  <c r="AZ156" i="13"/>
  <c r="AZ168" i="13" s="1"/>
  <c r="AZ189" i="13" s="1"/>
  <c r="AZ155" i="13"/>
  <c r="AZ167" i="13" s="1"/>
  <c r="AZ188" i="13" s="1"/>
  <c r="BA197" i="13"/>
  <c r="BA213" i="13" s="1"/>
  <c r="BA147" i="13"/>
  <c r="AX139" i="13"/>
  <c r="AX136" i="13"/>
  <c r="BA201" i="13"/>
  <c r="C142" i="6"/>
  <c r="B142" i="6"/>
  <c r="A143" i="6"/>
  <c r="B142" i="1"/>
  <c r="C142" i="1"/>
  <c r="A143" i="1"/>
  <c r="A141" i="3"/>
  <c r="B140" i="3"/>
  <c r="C140" i="3"/>
  <c r="M113" i="4"/>
  <c r="A112" i="4"/>
  <c r="B112" i="4" s="1"/>
  <c r="N112" i="4"/>
  <c r="Y112" i="4"/>
  <c r="AM111" i="4"/>
  <c r="AN111" i="4" s="1"/>
  <c r="AB111" i="4"/>
  <c r="BA106" i="13" l="1"/>
  <c r="AZ184" i="13"/>
  <c r="AZ216" i="13"/>
  <c r="BA145" i="13"/>
  <c r="BA144" i="13"/>
  <c r="BA196" i="13"/>
  <c r="BA212" i="13" s="1"/>
  <c r="AX140" i="13"/>
  <c r="AY139" i="13"/>
  <c r="A144" i="6"/>
  <c r="C143" i="6"/>
  <c r="B143" i="6"/>
  <c r="B143" i="1"/>
  <c r="C143" i="1"/>
  <c r="A144" i="1"/>
  <c r="A142" i="3"/>
  <c r="B141" i="3"/>
  <c r="C141" i="3"/>
  <c r="M114" i="4"/>
  <c r="Y113" i="4"/>
  <c r="A113" i="4"/>
  <c r="B113" i="4" s="1"/>
  <c r="N113" i="4"/>
  <c r="AM112" i="4"/>
  <c r="AN112" i="4" s="1"/>
  <c r="AB112" i="4"/>
  <c r="BA102" i="13" l="1"/>
  <c r="BA158" i="13"/>
  <c r="BA194" i="13"/>
  <c r="BA210" i="13" s="1"/>
  <c r="BA193" i="13"/>
  <c r="BA209" i="13" s="1"/>
  <c r="AZ139" i="13"/>
  <c r="AY140" i="13"/>
  <c r="C144" i="6"/>
  <c r="B144" i="6"/>
  <c r="A145" i="6"/>
  <c r="B144" i="1"/>
  <c r="C144" i="1"/>
  <c r="A145" i="1"/>
  <c r="A143" i="3"/>
  <c r="B142" i="3"/>
  <c r="C142" i="3"/>
  <c r="M115" i="4"/>
  <c r="Y114" i="4"/>
  <c r="A114" i="4"/>
  <c r="B114" i="4" s="1"/>
  <c r="N114" i="4"/>
  <c r="AM113" i="4"/>
  <c r="AN113" i="4" s="1"/>
  <c r="AB113" i="4"/>
  <c r="AZ217" i="13" l="1"/>
  <c r="BA152" i="13"/>
  <c r="BA164" i="13" s="1"/>
  <c r="BA185" i="13" s="1"/>
  <c r="BA155" i="13"/>
  <c r="BA167" i="13" s="1"/>
  <c r="BA188" i="13" s="1"/>
  <c r="BA153" i="13"/>
  <c r="BA165" i="13" s="1"/>
  <c r="BA186" i="13" s="1"/>
  <c r="BA154" i="13"/>
  <c r="BA166" i="13" s="1"/>
  <c r="BA187" i="13" s="1"/>
  <c r="BA151" i="13"/>
  <c r="BA163" i="13" s="1"/>
  <c r="BA156" i="13"/>
  <c r="BA168" i="13" s="1"/>
  <c r="BA189" i="13" s="1"/>
  <c r="AZ218" i="13"/>
  <c r="BA139" i="13"/>
  <c r="AZ140" i="13"/>
  <c r="B145" i="6"/>
  <c r="C145" i="6"/>
  <c r="A146" i="6"/>
  <c r="B145" i="1"/>
  <c r="C145" i="1"/>
  <c r="A146" i="1"/>
  <c r="A144" i="3"/>
  <c r="B143" i="3"/>
  <c r="C143" i="3"/>
  <c r="M116" i="4"/>
  <c r="A115" i="4"/>
  <c r="B115" i="4" s="1"/>
  <c r="N115" i="4"/>
  <c r="Y115" i="4"/>
  <c r="AM114" i="4"/>
  <c r="AN114" i="4" s="1"/>
  <c r="AB114" i="4"/>
  <c r="BA184" i="13" l="1"/>
  <c r="BA216" i="13"/>
  <c r="BA140" i="13"/>
  <c r="B146" i="6"/>
  <c r="A147" i="6"/>
  <c r="C146" i="6"/>
  <c r="B146" i="1"/>
  <c r="C146" i="1"/>
  <c r="A147" i="1"/>
  <c r="A145" i="3"/>
  <c r="B144" i="3"/>
  <c r="C144" i="3"/>
  <c r="M117" i="4"/>
  <c r="N116" i="4"/>
  <c r="Y116" i="4"/>
  <c r="A116" i="4"/>
  <c r="B116" i="4" s="1"/>
  <c r="AB115" i="4"/>
  <c r="AM115" i="4"/>
  <c r="AN115" i="4" s="1"/>
  <c r="A148" i="6" l="1"/>
  <c r="C147" i="6"/>
  <c r="B147" i="6"/>
  <c r="B147" i="1"/>
  <c r="C147" i="1"/>
  <c r="A148" i="1"/>
  <c r="A146" i="3"/>
  <c r="B145" i="3"/>
  <c r="C145" i="3"/>
  <c r="M118" i="4"/>
  <c r="N117" i="4"/>
  <c r="Y117" i="4"/>
  <c r="A117" i="4"/>
  <c r="B117" i="4" s="1"/>
  <c r="AB116" i="4"/>
  <c r="AM116" i="4"/>
  <c r="AN116" i="4" s="1"/>
  <c r="A149" i="6" l="1"/>
  <c r="B148" i="6"/>
  <c r="C148" i="6"/>
  <c r="B148" i="1"/>
  <c r="C148" i="1"/>
  <c r="A149" i="1"/>
  <c r="A147" i="3"/>
  <c r="B146" i="3"/>
  <c r="C146" i="3"/>
  <c r="M119" i="4"/>
  <c r="Y118" i="4"/>
  <c r="A118" i="4"/>
  <c r="B118" i="4" s="1"/>
  <c r="N118" i="4"/>
  <c r="AM117" i="4"/>
  <c r="AN117" i="4" s="1"/>
  <c r="AB117" i="4"/>
  <c r="B149" i="6" l="1"/>
  <c r="A150" i="6"/>
  <c r="C149" i="6"/>
  <c r="B149" i="1"/>
  <c r="C149" i="1"/>
  <c r="A150" i="1"/>
  <c r="A148" i="3"/>
  <c r="B147" i="3"/>
  <c r="C147" i="3"/>
  <c r="M120" i="4"/>
  <c r="Y119" i="4"/>
  <c r="A119" i="4"/>
  <c r="B119" i="4" s="1"/>
  <c r="N119" i="4"/>
  <c r="AM118" i="4"/>
  <c r="AN118" i="4" s="1"/>
  <c r="AB118" i="4"/>
  <c r="C150" i="6" l="1"/>
  <c r="B150" i="6"/>
  <c r="A151" i="6"/>
  <c r="B150" i="1"/>
  <c r="C150" i="1"/>
  <c r="A151" i="1"/>
  <c r="A149" i="3"/>
  <c r="B148" i="3"/>
  <c r="C148" i="3"/>
  <c r="M121" i="4"/>
  <c r="Y120" i="4"/>
  <c r="A120" i="4"/>
  <c r="B120" i="4" s="1"/>
  <c r="N120" i="4"/>
  <c r="AB119" i="4"/>
  <c r="AM119" i="4"/>
  <c r="AN119" i="4" s="1"/>
  <c r="B151" i="6" l="1"/>
  <c r="A152" i="6"/>
  <c r="C151" i="6"/>
  <c r="B151" i="1"/>
  <c r="C151" i="1"/>
  <c r="A152" i="1"/>
  <c r="A150" i="3"/>
  <c r="B149" i="3"/>
  <c r="C149" i="3"/>
  <c r="M122" i="4"/>
  <c r="N121" i="4"/>
  <c r="Y121" i="4"/>
  <c r="A121" i="4"/>
  <c r="B121" i="4" s="1"/>
  <c r="AB120" i="4"/>
  <c r="AM120" i="4"/>
  <c r="AN120" i="4" s="1"/>
  <c r="B152" i="6" l="1"/>
  <c r="A153" i="6"/>
  <c r="C152" i="6"/>
  <c r="B152" i="1"/>
  <c r="C152" i="1"/>
  <c r="A153" i="1"/>
  <c r="A151" i="3"/>
  <c r="B150" i="3"/>
  <c r="C150" i="3"/>
  <c r="M123" i="4"/>
  <c r="A122" i="4"/>
  <c r="B122" i="4" s="1"/>
  <c r="N122" i="4"/>
  <c r="Y122" i="4"/>
  <c r="AB121" i="4"/>
  <c r="AM121" i="4"/>
  <c r="AN121" i="4" s="1"/>
  <c r="C153" i="6" l="1"/>
  <c r="A154" i="6"/>
  <c r="B153" i="6"/>
  <c r="B153" i="1"/>
  <c r="C153" i="1"/>
  <c r="A154" i="1"/>
  <c r="A152" i="3"/>
  <c r="B151" i="3"/>
  <c r="C151" i="3"/>
  <c r="M124" i="4"/>
  <c r="A123" i="4"/>
  <c r="B123" i="4" s="1"/>
  <c r="N123" i="4"/>
  <c r="Y123" i="4"/>
  <c r="AB122" i="4"/>
  <c r="AM122" i="4"/>
  <c r="AN122" i="4" s="1"/>
  <c r="C154" i="6" l="1"/>
  <c r="B154" i="6"/>
  <c r="A155" i="6"/>
  <c r="B154" i="1"/>
  <c r="C154" i="1"/>
  <c r="A155" i="1"/>
  <c r="A153" i="3"/>
  <c r="B152" i="3"/>
  <c r="C152" i="3"/>
  <c r="M125" i="4"/>
  <c r="N124" i="4"/>
  <c r="Y124" i="4"/>
  <c r="A124" i="4"/>
  <c r="B124" i="4" s="1"/>
  <c r="AB123" i="4"/>
  <c r="AM123" i="4"/>
  <c r="AN123" i="4" s="1"/>
  <c r="B155" i="6" l="1"/>
  <c r="C155" i="6"/>
  <c r="A156" i="6"/>
  <c r="B155" i="1"/>
  <c r="C155" i="1"/>
  <c r="A156" i="1"/>
  <c r="A154" i="3"/>
  <c r="B153" i="3"/>
  <c r="C153" i="3"/>
  <c r="M126" i="4"/>
  <c r="Y125" i="4"/>
  <c r="N125" i="4"/>
  <c r="A125" i="4"/>
  <c r="B125" i="4" s="1"/>
  <c r="AB124" i="4"/>
  <c r="AM124" i="4"/>
  <c r="AN124" i="4" s="1"/>
  <c r="A157" i="6" l="1"/>
  <c r="C156" i="6"/>
  <c r="B156" i="6"/>
  <c r="B156" i="1"/>
  <c r="C156" i="1"/>
  <c r="A157" i="1"/>
  <c r="A155" i="3"/>
  <c r="B154" i="3"/>
  <c r="C154" i="3"/>
  <c r="M127" i="4"/>
  <c r="A126" i="4"/>
  <c r="B126" i="4" s="1"/>
  <c r="N126" i="4"/>
  <c r="Y126" i="4"/>
  <c r="AB125" i="4"/>
  <c r="AM125" i="4"/>
  <c r="AN125" i="4" s="1"/>
  <c r="B157" i="6" l="1"/>
  <c r="A158" i="6"/>
  <c r="C157" i="6"/>
  <c r="B157" i="1"/>
  <c r="C157" i="1"/>
  <c r="A158" i="1"/>
  <c r="A156" i="3"/>
  <c r="B155" i="3"/>
  <c r="C155" i="3"/>
  <c r="M128" i="4"/>
  <c r="Y127" i="4"/>
  <c r="N127" i="4"/>
  <c r="A127" i="4"/>
  <c r="B127" i="4" s="1"/>
  <c r="AM126" i="4"/>
  <c r="AN126" i="4" s="1"/>
  <c r="AB126" i="4"/>
  <c r="C158" i="6" l="1"/>
  <c r="B158" i="6"/>
  <c r="A159" i="6"/>
  <c r="B158" i="1"/>
  <c r="C158" i="1"/>
  <c r="A159" i="1"/>
  <c r="A157" i="3"/>
  <c r="B156" i="3"/>
  <c r="C156" i="3"/>
  <c r="M129" i="4"/>
  <c r="Y128" i="4"/>
  <c r="A128" i="4"/>
  <c r="B128" i="4" s="1"/>
  <c r="N128" i="4"/>
  <c r="AM127" i="4"/>
  <c r="AN127" i="4" s="1"/>
  <c r="AB127" i="4"/>
  <c r="C159" i="6" l="1"/>
  <c r="A160" i="6"/>
  <c r="B159" i="6"/>
  <c r="B159" i="1"/>
  <c r="C159" i="1"/>
  <c r="A160" i="1"/>
  <c r="A158" i="3"/>
  <c r="B157" i="3"/>
  <c r="C157" i="3"/>
  <c r="M130" i="4"/>
  <c r="Y129" i="4"/>
  <c r="A129" i="4"/>
  <c r="B129" i="4" s="1"/>
  <c r="N129" i="4"/>
  <c r="AM128" i="4"/>
  <c r="AN128" i="4" s="1"/>
  <c r="AB128" i="4"/>
  <c r="B160" i="6" l="1"/>
  <c r="C160" i="6"/>
  <c r="A161" i="6"/>
  <c r="B160" i="1"/>
  <c r="C160" i="1"/>
  <c r="A161" i="1"/>
  <c r="A159" i="3"/>
  <c r="B158" i="3"/>
  <c r="C158" i="3"/>
  <c r="M131" i="4"/>
  <c r="Y130" i="4"/>
  <c r="N130" i="4"/>
  <c r="A130" i="4"/>
  <c r="B130" i="4" s="1"/>
  <c r="AB129" i="4"/>
  <c r="AM129" i="4"/>
  <c r="AN129" i="4" s="1"/>
  <c r="C161" i="6" l="1"/>
  <c r="A162" i="6"/>
  <c r="B161" i="6"/>
  <c r="B161" i="1"/>
  <c r="C161" i="1"/>
  <c r="A162" i="1"/>
  <c r="A160" i="3"/>
  <c r="B159" i="3"/>
  <c r="C159" i="3"/>
  <c r="M132" i="4"/>
  <c r="N131" i="4"/>
  <c r="Y131" i="4"/>
  <c r="A131" i="4"/>
  <c r="B131" i="4" s="1"/>
  <c r="AM130" i="4"/>
  <c r="AN130" i="4" s="1"/>
  <c r="AB130" i="4"/>
  <c r="A163" i="6" l="1"/>
  <c r="C162" i="6"/>
  <c r="B162" i="6"/>
  <c r="B162" i="1"/>
  <c r="C162" i="1"/>
  <c r="A163" i="1"/>
  <c r="A161" i="3"/>
  <c r="B160" i="3"/>
  <c r="C160" i="3"/>
  <c r="M133" i="4"/>
  <c r="Y132" i="4"/>
  <c r="A132" i="4"/>
  <c r="B132" i="4" s="1"/>
  <c r="N132" i="4"/>
  <c r="AM131" i="4"/>
  <c r="AN131" i="4" s="1"/>
  <c r="AB131" i="4"/>
  <c r="C163" i="6" l="1"/>
  <c r="B163" i="6"/>
  <c r="A164" i="6"/>
  <c r="B163" i="1"/>
  <c r="C163" i="1"/>
  <c r="A164" i="1"/>
  <c r="A162" i="3"/>
  <c r="B161" i="3"/>
  <c r="C161" i="3"/>
  <c r="M134" i="4"/>
  <c r="Y133" i="4"/>
  <c r="A133" i="4"/>
  <c r="B133" i="4" s="1"/>
  <c r="N133" i="4"/>
  <c r="AM132" i="4"/>
  <c r="AN132" i="4" s="1"/>
  <c r="AB132" i="4"/>
  <c r="C164" i="6" l="1"/>
  <c r="B164" i="6"/>
  <c r="A165" i="6"/>
  <c r="B164" i="1"/>
  <c r="C164" i="1"/>
  <c r="A165" i="1"/>
  <c r="A163" i="3"/>
  <c r="B162" i="3"/>
  <c r="C162" i="3"/>
  <c r="M135" i="4"/>
  <c r="N134" i="4"/>
  <c r="Y134" i="4"/>
  <c r="A134" i="4"/>
  <c r="B134" i="4" s="1"/>
  <c r="AM133" i="4"/>
  <c r="AN133" i="4" s="1"/>
  <c r="AB133" i="4"/>
  <c r="C165" i="6" l="1"/>
  <c r="A166" i="6"/>
  <c r="B165" i="6"/>
  <c r="B165" i="1"/>
  <c r="C165" i="1"/>
  <c r="A166" i="1"/>
  <c r="A164" i="3"/>
  <c r="B163" i="3"/>
  <c r="C163" i="3"/>
  <c r="M136" i="4"/>
  <c r="Y135" i="4"/>
  <c r="N135" i="4"/>
  <c r="A135" i="4"/>
  <c r="B135" i="4" s="1"/>
  <c r="AM134" i="4"/>
  <c r="AN134" i="4" s="1"/>
  <c r="AB134" i="4"/>
  <c r="A167" i="6" l="1"/>
  <c r="B166" i="6"/>
  <c r="C166" i="6"/>
  <c r="B166" i="1"/>
  <c r="C166" i="1"/>
  <c r="A167" i="1"/>
  <c r="A165" i="3"/>
  <c r="B164" i="3"/>
  <c r="C164" i="3"/>
  <c r="M137" i="4"/>
  <c r="Y136" i="4"/>
  <c r="A136" i="4"/>
  <c r="B136" i="4" s="1"/>
  <c r="N136" i="4"/>
  <c r="AM135" i="4"/>
  <c r="AN135" i="4" s="1"/>
  <c r="AB135" i="4"/>
  <c r="A168" i="6" l="1"/>
  <c r="B167" i="6"/>
  <c r="C167" i="6"/>
  <c r="B167" i="1"/>
  <c r="C167" i="1"/>
  <c r="A168" i="1"/>
  <c r="A166" i="3"/>
  <c r="B165" i="3"/>
  <c r="C165" i="3"/>
  <c r="M138" i="4"/>
  <c r="A137" i="4"/>
  <c r="B137" i="4" s="1"/>
  <c r="N137" i="4"/>
  <c r="Y137" i="4"/>
  <c r="AM136" i="4"/>
  <c r="AN136" i="4" s="1"/>
  <c r="AB136" i="4"/>
  <c r="B168" i="6" l="1"/>
  <c r="C168" i="6"/>
  <c r="A169" i="6"/>
  <c r="B168" i="1"/>
  <c r="C168" i="1"/>
  <c r="A169" i="1"/>
  <c r="A167" i="3"/>
  <c r="B166" i="3"/>
  <c r="C166" i="3"/>
  <c r="M139" i="4"/>
  <c r="Y138" i="4"/>
  <c r="N138" i="4"/>
  <c r="A138" i="4"/>
  <c r="B138" i="4" s="1"/>
  <c r="AM137" i="4"/>
  <c r="AN137" i="4" s="1"/>
  <c r="AB137" i="4"/>
  <c r="A170" i="6" l="1"/>
  <c r="B169" i="6"/>
  <c r="C169" i="6"/>
  <c r="B169" i="1"/>
  <c r="C169" i="1"/>
  <c r="A170" i="1"/>
  <c r="A168" i="3"/>
  <c r="B167" i="3"/>
  <c r="C167" i="3"/>
  <c r="M140" i="4"/>
  <c r="Y139" i="4"/>
  <c r="N139" i="4"/>
  <c r="A139" i="4"/>
  <c r="B139" i="4" s="1"/>
  <c r="AM138" i="4"/>
  <c r="AN138" i="4" s="1"/>
  <c r="AB138" i="4"/>
  <c r="C170" i="6" l="1"/>
  <c r="B170" i="6"/>
  <c r="A171" i="6"/>
  <c r="B170" i="1"/>
  <c r="C170" i="1"/>
  <c r="A171" i="1"/>
  <c r="A169" i="3"/>
  <c r="B168" i="3"/>
  <c r="C168" i="3"/>
  <c r="M141" i="4"/>
  <c r="Y140" i="4"/>
  <c r="A140" i="4"/>
  <c r="B140" i="4" s="1"/>
  <c r="N140" i="4"/>
  <c r="AM139" i="4"/>
  <c r="AN139" i="4" s="1"/>
  <c r="AB139" i="4"/>
  <c r="C171" i="6" l="1"/>
  <c r="B171" i="6"/>
  <c r="A172" i="6"/>
  <c r="B171" i="1"/>
  <c r="C171" i="1"/>
  <c r="A172" i="1"/>
  <c r="A170" i="3"/>
  <c r="B169" i="3"/>
  <c r="C169" i="3"/>
  <c r="M142" i="4"/>
  <c r="A141" i="4"/>
  <c r="B141" i="4" s="1"/>
  <c r="N141" i="4"/>
  <c r="Y141" i="4"/>
  <c r="AM140" i="4"/>
  <c r="AN140" i="4" s="1"/>
  <c r="AB140" i="4"/>
  <c r="B172" i="6" l="1"/>
  <c r="C172" i="6"/>
  <c r="A173" i="6"/>
  <c r="B172" i="1"/>
  <c r="C172" i="1"/>
  <c r="A173" i="1"/>
  <c r="A171" i="3"/>
  <c r="B170" i="3"/>
  <c r="C170" i="3"/>
  <c r="M143" i="4"/>
  <c r="Y142" i="4"/>
  <c r="A142" i="4"/>
  <c r="B142" i="4" s="1"/>
  <c r="N142" i="4"/>
  <c r="AM141" i="4"/>
  <c r="AN141" i="4" s="1"/>
  <c r="AB141" i="4"/>
  <c r="C173" i="6" l="1"/>
  <c r="B173" i="6"/>
  <c r="A174" i="6"/>
  <c r="B173" i="1"/>
  <c r="C173" i="1"/>
  <c r="A174" i="1"/>
  <c r="A172" i="3"/>
  <c r="B171" i="3"/>
  <c r="C171" i="3"/>
  <c r="M144" i="4"/>
  <c r="Y143" i="4"/>
  <c r="A143" i="4"/>
  <c r="B143" i="4" s="1"/>
  <c r="N143" i="4"/>
  <c r="AM142" i="4"/>
  <c r="AN142" i="4" s="1"/>
  <c r="AB142" i="4"/>
  <c r="B174" i="6" l="1"/>
  <c r="A175" i="6"/>
  <c r="C174" i="6"/>
  <c r="B174" i="1"/>
  <c r="C174" i="1"/>
  <c r="A175" i="1"/>
  <c r="A173" i="3"/>
  <c r="B172" i="3"/>
  <c r="C172" i="3"/>
  <c r="M145" i="4"/>
  <c r="N144" i="4"/>
  <c r="Y144" i="4"/>
  <c r="A144" i="4"/>
  <c r="B144" i="4" s="1"/>
  <c r="AM143" i="4"/>
  <c r="AN143" i="4" s="1"/>
  <c r="AB143" i="4"/>
  <c r="C175" i="6" l="1"/>
  <c r="B175" i="6"/>
  <c r="A176" i="6"/>
  <c r="B175" i="1"/>
  <c r="C175" i="1"/>
  <c r="A176" i="1"/>
  <c r="A174" i="3"/>
  <c r="M146" i="4"/>
  <c r="B173" i="3"/>
  <c r="C173" i="3"/>
  <c r="Y145" i="4"/>
  <c r="A145" i="4"/>
  <c r="B145" i="4" s="1"/>
  <c r="N145" i="4"/>
  <c r="AM144" i="4"/>
  <c r="AN144" i="4" s="1"/>
  <c r="AB144" i="4"/>
  <c r="C176" i="6" l="1"/>
  <c r="A177" i="6"/>
  <c r="B176" i="6"/>
  <c r="B176" i="1"/>
  <c r="C176" i="1"/>
  <c r="A177" i="1"/>
  <c r="A175" i="3"/>
  <c r="B174" i="3"/>
  <c r="C174" i="3"/>
  <c r="M147" i="4"/>
  <c r="Y146" i="4"/>
  <c r="A146" i="4"/>
  <c r="B146" i="4" s="1"/>
  <c r="N146" i="4"/>
  <c r="AM145" i="4"/>
  <c r="AN145" i="4" s="1"/>
  <c r="AB145" i="4"/>
  <c r="A178" i="6" l="1"/>
  <c r="C177" i="6"/>
  <c r="B177" i="6"/>
  <c r="B177" i="1"/>
  <c r="C177" i="1"/>
  <c r="A178" i="1"/>
  <c r="A176" i="3"/>
  <c r="B175" i="3"/>
  <c r="C175" i="3"/>
  <c r="M148" i="4"/>
  <c r="Y147" i="4"/>
  <c r="A147" i="4"/>
  <c r="B147" i="4" s="1"/>
  <c r="N147" i="4"/>
  <c r="AM146" i="4"/>
  <c r="AN146" i="4" s="1"/>
  <c r="AB146" i="4"/>
  <c r="A179" i="6" l="1"/>
  <c r="B178" i="6"/>
  <c r="C178" i="6"/>
  <c r="B178" i="1"/>
  <c r="C178" i="1"/>
  <c r="A179" i="1"/>
  <c r="A177" i="3"/>
  <c r="B176" i="3"/>
  <c r="C176" i="3"/>
  <c r="M149" i="4"/>
  <c r="Y148" i="4"/>
  <c r="A148" i="4"/>
  <c r="B148" i="4" s="1"/>
  <c r="N148" i="4"/>
  <c r="AM147" i="4"/>
  <c r="AN147" i="4" s="1"/>
  <c r="AB147" i="4"/>
  <c r="A180" i="6" l="1"/>
  <c r="B179" i="6"/>
  <c r="C179" i="6"/>
  <c r="B179" i="1"/>
  <c r="C179" i="1"/>
  <c r="A180" i="1"/>
  <c r="A178" i="3"/>
  <c r="B177" i="3"/>
  <c r="C177" i="3"/>
  <c r="M150" i="4"/>
  <c r="Y149" i="4"/>
  <c r="A149" i="4"/>
  <c r="B149" i="4" s="1"/>
  <c r="N149" i="4"/>
  <c r="AM148" i="4"/>
  <c r="AN148" i="4" s="1"/>
  <c r="AB148" i="4"/>
  <c r="C180" i="6" l="1"/>
  <c r="A181" i="6"/>
  <c r="B180" i="6"/>
  <c r="B180" i="1"/>
  <c r="C180" i="1"/>
  <c r="A181" i="1"/>
  <c r="A179" i="3"/>
  <c r="C178" i="3"/>
  <c r="M151" i="4"/>
  <c r="B178" i="3"/>
  <c r="N150" i="4"/>
  <c r="Y150" i="4"/>
  <c r="A150" i="4"/>
  <c r="B150" i="4" s="1"/>
  <c r="AM149" i="4"/>
  <c r="AN149" i="4" s="1"/>
  <c r="AB149" i="4"/>
  <c r="B181" i="6" l="1"/>
  <c r="C181" i="6"/>
  <c r="A182" i="6"/>
  <c r="B181" i="1"/>
  <c r="C181" i="1"/>
  <c r="A182" i="1"/>
  <c r="A180" i="3"/>
  <c r="B179" i="3"/>
  <c r="C179" i="3"/>
  <c r="M152" i="4"/>
  <c r="A151" i="4"/>
  <c r="B151" i="4" s="1"/>
  <c r="N151" i="4"/>
  <c r="Y151" i="4"/>
  <c r="AM150" i="4"/>
  <c r="AN150" i="4" s="1"/>
  <c r="AB150" i="4"/>
  <c r="C182" i="6" l="1"/>
  <c r="B182" i="6"/>
  <c r="A183" i="6"/>
  <c r="B182" i="1"/>
  <c r="C182" i="1"/>
  <c r="A183" i="1"/>
  <c r="A181" i="3"/>
  <c r="B180" i="3"/>
  <c r="C180" i="3"/>
  <c r="M153" i="4"/>
  <c r="Y152" i="4"/>
  <c r="A152" i="4"/>
  <c r="B152" i="4" s="1"/>
  <c r="N152" i="4"/>
  <c r="AM151" i="4"/>
  <c r="AN151" i="4" s="1"/>
  <c r="AB151" i="4"/>
  <c r="B183" i="6" l="1"/>
  <c r="C183" i="6"/>
  <c r="A184" i="6"/>
  <c r="B183" i="1"/>
  <c r="C183" i="1"/>
  <c r="A184" i="1"/>
  <c r="A182" i="3"/>
  <c r="B181" i="3"/>
  <c r="C181" i="3"/>
  <c r="M154" i="4"/>
  <c r="A153" i="4"/>
  <c r="B153" i="4" s="1"/>
  <c r="N153" i="4"/>
  <c r="Y153" i="4"/>
  <c r="AM152" i="4"/>
  <c r="AN152" i="4" s="1"/>
  <c r="AB152" i="4"/>
  <c r="B184" i="6" l="1"/>
  <c r="C184" i="6"/>
  <c r="A185" i="6"/>
  <c r="B184" i="1"/>
  <c r="C184" i="1"/>
  <c r="A185" i="1"/>
  <c r="A183" i="3"/>
  <c r="B182" i="3"/>
  <c r="C182" i="3"/>
  <c r="M155" i="4"/>
  <c r="A154" i="4"/>
  <c r="B154" i="4" s="1"/>
  <c r="N154" i="4"/>
  <c r="Y154" i="4"/>
  <c r="AM153" i="4"/>
  <c r="AN153" i="4" s="1"/>
  <c r="AB153" i="4"/>
  <c r="A186" i="6" l="1"/>
  <c r="B185" i="6"/>
  <c r="C185" i="6"/>
  <c r="B185" i="1"/>
  <c r="C185" i="1"/>
  <c r="A186" i="1"/>
  <c r="A184" i="3"/>
  <c r="B183" i="3"/>
  <c r="C183" i="3"/>
  <c r="M156" i="4"/>
  <c r="Y155" i="4"/>
  <c r="N155" i="4"/>
  <c r="A155" i="4"/>
  <c r="B155" i="4" s="1"/>
  <c r="AM154" i="4"/>
  <c r="AN154" i="4" s="1"/>
  <c r="AB154" i="4"/>
  <c r="C186" i="6" l="1"/>
  <c r="A187" i="6"/>
  <c r="B186" i="6"/>
  <c r="B186" i="1"/>
  <c r="C186" i="1"/>
  <c r="A187" i="1"/>
  <c r="A185" i="3"/>
  <c r="B184" i="3"/>
  <c r="C184" i="3"/>
  <c r="M157" i="4"/>
  <c r="A156" i="4"/>
  <c r="B156" i="4" s="1"/>
  <c r="N156" i="4"/>
  <c r="Y156" i="4"/>
  <c r="AB155" i="4"/>
  <c r="AM155" i="4"/>
  <c r="AN155" i="4" s="1"/>
  <c r="B187" i="6" l="1"/>
  <c r="C187" i="6"/>
  <c r="A188" i="6"/>
  <c r="B187" i="1"/>
  <c r="C187" i="1"/>
  <c r="A188" i="1"/>
  <c r="A186" i="3"/>
  <c r="B185" i="3"/>
  <c r="C185" i="3"/>
  <c r="M158" i="4"/>
  <c r="Y157" i="4"/>
  <c r="A157" i="4"/>
  <c r="B157" i="4" s="1"/>
  <c r="N157" i="4"/>
  <c r="AM156" i="4"/>
  <c r="AN156" i="4" s="1"/>
  <c r="AB156" i="4"/>
  <c r="B188" i="6" l="1"/>
  <c r="C188" i="6"/>
  <c r="A189" i="6"/>
  <c r="J180" i="3"/>
  <c r="I183" i="3"/>
  <c r="B188" i="1"/>
  <c r="C188" i="1"/>
  <c r="A187" i="3"/>
  <c r="B186" i="3"/>
  <c r="C186" i="3"/>
  <c r="M159" i="4"/>
  <c r="N158" i="4"/>
  <c r="Y158" i="4"/>
  <c r="A158" i="4"/>
  <c r="B158" i="4" s="1"/>
  <c r="AB157" i="4"/>
  <c r="AM157" i="4"/>
  <c r="AN157" i="4" s="1"/>
  <c r="I186" i="3" l="1"/>
  <c r="J181" i="3"/>
  <c r="J185" i="3"/>
  <c r="I182" i="3"/>
  <c r="I185" i="3"/>
  <c r="J182" i="3"/>
  <c r="J179" i="3"/>
  <c r="I181" i="3"/>
  <c r="J183" i="3"/>
  <c r="J177" i="3"/>
  <c r="I177" i="3"/>
  <c r="I178" i="3"/>
  <c r="J178" i="3"/>
  <c r="J176" i="3"/>
  <c r="I175" i="3"/>
  <c r="I176" i="3"/>
  <c r="J175" i="3"/>
  <c r="I174" i="3"/>
  <c r="J174" i="3"/>
  <c r="J173" i="3"/>
  <c r="I173" i="3"/>
  <c r="J172" i="3"/>
  <c r="I172" i="3"/>
  <c r="J171" i="3"/>
  <c r="I171" i="3"/>
  <c r="J170" i="3"/>
  <c r="I169" i="3"/>
  <c r="I170" i="3"/>
  <c r="J168" i="3"/>
  <c r="J169" i="3"/>
  <c r="I168" i="3"/>
  <c r="J167" i="3"/>
  <c r="I167" i="3"/>
  <c r="J165" i="3"/>
  <c r="J166" i="3"/>
  <c r="I166" i="3"/>
  <c r="I164" i="3"/>
  <c r="J164" i="3"/>
  <c r="I165" i="3"/>
  <c r="I163" i="3"/>
  <c r="J163" i="3"/>
  <c r="J162" i="3"/>
  <c r="I162" i="3"/>
  <c r="I161" i="3"/>
  <c r="J161" i="3"/>
  <c r="J160" i="3"/>
  <c r="I159" i="3"/>
  <c r="I160" i="3"/>
  <c r="J158" i="3"/>
  <c r="J159" i="3"/>
  <c r="I158" i="3"/>
  <c r="I157" i="3"/>
  <c r="J156" i="3"/>
  <c r="J157" i="3"/>
  <c r="J155" i="3"/>
  <c r="I156" i="3"/>
  <c r="J154" i="3"/>
  <c r="I155" i="3"/>
  <c r="I154" i="3"/>
  <c r="J153" i="3"/>
  <c r="J152" i="3"/>
  <c r="I153" i="3"/>
  <c r="I151" i="3"/>
  <c r="I152" i="3"/>
  <c r="I150" i="3"/>
  <c r="J150" i="3"/>
  <c r="J151" i="3"/>
  <c r="I149" i="3"/>
  <c r="J148" i="3"/>
  <c r="J149" i="3"/>
  <c r="I148" i="3"/>
  <c r="I147" i="3"/>
  <c r="J147" i="3"/>
  <c r="I146" i="3"/>
  <c r="J146" i="3"/>
  <c r="J145" i="3"/>
  <c r="I145" i="3"/>
  <c r="I144" i="3"/>
  <c r="J144" i="3"/>
  <c r="I143" i="3"/>
  <c r="J141" i="3"/>
  <c r="J143" i="3"/>
  <c r="I142" i="3"/>
  <c r="J142" i="3"/>
  <c r="I140" i="3"/>
  <c r="I141" i="3"/>
  <c r="J140" i="3"/>
  <c r="J138" i="3"/>
  <c r="I137" i="3"/>
  <c r="J139" i="3"/>
  <c r="I139" i="3"/>
  <c r="I138" i="3"/>
  <c r="J136" i="3"/>
  <c r="J135" i="3"/>
  <c r="I136" i="3"/>
  <c r="J137" i="3"/>
  <c r="I135" i="3"/>
  <c r="I133" i="3"/>
  <c r="I134" i="3"/>
  <c r="J134" i="3"/>
  <c r="J132" i="3"/>
  <c r="I131" i="3"/>
  <c r="J133" i="3"/>
  <c r="I132" i="3"/>
  <c r="J130" i="3"/>
  <c r="I130" i="3"/>
  <c r="J131" i="3"/>
  <c r="I128" i="3"/>
  <c r="I129" i="3"/>
  <c r="J129" i="3"/>
  <c r="I127" i="3"/>
  <c r="J128" i="3"/>
  <c r="J127" i="3"/>
  <c r="J126" i="3"/>
  <c r="I126" i="3"/>
  <c r="J125" i="3"/>
  <c r="I125" i="3"/>
  <c r="J124" i="3"/>
  <c r="I124" i="3"/>
  <c r="J123" i="3"/>
  <c r="I123" i="3"/>
  <c r="I122" i="3"/>
  <c r="I121" i="3"/>
  <c r="J121" i="3"/>
  <c r="J122" i="3"/>
  <c r="I120" i="3"/>
  <c r="J120" i="3"/>
  <c r="J119" i="3"/>
  <c r="I118" i="3"/>
  <c r="I119" i="3"/>
  <c r="J118" i="3"/>
  <c r="I117" i="3"/>
  <c r="J117" i="3"/>
  <c r="I116" i="3"/>
  <c r="J116" i="3"/>
  <c r="I115" i="3"/>
  <c r="J115" i="3"/>
  <c r="J114" i="3"/>
  <c r="I113" i="3"/>
  <c r="I112" i="3"/>
  <c r="J113" i="3"/>
  <c r="I114" i="3"/>
  <c r="I111" i="3"/>
  <c r="J112" i="3"/>
  <c r="J110" i="3"/>
  <c r="J111" i="3"/>
  <c r="I110" i="3"/>
  <c r="J108" i="3"/>
  <c r="J109" i="3"/>
  <c r="I108" i="3"/>
  <c r="I109" i="3"/>
  <c r="I107" i="3"/>
  <c r="J107" i="3"/>
  <c r="I106" i="3"/>
  <c r="J106" i="3"/>
  <c r="J104" i="3"/>
  <c r="I105" i="3"/>
  <c r="I104" i="3"/>
  <c r="J105" i="3"/>
  <c r="J103" i="3"/>
  <c r="I103" i="3"/>
  <c r="J102" i="3"/>
  <c r="I102" i="3"/>
  <c r="I101" i="3"/>
  <c r="I100" i="3"/>
  <c r="J101" i="3"/>
  <c r="J100" i="3"/>
  <c r="J99" i="3"/>
  <c r="I98" i="3"/>
  <c r="I99" i="3"/>
  <c r="J98" i="3"/>
  <c r="I97" i="3"/>
  <c r="J97" i="3"/>
  <c r="I95" i="3"/>
  <c r="J96" i="3"/>
  <c r="I96" i="3"/>
  <c r="J95" i="3"/>
  <c r="I94" i="3"/>
  <c r="J94" i="3"/>
  <c r="I93" i="3"/>
  <c r="J93" i="3"/>
  <c r="J92" i="3"/>
  <c r="J91" i="3"/>
  <c r="I91" i="3"/>
  <c r="I92" i="3"/>
  <c r="I89" i="3"/>
  <c r="J89" i="3"/>
  <c r="J90" i="3"/>
  <c r="I90" i="3"/>
  <c r="J87" i="3"/>
  <c r="I88" i="3"/>
  <c r="J88" i="3"/>
  <c r="J86" i="3"/>
  <c r="I86" i="3"/>
  <c r="I87" i="3"/>
  <c r="I85" i="3"/>
  <c r="J85" i="3"/>
  <c r="J84" i="3"/>
  <c r="I84" i="3"/>
  <c r="J83" i="3"/>
  <c r="I83" i="3"/>
  <c r="J82" i="3"/>
  <c r="J81" i="3"/>
  <c r="I82" i="3"/>
  <c r="J80" i="3"/>
  <c r="I81" i="3"/>
  <c r="J79" i="3"/>
  <c r="I80" i="3"/>
  <c r="I79" i="3"/>
  <c r="I77" i="3"/>
  <c r="J77" i="3"/>
  <c r="I78" i="3"/>
  <c r="J78" i="3"/>
  <c r="I76" i="3"/>
  <c r="I75" i="3"/>
  <c r="J75" i="3"/>
  <c r="J76" i="3"/>
  <c r="I74" i="3"/>
  <c r="J74" i="3"/>
  <c r="I73" i="3"/>
  <c r="J73" i="3"/>
  <c r="J72" i="3"/>
  <c r="I72" i="3"/>
  <c r="J70" i="3"/>
  <c r="J71" i="3"/>
  <c r="I70" i="3"/>
  <c r="I71" i="3"/>
  <c r="I69" i="3"/>
  <c r="J69" i="3"/>
  <c r="I68" i="3"/>
  <c r="J68" i="3"/>
  <c r="J66" i="3"/>
  <c r="J67" i="3"/>
  <c r="I67" i="3"/>
  <c r="I66" i="3"/>
  <c r="I65" i="3"/>
  <c r="J65" i="3"/>
  <c r="I64" i="3"/>
  <c r="J64" i="3"/>
  <c r="I62" i="3"/>
  <c r="J62" i="3"/>
  <c r="J20" i="3"/>
  <c r="I14" i="3"/>
  <c r="J63" i="3"/>
  <c r="I37" i="3"/>
  <c r="I63" i="3"/>
  <c r="I247" i="3"/>
  <c r="J53" i="3"/>
  <c r="J255" i="3"/>
  <c r="I61" i="3"/>
  <c r="I246" i="3"/>
  <c r="J19" i="3"/>
  <c r="I230" i="3"/>
  <c r="I51" i="3"/>
  <c r="I248" i="3"/>
  <c r="I41" i="3"/>
  <c r="J60" i="3"/>
  <c r="J226" i="3"/>
  <c r="I207" i="3"/>
  <c r="J30" i="3"/>
  <c r="J21" i="3"/>
  <c r="J3" i="3"/>
  <c r="J61" i="3"/>
  <c r="J10" i="3"/>
  <c r="I216" i="3"/>
  <c r="I8" i="3"/>
  <c r="J254" i="3"/>
  <c r="J194" i="3"/>
  <c r="I44" i="3"/>
  <c r="J211" i="3"/>
  <c r="I258" i="3"/>
  <c r="J28" i="3"/>
  <c r="J249" i="3"/>
  <c r="I34" i="3"/>
  <c r="I249" i="3"/>
  <c r="I227" i="3"/>
  <c r="I237" i="3"/>
  <c r="I256" i="3"/>
  <c r="J7" i="3"/>
  <c r="J52" i="3"/>
  <c r="I238" i="3"/>
  <c r="I20" i="3"/>
  <c r="J228" i="3"/>
  <c r="I9" i="3"/>
  <c r="J218" i="3"/>
  <c r="J256" i="3"/>
  <c r="I12" i="3"/>
  <c r="I206" i="3"/>
  <c r="J48" i="3"/>
  <c r="J5" i="3"/>
  <c r="I59" i="3"/>
  <c r="J41" i="3"/>
  <c r="I203" i="3"/>
  <c r="I234" i="3"/>
  <c r="I228" i="3"/>
  <c r="I192" i="3"/>
  <c r="I5" i="3"/>
  <c r="I10" i="3"/>
  <c r="J190" i="3"/>
  <c r="J37" i="3"/>
  <c r="I2" i="3"/>
  <c r="J44" i="3"/>
  <c r="M44" i="3" s="1"/>
  <c r="J54" i="3"/>
  <c r="I255" i="3"/>
  <c r="I28" i="3"/>
  <c r="J252" i="3"/>
  <c r="J14" i="3"/>
  <c r="J203" i="3"/>
  <c r="J196" i="3"/>
  <c r="I250" i="3"/>
  <c r="I188" i="3"/>
  <c r="J191" i="3"/>
  <c r="I7" i="3"/>
  <c r="I217" i="3"/>
  <c r="I38" i="3"/>
  <c r="J55" i="3"/>
  <c r="I18" i="3"/>
  <c r="J6" i="3"/>
  <c r="I11" i="3"/>
  <c r="I199" i="3"/>
  <c r="I253" i="3"/>
  <c r="J233" i="3"/>
  <c r="J15" i="3"/>
  <c r="J202" i="3"/>
  <c r="I22" i="3"/>
  <c r="J59" i="3"/>
  <c r="I58" i="3"/>
  <c r="J31" i="3"/>
  <c r="J9" i="3"/>
  <c r="I226" i="3"/>
  <c r="J198" i="3"/>
  <c r="J39" i="3"/>
  <c r="I240" i="3"/>
  <c r="J46" i="3"/>
  <c r="J229" i="3"/>
  <c r="I196" i="3"/>
  <c r="J49" i="3"/>
  <c r="M49" i="3" s="1"/>
  <c r="J216" i="3"/>
  <c r="I193" i="3"/>
  <c r="J35" i="3"/>
  <c r="I242" i="3"/>
  <c r="I57" i="3"/>
  <c r="I17" i="3"/>
  <c r="I30" i="3"/>
  <c r="I52" i="3"/>
  <c r="J230" i="3"/>
  <c r="J16" i="3"/>
  <c r="I45" i="3"/>
  <c r="I42" i="3"/>
  <c r="J25" i="3"/>
  <c r="I21" i="3"/>
  <c r="J221" i="3"/>
  <c r="I55" i="3"/>
  <c r="I251" i="3"/>
  <c r="I204" i="3"/>
  <c r="I43" i="3"/>
  <c r="J223" i="3"/>
  <c r="J244" i="3"/>
  <c r="I190" i="3"/>
  <c r="I232" i="3"/>
  <c r="J257" i="3"/>
  <c r="I53" i="3"/>
  <c r="J225" i="3"/>
  <c r="I213" i="3"/>
  <c r="J207" i="3"/>
  <c r="J234" i="3"/>
  <c r="I231" i="3"/>
  <c r="J224" i="3"/>
  <c r="I54" i="3"/>
  <c r="I257" i="3"/>
  <c r="I195" i="3"/>
  <c r="J239" i="3"/>
  <c r="I32" i="3"/>
  <c r="I252" i="3"/>
  <c r="J227" i="3"/>
  <c r="I36" i="3"/>
  <c r="J200" i="3"/>
  <c r="J18" i="3"/>
  <c r="I212" i="3"/>
  <c r="J12" i="3"/>
  <c r="I16" i="3"/>
  <c r="J27" i="3"/>
  <c r="I50" i="3"/>
  <c r="J247" i="3"/>
  <c r="J232" i="3"/>
  <c r="J45" i="3"/>
  <c r="J212" i="3"/>
  <c r="I222" i="3"/>
  <c r="I219" i="3"/>
  <c r="I31" i="3"/>
  <c r="J215" i="3"/>
  <c r="J33" i="3"/>
  <c r="I40" i="3"/>
  <c r="J237" i="3"/>
  <c r="J193" i="3"/>
  <c r="I205" i="3"/>
  <c r="J23" i="3"/>
  <c r="J197" i="3"/>
  <c r="J251" i="3"/>
  <c r="J56" i="3"/>
  <c r="I224" i="3"/>
  <c r="I198" i="3"/>
  <c r="J204" i="3"/>
  <c r="I56" i="3"/>
  <c r="J206" i="3"/>
  <c r="I47" i="3"/>
  <c r="J222" i="3"/>
  <c r="I35" i="3"/>
  <c r="I209" i="3"/>
  <c r="J40" i="3"/>
  <c r="I13" i="3"/>
  <c r="J236" i="3"/>
  <c r="J246" i="3"/>
  <c r="I29" i="3"/>
  <c r="I46" i="3"/>
  <c r="I220" i="3"/>
  <c r="I223" i="3"/>
  <c r="J245" i="3"/>
  <c r="I39" i="3"/>
  <c r="I60" i="3"/>
  <c r="I241" i="3"/>
  <c r="I15" i="3"/>
  <c r="I243" i="3"/>
  <c r="I27" i="3"/>
  <c r="J188" i="3"/>
  <c r="J26" i="3"/>
  <c r="J32" i="3"/>
  <c r="I24" i="3"/>
  <c r="J17" i="3"/>
  <c r="I201" i="3"/>
  <c r="I23" i="3"/>
  <c r="I200" i="3"/>
  <c r="I26" i="3"/>
  <c r="J201" i="3"/>
  <c r="J38" i="3"/>
  <c r="J210" i="3"/>
  <c r="J58" i="3"/>
  <c r="I245" i="3"/>
  <c r="J24" i="3"/>
  <c r="J2" i="3"/>
  <c r="J243" i="3"/>
  <c r="J240" i="3"/>
  <c r="J209" i="3"/>
  <c r="I194" i="3"/>
  <c r="I49" i="3"/>
  <c r="J22" i="3"/>
  <c r="I189" i="3"/>
  <c r="I191" i="3"/>
  <c r="J248" i="3"/>
  <c r="I33" i="3"/>
  <c r="J13" i="3"/>
  <c r="J57" i="3"/>
  <c r="M57" i="3" s="1"/>
  <c r="J208" i="3"/>
  <c r="J34" i="3"/>
  <c r="J192" i="3"/>
  <c r="J199" i="3"/>
  <c r="J4" i="3"/>
  <c r="J50" i="3"/>
  <c r="I19" i="3"/>
  <c r="I235" i="3"/>
  <c r="I254" i="3"/>
  <c r="I233" i="3"/>
  <c r="I244" i="3"/>
  <c r="J43" i="3"/>
  <c r="J250" i="3"/>
  <c r="I197" i="3"/>
  <c r="I210" i="3"/>
  <c r="J36" i="3"/>
  <c r="J205" i="3"/>
  <c r="J195" i="3"/>
  <c r="J258" i="3"/>
  <c r="I229" i="3"/>
  <c r="J242" i="3"/>
  <c r="J213" i="3"/>
  <c r="I236" i="3"/>
  <c r="J238" i="3"/>
  <c r="J235" i="3"/>
  <c r="J253" i="3"/>
  <c r="I214" i="3"/>
  <c r="I6" i="3"/>
  <c r="J241" i="3"/>
  <c r="J231" i="3"/>
  <c r="I211" i="3"/>
  <c r="I239" i="3"/>
  <c r="I221" i="3"/>
  <c r="I218" i="3"/>
  <c r="I25" i="3"/>
  <c r="J189" i="3"/>
  <c r="I3" i="3"/>
  <c r="J47" i="3"/>
  <c r="I4" i="3"/>
  <c r="J8" i="3"/>
  <c r="J29" i="3"/>
  <c r="I215" i="3"/>
  <c r="I208" i="3"/>
  <c r="I225" i="3"/>
  <c r="J51" i="3"/>
  <c r="J219" i="3"/>
  <c r="J42" i="3"/>
  <c r="J217" i="3"/>
  <c r="I202" i="3"/>
  <c r="J220" i="3"/>
  <c r="I48" i="3"/>
  <c r="J214" i="3"/>
  <c r="J11" i="3"/>
  <c r="B189" i="6"/>
  <c r="C189" i="6"/>
  <c r="J186" i="3"/>
  <c r="J184" i="3"/>
  <c r="I179" i="3"/>
  <c r="I180" i="3"/>
  <c r="I184" i="3"/>
  <c r="B187" i="3"/>
  <c r="C187" i="3"/>
  <c r="J187" i="3"/>
  <c r="M160" i="4"/>
  <c r="I187" i="3"/>
  <c r="N159" i="4"/>
  <c r="Y159" i="4"/>
  <c r="A159" i="4"/>
  <c r="B159" i="4" s="1"/>
  <c r="AB158" i="4"/>
  <c r="AM158" i="4"/>
  <c r="AN158" i="4" s="1"/>
  <c r="S27" i="11" l="1"/>
  <c r="S21" i="11"/>
  <c r="S10" i="11"/>
  <c r="S16" i="11"/>
  <c r="R10" i="11"/>
  <c r="R16" i="11"/>
  <c r="R21" i="11"/>
  <c r="R27" i="11"/>
  <c r="Q186" i="3"/>
  <c r="Q257" i="3"/>
  <c r="Q187" i="3"/>
  <c r="Q27" i="11"/>
  <c r="Q21" i="11"/>
  <c r="Q16" i="11"/>
  <c r="Q10" i="11"/>
  <c r="Q223" i="3"/>
  <c r="Q214" i="3"/>
  <c r="P16" i="11"/>
  <c r="P27" i="11"/>
  <c r="E14" i="16"/>
  <c r="E25" i="16"/>
  <c r="M45" i="3"/>
  <c r="Q5" i="3"/>
  <c r="P10" i="11"/>
  <c r="P14" i="11" s="1"/>
  <c r="P21" i="11"/>
  <c r="Q55" i="3"/>
  <c r="E8" i="16"/>
  <c r="C8" i="16"/>
  <c r="D8" i="16"/>
  <c r="B8" i="16"/>
  <c r="Q188" i="3"/>
  <c r="Q56" i="3"/>
  <c r="Q33" i="3"/>
  <c r="E19" i="16"/>
  <c r="Q217" i="3"/>
  <c r="D19" i="16"/>
  <c r="C19" i="16"/>
  <c r="B19" i="16"/>
  <c r="Q220" i="3"/>
  <c r="Q26" i="3"/>
  <c r="Q14" i="3"/>
  <c r="Q247" i="3"/>
  <c r="Q230" i="3"/>
  <c r="Q51" i="3"/>
  <c r="Q248" i="3"/>
  <c r="Q41" i="3"/>
  <c r="Q207" i="3"/>
  <c r="Q44" i="3"/>
  <c r="Q12" i="3"/>
  <c r="Q18" i="3"/>
  <c r="Q11" i="3"/>
  <c r="Q193" i="3"/>
  <c r="Q42" i="3"/>
  <c r="Q219" i="3"/>
  <c r="Q124" i="3"/>
  <c r="Q103" i="3"/>
  <c r="Q245" i="3"/>
  <c r="Q221" i="3"/>
  <c r="Q25" i="3"/>
  <c r="Q203" i="3"/>
  <c r="Q228" i="3"/>
  <c r="Q10" i="3"/>
  <c r="Q250" i="3"/>
  <c r="Q7" i="3"/>
  <c r="Q253" i="3"/>
  <c r="Q43" i="3"/>
  <c r="Q161" i="3"/>
  <c r="Q240" i="3"/>
  <c r="Q196" i="3"/>
  <c r="Q232" i="3"/>
  <c r="Q213" i="3"/>
  <c r="Q231" i="3"/>
  <c r="Q54" i="3"/>
  <c r="Q195" i="3"/>
  <c r="Q32" i="3"/>
  <c r="Q252" i="3"/>
  <c r="Q36" i="3"/>
  <c r="Q254" i="3"/>
  <c r="Q205" i="3"/>
  <c r="Q47" i="3"/>
  <c r="Q35" i="3"/>
  <c r="Q209" i="3"/>
  <c r="Q13" i="3"/>
  <c r="Q29" i="3"/>
  <c r="Q194" i="3"/>
  <c r="Q189" i="3"/>
  <c r="Q191" i="3"/>
  <c r="Q211" i="3"/>
  <c r="Q218" i="3"/>
  <c r="Q63" i="3"/>
  <c r="Q72" i="3"/>
  <c r="Q70" i="3"/>
  <c r="Q153" i="3"/>
  <c r="Q249" i="3"/>
  <c r="Q182" i="3"/>
  <c r="Q185" i="3"/>
  <c r="Q181" i="3"/>
  <c r="Q177" i="3"/>
  <c r="Q178" i="3"/>
  <c r="Q175" i="3"/>
  <c r="Q176" i="3"/>
  <c r="Q174" i="3"/>
  <c r="Q173" i="3"/>
  <c r="Q172" i="3"/>
  <c r="Q171" i="3"/>
  <c r="Q169" i="3"/>
  <c r="Q170" i="3"/>
  <c r="Q168" i="3"/>
  <c r="Q167" i="3"/>
  <c r="Q166" i="3"/>
  <c r="Q164" i="3"/>
  <c r="Q165" i="3"/>
  <c r="Q163" i="3"/>
  <c r="Q162" i="3"/>
  <c r="Q159" i="3"/>
  <c r="Q160" i="3"/>
  <c r="Q158" i="3"/>
  <c r="Q157" i="3"/>
  <c r="Q156" i="3"/>
  <c r="Q155" i="3"/>
  <c r="Q154" i="3"/>
  <c r="Q151" i="3"/>
  <c r="Q152" i="3"/>
  <c r="Q150" i="3"/>
  <c r="Q149" i="3"/>
  <c r="Q148" i="3"/>
  <c r="Q147" i="3"/>
  <c r="Q146" i="3"/>
  <c r="Q145" i="3"/>
  <c r="Q144" i="3"/>
  <c r="Q143" i="3"/>
  <c r="Q142" i="3"/>
  <c r="Q140" i="3"/>
  <c r="Q141" i="3"/>
  <c r="Q137" i="3"/>
  <c r="Q139" i="3"/>
  <c r="Q138" i="3"/>
  <c r="Q136" i="3"/>
  <c r="Q135" i="3"/>
  <c r="Q133" i="3"/>
  <c r="Q134" i="3"/>
  <c r="Q132" i="3"/>
  <c r="Q130" i="3"/>
  <c r="Q128" i="3"/>
  <c r="Q129" i="3"/>
  <c r="Q127" i="3"/>
  <c r="Q126" i="3"/>
  <c r="Q125" i="3"/>
  <c r="Q123" i="3"/>
  <c r="Q122" i="3"/>
  <c r="Q121" i="3"/>
  <c r="Q120" i="3"/>
  <c r="Q118" i="3"/>
  <c r="Q119" i="3"/>
  <c r="Q117" i="3"/>
  <c r="Q116" i="3"/>
  <c r="Q115" i="3"/>
  <c r="Q113" i="3"/>
  <c r="Q112" i="3"/>
  <c r="Q114" i="3"/>
  <c r="Q111" i="3"/>
  <c r="Q110" i="3"/>
  <c r="Q108" i="3"/>
  <c r="Q109" i="3"/>
  <c r="Q107" i="3"/>
  <c r="Q106" i="3"/>
  <c r="Q104" i="3"/>
  <c r="Q102" i="3"/>
  <c r="Q101" i="3"/>
  <c r="Q100" i="3"/>
  <c r="Q98" i="3"/>
  <c r="Q99" i="3"/>
  <c r="Q97" i="3"/>
  <c r="Q95" i="3"/>
  <c r="Q96" i="3"/>
  <c r="Q93" i="3"/>
  <c r="Q91" i="3"/>
  <c r="Q92" i="3"/>
  <c r="Q89" i="3"/>
  <c r="Q90" i="3"/>
  <c r="Q88" i="3"/>
  <c r="Q86" i="3"/>
  <c r="Q87" i="3"/>
  <c r="Q84" i="3"/>
  <c r="Q83" i="3"/>
  <c r="Q82" i="3"/>
  <c r="Q81" i="3"/>
  <c r="Q80" i="3"/>
  <c r="Q79" i="3"/>
  <c r="Q77" i="3"/>
  <c r="Q78" i="3"/>
  <c r="Q76" i="3"/>
  <c r="Q74" i="3"/>
  <c r="Q73" i="3"/>
  <c r="Q71" i="3"/>
  <c r="Q69" i="3"/>
  <c r="Q67" i="3"/>
  <c r="Q66" i="3"/>
  <c r="Q64" i="3"/>
  <c r="L63" i="3"/>
  <c r="Q62" i="3"/>
  <c r="L58" i="3"/>
  <c r="Q58" i="3"/>
  <c r="Q52" i="3"/>
  <c r="L52" i="3"/>
  <c r="L53" i="3" s="1"/>
  <c r="L54" i="3" s="1"/>
  <c r="Q45" i="3"/>
  <c r="L45" i="3"/>
  <c r="Q53" i="3"/>
  <c r="Q50" i="3"/>
  <c r="Q46" i="3"/>
  <c r="L49" i="3"/>
  <c r="Q49" i="3"/>
  <c r="G29" i="11"/>
  <c r="B29" i="11"/>
  <c r="J31" i="11"/>
  <c r="I31" i="11"/>
  <c r="D29" i="11"/>
  <c r="D31" i="11"/>
  <c r="L29" i="11"/>
  <c r="I29" i="11"/>
  <c r="C29" i="11"/>
  <c r="K31" i="11"/>
  <c r="B31" i="11"/>
  <c r="H31" i="11"/>
  <c r="E31" i="11"/>
  <c r="F31" i="11"/>
  <c r="H29" i="11"/>
  <c r="E29" i="11"/>
  <c r="L31" i="11"/>
  <c r="G31" i="11"/>
  <c r="F29" i="11"/>
  <c r="K29" i="11"/>
  <c r="C31" i="11"/>
  <c r="J29" i="11"/>
  <c r="Q179" i="3"/>
  <c r="Q180" i="3"/>
  <c r="Q184" i="3"/>
  <c r="Q105" i="3"/>
  <c r="Q94" i="3"/>
  <c r="Q85" i="3"/>
  <c r="Q75" i="3"/>
  <c r="Q68" i="3"/>
  <c r="Q65" i="3"/>
  <c r="M63" i="3"/>
  <c r="M64" i="3" s="1"/>
  <c r="Q37" i="3"/>
  <c r="Q61" i="3"/>
  <c r="Q246" i="3"/>
  <c r="Q131" i="3"/>
  <c r="Q216" i="3"/>
  <c r="Q8" i="3"/>
  <c r="Q258" i="3"/>
  <c r="Q34" i="3"/>
  <c r="Q227" i="3"/>
  <c r="Q237" i="3"/>
  <c r="Q256" i="3"/>
  <c r="Q238" i="3"/>
  <c r="Q20" i="3"/>
  <c r="Q9" i="3"/>
  <c r="Q206" i="3"/>
  <c r="Q59" i="3"/>
  <c r="Q234" i="3"/>
  <c r="Q192" i="3"/>
  <c r="Q226" i="3"/>
  <c r="Q2" i="3"/>
  <c r="Q255" i="3"/>
  <c r="Q28" i="3"/>
  <c r="Q38" i="3"/>
  <c r="Q199" i="3"/>
  <c r="Q22" i="3"/>
  <c r="Q242" i="3"/>
  <c r="Q57" i="3"/>
  <c r="Q17" i="3"/>
  <c r="Q30" i="3"/>
  <c r="Q21" i="3"/>
  <c r="Q251" i="3"/>
  <c r="Q204" i="3"/>
  <c r="Q190" i="3"/>
  <c r="Q212" i="3"/>
  <c r="Q16" i="3"/>
  <c r="Q222" i="3"/>
  <c r="Q31" i="3"/>
  <c r="Q40" i="3"/>
  <c r="Q224" i="3"/>
  <c r="Q198" i="3"/>
  <c r="Q39" i="3"/>
  <c r="Q60" i="3"/>
  <c r="Q241" i="3"/>
  <c r="Q15" i="3"/>
  <c r="Q243" i="3"/>
  <c r="Q27" i="3"/>
  <c r="Q24" i="3"/>
  <c r="Q201" i="3"/>
  <c r="Q23" i="3"/>
  <c r="Q200" i="3"/>
  <c r="M58" i="3"/>
  <c r="M59" i="3" s="1"/>
  <c r="M50" i="3"/>
  <c r="M51" i="3" s="1"/>
  <c r="M52" i="3" s="1"/>
  <c r="Q19" i="3"/>
  <c r="Q235" i="3"/>
  <c r="Q233" i="3"/>
  <c r="Q244" i="3"/>
  <c r="Q197" i="3"/>
  <c r="Q210" i="3"/>
  <c r="Q229" i="3"/>
  <c r="Q236" i="3"/>
  <c r="Q6" i="3"/>
  <c r="Q239" i="3"/>
  <c r="Q3" i="3"/>
  <c r="Q4" i="3"/>
  <c r="Q215" i="3"/>
  <c r="Q208" i="3"/>
  <c r="Q225" i="3"/>
  <c r="Q202" i="3"/>
  <c r="Q48" i="3"/>
  <c r="Q183" i="3"/>
  <c r="N27" i="11"/>
  <c r="G21" i="11"/>
  <c r="O27" i="11"/>
  <c r="G27" i="11"/>
  <c r="E16" i="11"/>
  <c r="M21" i="11"/>
  <c r="E27" i="11"/>
  <c r="K10" i="11"/>
  <c r="J16" i="11"/>
  <c r="L21" i="11"/>
  <c r="L10" i="11"/>
  <c r="I16" i="11"/>
  <c r="F21" i="11"/>
  <c r="I10" i="11"/>
  <c r="E10" i="11"/>
  <c r="I27" i="11"/>
  <c r="M16" i="11"/>
  <c r="N10" i="11"/>
  <c r="L16" i="11"/>
  <c r="F10" i="11"/>
  <c r="F16" i="11"/>
  <c r="N16" i="11"/>
  <c r="J10" i="11"/>
  <c r="N21" i="11"/>
  <c r="L27" i="11"/>
  <c r="B16" i="11"/>
  <c r="M10" i="11"/>
  <c r="D16" i="11"/>
  <c r="M27" i="11"/>
  <c r="G10" i="11"/>
  <c r="D27" i="11"/>
  <c r="H27" i="11"/>
  <c r="B21" i="11"/>
  <c r="H16" i="11"/>
  <c r="K27" i="11"/>
  <c r="J27" i="11"/>
  <c r="E21" i="11"/>
  <c r="I21" i="11"/>
  <c r="B10" i="11"/>
  <c r="K16" i="11"/>
  <c r="K21" i="11"/>
  <c r="C10" i="11"/>
  <c r="D21" i="11"/>
  <c r="B27" i="11"/>
  <c r="C16" i="11"/>
  <c r="J21" i="11"/>
  <c r="O16" i="11"/>
  <c r="H10" i="11"/>
  <c r="F27" i="11"/>
  <c r="D10" i="11"/>
  <c r="G16" i="11"/>
  <c r="H21" i="11"/>
  <c r="C21" i="11"/>
  <c r="C27" i="11"/>
  <c r="O10" i="11"/>
  <c r="O21" i="11"/>
  <c r="D25" i="16"/>
  <c r="D14" i="16"/>
  <c r="C25" i="16"/>
  <c r="B14" i="16"/>
  <c r="B25" i="16"/>
  <c r="C14" i="16"/>
  <c r="Y160" i="4"/>
  <c r="N160" i="4"/>
  <c r="A160" i="4"/>
  <c r="B160" i="4" s="1"/>
  <c r="AM159" i="4"/>
  <c r="AN159" i="4" s="1"/>
  <c r="AB159" i="4"/>
  <c r="S24" i="11" l="1"/>
  <c r="S25" i="11"/>
  <c r="S23" i="11"/>
  <c r="S14" i="11"/>
  <c r="S13" i="11"/>
  <c r="S12" i="11"/>
  <c r="R14" i="11"/>
  <c r="R13" i="11"/>
  <c r="R12" i="11"/>
  <c r="R23" i="11"/>
  <c r="R24" i="11"/>
  <c r="R25" i="11"/>
  <c r="S16" i="3"/>
  <c r="S17" i="3"/>
  <c r="S15" i="3"/>
  <c r="Q23" i="11"/>
  <c r="Q24" i="11"/>
  <c r="Q25" i="11"/>
  <c r="Q12" i="11"/>
  <c r="Q13" i="11"/>
  <c r="Q14" i="11"/>
  <c r="P13" i="11"/>
  <c r="P12" i="11"/>
  <c r="P23" i="11"/>
  <c r="P24" i="11"/>
  <c r="M46" i="3"/>
  <c r="M47" i="3" s="1"/>
  <c r="B11" i="16"/>
  <c r="C11" i="16"/>
  <c r="D11" i="16"/>
  <c r="D12" i="16"/>
  <c r="B12" i="16"/>
  <c r="C12" i="16"/>
  <c r="P25" i="11"/>
  <c r="B10" i="16"/>
  <c r="E12" i="16"/>
  <c r="E10" i="16"/>
  <c r="C10" i="16"/>
  <c r="E11" i="16"/>
  <c r="D10" i="16"/>
  <c r="E22" i="16"/>
  <c r="E23" i="16"/>
  <c r="E21" i="16"/>
  <c r="D22" i="16"/>
  <c r="D21" i="16"/>
  <c r="D23" i="16"/>
  <c r="C22" i="16"/>
  <c r="C21" i="16"/>
  <c r="C23" i="16"/>
  <c r="B22" i="16"/>
  <c r="B21" i="16"/>
  <c r="B23" i="16"/>
  <c r="S2" i="3"/>
  <c r="S7" i="3"/>
  <c r="S14" i="3"/>
  <c r="S10" i="3"/>
  <c r="L46" i="3"/>
  <c r="L47" i="3" s="1"/>
  <c r="M65" i="3"/>
  <c r="M66" i="3" s="1"/>
  <c r="M67" i="3" s="1"/>
  <c r="M68" i="3" s="1"/>
  <c r="M69" i="3" s="1"/>
  <c r="M70" i="3" s="1"/>
  <c r="M71" i="3" s="1"/>
  <c r="M72" i="3" s="1"/>
  <c r="M73" i="3" s="1"/>
  <c r="M74" i="3" s="1"/>
  <c r="M75" i="3" s="1"/>
  <c r="M76" i="3" s="1"/>
  <c r="M79" i="3" s="1"/>
  <c r="M80" i="3" s="1"/>
  <c r="M81" i="3" s="1"/>
  <c r="M82" i="3" s="1"/>
  <c r="M83" i="3" s="1"/>
  <c r="M84" i="3" s="1"/>
  <c r="M85" i="3" s="1"/>
  <c r="M86" i="3" s="1"/>
  <c r="M87" i="3" s="1"/>
  <c r="M88" i="3" s="1"/>
  <c r="M89" i="3" s="1"/>
  <c r="M90" i="3" s="1"/>
  <c r="M91" i="3" s="1"/>
  <c r="M92" i="3" s="1"/>
  <c r="M93" i="3" s="1"/>
  <c r="M94" i="3" s="1"/>
  <c r="M95" i="3" s="1"/>
  <c r="M96" i="3" s="1"/>
  <c r="M97" i="3" s="1"/>
  <c r="M98" i="3" s="1"/>
  <c r="M99" i="3" s="1"/>
  <c r="M100" i="3" s="1"/>
  <c r="M101" i="3" s="1"/>
  <c r="M102" i="3" s="1"/>
  <c r="M103" i="3" s="1"/>
  <c r="M104" i="3" s="1"/>
  <c r="M105" i="3" s="1"/>
  <c r="M106" i="3" s="1"/>
  <c r="M107" i="3" s="1"/>
  <c r="M108" i="3" s="1"/>
  <c r="M109" i="3" s="1"/>
  <c r="M110" i="3" s="1"/>
  <c r="M111" i="3" s="1"/>
  <c r="M112" i="3" s="1"/>
  <c r="M113" i="3" s="1"/>
  <c r="M114" i="3" s="1"/>
  <c r="M115" i="3" s="1"/>
  <c r="M116" i="3" s="1"/>
  <c r="M117" i="3" s="1"/>
  <c r="M118" i="3" s="1"/>
  <c r="M119" i="3" s="1"/>
  <c r="M120" i="3" s="1"/>
  <c r="M121" i="3" s="1"/>
  <c r="M122" i="3" s="1"/>
  <c r="M123" i="3" s="1"/>
  <c r="M124" i="3" s="1"/>
  <c r="M125" i="3" s="1"/>
  <c r="M126" i="3" s="1"/>
  <c r="S13" i="3"/>
  <c r="S9" i="3"/>
  <c r="S11" i="3"/>
  <c r="S8" i="3"/>
  <c r="S3" i="3"/>
  <c r="S4" i="3"/>
  <c r="S5" i="3"/>
  <c r="S12" i="3"/>
  <c r="S6" i="3"/>
  <c r="L64" i="3"/>
  <c r="L50" i="3"/>
  <c r="G25" i="11"/>
  <c r="G23" i="11"/>
  <c r="G24" i="11"/>
  <c r="M24" i="11"/>
  <c r="M25" i="11"/>
  <c r="M23" i="11"/>
  <c r="K14" i="11"/>
  <c r="K12" i="11"/>
  <c r="K13" i="11"/>
  <c r="L24" i="11"/>
  <c r="L23" i="11"/>
  <c r="L25" i="11"/>
  <c r="L13" i="11"/>
  <c r="L12" i="11"/>
  <c r="L14" i="11"/>
  <c r="F23" i="11"/>
  <c r="F24" i="11"/>
  <c r="F25" i="11"/>
  <c r="I13" i="11"/>
  <c r="I12" i="11"/>
  <c r="I14" i="11"/>
  <c r="E12" i="11"/>
  <c r="E13" i="11"/>
  <c r="E14" i="11"/>
  <c r="N13" i="11"/>
  <c r="N12" i="11"/>
  <c r="N14" i="11"/>
  <c r="F13" i="11"/>
  <c r="F12" i="11"/>
  <c r="F14" i="11"/>
  <c r="J13" i="11"/>
  <c r="J12" i="11"/>
  <c r="J14" i="11"/>
  <c r="N24" i="11"/>
  <c r="N25" i="11"/>
  <c r="N23" i="11"/>
  <c r="M13" i="11"/>
  <c r="M12" i="11"/>
  <c r="M14" i="11"/>
  <c r="G12" i="11"/>
  <c r="G13" i="11"/>
  <c r="G14" i="11"/>
  <c r="U21" i="11"/>
  <c r="B23" i="11"/>
  <c r="B25" i="11"/>
  <c r="B24" i="11"/>
  <c r="E23" i="11"/>
  <c r="E25" i="11"/>
  <c r="E24" i="11"/>
  <c r="I24" i="11"/>
  <c r="I23" i="11"/>
  <c r="I25" i="11"/>
  <c r="B12" i="11"/>
  <c r="B13" i="11"/>
  <c r="B14" i="11"/>
  <c r="U10" i="11"/>
  <c r="K24" i="11"/>
  <c r="K25" i="11"/>
  <c r="K23" i="11"/>
  <c r="C12" i="11"/>
  <c r="C13" i="11"/>
  <c r="C14" i="11"/>
  <c r="D25" i="11"/>
  <c r="D24" i="11"/>
  <c r="D23" i="11"/>
  <c r="J24" i="11"/>
  <c r="J25" i="11"/>
  <c r="J23" i="11"/>
  <c r="H13" i="11"/>
  <c r="H14" i="11"/>
  <c r="H12" i="11"/>
  <c r="D12" i="11"/>
  <c r="D13" i="11"/>
  <c r="D14" i="11"/>
  <c r="H24" i="11"/>
  <c r="H25" i="11"/>
  <c r="H23" i="11"/>
  <c r="C24" i="11"/>
  <c r="C23" i="11"/>
  <c r="C25" i="11"/>
  <c r="O14" i="11"/>
  <c r="O13" i="11"/>
  <c r="O12" i="11"/>
  <c r="O25" i="11"/>
  <c r="O24" i="11"/>
  <c r="O23" i="11"/>
  <c r="AM160" i="4"/>
  <c r="AN160" i="4" s="1"/>
  <c r="AB160" i="4"/>
  <c r="M127" i="3" l="1"/>
  <c r="M128" i="3" s="1"/>
  <c r="M129" i="3" s="1"/>
  <c r="M130" i="3" s="1"/>
  <c r="M131" i="3" s="1"/>
  <c r="M132" i="3" s="1"/>
  <c r="M133" i="3" s="1"/>
  <c r="M134" i="3" s="1"/>
  <c r="M135" i="3" s="1"/>
  <c r="M136" i="3" s="1"/>
  <c r="M137" i="3" s="1"/>
  <c r="M138" i="3" s="1"/>
  <c r="M139" i="3" s="1"/>
  <c r="M140" i="3" s="1"/>
  <c r="M141" i="3" s="1"/>
  <c r="M142" i="3" s="1"/>
  <c r="M143" i="3" s="1"/>
  <c r="M144" i="3" s="1"/>
  <c r="M145" i="3" s="1"/>
  <c r="M146" i="3" s="1"/>
  <c r="M147" i="3" s="1"/>
  <c r="M148" i="3" s="1"/>
  <c r="M149" i="3" s="1"/>
  <c r="M150" i="3" s="1"/>
  <c r="M151" i="3" s="1"/>
  <c r="M152" i="3" s="1"/>
  <c r="M153" i="3" s="1"/>
  <c r="M154" i="3" s="1"/>
  <c r="M155" i="3" s="1"/>
  <c r="M156" i="3" s="1"/>
  <c r="M157" i="3" s="1"/>
  <c r="M158" i="3" s="1"/>
  <c r="M159" i="3" s="1"/>
  <c r="M160" i="3" s="1"/>
  <c r="M161" i="3" s="1"/>
  <c r="M162" i="3" s="1"/>
  <c r="M163" i="3" s="1"/>
  <c r="M164" i="3" s="1"/>
  <c r="M165" i="3" s="1"/>
  <c r="M166" i="3" s="1"/>
  <c r="M167" i="3" s="1"/>
  <c r="M168" i="3" s="1"/>
  <c r="M169" i="3" s="1"/>
  <c r="M170" i="3" s="1"/>
  <c r="M171" i="3" s="1"/>
  <c r="M172" i="3" s="1"/>
  <c r="M173" i="3" s="1"/>
  <c r="M174" i="3" s="1"/>
  <c r="M175" i="3" s="1"/>
  <c r="M176" i="3" s="1"/>
  <c r="M177" i="3" s="1"/>
  <c r="M178" i="3" s="1"/>
  <c r="M179" i="3" s="1"/>
  <c r="M180" i="3" s="1"/>
  <c r="M181" i="3" s="1"/>
  <c r="M182" i="3" s="1"/>
  <c r="M183" i="3" s="1"/>
  <c r="M184" i="3" s="1"/>
  <c r="M185" i="3" s="1"/>
  <c r="M186" i="3" s="1"/>
  <c r="M187" i="3" s="1"/>
  <c r="L65" i="3"/>
  <c r="L66" i="3" s="1"/>
  <c r="U24" i="11"/>
  <c r="U31" i="11"/>
  <c r="U25" i="11"/>
  <c r="U23" i="11"/>
  <c r="U13" i="11"/>
  <c r="U29" i="11"/>
  <c r="U14" i="11"/>
  <c r="U12" i="11"/>
  <c r="G12" i="16"/>
  <c r="G8" i="16"/>
  <c r="G19" i="16"/>
  <c r="L67" i="3" l="1"/>
  <c r="L68" i="3" s="1"/>
  <c r="L70" i="3" s="1"/>
  <c r="G11" i="16"/>
  <c r="G22" i="16"/>
  <c r="V31" i="11"/>
  <c r="V29" i="11"/>
  <c r="G10" i="16"/>
  <c r="G23" i="16"/>
  <c r="L71" i="3" l="1"/>
  <c r="L72" i="3" s="1"/>
  <c r="L73" i="3" s="1"/>
  <c r="L74" i="3" s="1"/>
  <c r="L75" i="3" s="1"/>
  <c r="L76" i="3" s="1"/>
  <c r="L77" i="3" s="1"/>
  <c r="L78" i="3" s="1"/>
  <c r="L79" i="3" s="1"/>
  <c r="L80" i="3" s="1"/>
  <c r="L81" i="3" s="1"/>
  <c r="L82" i="3" s="1"/>
  <c r="L83" i="3" s="1"/>
  <c r="L84" i="3" s="1"/>
  <c r="L85" i="3" s="1"/>
  <c r="L86" i="3" s="1"/>
  <c r="L87" i="3" s="1"/>
  <c r="L88" i="3" s="1"/>
  <c r="L89" i="3" s="1"/>
  <c r="L90" i="3" s="1"/>
  <c r="L91" i="3" s="1"/>
  <c r="L92" i="3" s="1"/>
  <c r="L93" i="3" s="1"/>
  <c r="L94" i="3" s="1"/>
  <c r="L95" i="3" s="1"/>
  <c r="L96" i="3" s="1"/>
  <c r="L97" i="3" s="1"/>
  <c r="L98" i="3" s="1"/>
  <c r="L99" i="3" s="1"/>
  <c r="L100" i="3" s="1"/>
  <c r="L101" i="3" s="1"/>
  <c r="L102" i="3" s="1"/>
  <c r="L103" i="3" s="1"/>
  <c r="L104" i="3" s="1"/>
  <c r="L105" i="3" s="1"/>
  <c r="L106" i="3" s="1"/>
  <c r="L107" i="3" s="1"/>
  <c r="L108" i="3" s="1"/>
  <c r="L109" i="3" s="1"/>
  <c r="L110" i="3" s="1"/>
  <c r="L111" i="3" s="1"/>
  <c r="L112" i="3" s="1"/>
  <c r="L113" i="3" s="1"/>
  <c r="L114" i="3" s="1"/>
  <c r="L115" i="3" s="1"/>
  <c r="L116" i="3" s="1"/>
  <c r="L117" i="3" s="1"/>
  <c r="L118" i="3" s="1"/>
  <c r="L119" i="3" s="1"/>
  <c r="L120" i="3" s="1"/>
  <c r="L121" i="3" s="1"/>
  <c r="L122" i="3" s="1"/>
  <c r="L123" i="3" s="1"/>
  <c r="L124" i="3" s="1"/>
  <c r="L125" i="3" s="1"/>
  <c r="L126" i="3" s="1"/>
  <c r="L127" i="3" s="1"/>
  <c r="L128" i="3" s="1"/>
  <c r="L129" i="3" s="1"/>
  <c r="L130" i="3" s="1"/>
  <c r="L131" i="3" s="1"/>
  <c r="L132" i="3" s="1"/>
  <c r="L133" i="3" s="1"/>
  <c r="L134" i="3" s="1"/>
  <c r="L135" i="3" s="1"/>
  <c r="L136" i="3" s="1"/>
  <c r="L137" i="3" s="1"/>
  <c r="L138" i="3" s="1"/>
  <c r="L139" i="3" s="1"/>
  <c r="L140" i="3" s="1"/>
  <c r="L141" i="3" s="1"/>
  <c r="L142" i="3" s="1"/>
  <c r="L143" i="3" s="1"/>
  <c r="L144" i="3" s="1"/>
  <c r="L145" i="3" s="1"/>
  <c r="L146" i="3" s="1"/>
  <c r="L147" i="3" s="1"/>
  <c r="L148" i="3" s="1"/>
  <c r="L149" i="3" s="1"/>
  <c r="L150" i="3" s="1"/>
  <c r="L151" i="3" s="1"/>
  <c r="L152" i="3" s="1"/>
  <c r="L153" i="3" s="1"/>
  <c r="L154" i="3" s="1"/>
  <c r="L155" i="3" s="1"/>
  <c r="L156" i="3" s="1"/>
  <c r="L157" i="3" s="1"/>
  <c r="L158" i="3" s="1"/>
  <c r="L159" i="3" s="1"/>
  <c r="L160" i="3" s="1"/>
  <c r="L161" i="3" s="1"/>
  <c r="L162" i="3" s="1"/>
  <c r="L163" i="3" s="1"/>
  <c r="L164" i="3" s="1"/>
  <c r="L165" i="3" s="1"/>
  <c r="L166" i="3" s="1"/>
  <c r="L167" i="3" s="1"/>
  <c r="L168" i="3" s="1"/>
  <c r="L169" i="3" s="1"/>
  <c r="L170" i="3" s="1"/>
  <c r="L171" i="3" s="1"/>
  <c r="L172" i="3" s="1"/>
  <c r="L173" i="3" s="1"/>
  <c r="L174" i="3" s="1"/>
  <c r="L175" i="3" s="1"/>
  <c r="L176" i="3" s="1"/>
  <c r="L177" i="3" s="1"/>
  <c r="L178" i="3" s="1"/>
  <c r="L179" i="3" s="1"/>
  <c r="G21" i="16"/>
  <c r="L180" i="3" l="1"/>
  <c r="L181" i="3" s="1"/>
  <c r="L182" i="3" s="1"/>
  <c r="L183" i="3" s="1"/>
  <c r="L184" i="3" s="1"/>
  <c r="L185" i="3" s="1"/>
  <c r="L186" i="3" s="1"/>
  <c r="L187"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tc={297218FF-8E20-4D63-8EEB-8003B0DC8260}</author>
    <author>tc={1466D439-1141-42D1-8F67-F28A242CBC49}</author>
    <author>tc={A79496B1-CDEF-4E54-A628-00F563432AFE}</author>
    <author>tc={A53BB9A8-77BC-4944-84B1-719A1D9DAAE1}</author>
    <author>tc={AFBBA76F-393A-412E-B5FE-62C49A02D76D}</author>
    <author>tc={90DCFEBA-0217-4F15-A1FA-11298C28CBAE}</author>
    <author>tc={F24C12B6-9568-4A65-A2E9-ACDA40D5934E}</author>
  </authors>
  <commentList>
    <comment ref="A5" authorId="0" shapeId="0" xr:uid="{297218FF-8E20-4D63-8EEB-8003B0DC8260}">
      <text>
        <t>[Threaded comment]
Your version of Excel allows you to read this threaded comment; however, any edits to it will get removed if the file is opened in a newer version of Excel. Learn more: https://go.microsoft.com/fwlink/?linkid=870924
Comment:
    Amounts were determined before plant was operational and do not align with current demand by SKU’s and Customer Needs.</t>
      </text>
    </comment>
    <comment ref="A6" authorId="1" shapeId="0" xr:uid="{1466D439-1141-42D1-8F67-F28A242CBC49}">
      <text>
        <t>[Threaded comment]
Your version of Excel allows you to read this threaded comment; however, any edits to it will get removed if the file is opened in a newer version of Excel. Learn more: https://go.microsoft.com/fwlink/?linkid=870924
Comment:
    Unavailable Before May.  Set to Match Ramp and then Plan</t>
      </text>
    </comment>
    <comment ref="A7" authorId="2" shapeId="0" xr:uid="{A79496B1-CDEF-4E54-A628-00F563432AFE}">
      <text>
        <t xml:space="preserve">[Threaded comment]
Your version of Excel allows you to read this threaded comment; however, any edits to it will get removed if the file is opened in a newer version of Excel. Learn more: https://go.microsoft.com/fwlink/?linkid=870924
Comment:
    Working with MD to confirm these numbers.  </t>
      </text>
    </comment>
    <comment ref="E7" authorId="3" shapeId="0" xr:uid="{A53BB9A8-77BC-4944-84B1-719A1D9DAAE1}">
      <text>
        <t>[Threaded comment]
Your version of Excel allows you to read this threaded comment; however, any edits to it will get removed if the file is opened in a newer version of Excel. Learn more: https://go.microsoft.com/fwlink/?linkid=870924
Comment:
    Includes new WIP SD</t>
      </text>
    </comment>
    <comment ref="A16" authorId="4" shapeId="0" xr:uid="{AFBBA76F-393A-412E-B5FE-62C49A02D76D}">
      <text>
        <t>[Threaded comment]
Your version of Excel allows you to read this threaded comment; however, any edits to it will get removed if the file is opened in a newer version of Excel. Learn more: https://go.microsoft.com/fwlink/?linkid=870924
Comment:
    Amounts were determined before plant was operational and do not align with current demand by SKU’s and Customer Needs.</t>
      </text>
    </comment>
    <comment ref="A17" authorId="5" shapeId="0" xr:uid="{90DCFEBA-0217-4F15-A1FA-11298C28CBAE}">
      <text>
        <t>[Threaded comment]
Your version of Excel allows you to read this threaded comment; however, any edits to it will get removed if the file is opened in a newer version of Excel. Learn more: https://go.microsoft.com/fwlink/?linkid=870924
Comment:
    Unavailable Before May.  Set to Match Ramp and then Plan</t>
      </text>
    </comment>
    <comment ref="A18" authorId="6" shapeId="0" xr:uid="{F24C12B6-9568-4A65-A2E9-ACDA40D5934E}">
      <text>
        <t xml:space="preserve">[Threaded comment]
Your version of Excel allows you to read this threaded comment; however, any edits to it will get removed if the file is opened in a newer version of Excel. Learn more: https://go.microsoft.com/fwlink/?linkid=870924
Comment:
    Working with MD to confirm these numbers.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tc={68B50114-3846-4969-ADB3-53D4A8FCC5DE}</author>
    <author>tc={85AE077D-B7B1-42F1-8C22-4B77B7CBC852}</author>
    <author>tc={5A3B7731-CA1D-4566-9002-F19E35F85CD8}</author>
    <author>tc={ECFA29C2-2612-4C00-9991-CF8D22A8ED7C}</author>
    <author>tc={F8C6DED0-E02D-4E17-8675-D27725E74548}</author>
    <author>tc={040B356F-AC32-46B4-BB11-AF69A71F7FE5}</author>
    <author>tc={CDE07D8B-0207-452F-A804-638E74199B67}</author>
    <author>tc={2E9923F4-B0A8-4135-9873-EA1986E89B44}</author>
    <author>tc={7A34B751-CC42-4B3F-AF6E-6EEF5EC752DF}</author>
    <author>tc={FFC2315B-7B19-4840-98DA-7C425C2A6A2A}</author>
  </authors>
  <commentList>
    <comment ref="A7" authorId="0" shapeId="0" xr:uid="{68B50114-3846-4969-ADB3-53D4A8FCC5DE}">
      <text>
        <t>[Threaded comment]
Your version of Excel allows you to read this threaded comment; however, any edits to it will get removed if the file is opened in a newer version of Excel. Learn more: https://go.microsoft.com/fwlink/?linkid=870924
Comment:
    Amounts were determined before plant was operational and do not align with current demand by SKU’s and Customer Needs.</t>
      </text>
    </comment>
    <comment ref="A8" authorId="1" shapeId="0" xr:uid="{85AE077D-B7B1-42F1-8C22-4B77B7CBC852}">
      <text>
        <t>[Threaded comment]
Your version of Excel allows you to read this threaded comment; however, any edits to it will get removed if the file is opened in a newer version of Excel. Learn more: https://go.microsoft.com/fwlink/?linkid=870924
Comment:
    Unavailable Before May.  Set to Match Ramp and then Plan</t>
      </text>
    </comment>
    <comment ref="A9" authorId="2" shapeId="0" xr:uid="{5A3B7731-CA1D-4566-9002-F19E35F85CD8}">
      <text>
        <t xml:space="preserve">[Threaded comment]
Your version of Excel allows you to read this threaded comment; however, any edits to it will get removed if the file is opened in a newer version of Excel. Learn more: https://go.microsoft.com/fwlink/?linkid=870924
Comment:
    Working with MD to confirm these numbers.  </t>
      </text>
    </comment>
    <comment ref="M10" authorId="3" shapeId="0" xr:uid="{ECFA29C2-2612-4C00-9991-CF8D22A8ED7C}">
      <text>
        <t>[Threaded comment]
Your version of Excel allows you to read this threaded comment; however, any edits to it will get removed if the file is opened in a newer version of Excel. Learn more: https://go.microsoft.com/fwlink/?linkid=870924
Comment:
    Changed to Packed instead of Produced</t>
      </text>
    </comment>
    <comment ref="A18" authorId="4" shapeId="0" xr:uid="{F8C6DED0-E02D-4E17-8675-D27725E74548}">
      <text>
        <t>[Threaded comment]
Your version of Excel allows you to read this threaded comment; however, any edits to it will get removed if the file is opened in a newer version of Excel. Learn more: https://go.microsoft.com/fwlink/?linkid=870924
Comment:
    Amounts were determined before plant was operational and do not align with current demand by SKU’s and Customer Needs.</t>
      </text>
    </comment>
    <comment ref="A19" authorId="5" shapeId="0" xr:uid="{040B356F-AC32-46B4-BB11-AF69A71F7FE5}">
      <text>
        <t>[Threaded comment]
Your version of Excel allows you to read this threaded comment; however, any edits to it will get removed if the file is opened in a newer version of Excel. Learn more: https://go.microsoft.com/fwlink/?linkid=870924
Comment:
    Unavailable Before May.  Set to Match Ramp and then Plan</t>
      </text>
    </comment>
    <comment ref="A20" authorId="6" shapeId="0" xr:uid="{CDE07D8B-0207-452F-A804-638E74199B67}">
      <text>
        <t xml:space="preserve">[Threaded comment]
Your version of Excel allows you to read this threaded comment; however, any edits to it will get removed if the file is opened in a newer version of Excel. Learn more: https://go.microsoft.com/fwlink/?linkid=870924
Comment:
    Working with MD to confirm these numbers.  </t>
      </text>
    </comment>
    <comment ref="M21" authorId="7" shapeId="0" xr:uid="{2E9923F4-B0A8-4135-9873-EA1986E89B44}">
      <text>
        <t>[Threaded comment]
Your version of Excel allows you to read this threaded comment; however, any edits to it will get removed if the file is opened in a newer version of Excel. Learn more: https://go.microsoft.com/fwlink/?linkid=870924
Comment:
    Changed to Packed instead of Produced.</t>
      </text>
    </comment>
    <comment ref="V28" authorId="8" shapeId="0" xr:uid="{7A34B751-CC42-4B3F-AF6E-6EEF5EC752DF}">
      <text>
        <t>[Threaded comment]
Your version of Excel allows you to read this threaded comment; however, any edits to it will get removed if the file is opened in a newer version of Excel. Learn more: https://go.microsoft.com/fwlink/?linkid=870924
Comment:
    Waste &amp; Lag of Packout v Production</t>
      </text>
    </comment>
    <comment ref="K57" authorId="9" shapeId="0" xr:uid="{FFC2315B-7B19-4840-98DA-7C425C2A6A2A}">
      <text>
        <t>[Threaded comment]
Your version of Excel allows you to read this threaded comment; however, any edits to it will get removed if the file is opened in a newer version of Excel. Learn more: https://go.microsoft.com/fwlink/?linkid=870924
Comment:
    Includes 5/26 Product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tc={29D0772F-B346-4438-864A-425022E0BCF8}</author>
    <author>tc={644364D9-ECDE-4720-8075-191C0A7B7C7B}</author>
    <author>tc={7951E960-9F9F-42F4-AB01-94AAA2C0BDFB}</author>
    <author>tc={08E28496-4582-4061-B233-F94E6DF9A2E9}</author>
    <author>tc={36FAB553-82FF-4CF6-A5F2-C3AB70DB3A08}</author>
    <author>tc={8D9346F5-DF36-425F-BC37-708151E48539}</author>
    <author>tc={06372B68-2F03-438F-98EB-49507315AEE4}</author>
    <author>tc={2784985B-AA71-4C33-A961-208E8BF35167}</author>
    <author>tc={1A1FF8DB-D35C-4D49-83CB-CD6D6E368755}</author>
    <author>tc={8DD8CD95-35B6-4C14-A2CD-0F50F207DE16}</author>
    <author>tc={06D41479-2A2A-42DC-A430-012C9254736D}</author>
    <author>tc={C484FF8D-7ADD-4849-BA50-7DB908A9AB1E}</author>
  </authors>
  <commentList>
    <comment ref="L48" authorId="0" shapeId="0" xr:uid="{29D0772F-B346-4438-864A-425022E0BCF8}">
      <text>
        <t>[Threaded comment]
Your version of Excel allows you to read this threaded comment; however, any edits to it will get removed if the file is opened in a newer version of Excel. Learn more: https://go.microsoft.com/fwlink/?linkid=870924
Comment:
    Counted Freezer.  #’s Should be Accruate within 5%</t>
      </text>
    </comment>
    <comment ref="M48" authorId="1" shapeId="0" xr:uid="{644364D9-ECDE-4720-8075-191C0A7B7C7B}">
      <text>
        <t>[Threaded comment]
Your version of Excel allows you to read this threaded comment; however, any edits to it will get removed if the file is opened in a newer version of Excel. Learn more: https://go.microsoft.com/fwlink/?linkid=870924
Comment:
    Counted Freezer.  #’s Should be Accruate within 5%</t>
      </text>
    </comment>
    <comment ref="J49" authorId="2" shapeId="0" xr:uid="{7951E960-9F9F-42F4-AB01-94AAA2C0BDFB}">
      <text>
        <t>[Threaded comment]
Your version of Excel allows you to read this threaded comment; however, any edits to it will get removed if the file is opened in a newer version of Excel. Learn more: https://go.microsoft.com/fwlink/?linkid=870924
Comment:
    252 4-Pack, 89 FS</t>
      </text>
    </comment>
    <comment ref="I51" authorId="3" shapeId="0" xr:uid="{08E28496-4582-4061-B233-F94E6DF9A2E9}">
      <text>
        <t>[Threaded comment]
Your version of Excel allows you to read this threaded comment; however, any edits to it will get removed if the file is opened in a newer version of Excel. Learn more: https://go.microsoft.com/fwlink/?linkid=870924
Comment:
    Includes remainder of 5/27 Rework</t>
      </text>
    </comment>
    <comment ref="L51" authorId="4" shapeId="0" xr:uid="{36FAB553-82FF-4CF6-A5F2-C3AB70DB3A08}">
      <text>
        <t>[Threaded comment]
Your version of Excel allows you to read this threaded comment; however, any edits to it will get removed if the file is opened in a newer version of Excel. Learn more: https://go.microsoft.com/fwlink/?linkid=870924
Comment:
    No more SD to Pack.  Backlog at Zero</t>
      </text>
    </comment>
    <comment ref="M53" authorId="5" shapeId="0" xr:uid="{8D9346F5-DF36-425F-BC37-708151E48539}">
      <text>
        <t>[Threaded comment]
Your version of Excel allows you to read this threaded comment; however, any edits to it will get removed if the file is opened in a newer version of Excel. Learn more: https://go.microsoft.com/fwlink/?linkid=870924
Comment:
    Backlog to zero</t>
      </text>
    </comment>
    <comment ref="M54" authorId="6" shapeId="0" xr:uid="{06372B68-2F03-438F-98EB-49507315AEE4}">
      <text>
        <t>[Threaded comment]
Your version of Excel allows you to read this threaded comment; however, any edits to it will get removed if the file is opened in a newer version of Excel. Learn more: https://go.microsoft.com/fwlink/?linkid=870924
Comment:
    ~1,600 pcs were produced but scrapped after steaming due to Steam Pressure.  Overproofed and fallen BAO.</t>
      </text>
    </comment>
    <comment ref="L55" authorId="7" shapeId="0" xr:uid="{2784985B-AA71-4C33-A961-208E8BF35167}">
      <text>
        <t>[Threaded comment]
Your version of Excel allows you to read this threaded comment; however, any edits to it will get removed if the file is opened in a newer version of Excel. Learn more: https://go.microsoft.com/fwlink/?linkid=870924
Comment:
    Difference in Production &amp; Packing is Waste Related</t>
      </text>
    </comment>
    <comment ref="M55" authorId="8" shapeId="0" xr:uid="{1A1FF8DB-D35C-4D49-83CB-CD6D6E368755}">
      <text>
        <t>[Threaded comment]
Your version of Excel allows you to read this threaded comment; however, any edits to it will get removed if the file is opened in a newer version of Excel. Learn more: https://go.microsoft.com/fwlink/?linkid=870924
Comment:
    272 lbs of Dough Waste &amp; 250 lbs of other waste accounts for difference between produced and packed.</t>
      </text>
    </comment>
    <comment ref="L59" authorId="9" shapeId="0" xr:uid="{8DD8CD95-35B6-4C14-A2CD-0F50F207DE16}">
      <text>
        <t>[Threaded comment]
Your version of Excel allows you to read this threaded comment; however, any edits to it will get removed if the file is opened in a newer version of Excel. Learn more: https://go.microsoft.com/fwlink/?linkid=870924
Comment:
    Estimated QTY in Freezer</t>
      </text>
    </comment>
    <comment ref="L62" authorId="10" shapeId="0" xr:uid="{06D41479-2A2A-42DC-A430-012C9254736D}">
      <text>
        <t>[Threaded comment]
Your version of Excel allows you to read this threaded comment; however, any edits to it will get removed if the file is opened in a newer version of Excel. Learn more: https://go.microsoft.com/fwlink/?linkid=870924
Comment:
    Estimated amount left over from Thursday</t>
      </text>
    </comment>
    <comment ref="M62" authorId="11" shapeId="0" xr:uid="{C484FF8D-7ADD-4849-BA50-7DB908A9AB1E}">
      <text>
        <t>[Threaded comment]
Your version of Excel allows you to read this threaded comment; however, any edits to it will get removed if the file is opened in a newer version of Excel. Learn more: https://go.microsoft.com/fwlink/?linkid=870924
Comment:
    Estimated amount left over from Thursday</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Sharif Ismail</author>
    <author>Maxwell Krohn</author>
    <author>tc={9C1A7D58-99B1-4082-A700-35124F2B5A6C}</author>
    <author>tc={DBD31FE4-033E-4F0E-BF58-F1E34F4EDBC9}</author>
  </authors>
  <commentList>
    <comment ref="P23" authorId="0" shapeId="0" xr:uid="{E7F7FA45-FF5A-4A55-BFC8-5AC478B6A4CC}">
      <text>
        <r>
          <rPr>
            <b/>
            <sz val="9"/>
            <color indexed="81"/>
            <rFont val="Tahoma"/>
            <family val="2"/>
          </rPr>
          <t>Sharif Ismail:</t>
        </r>
        <r>
          <rPr>
            <sz val="9"/>
            <color indexed="81"/>
            <rFont val="Tahoma"/>
            <family val="2"/>
          </rPr>
          <t xml:space="preserve">
food cost + waste</t>
        </r>
      </text>
    </comment>
    <comment ref="S131" authorId="0" shapeId="0" xr:uid="{1029053E-1C5F-4B7E-9597-9399A4CD0082}">
      <text>
        <r>
          <rPr>
            <b/>
            <sz val="9"/>
            <color indexed="81"/>
            <rFont val="Tahoma"/>
            <family val="2"/>
          </rPr>
          <t>Sharif Ismail:</t>
        </r>
        <r>
          <rPr>
            <sz val="9"/>
            <color indexed="81"/>
            <rFont val="Tahoma"/>
            <family val="2"/>
          </rPr>
          <t xml:space="preserve">
Cooler Rack, 2 SD Machines Oven, Steam Recapture, hoods, lotus machine</t>
        </r>
      </text>
    </comment>
    <comment ref="U131" authorId="0" shapeId="0" xr:uid="{75BB3C80-5A2E-4EDA-89E1-DCBA3EE71209}">
      <text>
        <r>
          <rPr>
            <b/>
            <sz val="9"/>
            <color indexed="81"/>
            <rFont val="Tahoma"/>
            <family val="2"/>
          </rPr>
          <t>Sharif Ismail:</t>
        </r>
        <r>
          <rPr>
            <sz val="9"/>
            <color indexed="81"/>
            <rFont val="Tahoma"/>
            <family val="2"/>
          </rPr>
          <t xml:space="preserve">
Remaining amount due on P4 equipment</t>
        </r>
      </text>
    </comment>
    <comment ref="S139" authorId="1" shapeId="0" xr:uid="{CEEF8F38-EA33-4CB8-816F-9BB00485FB8F}">
      <text>
        <r>
          <rPr>
            <b/>
            <sz val="9"/>
            <color indexed="81"/>
            <rFont val="Tahoma"/>
            <family val="2"/>
          </rPr>
          <t>Maxwell Krohn:</t>
        </r>
        <r>
          <rPr>
            <sz val="9"/>
            <color indexed="81"/>
            <rFont val="Tahoma"/>
            <family val="2"/>
          </rPr>
          <t xml:space="preserve">
15 yr useful life</t>
        </r>
      </text>
    </comment>
    <comment ref="B216" authorId="2" shapeId="0" xr:uid="{9C1A7D58-99B1-4082-A700-35124F2B5A6C}">
      <text>
        <t>[Threaded comment]
Your version of Excel allows you to read this threaded comment; however, any edits to it will get removed if the file is opened in a newer version of Excel. Learn more: https://go.microsoft.com/fwlink/?linkid=870924
Comment:
    This seems like “Inventory Required”? The formulas also look inconsistent… is that intentional?</t>
      </text>
    </comment>
    <comment ref="B285" authorId="3" shapeId="0" xr:uid="{DBD31FE4-033E-4F0E-BF58-F1E34F4EDBC9}">
      <text>
        <t>[Threaded comment]
Your version of Excel allows you to read this threaded comment; however, any edits to it will get removed if the file is opened in a newer version of Excel. Learn more: https://go.microsoft.com/fwlink/?linkid=870924
Comment:
    Sharif – to extent any of this is just ad hoc calc’s to get to the Contribution profit calc (now in it’s own tab), can we remove? 
Need to condense where we can to simplify</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<sst xmlns="http://schemas.openxmlformats.org/spreadsheetml/2006/main" count="2484" uniqueCount="422">
  <si>
    <t>Month</t>
  </si>
  <si>
    <t>P4</t>
  </si>
  <si>
    <t>P5</t>
  </si>
  <si>
    <t>P6</t>
  </si>
  <si>
    <t>P7</t>
  </si>
  <si>
    <t>Year</t>
  </si>
  <si>
    <t>SD Ramp Plan</t>
  </si>
  <si>
    <t>SD Plant Plan</t>
  </si>
  <si>
    <t>SD SC Plan</t>
  </si>
  <si>
    <t>SD Output (Packed)</t>
  </si>
  <si>
    <t>Diff v Ramp</t>
  </si>
  <si>
    <t>Diff v Plant</t>
  </si>
  <si>
    <t>Diff v SC</t>
  </si>
  <si>
    <t>SD Waste %</t>
  </si>
  <si>
    <t>Bao Ramp Plan</t>
  </si>
  <si>
    <t>Bao Plant Plan</t>
  </si>
  <si>
    <t>Bao SC Plan</t>
  </si>
  <si>
    <t>Bao Output (Packed)</t>
  </si>
  <si>
    <t>Bao Waste %</t>
  </si>
  <si>
    <t>Completed Actual - Week Beginning</t>
  </si>
  <si>
    <t>P3</t>
  </si>
  <si>
    <t>Week</t>
  </si>
  <si>
    <t>Total</t>
  </si>
  <si>
    <t>Week #</t>
  </si>
  <si>
    <t>Delta</t>
  </si>
  <si>
    <t>SD Packed</t>
  </si>
  <si>
    <t>Bao Packed</t>
  </si>
  <si>
    <t>Total Inventory (End Week)</t>
  </si>
  <si>
    <t>Chicken SD</t>
  </si>
  <si>
    <t>Pork SD</t>
  </si>
  <si>
    <t>Chili Crisp SD</t>
  </si>
  <si>
    <t>Saucy Chicken SD</t>
  </si>
  <si>
    <t>BBQ Pork Bao FS</t>
  </si>
  <si>
    <t>BBQ Pork Bao 4-Pack</t>
  </si>
  <si>
    <t>Teriyaki Chicken Bao 4-Pack</t>
  </si>
  <si>
    <t>FG OH (End Week)</t>
  </si>
  <si>
    <t>Cases</t>
  </si>
  <si>
    <t>Pieces</t>
  </si>
  <si>
    <t>Left to Pack (EOW)</t>
  </si>
  <si>
    <t>Date</t>
  </si>
  <si>
    <t>Period</t>
  </si>
  <si>
    <t>SD Produced</t>
  </si>
  <si>
    <t>Bao Produced</t>
  </si>
  <si>
    <t>SD Waste LBS</t>
  </si>
  <si>
    <t>Bao Waste LBS</t>
  </si>
  <si>
    <t xml:space="preserve"> SD Packed</t>
  </si>
  <si>
    <t>Running Unpacked SD</t>
  </si>
  <si>
    <t>Running Unpacked Bao</t>
  </si>
  <si>
    <t>SD Good Pounds Prod</t>
  </si>
  <si>
    <t>Bao Good Pounds Prod</t>
  </si>
  <si>
    <t>Eaches Packed</t>
  </si>
  <si>
    <t>SD</t>
  </si>
  <si>
    <t>Bao</t>
  </si>
  <si>
    <t># Individual Pieces Formed</t>
  </si>
  <si>
    <t>Total Waste in #'s</t>
  </si>
  <si>
    <t>Downtime Tracker in Minutes</t>
  </si>
  <si>
    <t>Daily Goal #</t>
  </si>
  <si>
    <t>JBM #1</t>
  </si>
  <si>
    <t>JBM #2</t>
  </si>
  <si>
    <t>Rheon #1</t>
  </si>
  <si>
    <t>Rheon #2</t>
  </si>
  <si>
    <t>Rheon #3</t>
  </si>
  <si>
    <t>PFM #1</t>
  </si>
  <si>
    <t>PFM #2</t>
  </si>
  <si>
    <t>Adco #1</t>
  </si>
  <si>
    <t>Adco #2</t>
  </si>
  <si>
    <t>JBM</t>
  </si>
  <si>
    <t>Rheon</t>
  </si>
  <si>
    <t># SD Packed</t>
  </si>
  <si>
    <t># Bao Packed</t>
  </si>
  <si>
    <t>SD Waste #</t>
  </si>
  <si>
    <t>Bao Waste #</t>
  </si>
  <si>
    <t>Dowtime Minutes</t>
  </si>
  <si>
    <t>Overall OEE</t>
  </si>
  <si>
    <t>Scrap %</t>
  </si>
  <si>
    <t>STD</t>
  </si>
  <si>
    <t>Attainment (v Cycle Time)</t>
  </si>
  <si>
    <t>Uptime</t>
  </si>
  <si>
    <t>JBM PPM</t>
  </si>
  <si>
    <t>RHEON PPM</t>
  </si>
  <si>
    <t>Item</t>
  </si>
  <si>
    <t>Weight / Pounds</t>
  </si>
  <si>
    <t>BBQ Pork Bao</t>
  </si>
  <si>
    <t>Holidays</t>
  </si>
  <si>
    <r>
      <t xml:space="preserve">Underlying Demand </t>
    </r>
    <r>
      <rPr>
        <sz val="11"/>
        <color theme="1"/>
        <rFont val="Aptos Narrow"/>
        <family val="2"/>
        <scheme val="minor"/>
      </rPr>
      <t>(in pieces)</t>
    </r>
  </si>
  <si>
    <t>CPG</t>
  </si>
  <si>
    <t>Mini Bao</t>
  </si>
  <si>
    <t>Soup Dumplings</t>
  </si>
  <si>
    <t xml:space="preserve">Food Service </t>
  </si>
  <si>
    <t>Restaurant Operations</t>
  </si>
  <si>
    <t>Procurement Savings</t>
  </si>
  <si>
    <t>Raw Cost / Piece</t>
  </si>
  <si>
    <t>Food Service / Restaurant Operations</t>
  </si>
  <si>
    <t>Packaging Cost / Piece</t>
  </si>
  <si>
    <t>Labor Assumptions</t>
  </si>
  <si>
    <t>Headcount</t>
  </si>
  <si>
    <t>DL</t>
  </si>
  <si>
    <t>Operator 1</t>
  </si>
  <si>
    <t>Operator 2</t>
  </si>
  <si>
    <t>TBD Position</t>
  </si>
  <si>
    <t>OH</t>
  </si>
  <si>
    <t>Facilitiy Tech.</t>
  </si>
  <si>
    <t>Production Lead</t>
  </si>
  <si>
    <t>Sanitation 1</t>
  </si>
  <si>
    <t>Sanitation 2</t>
  </si>
  <si>
    <t>Warehouse Clerk</t>
  </si>
  <si>
    <t>Warehouse Associate</t>
  </si>
  <si>
    <t>QA Lead</t>
  </si>
  <si>
    <t>QA</t>
  </si>
  <si>
    <t>Maintenance</t>
  </si>
  <si>
    <t>Pay Rates</t>
  </si>
  <si>
    <t>Operational Output</t>
  </si>
  <si>
    <t>Rheon Max Output (pieces/min)</t>
  </si>
  <si>
    <t>OEE</t>
  </si>
  <si>
    <t>Rheon Count</t>
  </si>
  <si>
    <t>Hours Per Shift</t>
  </si>
  <si>
    <t>Shifts Per Day</t>
  </si>
  <si>
    <t>Ineffective Hours Per Day</t>
  </si>
  <si>
    <t>Days Per Week</t>
  </si>
  <si>
    <t>Plant Closures in Period (days)</t>
  </si>
  <si>
    <t>Monthly Production</t>
  </si>
  <si>
    <t>Weekly Production</t>
  </si>
  <si>
    <t>JBM Max Output (pieces/min)</t>
  </si>
  <si>
    <t>JBM Count</t>
  </si>
  <si>
    <t>Avg Weekly Production</t>
  </si>
  <si>
    <t>% of Demand Produced Internally</t>
  </si>
  <si>
    <t>Bao / Mini Bao</t>
  </si>
  <si>
    <t>Labor Costs</t>
  </si>
  <si>
    <t>Direct Hourly Labor</t>
  </si>
  <si>
    <t>Overhead Hourly Labor</t>
  </si>
  <si>
    <t>Taxes/Benefits</t>
  </si>
  <si>
    <t>Management Labor Expense</t>
  </si>
  <si>
    <t>Other Plant Overhead</t>
  </si>
  <si>
    <t>Lease</t>
  </si>
  <si>
    <t>Utilities</t>
  </si>
  <si>
    <t>Travel</t>
  </si>
  <si>
    <t>Others (insurance, maintenance,etc.)</t>
  </si>
  <si>
    <t>Start Up Expenses</t>
  </si>
  <si>
    <t>92001 - Start Up Expense Forest City Travel and Meals</t>
  </si>
  <si>
    <t>92002 - Start Up Expense Forest City Professional Services</t>
  </si>
  <si>
    <t>92003 - Start Up Expense Forest City R&amp;D</t>
  </si>
  <si>
    <t>92004 - Start Up Expense Forest City Payroll</t>
  </si>
  <si>
    <t>92005 - Start Up Expense Forest City Supplies</t>
  </si>
  <si>
    <t>Ramp up costs</t>
  </si>
  <si>
    <t>CapEx</t>
  </si>
  <si>
    <t>Steamer</t>
  </si>
  <si>
    <t>Maintenance CapEx</t>
  </si>
  <si>
    <t>Efficiency CapEx</t>
  </si>
  <si>
    <t>Balance Payment</t>
  </si>
  <si>
    <t>Deposits</t>
  </si>
  <si>
    <t>Total CapEx</t>
  </si>
  <si>
    <t>Depreciation</t>
  </si>
  <si>
    <t>Maintenance Depreciation</t>
  </si>
  <si>
    <t>Accumulated Depreciation</t>
  </si>
  <si>
    <t>DL Per Soup Dumpling</t>
  </si>
  <si>
    <t>Pieces Produced</t>
  </si>
  <si>
    <t>CPG - Bao</t>
  </si>
  <si>
    <t>CPG - Mini Bao</t>
  </si>
  <si>
    <t>CPG - Soup Dumplings</t>
  </si>
  <si>
    <t>FS/RO - Bao</t>
  </si>
  <si>
    <t>FS/RO - Mini Bao</t>
  </si>
  <si>
    <t>FS/RO - Soup Dumplings</t>
  </si>
  <si>
    <t>L/OH</t>
  </si>
  <si>
    <t>Labor/OH to be Allocated</t>
  </si>
  <si>
    <t xml:space="preserve">Efficiency from CapEx </t>
  </si>
  <si>
    <t>COGS</t>
  </si>
  <si>
    <t>% of Demand Produced</t>
  </si>
  <si>
    <t>EM COGS</t>
  </si>
  <si>
    <t>Blended COGS</t>
  </si>
  <si>
    <t>Plant Inventory</t>
  </si>
  <si>
    <t>Produced</t>
  </si>
  <si>
    <t>Sold Out</t>
  </si>
  <si>
    <t>Remaining</t>
  </si>
  <si>
    <t>$ Inventory FG Remaining</t>
  </si>
  <si>
    <t>Food Inventory</t>
  </si>
  <si>
    <t>Pack Inventory</t>
  </si>
  <si>
    <t>Lost efficency Costs</t>
  </si>
  <si>
    <t>Current COGS</t>
  </si>
  <si>
    <t>Efficient COGS</t>
  </si>
  <si>
    <t xml:space="preserve"> Amount </t>
  </si>
  <si>
    <t>Cost</t>
  </si>
  <si>
    <t>Cost per case</t>
  </si>
  <si>
    <t>Cost per Box</t>
  </si>
  <si>
    <t>Cost per Bao</t>
  </si>
  <si>
    <t>Plant COGS</t>
  </si>
  <si>
    <t>Vendor COGS</t>
  </si>
  <si>
    <t>Underlying Demand (Pieces)</t>
  </si>
  <si>
    <t>Produced Internally</t>
  </si>
  <si>
    <t>COGS Savings</t>
  </si>
  <si>
    <t>Revenue</t>
  </si>
  <si>
    <t>Bao - 4 Pack</t>
  </si>
  <si>
    <t>Potstickers</t>
  </si>
  <si>
    <t>Innov (2027)</t>
  </si>
  <si>
    <t>Innov (2028)</t>
  </si>
  <si>
    <t>Bao - Cstore</t>
  </si>
  <si>
    <t>Club</t>
  </si>
  <si>
    <t>Gross Profit</t>
  </si>
  <si>
    <t>Daily Production Schedule - Adaptive Planning Engine</t>
  </si>
  <si>
    <t>Day</t>
  </si>
  <si>
    <t>Shift</t>
  </si>
  <si>
    <t>Product Type</t>
  </si>
  <si>
    <t>Product</t>
  </si>
  <si>
    <t>Line</t>
  </si>
  <si>
    <t>Base Plan Qty</t>
  </si>
  <si>
    <t>Adjusted Plan Qty</t>
  </si>
  <si>
    <t>Production Notes</t>
  </si>
  <si>
    <t>Actual Good Qty</t>
  </si>
  <si>
    <t>QC Hold/Reject Qty</t>
  </si>
  <si>
    <t>Waste Qty</t>
  </si>
  <si>
    <t>Downtime Min</t>
  </si>
  <si>
    <t>Yield %</t>
  </si>
  <si>
    <t>Shrink %</t>
  </si>
  <si>
    <t>Swell %</t>
  </si>
  <si>
    <t>Daily FG Target</t>
  </si>
  <si>
    <t>Shortfall / Over</t>
  </si>
  <si>
    <t>Next Production Date</t>
  </si>
  <si>
    <t>Next Run Adjustment</t>
  </si>
  <si>
    <t>Status</t>
  </si>
  <si>
    <t>Notes</t>
  </si>
  <si>
    <t>Error check</t>
  </si>
  <si>
    <t>1st</t>
  </si>
  <si>
    <t xml:space="preserve">Bao Line </t>
  </si>
  <si>
    <t>Bao Prep</t>
  </si>
  <si>
    <t>Bao Dough</t>
  </si>
  <si>
    <t>Dough Line</t>
  </si>
  <si>
    <t>Leads will advise when to start mixing.  Approx 4 batches</t>
  </si>
  <si>
    <t>BBQ Pork Filling</t>
  </si>
  <si>
    <t xml:space="preserve">Kitting/Decanting </t>
  </si>
  <si>
    <t>Make 4 Kits</t>
  </si>
  <si>
    <t>Cold Prep</t>
  </si>
  <si>
    <t xml:space="preserve">After pork is diced, scale to mix all diced pork into filling </t>
  </si>
  <si>
    <t>BBQ Sauce</t>
  </si>
  <si>
    <t>Cook Prep</t>
  </si>
  <si>
    <t xml:space="preserve">Make 1 recipe </t>
  </si>
  <si>
    <t>Make 2 Kits</t>
  </si>
  <si>
    <t>Slice Pork</t>
  </si>
  <si>
    <t>Slice 2000# Pork Shoulder</t>
  </si>
  <si>
    <t>Soup Dumpling Prep</t>
  </si>
  <si>
    <t>Pork Soup Dumpling Filling</t>
  </si>
  <si>
    <t xml:space="preserve">NOTE:  Today we have to deal with some frozen pork, Matt and Amanda to meet first thing to game plan. </t>
  </si>
  <si>
    <t>Soup Dumpling Dough</t>
  </si>
  <si>
    <t>Approx 12 batches, Produciton Lead will communicate when to stop mixing dough</t>
  </si>
  <si>
    <t>Gelatin</t>
  </si>
  <si>
    <t>Make 2x 1000# batches</t>
  </si>
  <si>
    <t>Pork Soup Dumplings</t>
  </si>
  <si>
    <t>Soup Dumpling Line</t>
  </si>
  <si>
    <t>Marinate and Roast Pork</t>
  </si>
  <si>
    <t>Roast remaining V-Mags in cooler down from 5/7.  Roast 1000# from kitting.  Remaining 1000# will get roasted tomorrow.</t>
  </si>
  <si>
    <t>Pack Soup Dumplings</t>
  </si>
  <si>
    <t>Packaging Line 1</t>
  </si>
  <si>
    <t>Pack 5/11/2026 PSD - CPG</t>
  </si>
  <si>
    <t>Pack Bao</t>
  </si>
  <si>
    <t>Packaging Line 2</t>
  </si>
  <si>
    <t>Pack 5/7/2026 BBQ Pork Bao - 50ct FS Cases.</t>
  </si>
  <si>
    <t>NOTE: Fresh pork to arrive from US Foods today</t>
  </si>
  <si>
    <t>Make 1x 1000# batches</t>
  </si>
  <si>
    <t>Roast remaining 1000# 5/11. Roast 1000# from kitting</t>
  </si>
  <si>
    <t>BBQ Marinade</t>
  </si>
  <si>
    <t>Make 2 batches</t>
  </si>
  <si>
    <t>Grind Gelatin</t>
  </si>
  <si>
    <t>Grind 2000#</t>
  </si>
  <si>
    <t>Roast remaining V-Mags in cooler down from 5/11.  Roast 1000# from kitting.  Remaining 1000# will get roasted tomorrow.</t>
  </si>
  <si>
    <t>Pack 5/12/2026 PSD - CPG</t>
  </si>
  <si>
    <t>Pack 5/12/2026 BBQ Pork Bao - 50ct FS Cases.</t>
  </si>
  <si>
    <t>Make 2 recipes</t>
  </si>
  <si>
    <t>CHANGE - Do not prep today</t>
  </si>
  <si>
    <t>Slice 1000# Pork Shoulder</t>
  </si>
  <si>
    <t>NOTE: Fresh pork is in house!</t>
  </si>
  <si>
    <t xml:space="preserve">Roast remaining Sliced Pork from  5/12. </t>
  </si>
  <si>
    <t>Grind 1000#</t>
  </si>
  <si>
    <t>Leads will advise when to start mixing.  Approx 6 batches</t>
  </si>
  <si>
    <t xml:space="preserve">After pork is diced, scale to mix all diced pork into filling, </t>
  </si>
  <si>
    <t>Pack all Bao from 5/13 - CPG 4pks</t>
  </si>
  <si>
    <t>Pack all soup dumplings from 5/13 - CPG</t>
  </si>
  <si>
    <t>NOTE: Fresh pork is in house!, Mix 2 batches</t>
  </si>
  <si>
    <t xml:space="preserve">Roast remaining Sliced Pork from  5/13. </t>
  </si>
  <si>
    <t>Dice Pork</t>
  </si>
  <si>
    <t>Dice all roasted pork from 5/12 and 5/13</t>
  </si>
  <si>
    <t>Make 4 batches</t>
  </si>
  <si>
    <t>Approx 14 batches, Produciton Lead will communicate when to stop mixing dough</t>
  </si>
  <si>
    <t>Roast remaining V-Mags in cooler down from 5/14.  Roast 1000# from kitting.  Remaining 1000# will get roasted tomorrow.</t>
  </si>
  <si>
    <t>Pack 5/14/2026 PSD - CPG</t>
  </si>
  <si>
    <t>Pack remaining 5/14/2026 PSD</t>
  </si>
  <si>
    <t>Dice all prepared pork in Urschel, contiune to next step to make filling</t>
  </si>
  <si>
    <t>Pack CPG 4 packs, bao from 5/18/26</t>
  </si>
  <si>
    <t>Ensure line is clear before changeover.  Pack CPG, Soup Dumplings from 5/18/26</t>
  </si>
  <si>
    <t>R&amp;D Matt</t>
  </si>
  <si>
    <t>Grind Chicken</t>
  </si>
  <si>
    <t>Grind 2 cases chicken thigh - Label R&amp;D</t>
  </si>
  <si>
    <t>Pack CPG 4 packs, bao from 5/13/26</t>
  </si>
  <si>
    <t>Ensure line is clear before changeover.  Pack CPG 4 packs, bao from 5/14/26</t>
  </si>
  <si>
    <t>Make 2 Batches</t>
  </si>
  <si>
    <t>Roast remaining V-Mags in cooler down from 5/18.  Roast 1000# from kitting.  Remaining 1000# will get roasted tomorrow.</t>
  </si>
  <si>
    <t>Make 4 kits</t>
  </si>
  <si>
    <t>Make 1 batch</t>
  </si>
  <si>
    <t>Pack all Bao from 5/18. 5/19. and 5/20 - CPG 4pks</t>
  </si>
  <si>
    <t>Pack all soup dumplings from 5/20 - CPG</t>
  </si>
  <si>
    <t>NOTE: Fresh pork is in house!, Mix ONLY  1 - WE SHOULD RUN ALL MIXED FILLING - NONE TO BE LEFT OVER THE 4 DAY WEEKEND</t>
  </si>
  <si>
    <t xml:space="preserve">Roast remaining Sliced Pork from  5/20. </t>
  </si>
  <si>
    <t>R&amp;D</t>
  </si>
  <si>
    <t>Chili Crisp Mini Bao</t>
  </si>
  <si>
    <t>Matt to run small batch on Rheon 3</t>
  </si>
  <si>
    <t>Make ONLY 4 batches</t>
  </si>
  <si>
    <t>Chix Soup Dumpling Filling</t>
  </si>
  <si>
    <t>Make 6 Kits</t>
  </si>
  <si>
    <t>USE ALL FILLING - SWITCHING TO CHX TOMORROW</t>
  </si>
  <si>
    <t>Pack PSD- SEE SAM FOR LOT NUMBERS</t>
  </si>
  <si>
    <t xml:space="preserve">Pack CPG 4 packs, bao from 5/21/26 </t>
  </si>
  <si>
    <t>Grind all gelatin from last week</t>
  </si>
  <si>
    <t>Grind 1200# Chicken 1/4"</t>
  </si>
  <si>
    <t>Make 2 kits</t>
  </si>
  <si>
    <t>Pack CPG 4 packs, bao from 5/21/26  and from today</t>
  </si>
  <si>
    <t>Grind 2000# gelatin</t>
  </si>
  <si>
    <t>Chicken Soup Dumplings</t>
  </si>
  <si>
    <t>Pack Chix SD produced today!</t>
  </si>
  <si>
    <t>Marinate and roast 2000# pork sliced by kitting</t>
  </si>
  <si>
    <t>Get with Matt or Amanda to get up to date prep qty.</t>
  </si>
  <si>
    <t>Fri</t>
  </si>
  <si>
    <t>Pack bao from 5/28</t>
  </si>
  <si>
    <t>Pack SD from 5/28</t>
  </si>
  <si>
    <t>Honey Chicken Filling</t>
  </si>
  <si>
    <t xml:space="preserve">Make one recipe kit for 500# Cooked Chicken </t>
  </si>
  <si>
    <t>2000# Chix</t>
  </si>
  <si>
    <t>Make 4 Batches</t>
  </si>
  <si>
    <t>Dice all cooked pork, next step to turn into filling - TBD by 5/29 output of cooked pork</t>
  </si>
  <si>
    <t>Make all diced pork to filling - TBD by 5/29 output of diced pork</t>
  </si>
  <si>
    <t>Honey Chicken Mini Bao</t>
  </si>
  <si>
    <t>Make 3 mixes</t>
  </si>
  <si>
    <t>Mon</t>
  </si>
  <si>
    <t>Make 2 -1000# Batches</t>
  </si>
  <si>
    <t>Grind 2500#</t>
  </si>
  <si>
    <t>Dice all cooked pork, next step to turn into filling - TBD by 6/1 output of cooked pork</t>
  </si>
  <si>
    <t>Make all diced pork to filling - TBD by 6/1 output of diced pork</t>
  </si>
  <si>
    <t>PREP FIRST - Make 4 Batches</t>
  </si>
  <si>
    <t>Dice all cooked pork, next step to turn into filling - TBD by 6/2 output of cooked pork</t>
  </si>
  <si>
    <t>Make all diced pork to filling - TBD by 6/2 output of diced pork</t>
  </si>
  <si>
    <t>Make 4 mixes</t>
  </si>
  <si>
    <t>FIRST PRIORITY Make 4 kits</t>
  </si>
  <si>
    <t>1st - Grind all gelatin from 6/2</t>
  </si>
  <si>
    <t>2nd - Grind yeild = 2500#, 69 - 40# cases</t>
  </si>
  <si>
    <t>Teriyaki Sauce</t>
  </si>
  <si>
    <t>Kit out 2 recipes - 800# ea</t>
  </si>
  <si>
    <t>Matt will advise when to mix more filling if needed</t>
  </si>
  <si>
    <t>Dice all cooked pork, next step to turn into filling - TBD by 6/3 output of cooked pork</t>
  </si>
  <si>
    <t>Make all diced pork to filling - TBD by 6/3 output of diced pork</t>
  </si>
  <si>
    <t>Make 2 recipes - 800# ea</t>
  </si>
  <si>
    <t>Cooked Chicken for Teriyaki</t>
  </si>
  <si>
    <t>Cook 1500# Raw ground chicken for teriyaki filling</t>
  </si>
  <si>
    <t>MIX 4 batches - FIRST PRIORITY</t>
  </si>
  <si>
    <t>Make all diced pork to filling - TBD by 6/4 output of diced pork</t>
  </si>
  <si>
    <t>Teriyaki Chicken Filling</t>
  </si>
  <si>
    <t>Make 2 Reicpe Kits</t>
  </si>
  <si>
    <t>Cook 1200# Raw ground chicken for teriyaki filling</t>
  </si>
  <si>
    <t>Make 1000# Gelatin</t>
  </si>
  <si>
    <t>Grind 53 Cases - Net 2000# Ground Chicken</t>
  </si>
  <si>
    <t xml:space="preserve">Grind 26 Cases - Net 1000# Ground Chicken </t>
  </si>
  <si>
    <t>SPECIAL PREP</t>
  </si>
  <si>
    <t xml:space="preserve">CHOP CILANTRO </t>
  </si>
  <si>
    <t>Chop 50 Cases Cilantro</t>
  </si>
  <si>
    <t>FREEZE CILANTRO</t>
  </si>
  <si>
    <t>AMANDA WILL REVIE PROCESS WITH YOU!</t>
  </si>
  <si>
    <t>TODAY WE START A NEW LABELING PROCEDURE FOR WIP.  MATT and/or SAM WILL REVIEW THE NEW PROCESS WITH LEADS BEFORE 7:30AM</t>
  </si>
  <si>
    <t>Make small amount to tune in steamers</t>
  </si>
  <si>
    <t>Make 1 50# mix</t>
  </si>
  <si>
    <t>Make 1 Reicpe Kits</t>
  </si>
  <si>
    <t>Cook 1200# Raw ground chicken for teriyaki filling- @Amanda - is this done?</t>
  </si>
  <si>
    <t>Make 1 Batch - 1000# Net</t>
  </si>
  <si>
    <t>Grind 1000# Gelatin from 6/9</t>
  </si>
  <si>
    <t>Chili Crisp Soup Dumplings</t>
  </si>
  <si>
    <t>Make 4 kits - 1150# net each</t>
  </si>
  <si>
    <t>Chili Crisp</t>
  </si>
  <si>
    <t>Make 120# net Chili Crisp</t>
  </si>
  <si>
    <t xml:space="preserve">Slice 2000# Pork Shoulder NET WEIGHT </t>
  </si>
  <si>
    <t>Grind 2300# Net weight (60 cases)</t>
  </si>
  <si>
    <t>Teriyaki Chicken Bao</t>
  </si>
  <si>
    <t>Make 3 - 100# Flour Mixes</t>
  </si>
  <si>
    <t>Get recipe from Amanada or Matt</t>
  </si>
  <si>
    <t>Run all prepared filling</t>
  </si>
  <si>
    <t>Grind all prepared gelatin</t>
  </si>
  <si>
    <t xml:space="preserve">Running 1 JBM - </t>
  </si>
  <si>
    <t>Dice all roasted pork</t>
  </si>
  <si>
    <t>Make 2500# Filling</t>
  </si>
  <si>
    <t>GROUND PORK</t>
  </si>
  <si>
    <t>Lay out 68 cases ground pork on racks to slack</t>
  </si>
  <si>
    <t>Matt to assist making chili crisp</t>
  </si>
  <si>
    <t>Grind 1000# NET WEIGHT Chicken - 28 cases</t>
  </si>
  <si>
    <t>Pack remaining BBQ pork Bao on hand in CPG - when done let SAM know - you will be given next steps</t>
  </si>
  <si>
    <t>Pack all CC SD from 6/11 - CPG - DO NOT PACK SD ON QA HOLD - SEE SAM</t>
  </si>
  <si>
    <t>Get with SAM for directions on pack out plan</t>
  </si>
  <si>
    <t>Make 1 - 50# Flour Mix - please wait until Tim and Matt are ready for dough</t>
  </si>
  <si>
    <t>R&amp;D - Grind 2-20# Net weight chicken thigh - 1.25 cases</t>
  </si>
  <si>
    <t>Tue</t>
  </si>
  <si>
    <t xml:space="preserve">Running 2 JBMs - </t>
  </si>
  <si>
    <t>Pack all SD in freezer, see SAM</t>
  </si>
  <si>
    <t>Pack all SD produced today!</t>
  </si>
  <si>
    <t>Grind 1000# Chicken - 28.75 Cases</t>
  </si>
  <si>
    <t>Make 1 Kit</t>
  </si>
  <si>
    <t>MAKE FIRST!!</t>
  </si>
  <si>
    <t>CHANGE OVER TO PORK AFTER CHICKEN HAS CLEARED PRODUCTION FLOOR</t>
  </si>
  <si>
    <t xml:space="preserve">Mix 4 batches </t>
  </si>
  <si>
    <t>Grind gelatin from 6/16</t>
  </si>
  <si>
    <t>Make 50# flour recipes - Amanada will advise when to start mixing and when to stop mixing</t>
  </si>
  <si>
    <t>Grind all gelatin</t>
  </si>
  <si>
    <t>Grind all Gelatin</t>
  </si>
  <si>
    <t>Mix 4 batches</t>
  </si>
  <si>
    <t>Pack all produced soup dumplings today, do not put any unpacked in freezer.</t>
  </si>
  <si>
    <t>Make 1 batch BBQ Sauce</t>
  </si>
  <si>
    <t>Dice all roasted pork from 6/18</t>
  </si>
  <si>
    <t>Pack all produced Bao today, do not put any unpacked in freezer</t>
  </si>
  <si>
    <t>Make 4 kits - 1150# recipes</t>
  </si>
  <si>
    <t>Marinate and roast 1000# pork sliced by kitting</t>
  </si>
  <si>
    <t>Mix all diced pork into filling -2x  1150# recipe</t>
  </si>
  <si>
    <t>Product Text</t>
  </si>
  <si>
    <t>Type</t>
  </si>
  <si>
    <t>QTY</t>
  </si>
  <si>
    <t>Chicken Soup Dumplings 6oz</t>
  </si>
  <si>
    <t>Soup Dumpling</t>
  </si>
  <si>
    <t>Sou</t>
  </si>
  <si>
    <t>Pork Soup Dumplings 6oz</t>
  </si>
  <si>
    <t>Chili Crisp Chicken Soup Dumplings 6oz</t>
  </si>
  <si>
    <t>Chinese-Style BBQ Pork Bao 4pk</t>
  </si>
  <si>
    <t>Chicken Soup Dumplings WIP Case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</si>
</sst>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4" formatCode="_(&quot;$&quot;* #,##0.00_);_(&quot;$&quot;* \(#,##0.00\);_(&quot;$&quot;* &quot;-&quot;??_);_(@_)"/>
    <numFmt numFmtId="43" formatCode="_(* #,##0.00_);_(* \(#,##0.00\);_(* &quot;-&quot;??_);_(@_)"/>
    <numFmt numFmtId="164" formatCode="_(* #,##0_);_(* \(#,##0\);_(* &quot;-&quot;??_);_(@_)"/>
    <numFmt numFmtId="165" formatCode="_(* #,##0.0000_);_(* \(#,##0.0000\);_(* &quot;-&quot;??_);_(@_)"/>
    <numFmt numFmtId="166" formatCode="&quot;FY&quot;00"/>
    <numFmt numFmtId="167" formatCode="&quot;P&quot;00"/>
    <numFmt numFmtId="168" formatCode="#,##0.0%_);\(#,##0.0%\)"/>
    <numFmt numFmtId="169" formatCode="#,##0.0_);\(#,##0.0\)"/>
    <numFmt numFmtId="170" formatCode="0.0%"/>
    <numFmt numFmtId="171" formatCode="_(&quot;$&quot;* #,##0.000_);_(&quot;$&quot;* \(#,##0.000\);_(&quot;$&quot;* &quot;-&quot;??_);_(@_)"/>
    <numFmt numFmtId="172" formatCode="_(* #,##0.00000_);_(* \(#,##0.00000\);_(* &quot;-&quot;??_);_(@_)"/>
    <numFmt numFmtId="173" formatCode="yyyy\-mm\-dd"/>
    <numFmt numFmtId="174" formatCode="#,##0;;;"/>
  </numFmts>
  <fonts count="22" x14ac:knownFonts="1">
    <font>
      <sz val="11"/>
      <color theme="1"/>
      <name val="Aptos Narrow"/>
      <family val="2"/>
      <scheme val="minor"/>
    </font>
    <font>
      <sz val="11"/>
      <color theme="1"/>
      <name val="Aptos Narrow"/>
      <family val="2"/>
      <scheme val="minor"/>
    </font>
    <font>
      <b/>
      <sz val="11"/>
      <color theme="1"/>
      <name val="Aptos Narrow"/>
      <family val="2"/>
      <scheme val="minor"/>
    </font>
    <font>
      <b/>
      <sz val="14"/>
      <color theme="1"/>
      <name val="Arial"/>
      <family val="2"/>
    </font>
    <font>
      <b/>
      <sz val="11"/>
      <color theme="0"/>
      <name val="Aptos Narrow"/>
      <family val="2"/>
      <scheme val="minor"/>
    </font>
    <font>
      <sz val="9"/>
      <color indexed="81"/>
      <name val="Tahoma"/>
      <family val="2"/>
    </font>
    <font>
      <sz val="8"/>
      <name val="Aptos Narrow"/>
      <family val="2"/>
      <scheme val="minor"/>
    </font>
    <font>
      <i/>
      <sz val="11"/>
      <color theme="1"/>
      <name val="Aptos Narrow"/>
      <family val="2"/>
      <scheme val="minor"/>
    </font>
    <font>
      <i/>
      <sz val="11"/>
      <color rgb="FF0042E9"/>
      <name val="Aptos Narrow"/>
      <family val="2"/>
      <scheme val="minor"/>
    </font>
    <font>
      <sz val="11"/>
      <color rgb="FF0042E9"/>
      <name val="Aptos Narrow"/>
      <family val="2"/>
      <scheme val="minor"/>
    </font>
    <font>
      <sz val="11"/>
      <name val="Aptos Narrow"/>
      <family val="2"/>
      <scheme val="minor"/>
    </font>
    <font>
      <sz val="10"/>
      <color rgb="FF0042E9"/>
      <name val="Aptos Narrow"/>
      <family val="2"/>
      <scheme val="minor"/>
    </font>
    <font>
      <b/>
      <sz val="9"/>
      <color indexed="81"/>
      <name val="Tahoma"/>
      <family val="2"/>
    </font>
    <font>
      <b/>
      <sz val="14"/>
      <color rgb="FFFFFFFF"/>
      <name val="Calibri"/>
      <family val="2"/>
    </font>
    <font>
      <b/>
      <sz val="11"/>
      <color rgb="FFFFFFFF"/>
      <name val="Calibri"/>
      <family val="2"/>
    </font>
    <font>
      <sz val="11"/>
      <color rgb="FF0000FF"/>
      <name val="Calibri"/>
      <family val="2"/>
    </font>
    <font>
      <sz val="11"/>
      <color rgb="FF000000"/>
      <name val="Calibri"/>
      <family val="2"/>
    </font>
    <font>
      <sz val="11"/>
      <color rgb="FF000000"/>
      <name val="Aptos"/>
      <family val="2"/>
    </font>
    <font>
      <sz val="11"/>
      <color rgb="FFFF0000"/>
      <name val="Aptos Narrow"/>
      <family val="2"/>
      <scheme val="minor"/>
    </font>
    <font>
      <i/>
      <sz val="8"/>
      <color rgb="FFFF0000"/>
      <name val="Aptos Narrow"/>
      <family val="2"/>
      <scheme val="minor"/>
    </font>
    <font>
      <b/>
      <sz val="16"/>
      <color theme="1"/>
      <name val="Aptos Narrow"/>
      <family val="2"/>
      <scheme val="minor"/>
    </font>
    <font>
      <b/>
      <sz val="11"/>
      <color theme="1"/>
      <name val="Arial"/>
      <family val="2"/>
    </font>
  </fonts>
  <fills count="20">
    <fill>
      <patternFill patternType="none"/>
    </fill>
    <fill>
      <patternFill patternType="gray125"/>
    </fill>
    <fill>
      <patternFill patternType="solid">
        <fgColor theme="0" tint="-0.14999847407452621"/>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rgb="FFFFFF00"/>
        <bgColor indexed="64"/>
      </patternFill>
    </fill>
    <fill>
      <patternFill patternType="solid">
        <fgColor rgb="FFE63E30"/>
        <bgColor indexed="64"/>
      </patternFill>
    </fill>
    <fill>
      <patternFill patternType="solid">
        <fgColor theme="0" tint="-0.14996795556505021"/>
        <bgColor indexed="64"/>
      </patternFill>
    </fill>
    <fill>
      <patternFill patternType="solid">
        <fgColor rgb="FFFFFFCC"/>
        <bgColor indexed="64"/>
      </patternFill>
    </fill>
    <fill>
      <patternFill patternType="solid">
        <fgColor rgb="FFFFC000"/>
        <bgColor indexed="64"/>
      </patternFill>
    </fill>
    <fill>
      <patternFill patternType="solid">
        <fgColor rgb="FF1F4E78"/>
      </patternFill>
    </fill>
    <fill>
      <patternFill patternType="solid">
        <fgColor rgb="FFEAF2F8"/>
      </patternFill>
    </fill>
    <fill>
      <patternFill patternType="solid">
        <fgColor rgb="FFFFFFFF"/>
      </patternFill>
    </fill>
    <fill>
      <patternFill patternType="solid">
        <fgColor theme="0"/>
        <bgColor indexed="64"/>
      </patternFill>
    </fill>
    <fill>
      <patternFill patternType="solid">
        <fgColor theme="7" tint="0.79998168889431442"/>
        <bgColor indexed="64"/>
      </patternFill>
    </fill>
    <fill>
      <patternFill patternType="solid">
        <fgColor rgb="FFC00000"/>
        <bgColor rgb="FF1F4E78"/>
      </patternFill>
    </fill>
    <fill>
      <patternFill patternType="solid">
        <fgColor rgb="FFE7E6E6"/>
        <bgColor rgb="FFE7E6E6"/>
      </patternFill>
    </fill>
    <fill>
      <patternFill patternType="solid">
        <fgColor rgb="FF1F4E78"/>
        <bgColor rgb="FF1F4E78"/>
      </patternFill>
    </fill>
  </fills>
  <borders count="12">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right/>
      <top/>
      <bottom style="thin">
        <color rgb="FFD9D9D9"/>
      </bottom>
      <diagonal/>
    </border>
    <border>
      <left style="medium">
        <color indexed="64"/>
      </left>
      <right style="medium">
        <color indexed="64"/>
      </right>
      <top/>
      <bottom/>
      <diagonal/>
    </border>
    <border>
      <left style="thin">
        <color rgb="FFCCCCCC"/>
      </left>
      <right style="thin">
        <color rgb="FFCCCCCC"/>
      </right>
      <top style="thin">
        <color rgb="FFCCCCCC"/>
      </top>
      <bottom style="thin">
        <color rgb="FFCCCCCC"/>
      </bottom>
      <diagonal/>
    </border>
  </borders>
  <cellStyleXfs count="4">
    <xf numFmtId="0" fontId="0" fillId="0" borderId="0"/>
    <xf numFmtId="43" fontId="1" fillId="0" borderId="0" applyFont="0" applyFill="0" applyBorder="0" applyAlignment="0" applyProtection="0"/>
    <xf numFmtId="9" fontId="1" fillId="0" borderId="0" applyFont="0" applyFill="0" applyBorder="0" applyAlignment="0" applyProtection="0"/>
    <xf numFmtId="44" fontId="1" fillId="0" borderId="0" applyFont="0" applyFill="0" applyBorder="0" applyAlignment="0" applyProtection="0"/>
  </cellStyleXfs>
  <cellXfs count="143">
    <xf numFmtId="0" fontId="0" fillId="0" borderId="0" xfId="0"/>
    <xf numFmtId="16" fontId="0" fillId="0" borderId="0" xfId="0" applyNumberFormat="1"/>
    <xf numFmtId="14" fontId="0" fillId="0" borderId="0" xfId="0" applyNumberFormat="1"/>
    <xf numFmtId="0" fontId="2" fillId="0" borderId="0" xfId="0" applyFont="1"/>
    <xf numFmtId="14" fontId="0" fillId="3" borderId="1" xfId="0" applyNumberFormat="1" applyFill="1" applyBorder="1" applyAlignment="1">
      <alignment horizontal="left"/>
    </xf>
    <xf numFmtId="0" fontId="0" fillId="3" borderId="1" xfId="0" applyFill="1" applyBorder="1" applyAlignment="1">
      <alignment horizontal="left"/>
    </xf>
    <xf numFmtId="0" fontId="0" fillId="0" borderId="1" xfId="0" applyBorder="1" applyAlignment="1">
      <alignment horizontal="center"/>
    </xf>
    <xf numFmtId="0" fontId="0" fillId="4" borderId="1" xfId="0" applyFill="1" applyBorder="1"/>
    <xf numFmtId="0" fontId="0" fillId="4" borderId="1" xfId="0" applyFill="1" applyBorder="1" applyAlignment="1">
      <alignment horizontal="right"/>
    </xf>
    <xf numFmtId="0" fontId="0" fillId="5" borderId="1" xfId="0" applyFill="1" applyBorder="1" applyAlignment="1">
      <alignment horizontal="right"/>
    </xf>
    <xf numFmtId="0" fontId="2" fillId="0" borderId="1" xfId="0" applyFont="1" applyBorder="1" applyAlignment="1">
      <alignment horizontal="center"/>
    </xf>
    <xf numFmtId="164" fontId="0" fillId="0" borderId="0" xfId="1" applyNumberFormat="1" applyFont="1"/>
    <xf numFmtId="0" fontId="2" fillId="0" borderId="0" xfId="0" applyFont="1" applyAlignment="1">
      <alignment horizontal="center"/>
    </xf>
    <xf numFmtId="10" fontId="0" fillId="0" borderId="0" xfId="2" applyNumberFormat="1" applyFont="1"/>
    <xf numFmtId="164" fontId="0" fillId="4" borderId="1" xfId="1" applyNumberFormat="1" applyFont="1" applyFill="1" applyBorder="1"/>
    <xf numFmtId="164" fontId="0" fillId="5" borderId="1" xfId="1" applyNumberFormat="1" applyFont="1" applyFill="1" applyBorder="1" applyAlignment="1">
      <alignment horizontal="right"/>
    </xf>
    <xf numFmtId="164" fontId="0" fillId="4" borderId="1" xfId="1" applyNumberFormat="1" applyFont="1" applyFill="1" applyBorder="1" applyAlignment="1">
      <alignment horizontal="right"/>
    </xf>
    <xf numFmtId="164" fontId="2" fillId="0" borderId="0" xfId="1" applyNumberFormat="1" applyFont="1"/>
    <xf numFmtId="165" fontId="0" fillId="0" borderId="0" xfId="1" applyNumberFormat="1" applyFont="1"/>
    <xf numFmtId="0" fontId="3" fillId="0" borderId="0" xfId="0" applyFont="1" applyAlignment="1">
      <alignment horizontal="center"/>
    </xf>
    <xf numFmtId="164" fontId="0" fillId="0" borderId="0" xfId="1" applyNumberFormat="1" applyFont="1" applyFill="1" applyBorder="1" applyAlignment="1">
      <alignment horizontal="right"/>
    </xf>
    <xf numFmtId="0" fontId="0" fillId="0" borderId="0" xfId="0" applyAlignment="1">
      <alignment horizontal="right"/>
    </xf>
    <xf numFmtId="0" fontId="2" fillId="0" borderId="2" xfId="0" applyFont="1" applyBorder="1" applyAlignment="1">
      <alignment horizontal="center"/>
    </xf>
    <xf numFmtId="0" fontId="3" fillId="2" borderId="3" xfId="0" applyFont="1" applyFill="1" applyBorder="1" applyAlignment="1">
      <alignment horizontal="center" wrapText="1"/>
    </xf>
    <xf numFmtId="0" fontId="0" fillId="6" borderId="0" xfId="0" applyFill="1"/>
    <xf numFmtId="164" fontId="0" fillId="6" borderId="0" xfId="1" applyNumberFormat="1" applyFont="1" applyFill="1"/>
    <xf numFmtId="164" fontId="1" fillId="6" borderId="0" xfId="1" applyNumberFormat="1" applyFont="1" applyFill="1"/>
    <xf numFmtId="0" fontId="2" fillId="6" borderId="0" xfId="0" applyFont="1" applyFill="1"/>
    <xf numFmtId="0" fontId="2" fillId="3" borderId="4" xfId="0" applyFont="1" applyFill="1" applyBorder="1"/>
    <xf numFmtId="164" fontId="0" fillId="3" borderId="5" xfId="1" applyNumberFormat="1" applyFont="1" applyFill="1" applyBorder="1"/>
    <xf numFmtId="164" fontId="0" fillId="3" borderId="5" xfId="0" applyNumberFormat="1" applyFill="1" applyBorder="1"/>
    <xf numFmtId="0" fontId="0" fillId="3" borderId="5" xfId="0" applyFill="1" applyBorder="1"/>
    <xf numFmtId="0" fontId="2" fillId="5" borderId="6" xfId="0" applyFont="1" applyFill="1" applyBorder="1"/>
    <xf numFmtId="164" fontId="0" fillId="5" borderId="0" xfId="1" applyNumberFormat="1" applyFont="1" applyFill="1" applyBorder="1"/>
    <xf numFmtId="164" fontId="0" fillId="5" borderId="0" xfId="0" applyNumberFormat="1" applyFill="1"/>
    <xf numFmtId="0" fontId="0" fillId="5" borderId="0" xfId="0" applyFill="1"/>
    <xf numFmtId="0" fontId="2" fillId="4" borderId="6" xfId="0" applyFont="1" applyFill="1" applyBorder="1"/>
    <xf numFmtId="164" fontId="0" fillId="4" borderId="0" xfId="0" applyNumberFormat="1" applyFill="1"/>
    <xf numFmtId="0" fontId="0" fillId="4" borderId="0" xfId="0" applyFill="1"/>
    <xf numFmtId="0" fontId="2" fillId="0" borderId="6" xfId="0" applyFont="1" applyBorder="1"/>
    <xf numFmtId="0" fontId="2" fillId="0" borderId="7" xfId="0" applyFont="1" applyBorder="1"/>
    <xf numFmtId="10" fontId="0" fillId="0" borderId="8" xfId="2" applyNumberFormat="1" applyFont="1" applyBorder="1"/>
    <xf numFmtId="0" fontId="0" fillId="0" borderId="8" xfId="0" applyBorder="1"/>
    <xf numFmtId="164" fontId="0" fillId="6" borderId="0" xfId="0" applyNumberFormat="1" applyFill="1"/>
    <xf numFmtId="0" fontId="2" fillId="3" borderId="6" xfId="0" applyFont="1" applyFill="1" applyBorder="1"/>
    <xf numFmtId="164" fontId="0" fillId="3" borderId="0" xfId="1" applyNumberFormat="1" applyFont="1" applyFill="1" applyBorder="1"/>
    <xf numFmtId="164" fontId="0" fillId="3" borderId="0" xfId="0" applyNumberFormat="1" applyFill="1"/>
    <xf numFmtId="0" fontId="0" fillId="3" borderId="0" xfId="0" applyFill="1"/>
    <xf numFmtId="166" fontId="4" fillId="8" borderId="0" xfId="0" applyNumberFormat="1" applyFont="1" applyFill="1" applyAlignment="1">
      <alignment horizontal="centerContinuous" vertical="top" wrapText="1" readingOrder="1"/>
    </xf>
    <xf numFmtId="167" fontId="4" fillId="8" borderId="0" xfId="0" applyNumberFormat="1" applyFont="1" applyFill="1" applyAlignment="1">
      <alignment horizontal="centerContinuous" vertical="top" wrapText="1" readingOrder="1"/>
    </xf>
    <xf numFmtId="0" fontId="7" fillId="9" borderId="0" xfId="0" applyFont="1" applyFill="1" applyAlignment="1">
      <alignment horizontal="left" indent="3"/>
    </xf>
    <xf numFmtId="37" fontId="0" fillId="0" borderId="0" xfId="0" applyNumberFormat="1"/>
    <xf numFmtId="37" fontId="0" fillId="10" borderId="0" xfId="0" applyNumberFormat="1" applyFill="1"/>
    <xf numFmtId="168" fontId="8" fillId="9" borderId="0" xfId="0" applyNumberFormat="1" applyFont="1" applyFill="1" applyAlignment="1">
      <alignment horizontal="left" indent="3"/>
    </xf>
    <xf numFmtId="39" fontId="9" fillId="10" borderId="0" xfId="0" applyNumberFormat="1" applyFont="1" applyFill="1"/>
    <xf numFmtId="39" fontId="9" fillId="0" borderId="0" xfId="0" applyNumberFormat="1" applyFont="1"/>
    <xf numFmtId="39" fontId="0" fillId="0" borderId="0" xfId="0" applyNumberFormat="1"/>
    <xf numFmtId="0" fontId="0" fillId="10" borderId="0" xfId="0" applyFill="1"/>
    <xf numFmtId="0" fontId="9" fillId="0" borderId="0" xfId="0" applyFont="1"/>
    <xf numFmtId="37" fontId="9" fillId="0" borderId="0" xfId="0" applyNumberFormat="1" applyFont="1"/>
    <xf numFmtId="37" fontId="9" fillId="10" borderId="0" xfId="0" applyNumberFormat="1" applyFont="1" applyFill="1"/>
    <xf numFmtId="168" fontId="9" fillId="10" borderId="0" xfId="0" applyNumberFormat="1" applyFont="1" applyFill="1"/>
    <xf numFmtId="37" fontId="10" fillId="0" borderId="0" xfId="0" applyNumberFormat="1" applyFont="1"/>
    <xf numFmtId="169" fontId="9" fillId="0" borderId="0" xfId="0" applyNumberFormat="1" applyFont="1"/>
    <xf numFmtId="169" fontId="0" fillId="0" borderId="0" xfId="0" applyNumberFormat="1"/>
    <xf numFmtId="168" fontId="0" fillId="0" borderId="0" xfId="0" applyNumberFormat="1"/>
    <xf numFmtId="37" fontId="2" fillId="0" borderId="0" xfId="0" applyNumberFormat="1" applyFont="1"/>
    <xf numFmtId="0" fontId="0" fillId="9" borderId="0" xfId="0" applyFill="1"/>
    <xf numFmtId="37" fontId="0" fillId="9" borderId="0" xfId="0" applyNumberFormat="1" applyFill="1"/>
    <xf numFmtId="9" fontId="9" fillId="10" borderId="0" xfId="0" applyNumberFormat="1" applyFont="1" applyFill="1"/>
    <xf numFmtId="37" fontId="11" fillId="10" borderId="0" xfId="0" applyNumberFormat="1" applyFont="1" applyFill="1"/>
    <xf numFmtId="170" fontId="0" fillId="0" borderId="0" xfId="0" applyNumberFormat="1"/>
    <xf numFmtId="39" fontId="0" fillId="10" borderId="0" xfId="0" applyNumberFormat="1" applyFill="1"/>
    <xf numFmtId="4" fontId="0" fillId="0" borderId="0" xfId="0" applyNumberFormat="1"/>
    <xf numFmtId="9" fontId="0" fillId="0" borderId="0" xfId="2" applyFont="1"/>
    <xf numFmtId="2" fontId="0" fillId="0" borderId="0" xfId="0" applyNumberFormat="1"/>
    <xf numFmtId="0" fontId="0" fillId="11" borderId="0" xfId="0" applyFill="1"/>
    <xf numFmtId="44" fontId="0" fillId="0" borderId="0" xfId="3" applyFont="1"/>
    <xf numFmtId="44" fontId="0" fillId="0" borderId="0" xfId="0" applyNumberFormat="1"/>
    <xf numFmtId="0" fontId="8" fillId="10" borderId="0" xfId="0" applyFont="1" applyFill="1" applyAlignment="1">
      <alignment horizontal="centerContinuous" vertical="top" wrapText="1" readingOrder="1"/>
    </xf>
    <xf numFmtId="44" fontId="2" fillId="0" borderId="0" xfId="0" applyNumberFormat="1" applyFont="1"/>
    <xf numFmtId="0" fontId="0" fillId="0" borderId="0" xfId="0" applyAlignment="1">
      <alignment vertical="center"/>
    </xf>
    <xf numFmtId="0" fontId="14" fillId="12" borderId="9" xfId="0" applyFont="1" applyFill="1" applyBorder="1" applyAlignment="1">
      <alignment horizontal="center" vertical="center" wrapText="1"/>
    </xf>
    <xf numFmtId="0" fontId="0" fillId="0" borderId="0" xfId="0" applyAlignment="1">
      <alignment vertical="center" wrapText="1"/>
    </xf>
    <xf numFmtId="14" fontId="15" fillId="13" borderId="9" xfId="0" applyNumberFormat="1" applyFont="1" applyFill="1" applyBorder="1" applyAlignment="1" applyProtection="1">
      <alignment vertical="center" wrapText="1"/>
      <protection locked="0"/>
    </xf>
    <xf numFmtId="0" fontId="16" fillId="14" borderId="9" xfId="0" applyFont="1" applyFill="1" applyBorder="1" applyAlignment="1">
      <alignment vertical="center" wrapText="1"/>
    </xf>
    <xf numFmtId="0" fontId="15" fillId="13" borderId="9" xfId="0" applyFont="1" applyFill="1" applyBorder="1" applyAlignment="1" applyProtection="1">
      <alignment vertical="center" wrapText="1"/>
      <protection locked="0"/>
    </xf>
    <xf numFmtId="3" fontId="15" fillId="13" borderId="9" xfId="0" applyNumberFormat="1" applyFont="1" applyFill="1" applyBorder="1" applyAlignment="1" applyProtection="1">
      <alignment vertical="center" wrapText="1"/>
      <protection locked="0"/>
    </xf>
    <xf numFmtId="3" fontId="16" fillId="14" borderId="9" xfId="0" applyNumberFormat="1" applyFont="1" applyFill="1" applyBorder="1" applyAlignment="1">
      <alignment vertical="center" wrapText="1"/>
    </xf>
    <xf numFmtId="170" fontId="16" fillId="14" borderId="9" xfId="0" applyNumberFormat="1" applyFont="1" applyFill="1" applyBorder="1" applyAlignment="1">
      <alignment vertical="center" wrapText="1"/>
    </xf>
    <xf numFmtId="14" fontId="15" fillId="7" borderId="9" xfId="0" applyNumberFormat="1" applyFont="1" applyFill="1" applyBorder="1" applyAlignment="1" applyProtection="1">
      <alignment vertical="center" wrapText="1"/>
      <protection locked="0"/>
    </xf>
    <xf numFmtId="0" fontId="16" fillId="7" borderId="9" xfId="0" applyFont="1" applyFill="1" applyBorder="1" applyAlignment="1">
      <alignment vertical="center" wrapText="1"/>
    </xf>
    <xf numFmtId="0" fontId="15" fillId="7" borderId="9" xfId="0" applyFont="1" applyFill="1" applyBorder="1" applyAlignment="1" applyProtection="1">
      <alignment vertical="center" wrapText="1"/>
      <protection locked="0"/>
    </xf>
    <xf numFmtId="3" fontId="15" fillId="7" borderId="9" xfId="0" applyNumberFormat="1" applyFont="1" applyFill="1" applyBorder="1" applyAlignment="1" applyProtection="1">
      <alignment vertical="center" wrapText="1"/>
      <protection locked="0"/>
    </xf>
    <xf numFmtId="3" fontId="16" fillId="7" borderId="9" xfId="0" applyNumberFormat="1" applyFont="1" applyFill="1" applyBorder="1" applyAlignment="1">
      <alignment vertical="center" wrapText="1"/>
    </xf>
    <xf numFmtId="0" fontId="16" fillId="15" borderId="9" xfId="0" applyFont="1" applyFill="1" applyBorder="1" applyAlignment="1">
      <alignment vertical="center" wrapText="1"/>
    </xf>
    <xf numFmtId="0" fontId="15" fillId="3" borderId="9" xfId="0" applyFont="1" applyFill="1" applyBorder="1" applyAlignment="1" applyProtection="1">
      <alignment vertical="center" wrapText="1"/>
      <protection locked="0"/>
    </xf>
    <xf numFmtId="3" fontId="15" fillId="3" borderId="9" xfId="0" applyNumberFormat="1" applyFont="1" applyFill="1" applyBorder="1" applyAlignment="1" applyProtection="1">
      <alignment vertical="center" wrapText="1"/>
      <protection locked="0"/>
    </xf>
    <xf numFmtId="3" fontId="16" fillId="3" borderId="9" xfId="0" applyNumberFormat="1" applyFont="1" applyFill="1" applyBorder="1" applyAlignment="1">
      <alignment vertical="center" wrapText="1"/>
    </xf>
    <xf numFmtId="164" fontId="14" fillId="12" borderId="9" xfId="1" applyNumberFormat="1" applyFont="1" applyFill="1" applyBorder="1" applyAlignment="1">
      <alignment horizontal="center" vertical="center" wrapText="1"/>
    </xf>
    <xf numFmtId="164" fontId="15" fillId="13" borderId="9" xfId="1" applyNumberFormat="1" applyFont="1" applyFill="1" applyBorder="1" applyAlignment="1" applyProtection="1">
      <alignment vertical="center" wrapText="1"/>
      <protection locked="0"/>
    </xf>
    <xf numFmtId="164" fontId="0" fillId="0" borderId="0" xfId="1" applyNumberFormat="1" applyFont="1" applyAlignment="1">
      <alignment vertical="center"/>
    </xf>
    <xf numFmtId="0" fontId="3" fillId="0" borderId="3" xfId="0" applyFont="1" applyBorder="1" applyAlignment="1">
      <alignment horizontal="center" wrapText="1"/>
    </xf>
    <xf numFmtId="164" fontId="0" fillId="0" borderId="1" xfId="1" applyNumberFormat="1" applyFont="1" applyFill="1" applyBorder="1"/>
    <xf numFmtId="0" fontId="0" fillId="0" borderId="1" xfId="0" applyBorder="1"/>
    <xf numFmtId="164" fontId="0" fillId="0" borderId="0" xfId="1" applyNumberFormat="1" applyFont="1" applyFill="1" applyAlignment="1">
      <alignment wrapText="1"/>
    </xf>
    <xf numFmtId="0" fontId="0" fillId="0" borderId="0" xfId="0" applyAlignment="1">
      <alignment wrapText="1"/>
    </xf>
    <xf numFmtId="164" fontId="17" fillId="0" borderId="0" xfId="1" applyNumberFormat="1" applyFont="1" applyAlignment="1">
      <alignment vertical="center"/>
    </xf>
    <xf numFmtId="0" fontId="17" fillId="0" borderId="0" xfId="1" applyNumberFormat="1" applyFont="1" applyAlignment="1">
      <alignment vertical="center"/>
    </xf>
    <xf numFmtId="0" fontId="0" fillId="0" borderId="0" xfId="1" applyNumberFormat="1" applyFont="1"/>
    <xf numFmtId="1" fontId="17" fillId="0" borderId="0" xfId="1" applyNumberFormat="1" applyFont="1" applyAlignment="1">
      <alignment vertical="center"/>
    </xf>
    <xf numFmtId="0" fontId="2" fillId="0" borderId="4" xfId="0" applyFont="1" applyBorder="1"/>
    <xf numFmtId="0" fontId="0" fillId="0" borderId="5" xfId="0" applyBorder="1"/>
    <xf numFmtId="0" fontId="0" fillId="16" borderId="6" xfId="0" applyFill="1" applyBorder="1"/>
    <xf numFmtId="0" fontId="0" fillId="16" borderId="7" xfId="0" applyFill="1" applyBorder="1"/>
    <xf numFmtId="0" fontId="0" fillId="16" borderId="8" xfId="0" applyFill="1" applyBorder="1"/>
    <xf numFmtId="164" fontId="0" fillId="16" borderId="0" xfId="1" applyNumberFormat="1" applyFont="1" applyFill="1" applyBorder="1"/>
    <xf numFmtId="164" fontId="0" fillId="16" borderId="8" xfId="1" applyNumberFormat="1" applyFont="1" applyFill="1" applyBorder="1"/>
    <xf numFmtId="171" fontId="2" fillId="5" borderId="0" xfId="3" applyNumberFormat="1" applyFont="1" applyFill="1"/>
    <xf numFmtId="171" fontId="0" fillId="5" borderId="0" xfId="3" applyNumberFormat="1" applyFont="1" applyFill="1"/>
    <xf numFmtId="164" fontId="0" fillId="7" borderId="0" xfId="1" applyNumberFormat="1" applyFont="1" applyFill="1" applyAlignment="1">
      <alignment wrapText="1"/>
    </xf>
    <xf numFmtId="3" fontId="0" fillId="0" borderId="0" xfId="0" applyNumberFormat="1"/>
    <xf numFmtId="172" fontId="0" fillId="0" borderId="0" xfId="0" applyNumberFormat="1"/>
    <xf numFmtId="0" fontId="18" fillId="0" borderId="0" xfId="0" applyFont="1"/>
    <xf numFmtId="0" fontId="19" fillId="0" borderId="0" xfId="0" applyFont="1" applyAlignment="1">
      <alignment horizontal="centerContinuous" vertical="top" wrapText="1" readingOrder="1"/>
    </xf>
    <xf numFmtId="0" fontId="0" fillId="16" borderId="0" xfId="0" applyFill="1"/>
    <xf numFmtId="43" fontId="0" fillId="0" borderId="0" xfId="0" applyNumberFormat="1"/>
    <xf numFmtId="170" fontId="0" fillId="0" borderId="0" xfId="2" applyNumberFormat="1" applyFont="1"/>
    <xf numFmtId="0" fontId="3" fillId="0" borderId="0" xfId="0" applyFont="1" applyAlignment="1">
      <alignment horizontal="center" wrapText="1"/>
    </xf>
    <xf numFmtId="0" fontId="3" fillId="0" borderId="10" xfId="0" applyFont="1" applyBorder="1" applyAlignment="1">
      <alignment horizontal="center" wrapText="1"/>
    </xf>
    <xf numFmtId="164" fontId="20" fillId="0" borderId="0" xfId="0" applyNumberFormat="1" applyFont="1" applyAlignment="1">
      <alignment horizontal="center"/>
    </xf>
    <xf numFmtId="173" fontId="14" fillId="17" borderId="11" xfId="0" applyNumberFormat="1" applyFont="1" applyFill="1" applyBorder="1" applyAlignment="1">
      <alignment horizontal="center" vertical="center" wrapText="1"/>
    </xf>
    <xf numFmtId="174" fontId="0" fillId="18" borderId="11" xfId="0" applyNumberFormat="1" applyFill="1" applyBorder="1"/>
    <xf numFmtId="0" fontId="14" fillId="19" borderId="11" xfId="0" applyFont="1" applyFill="1" applyBorder="1" applyAlignment="1">
      <alignment horizontal="center" vertical="center" wrapText="1"/>
    </xf>
    <xf numFmtId="0" fontId="0" fillId="18" borderId="11" xfId="0" applyFill="1" applyBorder="1"/>
    <xf numFmtId="164" fontId="0" fillId="0" borderId="0" xfId="0" applyNumberFormat="1"/>
    <xf numFmtId="0" fontId="21" fillId="0" borderId="10" xfId="0" applyFont="1" applyBorder="1" applyAlignment="1">
      <alignment horizontal="center" wrapText="1"/>
    </xf>
    <xf numFmtId="0" fontId="20" fillId="0" borderId="0" xfId="0" applyFont="1" applyAlignment="1">
      <alignment horizontal="center"/>
    </xf>
    <xf numFmtId="0" fontId="2" fillId="0" borderId="1" xfId="0" applyFont="1" applyBorder="1" applyAlignment="1">
      <alignment horizontal="center"/>
    </xf>
    <xf numFmtId="164" fontId="2" fillId="0" borderId="1" xfId="1" applyNumberFormat="1" applyFont="1" applyBorder="1" applyAlignment="1">
      <alignment horizontal="center"/>
    </xf>
    <xf numFmtId="0" fontId="2" fillId="0" borderId="0" xfId="0" applyFont="1" applyAlignment="1">
      <alignment horizontal="center"/>
    </xf>
    <xf numFmtId="0" fontId="13" fillId="12" borderId="0" xfId="0" applyFont="1" applyFill="1" applyAlignment="1">
      <alignment horizontal="center" vertical="center"/>
    </xf>
    <xf numFmtId="0" fontId="0" fillId="0" borderId="0" xfId="0" applyAlignment="1">
      <alignment vertical="center"/>
    </xf>
  </cellXfs>
  <cellStyles count="4">
    <cellStyle name="Comma" xfId="1" builtinId="3"/>
    <cellStyle name="Currency" xfId="3" builtinId="4"/>
    <cellStyle name="Normal" xfId="0" builtinId="0"/>
    <cellStyle name="Percent" xfId="2" builtinId="5"/>
  </cellStyles>
  <dxfs count="5">
    <dxf>
      <fill>
        <patternFill patternType="solid">
          <fgColor rgb="FFE2F0D9"/>
        </patternFill>
      </fill>
    </dxf>
    <dxf>
      <fill>
        <patternFill patternType="solid">
          <fgColor rgb="FFF4CCCC"/>
        </patternFill>
      </fill>
    </dxf>
    <dxf>
      <fill>
        <patternFill patternType="solid">
          <fgColor rgb="FFE2F0D9"/>
        </patternFill>
      </fill>
    </dxf>
    <dxf>
      <fill>
        <patternFill patternType="solid">
          <fgColor rgb="FFF4CCCC"/>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owbao-my.sharepoint.com/personal/mlenz_wowbao_com/Documents/WowBao_Weekly_Production_Planner.xlsx" TargetMode="External"/><Relationship Id="rId1" Type="http://schemas.openxmlformats.org/officeDocument/2006/relationships/externalLinkPath" Target="https://wowbao-my.sharepoint.com/personal/mlenz_wowbao_com/Documents/WowBao_Weekly_Production_Planner.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wowbao-my.sharepoint.com/personal/mlenz_wowbao_com/Documents/WowBao_Weekly_Production_PlannerCOPY.xlsx" TargetMode="External"/><Relationship Id="rId1" Type="http://schemas.openxmlformats.org/officeDocument/2006/relationships/externalLinkPath" Target="https://wowbao-my.sharepoint.com/personal/mlenz_wowbao_com/Documents/WowBao_Weekly_Production_PlannerCOP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etup"/>
      <sheetName val="Dashboard"/>
      <sheetName val="Daily Schedule"/>
      <sheetName val="Equipment Schedule"/>
      <sheetName val="QC Daily Checks"/>
      <sheetName val="Downtime Log"/>
      <sheetName val="Waste Log"/>
      <sheetName val="Lists"/>
      <sheetName val="Release Tracker"/>
    </sheetNames>
    <sheetDataSet>
      <sheetData sheetId="0">
        <row r="4">
          <cell r="B4">
            <v>15000</v>
          </cell>
        </row>
        <row r="5">
          <cell r="B5">
            <v>90000</v>
          </cell>
        </row>
        <row r="6">
          <cell r="B6">
            <v>0.95</v>
          </cell>
        </row>
        <row r="7">
          <cell r="B7">
            <v>0.03</v>
          </cell>
        </row>
        <row r="8">
          <cell r="B8">
            <v>0.04</v>
          </cell>
        </row>
        <row r="9">
          <cell r="B9">
            <v>0.02</v>
          </cell>
        </row>
        <row r="10">
          <cell r="B10">
            <v>30</v>
          </cell>
        </row>
        <row r="11">
          <cell r="B11">
            <v>0.03</v>
          </cell>
        </row>
      </sheetData>
      <sheetData sheetId="1"/>
      <sheetData sheetId="2"/>
      <sheetData sheetId="3"/>
      <sheetData sheetId="4"/>
      <sheetData sheetId="5"/>
      <sheetData sheetId="6"/>
      <sheetData sheetId="7"/>
      <sheetData sheetId="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etup"/>
      <sheetName val="Dashboard"/>
      <sheetName val="Daily Schedule"/>
      <sheetName val="Kitting Prep List"/>
      <sheetName val="Sheet2"/>
      <sheetName val="Sheet1"/>
      <sheetName val="Equipment Schedule"/>
      <sheetName val="QC Daily Checks"/>
      <sheetName val="Downtime Log"/>
      <sheetName val="Waste Log"/>
      <sheetName val="Lists"/>
      <sheetName val="Release Tracker"/>
    </sheetNames>
    <sheetDataSet>
      <sheetData sheetId="0">
        <row r="4">
          <cell r="B4">
            <v>40000</v>
          </cell>
        </row>
        <row r="5">
          <cell r="B5">
            <v>90000</v>
          </cell>
        </row>
        <row r="6">
          <cell r="B6">
            <v>0.95</v>
          </cell>
        </row>
        <row r="7">
          <cell r="B7">
            <v>0.03</v>
          </cell>
        </row>
        <row r="8">
          <cell r="B8">
            <v>0.04</v>
          </cell>
        </row>
        <row r="9">
          <cell r="B9">
            <v>0.02</v>
          </cell>
        </row>
        <row r="10">
          <cell r="B10">
            <v>30</v>
          </cell>
        </row>
        <row r="11">
          <cell r="B11">
            <v>0.03</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Michael Coan" id="{8DD1D606-6A2D-4964-9D26-CBC7A308E0E5}" userId="S::MCoan@wowbao.com::5dcb83b4-12bd-4f9c-9c3f-b60ece3b7609" providerId="AD"/>
  <person displayName="Maxwell Krohn" id="{0F99CB98-42B3-4707-8C21-D458721D2347}" userId="S::mkrohn@valorep.com::d5f1d0b3-6ff8-46c9-ba5b-7df90e79df4b"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6-06-03T22:00:21.83" personId="{8DD1D606-6A2D-4964-9D26-CBC7A308E0E5}" id="{297218FF-8E20-4D63-8EEB-8003B0DC8260}">
    <text>Amounts were determined before plant was operational and do not align with current demand by SKU’s and Customer Needs.</text>
  </threadedComment>
  <threadedComment ref="A6" dT="2026-06-03T19:09:47.88" personId="{8DD1D606-6A2D-4964-9D26-CBC7A308E0E5}" id="{1466D439-1141-42D1-8F67-F28A242CBC49}">
    <text>Unavailable Before May.  Set to Match Ramp and then Plan</text>
  </threadedComment>
  <threadedComment ref="A7" dT="2026-06-03T19:05:44.97" personId="{8DD1D606-6A2D-4964-9D26-CBC7A308E0E5}" id="{A79496B1-CDEF-4E54-A628-00F563432AFE}">
    <text xml:space="preserve">Working with MD to confirm these numbers.  </text>
  </threadedComment>
  <threadedComment ref="E7" dT="2026-07-07T12:03:57.34" personId="{8DD1D606-6A2D-4964-9D26-CBC7A308E0E5}" id="{A53BB9A8-77BC-4944-84B1-719A1D9DAAE1}">
    <text>Includes new WIP SD</text>
  </threadedComment>
  <threadedComment ref="A16" dT="2026-06-03T22:03:10.90" personId="{8DD1D606-6A2D-4964-9D26-CBC7A308E0E5}" id="{AFBBA76F-393A-412E-B5FE-62C49A02D76D}">
    <text>Amounts were determined before plant was operational and do not align with current demand by SKU’s and Customer Needs.</text>
  </threadedComment>
  <threadedComment ref="A17" dT="2026-06-03T19:09:47.88" personId="{8DD1D606-6A2D-4964-9D26-CBC7A308E0E5}" id="{90DCFEBA-0217-4F15-A1FA-11298C28CBAE}">
    <text>Unavailable Before May.  Set to Match Ramp and then Plan</text>
  </threadedComment>
  <threadedComment ref="A18" dT="2026-06-03T19:05:44.97" personId="{8DD1D606-6A2D-4964-9D26-CBC7A308E0E5}" id="{F24C12B6-9568-4A65-A2E9-ACDA40D5934E}">
    <text xml:space="preserve">Working with MD to confirm these numbers.  </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6-06-03T22:00:21.83" personId="{8DD1D606-6A2D-4964-9D26-CBC7A308E0E5}" id="{68B50114-3846-4969-ADB3-53D4A8FCC5DE}">
    <text>Amounts were determined before plant was operational and do not align with current demand by SKU’s and Customer Needs.</text>
  </threadedComment>
  <threadedComment ref="A8" dT="2026-06-03T19:09:47.88" personId="{8DD1D606-6A2D-4964-9D26-CBC7A308E0E5}" id="{85AE077D-B7B1-42F1-8C22-4B77B7CBC852}">
    <text>Unavailable Before May.  Set to Match Ramp and then Plan</text>
  </threadedComment>
  <threadedComment ref="A9" dT="2026-06-03T19:05:44.97" personId="{8DD1D606-6A2D-4964-9D26-CBC7A308E0E5}" id="{5A3B7731-CA1D-4566-9002-F19E35F85CD8}">
    <text xml:space="preserve">Working with MD to confirm these numbers.  </text>
  </threadedComment>
  <threadedComment ref="M10" dT="2026-06-16T12:01:26.40" personId="{8DD1D606-6A2D-4964-9D26-CBC7A308E0E5}" id="{ECFA29C2-2612-4C00-9991-CF8D22A8ED7C}">
    <text>Changed to Packed instead of Produced</text>
  </threadedComment>
  <threadedComment ref="A18" dT="2026-06-03T22:03:10.90" personId="{8DD1D606-6A2D-4964-9D26-CBC7A308E0E5}" id="{F8C6DED0-E02D-4E17-8675-D27725E74548}">
    <text>Amounts were determined before plant was operational and do not align with current demand by SKU’s and Customer Needs.</text>
  </threadedComment>
  <threadedComment ref="A19" dT="2026-06-03T19:09:47.88" personId="{8DD1D606-6A2D-4964-9D26-CBC7A308E0E5}" id="{040B356F-AC32-46B4-BB11-AF69A71F7FE5}">
    <text>Unavailable Before May.  Set to Match Ramp and then Plan</text>
  </threadedComment>
  <threadedComment ref="A20" dT="2026-06-03T19:05:44.97" personId="{8DD1D606-6A2D-4964-9D26-CBC7A308E0E5}" id="{CDE07D8B-0207-452F-A804-638E74199B67}">
    <text xml:space="preserve">Working with MD to confirm these numbers.  </text>
  </threadedComment>
  <threadedComment ref="M21" dT="2026-06-16T12:16:56.94" personId="{8DD1D606-6A2D-4964-9D26-CBC7A308E0E5}" id="{2E9923F4-B0A8-4135-9873-EA1986E89B44}">
    <text>Changed to Packed instead of Produced.</text>
  </threadedComment>
  <threadedComment ref="V28" dT="2026-06-03T12:46:02.94" personId="{8DD1D606-6A2D-4964-9D26-CBC7A308E0E5}" id="{7A34B751-CC42-4B3F-AF6E-6EEF5EC752DF}">
    <text>Waste &amp; Lag of Packout v Production</text>
  </threadedComment>
  <threadedComment ref="K57" dT="2026-06-05T18:34:10.98" personId="{8DD1D606-6A2D-4964-9D26-CBC7A308E0E5}" id="{FFC2315B-7B19-4840-98DA-7C425C2A6A2A}">
    <text>Includes 5/26 Product</text>
  </threadedComment>
</ThreadedComments>
</file>

<file path=xl/threadedComments/threadedComment3.xml><?xml version="1.0" encoding="utf-8"?>
<ThreadedComments xmlns="http://schemas.microsoft.com/office/spreadsheetml/2018/threadedcomments" xmlns:x="http://schemas.openxmlformats.org/spreadsheetml/2006/main">
  <threadedComment ref="L48" dT="2026-06-16T11:44:31.26" personId="{8DD1D606-6A2D-4964-9D26-CBC7A308E0E5}" id="{29D0772F-B346-4438-864A-425022E0BCF8}">
    <text>Counted Freezer.  #’s Should be Accruate within 5%</text>
  </threadedComment>
  <threadedComment ref="M48" dT="2026-06-16T11:44:31.26" personId="{8DD1D606-6A2D-4964-9D26-CBC7A308E0E5}" id="{644364D9-ECDE-4720-8075-191C0A7B7C7B}">
    <text>Counted Freezer.  #’s Should be Accruate within 5%</text>
  </threadedComment>
  <threadedComment ref="J49" dT="2026-06-16T11:43:28.85" personId="{8DD1D606-6A2D-4964-9D26-CBC7A308E0E5}" id="{7951E960-9F9F-42F4-AB01-94AAA2C0BDFB}">
    <text>252 4-Pack, 89 FS</text>
  </threadedComment>
  <threadedComment ref="I51" dT="2026-06-18T11:54:03.06" personId="{8DD1D606-6A2D-4964-9D26-CBC7A308E0E5}" id="{08E28496-4582-4061-B233-F94E6DF9A2E9}">
    <text>Includes remainder of 5/27 Rework</text>
  </threadedComment>
  <threadedComment ref="L51" dT="2026-06-18T11:53:52.09" personId="{8DD1D606-6A2D-4964-9D26-CBC7A308E0E5}" id="{36FAB553-82FF-4CF6-A5F2-C3AB70DB3A08}">
    <text>No more SD to Pack.  Backlog at Zero</text>
  </threadedComment>
  <threadedComment ref="M53" dT="2026-06-22T15:39:09.11" personId="{8DD1D606-6A2D-4964-9D26-CBC7A308E0E5}" id="{8D9346F5-DF36-425F-BC37-708151E48539}">
    <text>Backlog to zero</text>
  </threadedComment>
  <threadedComment ref="M54" dT="2026-06-23T12:29:33.04" personId="{8DD1D606-6A2D-4964-9D26-CBC7A308E0E5}" id="{06372B68-2F03-438F-98EB-49507315AEE4}">
    <text>~1,600 pcs were produced but scrapped after steaming due to Steam Pressure.  Overproofed and fallen BAO.</text>
  </threadedComment>
  <threadedComment ref="L55" dT="2026-06-24T13:27:34.31" personId="{8DD1D606-6A2D-4964-9D26-CBC7A308E0E5}" id="{2784985B-AA71-4C33-A961-208E8BF35167}">
    <text>Difference in Production &amp; Packing is Waste Related</text>
  </threadedComment>
  <threadedComment ref="M55" dT="2026-06-24T12:30:35.29" personId="{8DD1D606-6A2D-4964-9D26-CBC7A308E0E5}" id="{1A1FF8DB-D35C-4D49-83CB-CD6D6E368755}">
    <text>272 lbs of Dough Waste &amp; 250 lbs of other waste accounts for difference between produced and packed.</text>
  </threadedComment>
  <threadedComment ref="L59" dT="2026-06-30T12:54:44.59" personId="{8DD1D606-6A2D-4964-9D26-CBC7A308E0E5}" id="{8DD8CD95-35B6-4C14-A2CD-0F50F207DE16}">
    <text>Estimated QTY in Freezer</text>
  </threadedComment>
  <threadedComment ref="L62" dT="2026-07-06T12:14:03.48" personId="{8DD1D606-6A2D-4964-9D26-CBC7A308E0E5}" id="{06D41479-2A2A-42DC-A430-012C9254736D}">
    <text>Estimated amount left over from Thursday</text>
  </threadedComment>
  <threadedComment ref="M62" dT="2026-07-06T12:14:03.48" personId="{8DD1D606-6A2D-4964-9D26-CBC7A308E0E5}" id="{C484FF8D-7ADD-4849-BA50-7DB908A9AB1E}">
    <text>Estimated amount left over from Thursday</text>
  </threadedComment>
</ThreadedComments>
</file>

<file path=xl/threadedComments/threadedComment4.xml><?xml version="1.0" encoding="utf-8"?>
<ThreadedComments xmlns="http://schemas.microsoft.com/office/spreadsheetml/2018/threadedcomments" xmlns:x="http://schemas.openxmlformats.org/spreadsheetml/2006/main">
  <threadedComment ref="B216" dT="2026-03-02T16:35:31.23" personId="{0F99CB98-42B3-4707-8C21-D458721D2347}" id="{9C1A7D58-99B1-4082-A700-35124F2B5A6C}">
    <text>This seems like “Inventory Required”? The formulas also look inconsistent… is that intentional?</text>
  </threadedComment>
  <threadedComment ref="B285" dT="2026-02-28T16:41:37.58" personId="{0F99CB98-42B3-4707-8C21-D458721D2347}" id="{DBD31FE4-033E-4F0E-BF58-F1E34F4EDBC9}">
    <text>Sharif – to extent any of this is just ad hoc calc’s to get to the Contribution profit calc (now in it’s own tab), can we remove? 
Need to condense where we can to simplify</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A8FAF-16E6-41BD-8BD5-450F3FDB2200}">
  <sheetPr>
    <tabColor rgb="FF92D050"/>
  </sheetPr>
  <dimension ref="A1:G26"/>
  <sheetViews>
    <sheetView workbookViewId="0">
      <selection activeCell="E7" sqref="E7"/>
    </sheetView>
  </sheetViews>
  <sheetFormatPr defaultRowHeight="14.4" x14ac:dyDescent="0.3"/>
  <cols>
    <col min="1" max="1" width="24.5546875" bestFit="1" customWidth="1"/>
    <col min="2" max="2" width="10.88671875" bestFit="1" customWidth="1"/>
    <col min="3" max="3" width="10.109375" customWidth="1"/>
    <col min="4" max="5" width="10.88671875" bestFit="1" customWidth="1"/>
    <col min="7" max="7" width="10.88671875" bestFit="1" customWidth="1"/>
  </cols>
  <sheetData>
    <row r="1" spans="1:7" x14ac:dyDescent="0.3">
      <c r="A1" s="3"/>
    </row>
    <row r="3" spans="1:7" x14ac:dyDescent="0.3">
      <c r="A3" t="s">
        <v>0</v>
      </c>
      <c r="B3" t="s">
        <v>1</v>
      </c>
      <c r="C3" t="s">
        <v>2</v>
      </c>
      <c r="D3" t="s">
        <v>3</v>
      </c>
      <c r="E3" t="s">
        <v>4</v>
      </c>
      <c r="G3" t="s">
        <v>5</v>
      </c>
    </row>
    <row r="4" spans="1:7" ht="15" thickBot="1" x14ac:dyDescent="0.35"/>
    <row r="5" spans="1:7" x14ac:dyDescent="0.3">
      <c r="A5" s="28" t="s">
        <v>6</v>
      </c>
      <c r="B5" s="29">
        <f>SUMIF('Weekly Summary'!$3:$3,B$3,'Weekly Summary'!7:7)</f>
        <v>184320</v>
      </c>
      <c r="C5" s="29">
        <f>SUMIF('Weekly Summary'!$3:$3,C$3,'Weekly Summary'!7:7)</f>
        <v>576000</v>
      </c>
      <c r="D5" s="29">
        <v>1152000</v>
      </c>
      <c r="E5" s="29">
        <f>'Ramp Up Plan'!V94</f>
        <v>1658880</v>
      </c>
      <c r="G5" s="29">
        <f>SUM(B5:F5)</f>
        <v>3571200</v>
      </c>
    </row>
    <row r="6" spans="1:7" x14ac:dyDescent="0.3">
      <c r="A6" s="44" t="s">
        <v>7</v>
      </c>
      <c r="B6" s="45">
        <f>SUMIF('Weekly Summary'!$3:$3,B$3,'Weekly Summary'!8:8)</f>
        <v>184320</v>
      </c>
      <c r="C6" s="45">
        <f>SUMIF('Weekly Summary'!$3:$3,C$3,'Weekly Summary'!8:8)</f>
        <v>1234000</v>
      </c>
      <c r="D6" s="45">
        <f>SUMIF('Weekly Summary'!$3:$3,D$3,'Weekly Summary'!8:8)</f>
        <v>890000</v>
      </c>
      <c r="E6" s="45">
        <f>18*90000</f>
        <v>1620000</v>
      </c>
      <c r="G6" s="45">
        <f>SUM(B6:F6)</f>
        <v>3928320</v>
      </c>
    </row>
    <row r="7" spans="1:7" x14ac:dyDescent="0.3">
      <c r="A7" s="44" t="s">
        <v>8</v>
      </c>
      <c r="B7" s="45">
        <f>SUMIF('Weekly Summary'!$3:$3,B$3,'Weekly Summary'!9:9)</f>
        <v>184320</v>
      </c>
      <c r="C7" s="45">
        <f>SUMIF('Weekly Summary'!$3:$3,C$3,'Weekly Summary'!9:9)</f>
        <v>0</v>
      </c>
      <c r="D7" s="45">
        <f>SUMIF('Weekly Summary'!$3:$3,D$3,'Weekly Summary'!9:9)</f>
        <v>360000</v>
      </c>
      <c r="E7" s="45">
        <f>20250*60+250000</f>
        <v>1465000</v>
      </c>
      <c r="G7" s="45">
        <f>SUM(B7:F7)</f>
        <v>2009320</v>
      </c>
    </row>
    <row r="8" spans="1:7" x14ac:dyDescent="0.3">
      <c r="A8" s="32" t="s">
        <v>9</v>
      </c>
      <c r="B8" s="33">
        <f>SUMIF('Daily Summary'!$C:$C,"April",'Daily Summary'!$I:$I)</f>
        <v>928050</v>
      </c>
      <c r="C8" s="33">
        <f>SUMIF('Daily Summary'!$C:$C,"May",'Daily Summary'!$I:$I)</f>
        <v>801000</v>
      </c>
      <c r="D8" s="33">
        <f>SUMIF('Daily Summary'!$C:$C,"June",'Daily Summary'!$I:$I)</f>
        <v>1241652</v>
      </c>
      <c r="E8" s="33">
        <f>SUMIF('Daily Summary'!$C:$C,"JuLY",'Daily Summary'!$I:$I)</f>
        <v>803010</v>
      </c>
      <c r="G8" s="33">
        <f>SUM(B8:F8)</f>
        <v>3773712</v>
      </c>
    </row>
    <row r="9" spans="1:7" x14ac:dyDescent="0.3">
      <c r="A9" s="3"/>
    </row>
    <row r="10" spans="1:7" x14ac:dyDescent="0.3">
      <c r="A10" s="36" t="s">
        <v>10</v>
      </c>
      <c r="B10" s="37">
        <f t="shared" ref="B10:C10" si="0">B$8-B5</f>
        <v>743730</v>
      </c>
      <c r="C10" s="37">
        <f t="shared" si="0"/>
        <v>225000</v>
      </c>
      <c r="D10" s="37">
        <f>D$8-D5</f>
        <v>89652</v>
      </c>
      <c r="E10" s="37">
        <f>E$8-E5</f>
        <v>-855870</v>
      </c>
      <c r="G10" s="37">
        <f>SUM(B10:F10)</f>
        <v>202512</v>
      </c>
    </row>
    <row r="11" spans="1:7" x14ac:dyDescent="0.3">
      <c r="A11" s="36" t="s">
        <v>11</v>
      </c>
      <c r="B11" s="37">
        <f t="shared" ref="B11:D12" si="1">B$8-B6</f>
        <v>743730</v>
      </c>
      <c r="C11" s="37">
        <f t="shared" si="1"/>
        <v>-433000</v>
      </c>
      <c r="D11" s="37">
        <f t="shared" si="1"/>
        <v>351652</v>
      </c>
      <c r="E11" s="37">
        <f t="shared" ref="E11" si="2">E$8-E6</f>
        <v>-816990</v>
      </c>
      <c r="G11" s="37">
        <f>SUM(B11:F11)</f>
        <v>-154608</v>
      </c>
    </row>
    <row r="12" spans="1:7" x14ac:dyDescent="0.3">
      <c r="A12" s="36" t="s">
        <v>12</v>
      </c>
      <c r="B12" s="37">
        <f t="shared" si="1"/>
        <v>743730</v>
      </c>
      <c r="C12" s="37">
        <f t="shared" si="1"/>
        <v>801000</v>
      </c>
      <c r="D12" s="37">
        <f t="shared" si="1"/>
        <v>881652</v>
      </c>
      <c r="E12" s="37">
        <f t="shared" ref="E12" si="3">E$8-E7</f>
        <v>-661990</v>
      </c>
      <c r="G12" s="37">
        <f>SUM(B12:F12)</f>
        <v>1764392</v>
      </c>
    </row>
    <row r="13" spans="1:7" x14ac:dyDescent="0.3">
      <c r="A13" s="39"/>
    </row>
    <row r="14" spans="1:7" ht="15" thickBot="1" x14ac:dyDescent="0.35">
      <c r="A14" s="40" t="s">
        <v>13</v>
      </c>
      <c r="B14" s="41">
        <f>SUMIF('Daily Summary'!$C:$C,"April",'Daily Summary'!$G:$G)/SUMIF('Daily Summary'!$C:$C,"April",'Daily Summary'!$N:$N)</f>
        <v>5.963300760609147E-2</v>
      </c>
      <c r="C14" s="41">
        <f>SUMIF('Daily Summary'!$C:$C,"May",'Daily Summary'!$G:$G)/SUMIF('Daily Summary'!$C:$C,"May",'Daily Summary'!$N:$N)</f>
        <v>6.8519368763927099E-2</v>
      </c>
      <c r="D14" s="41">
        <f>SUMIF('Daily Summary'!$C:$C,"June",'Daily Summary'!$G:$G)/SUMIF('Daily Summary'!$C:$C,"June",'Daily Summary'!$N:$N)</f>
        <v>5.0449756675905108E-2</v>
      </c>
      <c r="E14" s="41">
        <f>SUMIF('Daily Summary'!$C:$C,"July",'Daily Summary'!$G:$G)/SUMIF('Daily Summary'!$C:$C,"July",'Daily Summary'!$N:$N)</f>
        <v>9.9395983986061393E-2</v>
      </c>
      <c r="G14" s="41">
        <f>+SUM('Daily Summary'!G:G)/SUM('Daily Summary'!N:N)</f>
        <v>6.6805000525214833E-2</v>
      </c>
    </row>
    <row r="15" spans="1:7" ht="15" thickBot="1" x14ac:dyDescent="0.35">
      <c r="A15" s="3"/>
    </row>
    <row r="16" spans="1:7" x14ac:dyDescent="0.3">
      <c r="A16" s="28" t="s">
        <v>14</v>
      </c>
      <c r="B16" s="29">
        <f>SUMIF('Weekly Summary'!$3:$3,B$3,'Weekly Summary'!18:18)</f>
        <v>190080</v>
      </c>
      <c r="C16" s="29">
        <f>SUMIF('Weekly Summary'!$3:$3,C$3,'Weekly Summary'!18:18)</f>
        <v>415800</v>
      </c>
      <c r="D16" s="29">
        <f>SUMIF('Weekly Summary'!$3:$3,D$3,'Weekly Summary'!18:18)</f>
        <v>1029600</v>
      </c>
      <c r="E16" s="29">
        <f>'Ramp Up Plan'!V82</f>
        <v>1833975</v>
      </c>
      <c r="G16" s="29">
        <f>SUM(B16:F16)</f>
        <v>3469455</v>
      </c>
    </row>
    <row r="17" spans="1:7" x14ac:dyDescent="0.3">
      <c r="A17" s="44" t="s">
        <v>15</v>
      </c>
      <c r="B17" s="45">
        <f>SUMIF('Weekly Summary'!$3:$3,B$3,'Weekly Summary'!19:19)</f>
        <v>190080</v>
      </c>
      <c r="C17" s="45">
        <f>SUMIF('Weekly Summary'!$3:$3,C$3,'Weekly Summary'!19:19)</f>
        <v>333950</v>
      </c>
      <c r="D17" s="45">
        <f>SUMIF('Weekly Summary'!$3:$3,D$3,'Weekly Summary'!19:19)</f>
        <v>232000</v>
      </c>
      <c r="E17" s="45">
        <f>18*40000</f>
        <v>720000</v>
      </c>
      <c r="G17" s="45">
        <f>SUM(B17:F17)</f>
        <v>1476030</v>
      </c>
    </row>
    <row r="18" spans="1:7" x14ac:dyDescent="0.3">
      <c r="A18" s="44" t="s">
        <v>16</v>
      </c>
      <c r="B18" s="45">
        <f>SUMIF('Weekly Summary'!$3:$3,B$3,'Weekly Summary'!20:20)</f>
        <v>190080</v>
      </c>
      <c r="C18" s="45">
        <f>SUMIF('Weekly Summary'!$3:$3,C$3,'Weekly Summary'!20:20)</f>
        <v>0</v>
      </c>
      <c r="D18" s="45">
        <f>SUMIF('Weekly Summary'!$3:$3,D$3,'Weekly Summary'!20:20)</f>
        <v>32000</v>
      </c>
      <c r="E18" s="45">
        <f>4000*35</f>
        <v>140000</v>
      </c>
      <c r="G18" s="45">
        <f>SUM(B18:F18)</f>
        <v>362080</v>
      </c>
    </row>
    <row r="19" spans="1:7" x14ac:dyDescent="0.3">
      <c r="A19" s="32" t="s">
        <v>17</v>
      </c>
      <c r="B19" s="33">
        <f>SUMIF('Daily Summary'!$C:$C,"April",'Daily Summary'!$J:$J)</f>
        <v>0</v>
      </c>
      <c r="C19" s="33">
        <f>SUMIF('Daily Summary'!$C:$C,"May",'Daily Summary'!$J:$J)</f>
        <v>35152</v>
      </c>
      <c r="D19" s="33">
        <f>SUMIF('Daily Summary'!$C:$C,"June",'Daily Summary'!$J:$J)</f>
        <v>116008</v>
      </c>
      <c r="E19" s="33">
        <f>SUMIF('Daily Summary'!$C:$C,"JuLY",'Daily Summary'!$J:$J)</f>
        <v>247453</v>
      </c>
      <c r="G19" s="33">
        <f>SUM(B19:F19)</f>
        <v>398613</v>
      </c>
    </row>
    <row r="20" spans="1:7" x14ac:dyDescent="0.3">
      <c r="A20" s="3"/>
    </row>
    <row r="21" spans="1:7" x14ac:dyDescent="0.3">
      <c r="A21" s="36" t="s">
        <v>10</v>
      </c>
      <c r="B21" s="37">
        <f t="shared" ref="B21:C21" si="4">B$19-B16</f>
        <v>-190080</v>
      </c>
      <c r="C21" s="37">
        <f t="shared" si="4"/>
        <v>-380648</v>
      </c>
      <c r="D21" s="37">
        <f>D$19-D16</f>
        <v>-913592</v>
      </c>
      <c r="E21" s="37">
        <f>E$19-E16</f>
        <v>-1586522</v>
      </c>
      <c r="G21" s="37">
        <f>SUM(B21:F21)</f>
        <v>-3070842</v>
      </c>
    </row>
    <row r="22" spans="1:7" x14ac:dyDescent="0.3">
      <c r="A22" s="36" t="s">
        <v>11</v>
      </c>
      <c r="B22" s="37">
        <f t="shared" ref="B22:D23" si="5">B$19-B17</f>
        <v>-190080</v>
      </c>
      <c r="C22" s="37">
        <f t="shared" si="5"/>
        <v>-298798</v>
      </c>
      <c r="D22" s="37">
        <f t="shared" si="5"/>
        <v>-115992</v>
      </c>
      <c r="E22" s="37">
        <f t="shared" ref="E22" si="6">E$19-E17</f>
        <v>-472547</v>
      </c>
      <c r="G22" s="37">
        <f>SUM(B22:F22)</f>
        <v>-1077417</v>
      </c>
    </row>
    <row r="23" spans="1:7" x14ac:dyDescent="0.3">
      <c r="A23" s="36" t="s">
        <v>12</v>
      </c>
      <c r="B23" s="37">
        <f t="shared" si="5"/>
        <v>-190080</v>
      </c>
      <c r="C23" s="37">
        <f t="shared" si="5"/>
        <v>35152</v>
      </c>
      <c r="D23" s="37">
        <f t="shared" si="5"/>
        <v>84008</v>
      </c>
      <c r="E23" s="37">
        <f t="shared" ref="E23" si="7">E$19-E18</f>
        <v>107453</v>
      </c>
      <c r="G23" s="37">
        <f>SUM(B23:F23)</f>
        <v>36533</v>
      </c>
    </row>
    <row r="24" spans="1:7" x14ac:dyDescent="0.3">
      <c r="A24" s="3"/>
    </row>
    <row r="25" spans="1:7" ht="15" thickBot="1" x14ac:dyDescent="0.35">
      <c r="A25" s="40" t="s">
        <v>18</v>
      </c>
      <c r="B25" s="41" t="str">
        <f>IFERROR(SUMIF('Daily Summary'!$C:$C,"April",'Daily Summary'!$H:$H)/SUMIF('Daily Summary'!$C:$C,"April",'Daily Summary'!$O:$O),"")</f>
        <v/>
      </c>
      <c r="C25" s="41">
        <f>SUMIF('Daily Summary'!$C:$C,"May",'Daily Summary'!$H:$H)/SUMIF('Daily Summary'!$C:$C,"May",'Daily Summary'!$O:$O)</f>
        <v>0.11252475486644448</v>
      </c>
      <c r="D25" s="41">
        <f>SUMIF('Daily Summary'!$C:$C,"June",'Daily Summary'!$H:$H)/SUMIF('Daily Summary'!$C:$C,"June",'Daily Summary'!$O:$O)</f>
        <v>0.15961792066151051</v>
      </c>
      <c r="E25" s="41">
        <f>SUMIF('Daily Summary'!$C:$C,"July",'Daily Summary'!$H:$H)/SUMIF('Daily Summary'!$C:$C,"July",'Daily Summary'!$O:$O)</f>
        <v>0.10234159563390526</v>
      </c>
      <c r="G25" s="41">
        <f>+SUM('Daily Summary'!H:H)/SUM('Daily Summary'!O:O)</f>
        <v>0.11743655588967072</v>
      </c>
    </row>
    <row r="26" spans="1:7" x14ac:dyDescent="0.3">
      <c r="A26" s="3"/>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C163B-6FC3-43DA-95FD-3DC5898AAE57}">
  <sheetPr>
    <tabColor rgb="FF92D050"/>
    <pageSetUpPr fitToPage="1"/>
  </sheetPr>
  <dimension ref="A1:V58"/>
  <sheetViews>
    <sheetView zoomScale="90" zoomScaleNormal="90" workbookViewId="0">
      <pane xSplit="1" ySplit="6" topLeftCell="B13" activePane="bottomRight" state="frozen"/>
      <selection pane="topRight" activeCell="B1" sqref="B1"/>
      <selection pane="bottomLeft" activeCell="A7" sqref="A7"/>
      <selection pane="bottomRight" activeCell="S21" sqref="S21"/>
    </sheetView>
  </sheetViews>
  <sheetFormatPr defaultRowHeight="14.4" x14ac:dyDescent="0.3"/>
  <cols>
    <col min="1" max="1" width="24.5546875" bestFit="1" customWidth="1"/>
    <col min="2" max="9" width="11.33203125" bestFit="1" customWidth="1"/>
    <col min="10" max="13" width="11.109375" customWidth="1"/>
    <col min="14" max="14" width="12.88671875" bestFit="1" customWidth="1"/>
    <col min="15" max="19" width="12.88671875" customWidth="1"/>
    <col min="20" max="20" width="11.109375" customWidth="1"/>
    <col min="21" max="21" width="12.6640625" bestFit="1" customWidth="1"/>
  </cols>
  <sheetData>
    <row r="1" spans="1:21" s="3" customFormat="1" ht="21" x14ac:dyDescent="0.4">
      <c r="B1" s="137" t="s">
        <v>19</v>
      </c>
      <c r="C1" s="137"/>
      <c r="D1" s="137"/>
      <c r="E1" s="137"/>
      <c r="F1" s="137"/>
      <c r="G1" s="137"/>
      <c r="H1" s="137"/>
      <c r="I1" s="137"/>
      <c r="J1" s="137"/>
      <c r="K1" s="137"/>
      <c r="L1" s="137"/>
      <c r="M1" s="137"/>
      <c r="N1" s="130"/>
      <c r="O1" s="130"/>
      <c r="P1" s="130"/>
      <c r="Q1" s="130"/>
      <c r="R1" s="130"/>
      <c r="S1" s="130"/>
    </row>
    <row r="2" spans="1:21" ht="21" x14ac:dyDescent="0.4">
      <c r="N2" s="130"/>
      <c r="O2" s="130"/>
      <c r="P2" s="130"/>
      <c r="Q2" s="130"/>
      <c r="R2" s="130"/>
      <c r="S2" s="130"/>
    </row>
    <row r="3" spans="1:21" x14ac:dyDescent="0.3">
      <c r="A3" t="s">
        <v>0</v>
      </c>
      <c r="B3" t="s">
        <v>20</v>
      </c>
      <c r="C3" t="s">
        <v>1</v>
      </c>
      <c r="D3" t="s">
        <v>1</v>
      </c>
      <c r="E3" t="s">
        <v>1</v>
      </c>
      <c r="F3" t="s">
        <v>1</v>
      </c>
      <c r="G3" t="s">
        <v>2</v>
      </c>
      <c r="H3" t="s">
        <v>2</v>
      </c>
      <c r="I3" t="s">
        <v>2</v>
      </c>
      <c r="J3" t="s">
        <v>2</v>
      </c>
      <c r="K3" t="s">
        <v>3</v>
      </c>
      <c r="L3" t="s">
        <v>3</v>
      </c>
      <c r="M3" t="s">
        <v>3</v>
      </c>
      <c r="N3" t="s">
        <v>3</v>
      </c>
      <c r="O3" t="s">
        <v>4</v>
      </c>
      <c r="P3" t="s">
        <v>4</v>
      </c>
      <c r="Q3" t="s">
        <v>4</v>
      </c>
      <c r="R3" t="s">
        <v>4</v>
      </c>
      <c r="S3" t="s">
        <v>4</v>
      </c>
    </row>
    <row r="4" spans="1:21" x14ac:dyDescent="0.3">
      <c r="A4" t="s">
        <v>21</v>
      </c>
      <c r="B4" s="1">
        <v>46111</v>
      </c>
      <c r="C4" s="1">
        <f>+B4+7</f>
        <v>46118</v>
      </c>
      <c r="D4" s="1">
        <f t="shared" ref="D4:S4" si="0">+C4+7</f>
        <v>46125</v>
      </c>
      <c r="E4" s="1">
        <f t="shared" si="0"/>
        <v>46132</v>
      </c>
      <c r="F4" s="1">
        <f t="shared" si="0"/>
        <v>46139</v>
      </c>
      <c r="G4" s="1">
        <f t="shared" si="0"/>
        <v>46146</v>
      </c>
      <c r="H4" s="1">
        <f t="shared" si="0"/>
        <v>46153</v>
      </c>
      <c r="I4" s="1">
        <f t="shared" si="0"/>
        <v>46160</v>
      </c>
      <c r="J4" s="1">
        <f t="shared" si="0"/>
        <v>46167</v>
      </c>
      <c r="K4" s="1">
        <f t="shared" si="0"/>
        <v>46174</v>
      </c>
      <c r="L4" s="1">
        <f t="shared" si="0"/>
        <v>46181</v>
      </c>
      <c r="M4" s="1">
        <f t="shared" si="0"/>
        <v>46188</v>
      </c>
      <c r="N4" s="1">
        <f t="shared" si="0"/>
        <v>46195</v>
      </c>
      <c r="O4" s="1">
        <f t="shared" si="0"/>
        <v>46202</v>
      </c>
      <c r="P4" s="1">
        <f t="shared" si="0"/>
        <v>46209</v>
      </c>
      <c r="Q4" s="1">
        <f t="shared" si="0"/>
        <v>46216</v>
      </c>
      <c r="R4" s="1">
        <f t="shared" si="0"/>
        <v>46223</v>
      </c>
      <c r="S4" s="1">
        <f t="shared" si="0"/>
        <v>46230</v>
      </c>
      <c r="T4" s="1"/>
      <c r="U4" t="s">
        <v>22</v>
      </c>
    </row>
    <row r="5" spans="1:21" x14ac:dyDescent="0.3">
      <c r="A5" t="s">
        <v>23</v>
      </c>
      <c r="B5">
        <f>+WEEKNUM(B4)</f>
        <v>14</v>
      </c>
      <c r="C5">
        <f t="shared" ref="C5:I5" si="1">+WEEKNUM(C4)</f>
        <v>15</v>
      </c>
      <c r="D5">
        <f t="shared" si="1"/>
        <v>16</v>
      </c>
      <c r="E5">
        <f t="shared" si="1"/>
        <v>17</v>
      </c>
      <c r="F5">
        <f t="shared" si="1"/>
        <v>18</v>
      </c>
      <c r="G5">
        <f t="shared" si="1"/>
        <v>19</v>
      </c>
      <c r="H5">
        <f t="shared" si="1"/>
        <v>20</v>
      </c>
      <c r="I5">
        <f t="shared" si="1"/>
        <v>21</v>
      </c>
      <c r="J5">
        <f t="shared" ref="J5:O5" si="2">+WEEKNUM(J4)</f>
        <v>22</v>
      </c>
      <c r="K5">
        <f t="shared" si="2"/>
        <v>23</v>
      </c>
      <c r="L5">
        <f t="shared" si="2"/>
        <v>24</v>
      </c>
      <c r="M5">
        <f t="shared" si="2"/>
        <v>25</v>
      </c>
      <c r="N5">
        <f t="shared" si="2"/>
        <v>26</v>
      </c>
      <c r="O5">
        <f t="shared" si="2"/>
        <v>27</v>
      </c>
      <c r="P5">
        <f t="shared" ref="P5:Q5" si="3">+WEEKNUM(P4)</f>
        <v>28</v>
      </c>
      <c r="Q5">
        <f t="shared" si="3"/>
        <v>29</v>
      </c>
      <c r="R5">
        <f t="shared" ref="R5:S5" si="4">+WEEKNUM(R4)</f>
        <v>30</v>
      </c>
      <c r="S5">
        <f t="shared" si="4"/>
        <v>31</v>
      </c>
    </row>
    <row r="6" spans="1:21" ht="15" thickBot="1" x14ac:dyDescent="0.35"/>
    <row r="7" spans="1:21" s="31" customFormat="1" x14ac:dyDescent="0.3">
      <c r="A7" s="28" t="s">
        <v>6</v>
      </c>
      <c r="B7" s="29">
        <f>'Ramp Up Plan'!R95</f>
        <v>0</v>
      </c>
      <c r="C7" s="29">
        <f>'Ramp Up Plan'!S95</f>
        <v>46080</v>
      </c>
      <c r="D7" s="29">
        <f>+C7</f>
        <v>46080</v>
      </c>
      <c r="E7" s="29">
        <f>+D7</f>
        <v>46080</v>
      </c>
      <c r="F7" s="29">
        <f>+E7</f>
        <v>46080</v>
      </c>
      <c r="G7" s="29">
        <f>'Ramp Up Plan'!T95</f>
        <v>144000</v>
      </c>
      <c r="H7" s="29">
        <f>+G7</f>
        <v>144000</v>
      </c>
      <c r="I7" s="29">
        <f>+H7</f>
        <v>144000</v>
      </c>
      <c r="J7" s="29">
        <f>+I7</f>
        <v>144000</v>
      </c>
      <c r="K7" s="29">
        <f>'Ramp Up Plan'!U95</f>
        <v>288000</v>
      </c>
      <c r="L7" s="29">
        <f>+K7</f>
        <v>288000</v>
      </c>
      <c r="M7" s="29">
        <f>+L7</f>
        <v>288000</v>
      </c>
      <c r="N7" s="29">
        <f>+M7</f>
        <v>288000</v>
      </c>
      <c r="O7" s="29">
        <f>+N7</f>
        <v>288000</v>
      </c>
      <c r="P7" s="29">
        <f>+'Ramp Up Plan'!V95</f>
        <v>331776</v>
      </c>
      <c r="Q7" s="29">
        <f>+P7</f>
        <v>331776</v>
      </c>
      <c r="R7" s="29">
        <f>+Q7</f>
        <v>331776</v>
      </c>
      <c r="S7" s="29">
        <f>+R7</f>
        <v>331776</v>
      </c>
      <c r="T7" s="29"/>
      <c r="U7" s="30">
        <f>SUM(B7:T7)</f>
        <v>3527424</v>
      </c>
    </row>
    <row r="8" spans="1:21" s="47" customFormat="1" x14ac:dyDescent="0.3">
      <c r="A8" s="44" t="s">
        <v>7</v>
      </c>
      <c r="B8" s="45">
        <v>0</v>
      </c>
      <c r="C8" s="45">
        <v>46080</v>
      </c>
      <c r="D8" s="45">
        <v>46080</v>
      </c>
      <c r="E8" s="45">
        <v>46080</v>
      </c>
      <c r="F8" s="45">
        <v>46080</v>
      </c>
      <c r="G8" s="45">
        <v>144000</v>
      </c>
      <c r="H8" s="45">
        <v>460000</v>
      </c>
      <c r="I8" s="45">
        <v>340000</v>
      </c>
      <c r="J8" s="45">
        <v>290000</v>
      </c>
      <c r="K8" s="45">
        <v>210000</v>
      </c>
      <c r="L8" s="45">
        <v>45000</v>
      </c>
      <c r="M8" s="45">
        <v>315000</v>
      </c>
      <c r="N8" s="45">
        <v>320000</v>
      </c>
      <c r="O8" s="45">
        <v>320000</v>
      </c>
      <c r="P8" s="45">
        <v>320000</v>
      </c>
      <c r="Q8" s="45">
        <v>320000</v>
      </c>
      <c r="R8" s="45">
        <f>55000+90000+20000+50000+90000</f>
        <v>305000</v>
      </c>
      <c r="S8" s="45">
        <f>90000*4</f>
        <v>360000</v>
      </c>
      <c r="T8" s="45"/>
      <c r="U8" s="46">
        <f>SUM(B8:T8)</f>
        <v>3933320</v>
      </c>
    </row>
    <row r="9" spans="1:21" s="47" customFormat="1" x14ac:dyDescent="0.3">
      <c r="A9" s="44" t="s">
        <v>8</v>
      </c>
      <c r="B9" s="45">
        <v>0</v>
      </c>
      <c r="C9" s="45">
        <v>46080</v>
      </c>
      <c r="D9" s="45">
        <v>46080</v>
      </c>
      <c r="E9" s="45">
        <v>46080</v>
      </c>
      <c r="F9" s="45">
        <v>46080</v>
      </c>
      <c r="G9" s="45">
        <v>0</v>
      </c>
      <c r="H9" s="45">
        <v>0</v>
      </c>
      <c r="I9" s="45">
        <v>0</v>
      </c>
      <c r="J9" s="45">
        <v>0</v>
      </c>
      <c r="K9" s="45">
        <v>0</v>
      </c>
      <c r="L9" s="45">
        <v>0</v>
      </c>
      <c r="M9" s="45">
        <v>0</v>
      </c>
      <c r="N9" s="45">
        <v>360000</v>
      </c>
      <c r="O9" s="45">
        <f>6000*60</f>
        <v>360000</v>
      </c>
      <c r="P9" s="45">
        <f>+SUM('SC Production'!E3:E5,'SC Production'!E7)*60</f>
        <v>360000</v>
      </c>
      <c r="Q9" s="45">
        <f>+SUM('SC Production'!F3:F5,'SC Production'!F7)*60</f>
        <v>189000</v>
      </c>
      <c r="R9" s="45">
        <f>+SUM('SC Production'!G3:G5,'SC Production'!G7)*60</f>
        <v>0</v>
      </c>
      <c r="S9" s="45">
        <f>+SUM('SC Production'!H3:H5,'SC Production'!H7)*60</f>
        <v>0</v>
      </c>
      <c r="T9" s="45"/>
      <c r="U9" s="46">
        <f>SUM(B9:T9)</f>
        <v>1453320</v>
      </c>
    </row>
    <row r="10" spans="1:21" s="35" customFormat="1" x14ac:dyDescent="0.3">
      <c r="A10" s="32" t="s">
        <v>9</v>
      </c>
      <c r="B10" s="33">
        <f>SUMIF('Daily Summary'!$B:$B,B$5,'Daily Summary'!$I:$I)</f>
        <v>155040</v>
      </c>
      <c r="C10" s="33">
        <f>SUMIF('Daily Summary'!$B:$B,C$5,'Daily Summary'!$I:$I)</f>
        <v>171840</v>
      </c>
      <c r="D10" s="33">
        <f>SUMIF('Daily Summary'!$B:$B,D$5,'Daily Summary'!$I:$I)</f>
        <v>189960</v>
      </c>
      <c r="E10" s="33">
        <f>SUMIF('Daily Summary'!$B:$B,E$5,'Daily Summary'!$I:$I)</f>
        <v>246840</v>
      </c>
      <c r="F10" s="33">
        <f>SUMIF('Daily Summary'!$B:$B,F$5,'Daily Summary'!$I:$I)</f>
        <v>232710</v>
      </c>
      <c r="G10" s="33">
        <f>SUMIF('Daily Summary'!$B:$B,G$5,'Daily Summary'!$I:$I)</f>
        <v>235500</v>
      </c>
      <c r="H10" s="33">
        <f>SUMIF('Daily Summary'!$B:$B,H$5,'Daily Summary'!$I:$I)</f>
        <v>229320</v>
      </c>
      <c r="I10" s="33">
        <f>SUMIF('Daily Summary'!$B:$B,I$5,'Daily Summary'!$I:$I)</f>
        <v>156840</v>
      </c>
      <c r="J10" s="33">
        <f>SUMIF('Daily Summary'!$B:$B,J$5,'Daily Summary'!$I:$I)</f>
        <v>179340</v>
      </c>
      <c r="K10" s="33">
        <f>SUMIF('Daily Summary'!$B:$B,K$5,'Daily Summary'!$I:$I)</f>
        <v>297780</v>
      </c>
      <c r="L10" s="33">
        <f>SUMIF('Daily Summary'!$B:$B,L$5,'Daily Summary'!$I:$I)</f>
        <v>198060</v>
      </c>
      <c r="M10" s="33">
        <f>SUMIF('Daily Summary'!$B:$B,M$5,'Daily Summary'!$I:$I)</f>
        <v>291072</v>
      </c>
      <c r="N10" s="33">
        <f>SUMIF('Daily Summary'!$B:$B,N$5,'Daily Summary'!$I:$I)</f>
        <v>303480</v>
      </c>
      <c r="O10" s="33">
        <f>SUMIF('Daily Summary'!$B:$B,O$5,'Daily Summary'!$I:$I)</f>
        <v>309360</v>
      </c>
      <c r="P10" s="33">
        <f>SUMIF('Daily Summary'!$B:$B,P$5,'Daily Summary'!$I:$I)</f>
        <v>150660</v>
      </c>
      <c r="Q10" s="33">
        <f>SUMIF('Daily Summary'!$B:$B,Q$5,'Daily Summary'!$I:$I)</f>
        <v>83250</v>
      </c>
      <c r="R10" s="33">
        <f>SUMIF('Daily Summary'!$B:$B,R$5,'Daily Summary'!$I:$I)</f>
        <v>185415</v>
      </c>
      <c r="S10" s="33">
        <f>SUMIF('Daily Summary'!$B:$B,S$5,'Daily Summary'!$I:$I)</f>
        <v>225585</v>
      </c>
      <c r="T10" s="33"/>
      <c r="U10" s="34">
        <f>SUM(B10:T10)</f>
        <v>3842052</v>
      </c>
    </row>
    <row r="11" spans="1:21" ht="6.9" customHeight="1" x14ac:dyDescent="0.3">
      <c r="A11" s="3"/>
    </row>
    <row r="12" spans="1:21" s="38" customFormat="1" x14ac:dyDescent="0.3">
      <c r="A12" s="36" t="s">
        <v>10</v>
      </c>
      <c r="B12" s="37">
        <f>+B10-B7</f>
        <v>155040</v>
      </c>
      <c r="C12" s="37">
        <f t="shared" ref="C12:K12" si="5">+C10-C7</f>
        <v>125760</v>
      </c>
      <c r="D12" s="37">
        <f t="shared" si="5"/>
        <v>143880</v>
      </c>
      <c r="E12" s="37">
        <f t="shared" si="5"/>
        <v>200760</v>
      </c>
      <c r="F12" s="37">
        <f t="shared" si="5"/>
        <v>186630</v>
      </c>
      <c r="G12" s="37">
        <f t="shared" si="5"/>
        <v>91500</v>
      </c>
      <c r="H12" s="37">
        <f t="shared" si="5"/>
        <v>85320</v>
      </c>
      <c r="I12" s="37">
        <f t="shared" si="5"/>
        <v>12840</v>
      </c>
      <c r="J12" s="37">
        <f t="shared" si="5"/>
        <v>35340</v>
      </c>
      <c r="K12" s="37">
        <f t="shared" si="5"/>
        <v>9780</v>
      </c>
      <c r="L12" s="37">
        <f t="shared" ref="L12:R12" si="6">+L10-L7</f>
        <v>-89940</v>
      </c>
      <c r="M12" s="37">
        <f t="shared" si="6"/>
        <v>3072</v>
      </c>
      <c r="N12" s="37">
        <f t="shared" si="6"/>
        <v>15480</v>
      </c>
      <c r="O12" s="37">
        <f t="shared" si="6"/>
        <v>21360</v>
      </c>
      <c r="P12" s="37">
        <f t="shared" si="6"/>
        <v>-181116</v>
      </c>
      <c r="Q12" s="37">
        <f t="shared" si="6"/>
        <v>-248526</v>
      </c>
      <c r="R12" s="37">
        <f t="shared" si="6"/>
        <v>-146361</v>
      </c>
      <c r="S12" s="37">
        <f t="shared" ref="S12" si="7">+S10-S7</f>
        <v>-106191</v>
      </c>
      <c r="T12" s="37"/>
      <c r="U12" s="37">
        <f>+U10-U7</f>
        <v>314628</v>
      </c>
    </row>
    <row r="13" spans="1:21" s="38" customFormat="1" x14ac:dyDescent="0.3">
      <c r="A13" s="36" t="s">
        <v>11</v>
      </c>
      <c r="B13" s="37">
        <f>+B10-B8</f>
        <v>155040</v>
      </c>
      <c r="C13" s="37">
        <f t="shared" ref="C13:K13" si="8">+C10-C8</f>
        <v>125760</v>
      </c>
      <c r="D13" s="37">
        <f t="shared" si="8"/>
        <v>143880</v>
      </c>
      <c r="E13" s="37">
        <f t="shared" si="8"/>
        <v>200760</v>
      </c>
      <c r="F13" s="37">
        <f t="shared" si="8"/>
        <v>186630</v>
      </c>
      <c r="G13" s="37">
        <f t="shared" si="8"/>
        <v>91500</v>
      </c>
      <c r="H13" s="37">
        <f t="shared" si="8"/>
        <v>-230680</v>
      </c>
      <c r="I13" s="37">
        <f t="shared" si="8"/>
        <v>-183160</v>
      </c>
      <c r="J13" s="37">
        <f t="shared" si="8"/>
        <v>-110660</v>
      </c>
      <c r="K13" s="37">
        <f t="shared" si="8"/>
        <v>87780</v>
      </c>
      <c r="L13" s="37">
        <f t="shared" ref="L13:R13" si="9">+L10-L8</f>
        <v>153060</v>
      </c>
      <c r="M13" s="37">
        <f t="shared" si="9"/>
        <v>-23928</v>
      </c>
      <c r="N13" s="37">
        <f t="shared" si="9"/>
        <v>-16520</v>
      </c>
      <c r="O13" s="37">
        <f t="shared" si="9"/>
        <v>-10640</v>
      </c>
      <c r="P13" s="37">
        <f t="shared" si="9"/>
        <v>-169340</v>
      </c>
      <c r="Q13" s="37">
        <f t="shared" si="9"/>
        <v>-236750</v>
      </c>
      <c r="R13" s="37">
        <f t="shared" si="9"/>
        <v>-119585</v>
      </c>
      <c r="S13" s="37">
        <f t="shared" ref="S13" si="10">+S10-S8</f>
        <v>-134415</v>
      </c>
      <c r="T13" s="37"/>
      <c r="U13" s="37">
        <f>+U10-U8</f>
        <v>-91268</v>
      </c>
    </row>
    <row r="14" spans="1:21" s="38" customFormat="1" x14ac:dyDescent="0.3">
      <c r="A14" s="36" t="s">
        <v>12</v>
      </c>
      <c r="B14" s="37">
        <f>+B10-B9</f>
        <v>155040</v>
      </c>
      <c r="C14" s="37">
        <f t="shared" ref="C14:K14" si="11">+C10-C9</f>
        <v>125760</v>
      </c>
      <c r="D14" s="37">
        <f t="shared" si="11"/>
        <v>143880</v>
      </c>
      <c r="E14" s="37">
        <f t="shared" si="11"/>
        <v>200760</v>
      </c>
      <c r="F14" s="37">
        <f t="shared" si="11"/>
        <v>186630</v>
      </c>
      <c r="G14" s="37">
        <f t="shared" si="11"/>
        <v>235500</v>
      </c>
      <c r="H14" s="37">
        <f t="shared" si="11"/>
        <v>229320</v>
      </c>
      <c r="I14" s="37">
        <f t="shared" si="11"/>
        <v>156840</v>
      </c>
      <c r="J14" s="37">
        <f t="shared" si="11"/>
        <v>179340</v>
      </c>
      <c r="K14" s="37">
        <f t="shared" si="11"/>
        <v>297780</v>
      </c>
      <c r="L14" s="37">
        <f t="shared" ref="L14:R14" si="12">+L10-L9</f>
        <v>198060</v>
      </c>
      <c r="M14" s="37">
        <f t="shared" si="12"/>
        <v>291072</v>
      </c>
      <c r="N14" s="37">
        <f t="shared" si="12"/>
        <v>-56520</v>
      </c>
      <c r="O14" s="37">
        <f t="shared" si="12"/>
        <v>-50640</v>
      </c>
      <c r="P14" s="37">
        <f t="shared" si="12"/>
        <v>-209340</v>
      </c>
      <c r="Q14" s="37">
        <f t="shared" si="12"/>
        <v>-105750</v>
      </c>
      <c r="R14" s="37">
        <f t="shared" si="12"/>
        <v>185415</v>
      </c>
      <c r="S14" s="37">
        <f t="shared" ref="S14" si="13">+S10-S9</f>
        <v>225585</v>
      </c>
      <c r="T14" s="37"/>
      <c r="U14" s="37">
        <f>+U10-U9</f>
        <v>2388732</v>
      </c>
    </row>
    <row r="15" spans="1:21" ht="6.9" customHeight="1" x14ac:dyDescent="0.3">
      <c r="A15" s="39"/>
    </row>
    <row r="16" spans="1:21" s="42" customFormat="1" ht="15" thickBot="1" x14ac:dyDescent="0.35">
      <c r="A16" s="40" t="s">
        <v>13</v>
      </c>
      <c r="B16" s="41">
        <f>IFERROR(SUMIF('Daily Summary'!$B:$B,B$5,'Daily Summary'!$G:$G)/SUMIF('Daily Summary'!$B:$B,B$5,'Daily Summary'!$N:$N),"")</f>
        <v>0</v>
      </c>
      <c r="C16" s="41">
        <f>IFERROR(SUMIF('Daily Summary'!$B:$B,C$5,'Daily Summary'!$G:$G)/SUMIF('Daily Summary'!$B:$B,C$5,'Daily Summary'!$N:$N),"")</f>
        <v>0</v>
      </c>
      <c r="D16" s="41">
        <f>IFERROR(SUMIF('Daily Summary'!$B:$B,D$5,'Daily Summary'!$G:$G)/SUMIF('Daily Summary'!$B:$B,D$5,'Daily Summary'!$N:$N),"")</f>
        <v>0.14191941643334918</v>
      </c>
      <c r="E16" s="41">
        <f>IFERROR(SUMIF('Daily Summary'!$B:$B,E$5,'Daily Summary'!$G:$G)/SUMIF('Daily Summary'!$B:$B,E$5,'Daily Summary'!$N:$N),"")</f>
        <v>5.2815739090248892E-2</v>
      </c>
      <c r="F16" s="41">
        <f>IFERROR(SUMIF('Daily Summary'!$B:$B,F$5,'Daily Summary'!$G:$G)/SUMIF('Daily Summary'!$B:$B,F$5,'Daily Summary'!$N:$N),"")</f>
        <v>6.4532677861564525E-2</v>
      </c>
      <c r="G16" s="41">
        <f>IFERROR(SUMIF('Daily Summary'!$B:$B,G$5,'Daily Summary'!$G:$G)/SUMIF('Daily Summary'!$B:$B,G$5,'Daily Summary'!$N:$N),"")</f>
        <v>0.11243526712553262</v>
      </c>
      <c r="H16" s="41">
        <f>IFERROR(SUMIF('Daily Summary'!$B:$B,H$5,'Daily Summary'!$G:$G)/SUMIF('Daily Summary'!$B:$B,H$5,'Daily Summary'!$N:$N),"")</f>
        <v>7.6954266459740225E-2</v>
      </c>
      <c r="I16" s="41">
        <f>IFERROR(SUMIF('Daily Summary'!$B:$B,I$5,'Daily Summary'!$G:$G)/SUMIF('Daily Summary'!$B:$B,I$5,'Daily Summary'!$N:$N),"")</f>
        <v>2.0385022105008345E-2</v>
      </c>
      <c r="J16" s="41">
        <f>IFERROR(SUMIF('Daily Summary'!$B:$B,J$5,'Daily Summary'!$G:$G)/SUMIF('Daily Summary'!$B:$B,J$5,'Daily Summary'!$N:$N),"")</f>
        <v>6.7990696010019683E-2</v>
      </c>
      <c r="K16" s="41">
        <f>IFERROR(SUMIF('Daily Summary'!$B:$B,K$5,'Daily Summary'!$G:$G)/SUMIF('Daily Summary'!$B:$B,K$5,'Daily Summary'!$N:$N),"")</f>
        <v>4.3289420114446774E-2</v>
      </c>
      <c r="L16" s="41">
        <f>IFERROR(SUMIF('Daily Summary'!$B:$B,L$5,'Daily Summary'!$G:$G)/SUMIF('Daily Summary'!$B:$B,L$5,'Daily Summary'!$N:$N),"")</f>
        <v>6.4547653452829951E-2</v>
      </c>
      <c r="M16" s="41">
        <f>IFERROR(SUMIF('Daily Summary'!$B:$B,M$5,'Daily Summary'!$G:$G)/SUMIF('Daily Summary'!$B:$B,M$5,'Daily Summary'!$N:$N),"")</f>
        <v>3.9149477599158287E-2</v>
      </c>
      <c r="N16" s="41">
        <f>IFERROR(SUMIF('Daily Summary'!$B:$B,N$5,'Daily Summary'!$G:$G)/SUMIF('Daily Summary'!$B:$B,N$5,'Daily Summary'!$N:$N),"")</f>
        <v>4.1968815383920326E-2</v>
      </c>
      <c r="O16" s="41">
        <f>IFERROR(SUMIF('Daily Summary'!$B:$B,O$5,'Daily Summary'!$G:$G)/SUMIF('Daily Summary'!$B:$B,O$5,'Daily Summary'!$N:$N),"")</f>
        <v>6.3825127774914003E-2</v>
      </c>
      <c r="P16" s="41">
        <f>IFERROR(SUMIF('Daily Summary'!$B:$B,P$5,'Daily Summary'!$G:$G)/SUMIF('Daily Summary'!$B:$B,P$5,'Daily Summary'!$N:$N),"")</f>
        <v>0.14880985493407387</v>
      </c>
      <c r="Q16" s="41" t="str">
        <f>IFERROR(SUMIF('Daily Summary'!$B:$B,Q$5,'Daily Summary'!$G:$G)/SUMIF('Daily Summary'!$B:$B,Q$5,'Daily Summary'!$N:$N),"")</f>
        <v/>
      </c>
      <c r="R16" s="41">
        <f>IFERROR(SUMIF('Daily Summary'!$B:$B,R$5,'Daily Summary'!$G:$G)/SUMIF('Daily Summary'!$B:$B,R$5,'Daily Summary'!$N:$N),"")</f>
        <v>8.3791874217665666E-2</v>
      </c>
      <c r="S16" s="41">
        <f>IFERROR(SUMIF('Daily Summary'!$B:$B,S$5,'Daily Summary'!$G:$G)/SUMIF('Daily Summary'!$B:$B,S$5,'Daily Summary'!$N:$N),"")</f>
        <v>9.4346715985240054E-2</v>
      </c>
      <c r="T16" s="41"/>
      <c r="U16" s="41">
        <f>SUM('Daily Summary'!G:G)/SUM('Daily Summary'!N:N)</f>
        <v>6.6805000525214833E-2</v>
      </c>
    </row>
    <row r="17" spans="1:22" ht="15" thickBot="1" x14ac:dyDescent="0.35">
      <c r="A17" s="3"/>
    </row>
    <row r="18" spans="1:22" s="31" customFormat="1" x14ac:dyDescent="0.3">
      <c r="A18" s="28" t="s">
        <v>14</v>
      </c>
      <c r="B18" s="29">
        <v>0</v>
      </c>
      <c r="C18" s="29">
        <f>+'Ramp Up Plan'!S83</f>
        <v>47520</v>
      </c>
      <c r="D18" s="29">
        <f>+C18</f>
        <v>47520</v>
      </c>
      <c r="E18" s="29">
        <f>+D18</f>
        <v>47520</v>
      </c>
      <c r="F18" s="29">
        <f>+E18</f>
        <v>47520</v>
      </c>
      <c r="G18" s="29">
        <f>+'Ramp Up Plan'!T83</f>
        <v>103950</v>
      </c>
      <c r="H18" s="29">
        <f>+G18</f>
        <v>103950</v>
      </c>
      <c r="I18" s="29">
        <f>+H18</f>
        <v>103950</v>
      </c>
      <c r="J18" s="29">
        <f>+I18</f>
        <v>103950</v>
      </c>
      <c r="K18" s="29">
        <f>+'Ramp Up Plan'!U83</f>
        <v>257400</v>
      </c>
      <c r="L18" s="29">
        <f>+K18</f>
        <v>257400</v>
      </c>
      <c r="M18" s="29">
        <f>+L18</f>
        <v>257400</v>
      </c>
      <c r="N18" s="29">
        <f>+M18</f>
        <v>257400</v>
      </c>
      <c r="O18" s="29">
        <f>+N18</f>
        <v>257400</v>
      </c>
      <c r="P18" s="29">
        <f>+'Ramp Up Plan'!V83</f>
        <v>366795</v>
      </c>
      <c r="Q18" s="29">
        <f>+P18</f>
        <v>366795</v>
      </c>
      <c r="R18" s="29">
        <f>+Q18</f>
        <v>366795</v>
      </c>
      <c r="S18" s="29">
        <f>+R18</f>
        <v>366795</v>
      </c>
      <c r="T18" s="29"/>
      <c r="U18" s="30">
        <f>SUM(B18:T18)</f>
        <v>3360060</v>
      </c>
    </row>
    <row r="19" spans="1:22" s="47" customFormat="1" x14ac:dyDescent="0.3">
      <c r="A19" s="44" t="s">
        <v>15</v>
      </c>
      <c r="B19" s="45">
        <f t="shared" ref="B19" si="14">+B18</f>
        <v>0</v>
      </c>
      <c r="C19" s="45">
        <v>47520</v>
      </c>
      <c r="D19" s="45">
        <v>47520</v>
      </c>
      <c r="E19" s="45">
        <v>47520</v>
      </c>
      <c r="F19" s="45">
        <v>47520</v>
      </c>
      <c r="G19" s="45">
        <v>103950</v>
      </c>
      <c r="H19" s="45">
        <v>80000</v>
      </c>
      <c r="I19" s="45">
        <v>100000</v>
      </c>
      <c r="J19" s="45">
        <v>50000</v>
      </c>
      <c r="K19" s="45">
        <v>120000</v>
      </c>
      <c r="L19" s="45">
        <v>40000</v>
      </c>
      <c r="M19" s="45">
        <v>40000</v>
      </c>
      <c r="N19" s="45">
        <v>32000</v>
      </c>
      <c r="O19" s="45">
        <v>160000</v>
      </c>
      <c r="P19" s="45">
        <v>160000</v>
      </c>
      <c r="Q19" s="45">
        <v>160000</v>
      </c>
      <c r="R19" s="45">
        <f>20000+30000+40000</f>
        <v>90000</v>
      </c>
      <c r="S19" s="45">
        <f>40000*4</f>
        <v>160000</v>
      </c>
      <c r="T19" s="45"/>
      <c r="U19" s="46">
        <f>SUM(B19:T19)</f>
        <v>1486030</v>
      </c>
    </row>
    <row r="20" spans="1:22" s="47" customFormat="1" x14ac:dyDescent="0.3">
      <c r="A20" s="44" t="s">
        <v>16</v>
      </c>
      <c r="B20" s="45"/>
      <c r="C20" s="45">
        <v>47520</v>
      </c>
      <c r="D20" s="45">
        <v>47520</v>
      </c>
      <c r="E20" s="45">
        <v>47520</v>
      </c>
      <c r="F20" s="45">
        <v>47520</v>
      </c>
      <c r="G20" s="45">
        <v>0</v>
      </c>
      <c r="H20" s="45">
        <v>0</v>
      </c>
      <c r="I20" s="45">
        <v>0</v>
      </c>
      <c r="J20" s="45">
        <v>0</v>
      </c>
      <c r="K20" s="45">
        <v>0</v>
      </c>
      <c r="L20" s="45">
        <v>0</v>
      </c>
      <c r="M20" s="45">
        <v>0</v>
      </c>
      <c r="N20" s="45">
        <v>32000</v>
      </c>
      <c r="O20" s="45">
        <f>1000*32</f>
        <v>32000</v>
      </c>
      <c r="P20" s="45">
        <f>1000*32</f>
        <v>32000</v>
      </c>
      <c r="Q20" s="45">
        <f>1000*32</f>
        <v>32000</v>
      </c>
      <c r="R20" s="45">
        <f>1000*32</f>
        <v>32000</v>
      </c>
      <c r="S20" s="45">
        <f>1000*32</f>
        <v>32000</v>
      </c>
      <c r="T20" s="45"/>
      <c r="U20" s="46">
        <f>SUM(B20:T20)</f>
        <v>382080</v>
      </c>
    </row>
    <row r="21" spans="1:22" s="35" customFormat="1" x14ac:dyDescent="0.3">
      <c r="A21" s="32" t="s">
        <v>17</v>
      </c>
      <c r="B21" s="33">
        <f>SUMIF('Daily Summary'!$B:$B,B$5,'Daily Summary'!$J:$J)</f>
        <v>0</v>
      </c>
      <c r="C21" s="33">
        <f>SUMIF('Daily Summary'!$B:$B,C$5,'Daily Summary'!$J:$J)</f>
        <v>0</v>
      </c>
      <c r="D21" s="33">
        <f>SUMIF('Daily Summary'!$B:$B,D$5,'Daily Summary'!$J:$J)</f>
        <v>0</v>
      </c>
      <c r="E21" s="33">
        <f>SUMIF('Daily Summary'!$B:$B,E$5,'Daily Summary'!$J:$J)</f>
        <v>0</v>
      </c>
      <c r="F21" s="33">
        <f>SUMIF('Daily Summary'!$B:$B,F$5,'Daily Summary'!$J:$J)</f>
        <v>0</v>
      </c>
      <c r="G21" s="33">
        <f>SUMIF('Daily Summary'!$B:$B,G$5,'Daily Summary'!$J:$J)</f>
        <v>0</v>
      </c>
      <c r="H21" s="33">
        <f>SUMIF('Daily Summary'!$B:$B,H$5,'Daily Summary'!$J:$J)</f>
        <v>0</v>
      </c>
      <c r="I21" s="33">
        <f>SUMIF('Daily Summary'!$B:$B,I$5,'Daily Summary'!$J:$J)</f>
        <v>26624</v>
      </c>
      <c r="J21" s="33">
        <f>SUMIF('Daily Summary'!$B:$B,J$5,'Daily Summary'!$J:$J)</f>
        <v>8528</v>
      </c>
      <c r="K21" s="33">
        <f>SUMIF('Daily Summary'!$B:$B,K$5,'Daily Summary'!$J:$J)</f>
        <v>16166</v>
      </c>
      <c r="L21" s="33">
        <f>SUMIF('Daily Summary'!$B:$B,L$5,'Daily Summary'!$J:$J)</f>
        <v>13888</v>
      </c>
      <c r="M21" s="33">
        <f>SUMIF('Daily Summary'!$B:$B,M$5,'Daily Summary'!$J:$J)</f>
        <v>28482</v>
      </c>
      <c r="N21" s="33">
        <f>SUMIF('Daily Summary'!$B:$B,N$5,'Daily Summary'!$J:$J)</f>
        <v>28064</v>
      </c>
      <c r="O21" s="33">
        <f>SUMIF('Daily Summary'!$B:$B,O$5,'Daily Summary'!$J:$J)</f>
        <v>58304</v>
      </c>
      <c r="P21" s="33">
        <f>SUMIF('Daily Summary'!$B:$B,P$5,'Daily Summary'!$J:$J)</f>
        <v>53101</v>
      </c>
      <c r="Q21" s="33">
        <f>SUMIF('Daily Summary'!$B:$B,Q$5,'Daily Summary'!$J:$J)</f>
        <v>16240</v>
      </c>
      <c r="R21" s="33">
        <f>SUMIF('Daily Summary'!$B:$B,R$5,'Daily Summary'!$J:$J)</f>
        <v>80320</v>
      </c>
      <c r="S21" s="33">
        <f>SUMIF('Daily Summary'!$B:$B,S$5,'Daily Summary'!$J:$J)</f>
        <v>68896</v>
      </c>
      <c r="T21" s="33"/>
      <c r="U21" s="34">
        <f>SUM(B21:T21)</f>
        <v>398613</v>
      </c>
    </row>
    <row r="22" spans="1:22" ht="6.9" customHeight="1" x14ac:dyDescent="0.3">
      <c r="A22" s="3"/>
    </row>
    <row r="23" spans="1:22" s="38" customFormat="1" x14ac:dyDescent="0.3">
      <c r="A23" s="36" t="s">
        <v>10</v>
      </c>
      <c r="B23" s="37">
        <f>+B21-B18</f>
        <v>0</v>
      </c>
      <c r="C23" s="37">
        <f t="shared" ref="C23:K23" si="15">+C21-C18</f>
        <v>-47520</v>
      </c>
      <c r="D23" s="37">
        <f t="shared" si="15"/>
        <v>-47520</v>
      </c>
      <c r="E23" s="37">
        <f t="shared" si="15"/>
        <v>-47520</v>
      </c>
      <c r="F23" s="37">
        <f t="shared" si="15"/>
        <v>-47520</v>
      </c>
      <c r="G23" s="37">
        <f t="shared" si="15"/>
        <v>-103950</v>
      </c>
      <c r="H23" s="37">
        <f t="shared" si="15"/>
        <v>-103950</v>
      </c>
      <c r="I23" s="37">
        <f t="shared" si="15"/>
        <v>-77326</v>
      </c>
      <c r="J23" s="37">
        <f t="shared" si="15"/>
        <v>-95422</v>
      </c>
      <c r="K23" s="37">
        <f t="shared" si="15"/>
        <v>-241234</v>
      </c>
      <c r="L23" s="37">
        <f t="shared" ref="L23:R23" si="16">+L21-L18</f>
        <v>-243512</v>
      </c>
      <c r="M23" s="37">
        <f t="shared" si="16"/>
        <v>-228918</v>
      </c>
      <c r="N23" s="37">
        <f t="shared" si="16"/>
        <v>-229336</v>
      </c>
      <c r="O23" s="37">
        <f t="shared" si="16"/>
        <v>-199096</v>
      </c>
      <c r="P23" s="37">
        <f t="shared" si="16"/>
        <v>-313694</v>
      </c>
      <c r="Q23" s="37">
        <f t="shared" si="16"/>
        <v>-350555</v>
      </c>
      <c r="R23" s="37">
        <f t="shared" si="16"/>
        <v>-286475</v>
      </c>
      <c r="S23" s="37">
        <f t="shared" ref="S23" si="17">+S21-S18</f>
        <v>-297899</v>
      </c>
      <c r="T23" s="37"/>
      <c r="U23" s="37">
        <f>+U21-U18</f>
        <v>-2961447</v>
      </c>
    </row>
    <row r="24" spans="1:22" s="38" customFormat="1" x14ac:dyDescent="0.3">
      <c r="A24" s="36" t="s">
        <v>11</v>
      </c>
      <c r="B24" s="37">
        <f>+B21-B19</f>
        <v>0</v>
      </c>
      <c r="C24" s="37">
        <f t="shared" ref="C24:K24" si="18">+C21-C19</f>
        <v>-47520</v>
      </c>
      <c r="D24" s="37">
        <f t="shared" si="18"/>
        <v>-47520</v>
      </c>
      <c r="E24" s="37">
        <f t="shared" si="18"/>
        <v>-47520</v>
      </c>
      <c r="F24" s="37">
        <f t="shared" si="18"/>
        <v>-47520</v>
      </c>
      <c r="G24" s="37">
        <f t="shared" si="18"/>
        <v>-103950</v>
      </c>
      <c r="H24" s="37">
        <f t="shared" si="18"/>
        <v>-80000</v>
      </c>
      <c r="I24" s="37">
        <f t="shared" si="18"/>
        <v>-73376</v>
      </c>
      <c r="J24" s="37">
        <f t="shared" si="18"/>
        <v>-41472</v>
      </c>
      <c r="K24" s="37">
        <f t="shared" si="18"/>
        <v>-103834</v>
      </c>
      <c r="L24" s="37">
        <f t="shared" ref="L24:R24" si="19">+L21-L19</f>
        <v>-26112</v>
      </c>
      <c r="M24" s="37">
        <f t="shared" si="19"/>
        <v>-11518</v>
      </c>
      <c r="N24" s="37">
        <f t="shared" si="19"/>
        <v>-3936</v>
      </c>
      <c r="O24" s="37">
        <f t="shared" si="19"/>
        <v>-101696</v>
      </c>
      <c r="P24" s="37">
        <f t="shared" si="19"/>
        <v>-106899</v>
      </c>
      <c r="Q24" s="37">
        <f t="shared" si="19"/>
        <v>-143760</v>
      </c>
      <c r="R24" s="37">
        <f t="shared" si="19"/>
        <v>-9680</v>
      </c>
      <c r="S24" s="37">
        <f t="shared" ref="S24" si="20">+S21-S19</f>
        <v>-91104</v>
      </c>
      <c r="T24" s="37"/>
      <c r="U24" s="37">
        <f>+U21-U19</f>
        <v>-1087417</v>
      </c>
    </row>
    <row r="25" spans="1:22" s="38" customFormat="1" x14ac:dyDescent="0.3">
      <c r="A25" s="36" t="s">
        <v>12</v>
      </c>
      <c r="B25" s="37">
        <f>+B21-B20</f>
        <v>0</v>
      </c>
      <c r="C25" s="37">
        <f t="shared" ref="C25:K25" si="21">+C21-C20</f>
        <v>-47520</v>
      </c>
      <c r="D25" s="37">
        <f t="shared" si="21"/>
        <v>-47520</v>
      </c>
      <c r="E25" s="37">
        <f t="shared" si="21"/>
        <v>-47520</v>
      </c>
      <c r="F25" s="37">
        <f t="shared" si="21"/>
        <v>-47520</v>
      </c>
      <c r="G25" s="37">
        <f t="shared" si="21"/>
        <v>0</v>
      </c>
      <c r="H25" s="37">
        <f t="shared" si="21"/>
        <v>0</v>
      </c>
      <c r="I25" s="37">
        <f t="shared" si="21"/>
        <v>26624</v>
      </c>
      <c r="J25" s="37">
        <f t="shared" si="21"/>
        <v>8528</v>
      </c>
      <c r="K25" s="37">
        <f t="shared" si="21"/>
        <v>16166</v>
      </c>
      <c r="L25" s="37">
        <f t="shared" ref="L25:R25" si="22">+L21-L20</f>
        <v>13888</v>
      </c>
      <c r="M25" s="37">
        <f t="shared" si="22"/>
        <v>28482</v>
      </c>
      <c r="N25" s="37">
        <f t="shared" si="22"/>
        <v>-3936</v>
      </c>
      <c r="O25" s="37">
        <f t="shared" si="22"/>
        <v>26304</v>
      </c>
      <c r="P25" s="37">
        <f t="shared" si="22"/>
        <v>21101</v>
      </c>
      <c r="Q25" s="37">
        <f t="shared" si="22"/>
        <v>-15760</v>
      </c>
      <c r="R25" s="37">
        <f t="shared" si="22"/>
        <v>48320</v>
      </c>
      <c r="S25" s="37">
        <f t="shared" ref="S25" si="23">+S21-S20</f>
        <v>36896</v>
      </c>
      <c r="T25" s="37"/>
      <c r="U25" s="37">
        <f>+U21-U20</f>
        <v>16533</v>
      </c>
    </row>
    <row r="26" spans="1:22" x14ac:dyDescent="0.3">
      <c r="A26" s="3"/>
    </row>
    <row r="27" spans="1:22" s="42" customFormat="1" ht="15" thickBot="1" x14ac:dyDescent="0.35">
      <c r="A27" s="40" t="s">
        <v>18</v>
      </c>
      <c r="B27" s="41" t="str">
        <f>IFERROR(SUMIF('Daily Summary'!$B:$B,B$5,'Daily Summary'!$H:$H)/SUMIF('Daily Summary'!$B:$B,B$5,'Daily Summary'!$O:$O),"")</f>
        <v/>
      </c>
      <c r="C27" s="41" t="str">
        <f>IFERROR(SUMIF('Daily Summary'!$B:$B,C$5,'Daily Summary'!$H:$H)/SUMIF('Daily Summary'!$B:$B,C$5,'Daily Summary'!$O:$O),"")</f>
        <v/>
      </c>
      <c r="D27" s="41" t="str">
        <f>IFERROR(SUMIF('Daily Summary'!$B:$B,D$5,'Daily Summary'!$H:$H)/SUMIF('Daily Summary'!$B:$B,D$5,'Daily Summary'!$O:$O),"")</f>
        <v/>
      </c>
      <c r="E27" s="41" t="str">
        <f>IFERROR(SUMIF('Daily Summary'!$B:$B,E$5,'Daily Summary'!$H:$H)/SUMIF('Daily Summary'!$B:$B,E$5,'Daily Summary'!$O:$O),"")</f>
        <v/>
      </c>
      <c r="F27" s="41" t="str">
        <f>IFERROR(SUMIF('Daily Summary'!$B:$B,F$5,'Daily Summary'!$H:$H)/SUMIF('Daily Summary'!$B:$B,F$5,'Daily Summary'!$O:$O),"")</f>
        <v/>
      </c>
      <c r="G27" s="41" t="str">
        <f>IFERROR(SUMIF('Daily Summary'!$B:$B,G$5,'Daily Summary'!$H:$H)/SUMIF('Daily Summary'!$B:$B,G$5,'Daily Summary'!$O:$O),"")</f>
        <v/>
      </c>
      <c r="H27" s="41">
        <f>IFERROR(SUMIF('Daily Summary'!$B:$B,H$5,'Daily Summary'!$H:$H)/SUMIF('Daily Summary'!$B:$B,H$5,'Daily Summary'!$O:$O),"")</f>
        <v>4.2544412607449858E-2</v>
      </c>
      <c r="I27" s="41">
        <f>IFERROR(SUMIF('Daily Summary'!$B:$B,I$5,'Daily Summary'!$H:$H)/SUMIF('Daily Summary'!$B:$B,I$5,'Daily Summary'!$O:$O),"")</f>
        <v>0.14885714285714285</v>
      </c>
      <c r="J27" s="41">
        <f>IFERROR(SUMIF('Daily Summary'!$B:$B,J$5,'Daily Summary'!$H:$H)/SUMIF('Daily Summary'!$B:$B,J$5,'Daily Summary'!$O:$O),"")</f>
        <v>8.3416010115747494E-2</v>
      </c>
      <c r="K27" s="41">
        <f>IFERROR(SUMIF('Daily Summary'!$B:$B,K$5,'Daily Summary'!$H:$H)/SUMIF('Daily Summary'!$B:$B,K$5,'Daily Summary'!$O:$O),"")</f>
        <v>0.13100213219616205</v>
      </c>
      <c r="L27" s="41">
        <f>IFERROR(SUMIF('Daily Summary'!$B:$B,L$5,'Daily Summary'!$H:$H)/SUMIF('Daily Summary'!$B:$B,L$5,'Daily Summary'!$O:$O),"")</f>
        <v>4.9744512414537603E-2</v>
      </c>
      <c r="M27" s="41">
        <f>IFERROR(SUMIF('Daily Summary'!$B:$B,M$5,'Daily Summary'!$H:$H)/SUMIF('Daily Summary'!$B:$B,M$5,'Daily Summary'!$O:$O),"")</f>
        <v>3.0753246753246755E-2</v>
      </c>
      <c r="N27" s="41">
        <f>IFERROR(SUMIF('Daily Summary'!$B:$B,N$5,'Daily Summary'!$H:$H)/SUMIF('Daily Summary'!$B:$B,N$5,'Daily Summary'!$O:$O),"")</f>
        <v>0.27026283780210481</v>
      </c>
      <c r="O27" s="41">
        <f>IFERROR(SUMIF('Daily Summary'!$B:$B,O$5,'Daily Summary'!$H:$H)/SUMIF('Daily Summary'!$B:$B,O$5,'Daily Summary'!$O:$O),"")</f>
        <v>9.6952956409149763E-2</v>
      </c>
      <c r="P27" s="41">
        <f>IFERROR(SUMIF('Daily Summary'!$B:$B,P$5,'Daily Summary'!$H:$H)/SUMIF('Daily Summary'!$B:$B,P$5,'Daily Summary'!$O:$O),"")</f>
        <v>9.0555744971019439E-2</v>
      </c>
      <c r="Q27" s="41" t="str">
        <f>IFERROR(SUMIF('Daily Summary'!$B:$B,Q$5,'Daily Summary'!$H:$H)/SUMIF('Daily Summary'!$B:$B,Q$5,'Daily Summary'!$O:$O),"")</f>
        <v/>
      </c>
      <c r="R27" s="41">
        <f>IFERROR(SUMIF('Daily Summary'!$B:$B,R$5,'Daily Summary'!$H:$H)/SUMIF('Daily Summary'!$B:$B,R$5,'Daily Summary'!$O:$O),"")</f>
        <v>0.14125020836806135</v>
      </c>
      <c r="S27" s="41">
        <f>IFERROR(SUMIF('Daily Summary'!$B:$B,S$5,'Daily Summary'!$H:$H)/SUMIF('Daily Summary'!$B:$B,S$5,'Daily Summary'!$O:$O),"")</f>
        <v>0.10509254091223684</v>
      </c>
      <c r="T27" s="41"/>
      <c r="U27" s="41">
        <f>SUM('Daily Summary'!H:H)/SUM('Daily Summary'!O:O)</f>
        <v>0.11743655588967072</v>
      </c>
    </row>
    <row r="28" spans="1:22" hidden="1" x14ac:dyDescent="0.3">
      <c r="A28" s="3"/>
      <c r="V28" s="12" t="s">
        <v>24</v>
      </c>
    </row>
    <row r="29" spans="1:22" s="24" customFormat="1" hidden="1" x14ac:dyDescent="0.3">
      <c r="A29" s="27" t="s">
        <v>25</v>
      </c>
      <c r="B29" s="25">
        <f>SUMIF('Raw Data - Packing'!$B:$B,B$5,'Raw Data - Packing'!$D:$D)</f>
        <v>155040</v>
      </c>
      <c r="C29" s="25">
        <f>SUMIF('Raw Data - Packing'!$B:$B,C$5,'Raw Data - Packing'!$D:$D)</f>
        <v>171840</v>
      </c>
      <c r="D29" s="25">
        <f>SUMIF('Raw Data - Packing'!$B:$B,D$5,'Raw Data - Packing'!$D:$D)</f>
        <v>189960</v>
      </c>
      <c r="E29" s="25">
        <f>SUMIF('Raw Data - Packing'!$B:$B,E$5,'Raw Data - Packing'!$D:$D)</f>
        <v>246840</v>
      </c>
      <c r="F29" s="25">
        <f>SUMIF('Raw Data - Packing'!$B:$B,F$5,'Raw Data - Packing'!$D:$D)</f>
        <v>232710</v>
      </c>
      <c r="G29" s="25">
        <f>SUMIF('Raw Data - Packing'!$B:$B,G$5,'Raw Data - Packing'!$D:$D)</f>
        <v>235500</v>
      </c>
      <c r="H29" s="25">
        <f>SUMIF('Raw Data - Packing'!$B:$B,H$5,'Raw Data - Packing'!$D:$D)</f>
        <v>229320</v>
      </c>
      <c r="I29" s="25">
        <f>SUMIF('Raw Data - Packing'!$B:$B,I$5,'Raw Data - Packing'!$D:$D)</f>
        <v>156840</v>
      </c>
      <c r="J29" s="25">
        <f>SUMIF('Raw Data - Packing'!$B:$B,J$5,'Raw Data - Packing'!$D:$D)</f>
        <v>179340</v>
      </c>
      <c r="K29" s="25">
        <f>SUMIF('Raw Data - Packing'!$B:$B,K$5,'Raw Data - Packing'!$D:$D)</f>
        <v>297780</v>
      </c>
      <c r="L29" s="25">
        <f>SUMIF('Raw Data - Packing'!$B:$B,L$5,'Raw Data - Packing'!$D:$D)</f>
        <v>198060</v>
      </c>
      <c r="M29" s="25"/>
      <c r="N29" s="25"/>
      <c r="O29" s="25"/>
      <c r="P29" s="25"/>
      <c r="Q29" s="25"/>
      <c r="R29" s="25"/>
      <c r="S29" s="25"/>
      <c r="T29" s="25"/>
      <c r="U29" s="25">
        <f>+U10-93600</f>
        <v>3748452</v>
      </c>
      <c r="V29" s="43">
        <f>U10-U29</f>
        <v>93600</v>
      </c>
    </row>
    <row r="30" spans="1:22" ht="6.9" hidden="1" customHeight="1" x14ac:dyDescent="0.3">
      <c r="A30" s="3"/>
    </row>
    <row r="31" spans="1:22" s="24" customFormat="1" hidden="1" x14ac:dyDescent="0.3">
      <c r="A31" s="27" t="s">
        <v>26</v>
      </c>
      <c r="B31" s="26">
        <f>SUMIF('Raw Data - Packing'!$B:$B,B$5,'Raw Data - Packing'!$F:$F)</f>
        <v>0</v>
      </c>
      <c r="C31" s="26">
        <f>SUMIF('Raw Data - Packing'!$B:$B,C$5,'Raw Data - Packing'!$F:$F)</f>
        <v>0</v>
      </c>
      <c r="D31" s="26">
        <f>SUMIF('Raw Data - Packing'!$B:$B,D$5,'Raw Data - Packing'!$F:$F)</f>
        <v>0</v>
      </c>
      <c r="E31" s="26">
        <f>SUMIF('Raw Data - Packing'!$B:$B,E$5,'Raw Data - Packing'!$F:$F)</f>
        <v>0</v>
      </c>
      <c r="F31" s="26">
        <f>SUMIF('Raw Data - Packing'!$B:$B,F$5,'Raw Data - Packing'!$F:$F)</f>
        <v>0</v>
      </c>
      <c r="G31" s="26">
        <f>SUMIF('Raw Data - Packing'!$B:$B,G$5,'Raw Data - Packing'!$F:$F)</f>
        <v>0</v>
      </c>
      <c r="H31" s="26">
        <f>SUMIF('Raw Data - Packing'!$B:$B,H$5,'Raw Data - Packing'!$F:$F)</f>
        <v>0</v>
      </c>
      <c r="I31" s="26">
        <f>SUMIF('Raw Data - Packing'!$B:$B,I$5,'Raw Data - Packing'!$F:$F)</f>
        <v>26624</v>
      </c>
      <c r="J31" s="26">
        <f>SUMIF('Raw Data - Packing'!$B:$B,J$5,'Raw Data - Packing'!$F:$F)</f>
        <v>8528</v>
      </c>
      <c r="K31" s="26">
        <f>SUMIF('Raw Data - Packing'!$B:$B,K$5,'Raw Data - Packing'!$F:$F)</f>
        <v>16166</v>
      </c>
      <c r="L31" s="26">
        <f>SUMIF('Raw Data - Packing'!$B:$B,L$5,'Raw Data - Packing'!$F:$F)</f>
        <v>13888</v>
      </c>
      <c r="M31" s="26"/>
      <c r="N31" s="26"/>
      <c r="O31" s="26"/>
      <c r="P31" s="26"/>
      <c r="Q31" s="26"/>
      <c r="R31" s="26"/>
      <c r="S31" s="26"/>
      <c r="U31" s="25">
        <f>+U21-12250</f>
        <v>386363</v>
      </c>
      <c r="V31" s="43">
        <f>U21-U31</f>
        <v>12250</v>
      </c>
    </row>
    <row r="32" spans="1:22" ht="15" thickBot="1" x14ac:dyDescent="0.35"/>
    <row r="33" spans="1:21" s="112" customFormat="1" x14ac:dyDescent="0.3">
      <c r="A33" s="111" t="s">
        <v>27</v>
      </c>
    </row>
    <row r="34" spans="1:21" x14ac:dyDescent="0.3">
      <c r="A34" s="113" t="s">
        <v>28</v>
      </c>
      <c r="B34" s="125"/>
      <c r="C34" s="125"/>
      <c r="D34" s="125"/>
      <c r="E34" s="125"/>
      <c r="F34" s="125"/>
      <c r="G34" s="125"/>
      <c r="H34" s="125"/>
      <c r="I34" s="125"/>
      <c r="J34" s="125"/>
      <c r="K34" s="116">
        <f t="shared" ref="K34:Q34" si="24">+K43+K52</f>
        <v>451740</v>
      </c>
      <c r="L34" s="116">
        <f t="shared" si="24"/>
        <v>448620</v>
      </c>
      <c r="M34" s="116">
        <f t="shared" si="24"/>
        <v>334320</v>
      </c>
      <c r="N34" s="116">
        <f t="shared" si="24"/>
        <v>107520</v>
      </c>
      <c r="O34" s="116">
        <f t="shared" si="24"/>
        <v>263580</v>
      </c>
      <c r="P34" s="116">
        <f t="shared" si="24"/>
        <v>0</v>
      </c>
      <c r="Q34" s="116">
        <f t="shared" si="24"/>
        <v>263580</v>
      </c>
      <c r="R34" s="116">
        <f>+R43+R52</f>
        <v>181740</v>
      </c>
      <c r="S34" s="116">
        <f>+S43+S52</f>
        <v>0</v>
      </c>
    </row>
    <row r="35" spans="1:21" x14ac:dyDescent="0.3">
      <c r="A35" s="113" t="s">
        <v>29</v>
      </c>
      <c r="B35" s="125"/>
      <c r="C35" s="125"/>
      <c r="D35" s="125"/>
      <c r="E35" s="125"/>
      <c r="F35" s="125"/>
      <c r="G35" s="125"/>
      <c r="H35" s="125"/>
      <c r="I35" s="125"/>
      <c r="J35" s="125"/>
      <c r="K35" s="116">
        <f t="shared" ref="K35:Q40" si="25">+K44+K53</f>
        <v>248340</v>
      </c>
      <c r="L35" s="116">
        <f t="shared" si="25"/>
        <v>248340</v>
      </c>
      <c r="M35" s="116">
        <f t="shared" si="25"/>
        <v>322860</v>
      </c>
      <c r="N35" s="116">
        <f t="shared" si="25"/>
        <v>617340</v>
      </c>
      <c r="O35" s="116">
        <f t="shared" si="25"/>
        <v>277140</v>
      </c>
      <c r="P35" s="116">
        <f t="shared" si="25"/>
        <v>0</v>
      </c>
      <c r="Q35" s="116">
        <f t="shared" si="25"/>
        <v>277140</v>
      </c>
      <c r="R35" s="116">
        <f>+R44+R53</f>
        <v>73020</v>
      </c>
      <c r="S35" s="116">
        <f>+S44+S53</f>
        <v>0</v>
      </c>
    </row>
    <row r="36" spans="1:21" x14ac:dyDescent="0.3">
      <c r="A36" s="113" t="s">
        <v>30</v>
      </c>
      <c r="B36" s="125"/>
      <c r="C36" s="125"/>
      <c r="D36" s="125"/>
      <c r="E36" s="125"/>
      <c r="F36" s="125"/>
      <c r="G36" s="125"/>
      <c r="H36" s="125"/>
      <c r="I36" s="125"/>
      <c r="J36" s="125"/>
      <c r="K36" s="116">
        <f t="shared" si="25"/>
        <v>0</v>
      </c>
      <c r="L36" s="116">
        <f t="shared" si="25"/>
        <v>78136</v>
      </c>
      <c r="M36" s="116">
        <f t="shared" si="25"/>
        <v>45720</v>
      </c>
      <c r="N36" s="116">
        <f t="shared" si="25"/>
        <v>45660</v>
      </c>
      <c r="O36" s="116">
        <f t="shared" si="25"/>
        <v>45660</v>
      </c>
      <c r="P36" s="116">
        <f t="shared" si="25"/>
        <v>0</v>
      </c>
      <c r="Q36" s="116">
        <f t="shared" si="25"/>
        <v>45660</v>
      </c>
      <c r="R36" s="116">
        <f t="shared" ref="R36:R40" si="26">+R45+R54</f>
        <v>45660</v>
      </c>
      <c r="S36" s="116">
        <f t="shared" ref="S36" si="27">+S45+S54</f>
        <v>0</v>
      </c>
    </row>
    <row r="37" spans="1:21" x14ac:dyDescent="0.3">
      <c r="A37" s="113" t="s">
        <v>31</v>
      </c>
      <c r="B37" s="125"/>
      <c r="C37" s="125"/>
      <c r="D37" s="125"/>
      <c r="E37" s="125"/>
      <c r="F37" s="125"/>
      <c r="G37" s="125"/>
      <c r="H37" s="125"/>
      <c r="I37" s="125"/>
      <c r="J37" s="125"/>
      <c r="K37" s="116">
        <f t="shared" si="25"/>
        <v>0</v>
      </c>
      <c r="L37" s="116">
        <f t="shared" si="25"/>
        <v>0</v>
      </c>
      <c r="M37" s="116">
        <f t="shared" si="25"/>
        <v>0</v>
      </c>
      <c r="N37" s="116">
        <f t="shared" si="25"/>
        <v>0</v>
      </c>
      <c r="O37" s="116">
        <f t="shared" si="25"/>
        <v>83250</v>
      </c>
      <c r="P37" s="116">
        <f t="shared" si="25"/>
        <v>0</v>
      </c>
      <c r="Q37" s="116">
        <f t="shared" si="25"/>
        <v>83250</v>
      </c>
      <c r="R37" s="116">
        <f t="shared" si="26"/>
        <v>213804</v>
      </c>
      <c r="S37" s="116">
        <f t="shared" ref="S37" si="28">+S46+S55</f>
        <v>0</v>
      </c>
    </row>
    <row r="38" spans="1:21" x14ac:dyDescent="0.3">
      <c r="A38" s="113" t="s">
        <v>32</v>
      </c>
      <c r="B38" s="125"/>
      <c r="C38" s="125"/>
      <c r="D38" s="125"/>
      <c r="E38" s="125"/>
      <c r="F38" s="125"/>
      <c r="G38" s="125"/>
      <c r="H38" s="125"/>
      <c r="I38" s="125"/>
      <c r="J38" s="125"/>
      <c r="K38" s="116">
        <f t="shared" si="25"/>
        <v>15950</v>
      </c>
      <c r="L38" s="116">
        <f t="shared" si="25"/>
        <v>16600</v>
      </c>
      <c r="M38" s="116">
        <f t="shared" si="25"/>
        <v>20300</v>
      </c>
      <c r="N38" s="116">
        <f t="shared" si="25"/>
        <v>20300</v>
      </c>
      <c r="O38" s="116">
        <f t="shared" si="25"/>
        <v>0</v>
      </c>
      <c r="P38" s="116">
        <f t="shared" si="25"/>
        <v>0</v>
      </c>
      <c r="Q38" s="116">
        <f t="shared" si="25"/>
        <v>0</v>
      </c>
      <c r="R38" s="116">
        <f t="shared" si="26"/>
        <v>0</v>
      </c>
      <c r="S38" s="116">
        <f t="shared" ref="S38" si="29">+S47+S56</f>
        <v>0</v>
      </c>
    </row>
    <row r="39" spans="1:21" x14ac:dyDescent="0.3">
      <c r="A39" s="113" t="s">
        <v>33</v>
      </c>
      <c r="B39" s="125"/>
      <c r="C39" s="125"/>
      <c r="D39" s="125"/>
      <c r="E39" s="125"/>
      <c r="F39" s="125"/>
      <c r="G39" s="125"/>
      <c r="H39" s="125"/>
      <c r="I39" s="125"/>
      <c r="J39" s="125"/>
      <c r="K39" s="116">
        <f t="shared" si="25"/>
        <v>29434</v>
      </c>
      <c r="L39" s="116">
        <f t="shared" si="25"/>
        <v>37334</v>
      </c>
      <c r="M39" s="116">
        <f t="shared" si="25"/>
        <v>53024</v>
      </c>
      <c r="N39" s="116">
        <f t="shared" si="25"/>
        <v>82880</v>
      </c>
      <c r="O39" s="116">
        <f t="shared" si="25"/>
        <v>151160</v>
      </c>
      <c r="P39" s="116">
        <f t="shared" si="25"/>
        <v>0</v>
      </c>
      <c r="Q39" s="116">
        <f t="shared" si="25"/>
        <v>106496</v>
      </c>
      <c r="R39" s="116">
        <f t="shared" si="26"/>
        <v>186816</v>
      </c>
      <c r="S39" s="116">
        <f t="shared" ref="S39" si="30">+S48+S57</f>
        <v>0</v>
      </c>
    </row>
    <row r="40" spans="1:21" s="42" customFormat="1" ht="15" thickBot="1" x14ac:dyDescent="0.35">
      <c r="A40" s="114" t="s">
        <v>34</v>
      </c>
      <c r="B40" s="115"/>
      <c r="C40" s="115"/>
      <c r="D40" s="115"/>
      <c r="E40" s="115"/>
      <c r="F40" s="115"/>
      <c r="G40" s="115"/>
      <c r="H40" s="115"/>
      <c r="I40" s="115"/>
      <c r="J40" s="115"/>
      <c r="K40" s="117">
        <f t="shared" si="25"/>
        <v>0</v>
      </c>
      <c r="L40" s="117">
        <f t="shared" si="25"/>
        <v>0</v>
      </c>
      <c r="M40" s="117">
        <f t="shared" si="25"/>
        <v>1920</v>
      </c>
      <c r="N40" s="117">
        <f t="shared" si="25"/>
        <v>1920</v>
      </c>
      <c r="O40" s="117">
        <f t="shared" si="25"/>
        <v>0</v>
      </c>
      <c r="P40" s="117">
        <f t="shared" si="25"/>
        <v>0</v>
      </c>
      <c r="Q40" s="117">
        <f t="shared" si="25"/>
        <v>0</v>
      </c>
      <c r="R40" s="117">
        <f t="shared" si="26"/>
        <v>0</v>
      </c>
      <c r="S40" s="117">
        <f t="shared" ref="S40" si="31">+S49+S58</f>
        <v>0</v>
      </c>
    </row>
    <row r="42" spans="1:21" x14ac:dyDescent="0.3">
      <c r="A42" s="3" t="s">
        <v>35</v>
      </c>
      <c r="B42" s="3" t="s">
        <v>36</v>
      </c>
      <c r="C42" s="3" t="s">
        <v>37</v>
      </c>
    </row>
    <row r="43" spans="1:21" x14ac:dyDescent="0.3">
      <c r="A43" t="s">
        <v>28</v>
      </c>
      <c r="B43" s="135">
        <f>+C43/60</f>
        <v>3029</v>
      </c>
      <c r="C43" s="135">
        <f>+R43</f>
        <v>181740</v>
      </c>
      <c r="K43" s="11">
        <f>38*126*60+24*60+125*60+1032*60</f>
        <v>358140</v>
      </c>
      <c r="L43" s="11">
        <v>448620</v>
      </c>
      <c r="M43" s="11">
        <f>1792*60+(30*126*60)</f>
        <v>334320</v>
      </c>
      <c r="N43" s="11">
        <f>1792*60</f>
        <v>107520</v>
      </c>
      <c r="O43" s="11">
        <v>263580</v>
      </c>
      <c r="P43" s="11"/>
      <c r="Q43" s="11">
        <f>4393*60</f>
        <v>263580</v>
      </c>
      <c r="R43" s="11">
        <f>3029*60</f>
        <v>181740</v>
      </c>
      <c r="S43" s="11"/>
      <c r="T43" s="11"/>
      <c r="U43" s="11"/>
    </row>
    <row r="44" spans="1:21" x14ac:dyDescent="0.3">
      <c r="A44" t="s">
        <v>29</v>
      </c>
      <c r="B44" s="135">
        <f t="shared" ref="B44:B45" si="32">+C44/60</f>
        <v>1217</v>
      </c>
      <c r="C44" s="135">
        <f t="shared" ref="C44:C49" si="33">+R44</f>
        <v>73020</v>
      </c>
      <c r="K44" s="11">
        <f>31*126*60+123*60+110*60</f>
        <v>248340</v>
      </c>
      <c r="L44" s="11">
        <v>248340</v>
      </c>
      <c r="M44" s="11">
        <f>5381*60</f>
        <v>322860</v>
      </c>
      <c r="N44" s="11">
        <f>10289*60</f>
        <v>617340</v>
      </c>
      <c r="O44" s="11">
        <v>277140</v>
      </c>
      <c r="P44" s="11"/>
      <c r="Q44" s="11">
        <f>1343*60+3276*60</f>
        <v>277140</v>
      </c>
      <c r="R44" s="11">
        <f>1217*60</f>
        <v>73020</v>
      </c>
      <c r="S44" s="11"/>
      <c r="T44" s="11"/>
      <c r="U44" s="11"/>
    </row>
    <row r="45" spans="1:21" x14ac:dyDescent="0.3">
      <c r="A45" t="s">
        <v>30</v>
      </c>
      <c r="B45" s="135">
        <f t="shared" si="32"/>
        <v>761</v>
      </c>
      <c r="C45" s="135">
        <f t="shared" si="33"/>
        <v>45660</v>
      </c>
      <c r="K45" s="11"/>
      <c r="M45" s="11">
        <f>762*60</f>
        <v>45720</v>
      </c>
      <c r="N45" s="11">
        <v>45660</v>
      </c>
      <c r="O45" s="11">
        <v>45660</v>
      </c>
      <c r="P45" s="11"/>
      <c r="Q45" s="11">
        <f>761*60</f>
        <v>45660</v>
      </c>
      <c r="R45" s="11">
        <f>761*60</f>
        <v>45660</v>
      </c>
      <c r="S45" s="11"/>
      <c r="T45" s="11"/>
      <c r="U45" s="11"/>
    </row>
    <row r="46" spans="1:21" x14ac:dyDescent="0.3">
      <c r="A46" t="s">
        <v>31</v>
      </c>
      <c r="B46">
        <f>+C46/225</f>
        <v>719</v>
      </c>
      <c r="C46" s="135">
        <f>+R46+102*225</f>
        <v>161775</v>
      </c>
      <c r="K46" s="11"/>
      <c r="M46" s="11"/>
      <c r="N46" s="11"/>
      <c r="O46" s="11">
        <v>0</v>
      </c>
      <c r="P46" s="11"/>
      <c r="Q46" s="11">
        <f>370*225</f>
        <v>83250</v>
      </c>
      <c r="R46" s="11">
        <f>617*225</f>
        <v>138825</v>
      </c>
      <c r="S46" s="11"/>
      <c r="T46" s="11"/>
      <c r="U46" s="11"/>
    </row>
    <row r="47" spans="1:21" x14ac:dyDescent="0.3">
      <c r="A47" t="s">
        <v>32</v>
      </c>
      <c r="C47" s="135">
        <f t="shared" si="33"/>
        <v>0</v>
      </c>
      <c r="K47" s="11">
        <f>43*50+21*50+180*50+73*50+100</f>
        <v>15950</v>
      </c>
      <c r="L47" s="11">
        <f>252*50</f>
        <v>12600</v>
      </c>
      <c r="M47" s="11">
        <f>406*50</f>
        <v>20300</v>
      </c>
      <c r="N47" s="11">
        <f>406*50</f>
        <v>20300</v>
      </c>
      <c r="O47" s="11">
        <v>0</v>
      </c>
      <c r="P47" s="11"/>
      <c r="Q47" s="11"/>
      <c r="R47" s="11"/>
      <c r="S47" s="11"/>
      <c r="T47" s="11"/>
      <c r="U47" s="11"/>
    </row>
    <row r="48" spans="1:21" x14ac:dyDescent="0.3">
      <c r="A48" t="s">
        <v>33</v>
      </c>
      <c r="B48">
        <f>+C48/32</f>
        <v>5838</v>
      </c>
      <c r="C48" s="135">
        <f t="shared" si="33"/>
        <v>186816</v>
      </c>
      <c r="K48" s="11">
        <f>2*32+96*32+100*32+69*32+135*32+135*32</f>
        <v>17184</v>
      </c>
      <c r="L48" s="11">
        <f>+(2+96+100+69+135+135)*32</f>
        <v>17184</v>
      </c>
      <c r="M48" s="11">
        <f>1657*32</f>
        <v>53024</v>
      </c>
      <c r="N48" s="11">
        <f>2539*32</f>
        <v>81248</v>
      </c>
      <c r="O48" s="11">
        <v>136160</v>
      </c>
      <c r="P48" s="11"/>
      <c r="Q48" s="11">
        <f>3328*32</f>
        <v>106496</v>
      </c>
      <c r="R48" s="11">
        <f>5838*32</f>
        <v>186816</v>
      </c>
      <c r="S48" s="11"/>
      <c r="T48" s="11"/>
      <c r="U48" s="11"/>
    </row>
    <row r="49" spans="1:21" x14ac:dyDescent="0.3">
      <c r="A49" t="s">
        <v>34</v>
      </c>
      <c r="C49" s="135">
        <f t="shared" si="33"/>
        <v>0</v>
      </c>
      <c r="K49" s="11"/>
      <c r="L49" s="11"/>
      <c r="M49" s="11">
        <f>60*32</f>
        <v>1920</v>
      </c>
      <c r="N49" s="11">
        <f>60*32</f>
        <v>1920</v>
      </c>
      <c r="O49" s="11">
        <v>0</v>
      </c>
      <c r="P49" s="11"/>
      <c r="Q49" s="11"/>
      <c r="R49" s="11"/>
      <c r="S49" s="11"/>
      <c r="T49" s="11"/>
      <c r="U49" s="11"/>
    </row>
    <row r="50" spans="1:21" x14ac:dyDescent="0.3">
      <c r="M50" s="11"/>
      <c r="N50" s="11"/>
      <c r="O50" s="11"/>
      <c r="P50" s="11"/>
      <c r="Q50" s="11"/>
      <c r="R50" s="11"/>
      <c r="S50" s="11"/>
      <c r="T50" s="11"/>
      <c r="U50" s="11"/>
    </row>
    <row r="51" spans="1:21" x14ac:dyDescent="0.3">
      <c r="A51" s="3" t="s">
        <v>38</v>
      </c>
      <c r="M51" s="11"/>
      <c r="N51" s="11"/>
      <c r="O51" s="11"/>
      <c r="P51" s="11"/>
      <c r="Q51" s="11"/>
      <c r="R51" s="11"/>
      <c r="S51" s="11"/>
      <c r="T51" s="11"/>
      <c r="U51" s="11"/>
    </row>
    <row r="52" spans="1:21" x14ac:dyDescent="0.3">
      <c r="A52" t="s">
        <v>28</v>
      </c>
      <c r="K52" s="11">
        <f>65*15*96</f>
        <v>93600</v>
      </c>
      <c r="L52" s="11">
        <v>0</v>
      </c>
      <c r="M52" s="11">
        <v>0</v>
      </c>
      <c r="N52" s="11">
        <v>0</v>
      </c>
      <c r="O52" s="11">
        <v>0</v>
      </c>
      <c r="P52" s="11"/>
      <c r="Q52" s="11"/>
      <c r="R52" s="11"/>
      <c r="S52" s="11"/>
      <c r="T52" s="11"/>
      <c r="U52" s="11"/>
    </row>
    <row r="53" spans="1:21" x14ac:dyDescent="0.3">
      <c r="A53" t="s">
        <v>29</v>
      </c>
      <c r="K53" s="11">
        <v>0</v>
      </c>
      <c r="L53" s="11">
        <v>0</v>
      </c>
      <c r="M53" s="11">
        <v>0</v>
      </c>
      <c r="N53" s="11">
        <v>0</v>
      </c>
      <c r="O53" s="11">
        <v>0</v>
      </c>
      <c r="P53" s="11"/>
      <c r="Q53" s="11"/>
      <c r="R53" s="11"/>
      <c r="S53" s="11"/>
    </row>
    <row r="54" spans="1:21" x14ac:dyDescent="0.3">
      <c r="A54" t="s">
        <v>30</v>
      </c>
      <c r="K54" s="11"/>
      <c r="L54" s="11">
        <v>78136</v>
      </c>
      <c r="M54" s="11">
        <v>0</v>
      </c>
      <c r="N54" s="11">
        <v>0</v>
      </c>
      <c r="O54" s="11">
        <v>0</v>
      </c>
      <c r="P54" s="11"/>
      <c r="Q54" s="11"/>
      <c r="R54" s="11"/>
      <c r="S54" s="11"/>
    </row>
    <row r="55" spans="1:21" x14ac:dyDescent="0.3">
      <c r="A55" t="s">
        <v>31</v>
      </c>
      <c r="K55" s="11"/>
      <c r="L55" s="11"/>
      <c r="M55" s="11"/>
      <c r="N55" s="11"/>
      <c r="O55" s="11">
        <v>83250</v>
      </c>
      <c r="P55" s="11"/>
      <c r="Q55" s="11"/>
      <c r="R55" s="11">
        <v>74979</v>
      </c>
      <c r="S55" s="11"/>
    </row>
    <row r="56" spans="1:21" x14ac:dyDescent="0.3">
      <c r="A56" t="s">
        <v>32</v>
      </c>
      <c r="K56" s="11">
        <v>0</v>
      </c>
      <c r="L56" s="11">
        <v>4000</v>
      </c>
      <c r="M56" s="11">
        <v>0</v>
      </c>
      <c r="N56" s="11">
        <v>0</v>
      </c>
      <c r="O56" s="11">
        <v>0</v>
      </c>
      <c r="P56" s="11"/>
      <c r="Q56" s="11"/>
      <c r="R56" s="11"/>
      <c r="S56" s="11"/>
    </row>
    <row r="57" spans="1:21" x14ac:dyDescent="0.3">
      <c r="A57" t="s">
        <v>33</v>
      </c>
      <c r="K57" s="11">
        <f>20*15*35+(50*35)</f>
        <v>12250</v>
      </c>
      <c r="L57" s="11">
        <v>20150</v>
      </c>
      <c r="M57" s="11">
        <v>0</v>
      </c>
      <c r="N57" s="11">
        <v>1632</v>
      </c>
      <c r="O57" s="11">
        <v>15000</v>
      </c>
      <c r="P57" s="11"/>
      <c r="Q57" s="11"/>
      <c r="R57" s="11"/>
      <c r="S57" s="11"/>
    </row>
    <row r="58" spans="1:21" x14ac:dyDescent="0.3">
      <c r="A58" t="s">
        <v>34</v>
      </c>
      <c r="M58" s="11">
        <v>0</v>
      </c>
      <c r="N58" s="11">
        <v>0</v>
      </c>
      <c r="O58" s="11">
        <v>0</v>
      </c>
      <c r="P58" s="11"/>
      <c r="Q58" s="11"/>
      <c r="R58" s="11"/>
      <c r="S58" s="11"/>
    </row>
  </sheetData>
  <mergeCells count="1">
    <mergeCell ref="B1:M1"/>
  </mergeCells>
  <phoneticPr fontId="6" type="noConversion"/>
  <pageMargins left="0.7" right="0.7" top="0.75" bottom="0.75" header="0.3" footer="0.3"/>
  <pageSetup scale="4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2CA3F2-20EC-44AB-8E20-8DE941664A60}">
  <sheetPr>
    <tabColor rgb="FF92D050"/>
  </sheetPr>
  <dimension ref="A1:Y258"/>
  <sheetViews>
    <sheetView tabSelected="1" zoomScale="80" zoomScaleNormal="80" workbookViewId="0">
      <pane xSplit="1" ySplit="1" topLeftCell="B59" activePane="bottomRight" state="frozen"/>
      <selection pane="topRight" activeCell="B1" sqref="B1"/>
      <selection pane="bottomLeft" activeCell="A2" sqref="A2"/>
      <selection pane="bottomRight" activeCell="Q75" sqref="Q75"/>
    </sheetView>
  </sheetViews>
  <sheetFormatPr defaultRowHeight="14.4" x14ac:dyDescent="0.3"/>
  <cols>
    <col min="1" max="1" width="10.6640625" style="5" customWidth="1"/>
    <col min="2" max="2" width="7.88671875" style="6" bestFit="1" customWidth="1"/>
    <col min="3" max="4" width="9.109375" style="6" customWidth="1"/>
    <col min="5" max="5" width="13.88671875" style="7" customWidth="1"/>
    <col min="6" max="6" width="13.88671875" style="9" customWidth="1"/>
    <col min="7" max="7" width="13.88671875" style="8" customWidth="1"/>
    <col min="8" max="8" width="13.88671875" style="9" customWidth="1"/>
    <col min="9" max="9" width="14.44140625" style="104" bestFit="1" customWidth="1"/>
    <col min="10" max="10" width="15.5546875" style="9" bestFit="1" customWidth="1"/>
    <col min="11" max="11" width="5" style="21" customWidth="1"/>
    <col min="12" max="15" width="13.88671875" style="106" customWidth="1"/>
    <col min="17" max="17" width="15" bestFit="1" customWidth="1"/>
    <col min="18" max="18" width="10.109375" bestFit="1" customWidth="1"/>
    <col min="19" max="19" width="11.44140625" bestFit="1" customWidth="1"/>
    <col min="20" max="20" width="10.44140625" bestFit="1" customWidth="1"/>
    <col min="24" max="24" width="11.88671875" bestFit="1" customWidth="1"/>
    <col min="25" max="25" width="11.44140625" bestFit="1" customWidth="1"/>
  </cols>
  <sheetData>
    <row r="1" spans="1:23" ht="59.4" customHeight="1" thickBot="1" x14ac:dyDescent="0.35">
      <c r="A1" s="23" t="s">
        <v>39</v>
      </c>
      <c r="B1" s="23" t="s">
        <v>21</v>
      </c>
      <c r="C1" s="23" t="s">
        <v>0</v>
      </c>
      <c r="D1" s="23" t="s">
        <v>40</v>
      </c>
      <c r="E1" s="23" t="s">
        <v>41</v>
      </c>
      <c r="F1" s="23" t="s">
        <v>42</v>
      </c>
      <c r="G1" s="23" t="s">
        <v>43</v>
      </c>
      <c r="H1" s="23" t="s">
        <v>44</v>
      </c>
      <c r="I1" s="102" t="s">
        <v>45</v>
      </c>
      <c r="J1" s="23" t="s">
        <v>26</v>
      </c>
      <c r="K1" s="19"/>
      <c r="L1" s="102" t="s">
        <v>46</v>
      </c>
      <c r="M1" s="102" t="s">
        <v>47</v>
      </c>
      <c r="N1" s="102" t="s">
        <v>48</v>
      </c>
      <c r="O1" s="102" t="s">
        <v>49</v>
      </c>
      <c r="P1" s="129"/>
      <c r="Q1" s="136" t="s">
        <v>50</v>
      </c>
      <c r="R1" s="128"/>
      <c r="S1" s="128"/>
    </row>
    <row r="2" spans="1:23" x14ac:dyDescent="0.3">
      <c r="A2" s="4">
        <f>+'Raw Data - Production'!A3</f>
        <v>46111</v>
      </c>
      <c r="B2" s="6">
        <f t="shared" ref="B2:B49" si="0">+WEEKNUM(A2)</f>
        <v>14</v>
      </c>
      <c r="C2" s="6" t="str">
        <f>+TEXT(A2,"mmmm")</f>
        <v>March</v>
      </c>
      <c r="D2" s="6" t="s">
        <v>1</v>
      </c>
      <c r="E2" s="14">
        <f>+'Raw Data - Production'!D3+'Raw Data - Production'!E3</f>
        <v>34860</v>
      </c>
      <c r="F2" s="15">
        <f>+'Raw Data - Production'!F3+'Raw Data - Production'!G3+'Raw Data - Production'!H3</f>
        <v>0</v>
      </c>
      <c r="G2" s="16">
        <f>+'Raw Data - Production'!J3+'Raw Data - Production'!K3+'Raw Data - Packing'!I3</f>
        <v>0</v>
      </c>
      <c r="H2" s="15">
        <f>+'Raw Data - Production'!L3+'Raw Data - Production'!M3+'Raw Data - Production'!N3+'Raw Data - Packing'!L3</f>
        <v>0</v>
      </c>
      <c r="I2" s="103">
        <f>SUMIF('Raw Data - Packing'!A:A,A2,'Raw Data - Packing'!D:D)</f>
        <v>34860</v>
      </c>
      <c r="J2" s="15">
        <f>SUMIF('Raw Data - Packing'!A:A,A2,'Raw Data - Packing'!F:F)</f>
        <v>0</v>
      </c>
      <c r="K2" s="20"/>
      <c r="L2" s="105"/>
      <c r="M2" s="105"/>
      <c r="N2" s="105">
        <f>+E2*Weights!$B$2</f>
        <v>2205.984375</v>
      </c>
      <c r="O2" s="105">
        <f>+F2*Weights!$B$4</f>
        <v>0</v>
      </c>
      <c r="Q2" s="135">
        <f>I2+J2</f>
        <v>34860</v>
      </c>
      <c r="R2">
        <v>14</v>
      </c>
      <c r="S2">
        <f>SUMIF(B:B,R2,Q:Q)</f>
        <v>155040</v>
      </c>
    </row>
    <row r="3" spans="1:23" x14ac:dyDescent="0.3">
      <c r="A3" s="4">
        <f>+'Raw Data - Production'!A4</f>
        <v>46112</v>
      </c>
      <c r="B3" s="6">
        <f t="shared" si="0"/>
        <v>14</v>
      </c>
      <c r="C3" s="6" t="str">
        <f t="shared" ref="C3:C66" si="1">+TEXT(A3,"mmmm")</f>
        <v>March</v>
      </c>
      <c r="D3" s="6" t="s">
        <v>1</v>
      </c>
      <c r="E3" s="14">
        <f>+'Raw Data - Production'!D4+'Raw Data - Production'!E4</f>
        <v>33480</v>
      </c>
      <c r="F3" s="15">
        <f>+'Raw Data - Production'!F4+'Raw Data - Production'!G4+'Raw Data - Production'!H4</f>
        <v>0</v>
      </c>
      <c r="G3" s="16">
        <f>+'Raw Data - Production'!J4+'Raw Data - Production'!K4+'Raw Data - Packing'!I4</f>
        <v>0</v>
      </c>
      <c r="H3" s="15">
        <f>+'Raw Data - Production'!L4+'Raw Data - Production'!M4+'Raw Data - Production'!N4+'Raw Data - Packing'!L4</f>
        <v>0</v>
      </c>
      <c r="I3" s="103">
        <f>SUMIF('Raw Data - Packing'!A:A,A3,'Raw Data - Packing'!D:D)</f>
        <v>33480</v>
      </c>
      <c r="J3" s="15">
        <f>SUMIF('Raw Data - Packing'!A:A,A3,'Raw Data - Packing'!F:F)</f>
        <v>0</v>
      </c>
      <c r="K3" s="20"/>
      <c r="L3" s="105"/>
      <c r="M3" s="105"/>
      <c r="N3" s="105">
        <f>+E3*Weights!$B$2</f>
        <v>2118.65625</v>
      </c>
      <c r="O3" s="105">
        <f>+F3*Weights!$B$4</f>
        <v>0</v>
      </c>
      <c r="Q3" s="135">
        <f t="shared" ref="Q3:Q66" si="2">I3+J3</f>
        <v>33480</v>
      </c>
      <c r="R3">
        <v>15</v>
      </c>
      <c r="S3">
        <f t="shared" ref="S3:S17" si="3">SUMIF(B:B,R3,Q:Q)</f>
        <v>171840</v>
      </c>
    </row>
    <row r="4" spans="1:23" x14ac:dyDescent="0.3">
      <c r="A4" s="4">
        <f>+'Raw Data - Production'!A5</f>
        <v>46113</v>
      </c>
      <c r="B4" s="6">
        <f t="shared" si="0"/>
        <v>14</v>
      </c>
      <c r="C4" s="6" t="str">
        <f t="shared" si="1"/>
        <v>April</v>
      </c>
      <c r="D4" s="6" t="s">
        <v>1</v>
      </c>
      <c r="E4" s="14">
        <f>+'Raw Data - Production'!D5+'Raw Data - Production'!E5</f>
        <v>52620</v>
      </c>
      <c r="F4" s="15">
        <f>+'Raw Data - Production'!F5+'Raw Data - Production'!G5+'Raw Data - Production'!H5</f>
        <v>0</v>
      </c>
      <c r="G4" s="16">
        <f>+'Raw Data - Production'!J5+'Raw Data - Production'!K5+'Raw Data - Packing'!I5</f>
        <v>0</v>
      </c>
      <c r="H4" s="15">
        <f>+'Raw Data - Production'!L5+'Raw Data - Production'!M5+'Raw Data - Production'!N5+'Raw Data - Packing'!L5</f>
        <v>0</v>
      </c>
      <c r="I4" s="103">
        <f>SUMIF('Raw Data - Packing'!A:A,A4,'Raw Data - Packing'!D:D)</f>
        <v>52620</v>
      </c>
      <c r="J4" s="15">
        <f>SUMIF('Raw Data - Packing'!A:A,A4,'Raw Data - Packing'!F:F)</f>
        <v>0</v>
      </c>
      <c r="K4" s="20"/>
      <c r="L4" s="105"/>
      <c r="M4" s="105"/>
      <c r="N4" s="105">
        <f>+E4*Weights!$B$2</f>
        <v>3329.859375</v>
      </c>
      <c r="O4" s="105">
        <f>+F4*Weights!$B$4</f>
        <v>0</v>
      </c>
      <c r="Q4" s="135">
        <f t="shared" si="2"/>
        <v>52620</v>
      </c>
      <c r="R4">
        <v>16</v>
      </c>
      <c r="S4">
        <f t="shared" si="3"/>
        <v>189960</v>
      </c>
    </row>
    <row r="5" spans="1:23" x14ac:dyDescent="0.3">
      <c r="A5" s="4">
        <f>+'Raw Data - Production'!A6</f>
        <v>46114</v>
      </c>
      <c r="B5" s="6">
        <f t="shared" si="0"/>
        <v>14</v>
      </c>
      <c r="C5" s="6" t="str">
        <f t="shared" si="1"/>
        <v>April</v>
      </c>
      <c r="D5" s="6" t="s">
        <v>1</v>
      </c>
      <c r="E5" s="14">
        <f>+'Raw Data - Production'!D6+'Raw Data - Production'!E6</f>
        <v>34080</v>
      </c>
      <c r="F5" s="15">
        <f>+'Raw Data - Production'!F6+'Raw Data - Production'!G6+'Raw Data - Production'!H6</f>
        <v>0</v>
      </c>
      <c r="G5" s="16">
        <f>+'Raw Data - Production'!J6+'Raw Data - Production'!K6+'Raw Data - Packing'!I6</f>
        <v>0</v>
      </c>
      <c r="H5" s="15">
        <f>+'Raw Data - Production'!L6+'Raw Data - Production'!M6+'Raw Data - Production'!N6+'Raw Data - Packing'!L6</f>
        <v>0</v>
      </c>
      <c r="I5" s="103">
        <f>SUMIF('Raw Data - Packing'!A:A,A5,'Raw Data - Packing'!D:D)</f>
        <v>34080</v>
      </c>
      <c r="J5" s="15">
        <f>SUMIF('Raw Data - Packing'!A:A,A5,'Raw Data - Packing'!F:F)</f>
        <v>0</v>
      </c>
      <c r="K5" s="20"/>
      <c r="L5" s="105"/>
      <c r="M5" s="105"/>
      <c r="N5" s="105">
        <f>+E5*Weights!$B$2</f>
        <v>2156.625</v>
      </c>
      <c r="O5" s="105">
        <f>+F5*Weights!$B$4</f>
        <v>0</v>
      </c>
      <c r="Q5" s="135">
        <f t="shared" si="2"/>
        <v>34080</v>
      </c>
      <c r="R5">
        <v>17</v>
      </c>
      <c r="S5">
        <f t="shared" si="3"/>
        <v>246840</v>
      </c>
    </row>
    <row r="6" spans="1:23" x14ac:dyDescent="0.3">
      <c r="A6" s="4">
        <f>+'Raw Data - Production'!A7</f>
        <v>46118</v>
      </c>
      <c r="B6" s="6">
        <f t="shared" si="0"/>
        <v>15</v>
      </c>
      <c r="C6" s="6" t="str">
        <f t="shared" si="1"/>
        <v>April</v>
      </c>
      <c r="D6" s="6" t="s">
        <v>1</v>
      </c>
      <c r="E6" s="14">
        <f>+'Raw Data - Production'!D7+'Raw Data - Production'!E7</f>
        <v>32220</v>
      </c>
      <c r="F6" s="15">
        <f>+'Raw Data - Production'!F7+'Raw Data - Production'!G7+'Raw Data - Production'!H7</f>
        <v>0</v>
      </c>
      <c r="G6" s="16">
        <f>+'Raw Data - Production'!J7+'Raw Data - Production'!K7+'Raw Data - Packing'!I7</f>
        <v>0</v>
      </c>
      <c r="H6" s="15">
        <f>+'Raw Data - Production'!L7+'Raw Data - Production'!M7+'Raw Data - Production'!N7+'Raw Data - Packing'!L7</f>
        <v>0</v>
      </c>
      <c r="I6" s="103">
        <f>SUMIF('Raw Data - Packing'!A:A,A6,'Raw Data - Packing'!D:D)</f>
        <v>32220</v>
      </c>
      <c r="J6" s="15">
        <f>SUMIF('Raw Data - Packing'!A:A,A6,'Raw Data - Packing'!F:F)</f>
        <v>0</v>
      </c>
      <c r="K6" s="20"/>
      <c r="L6" s="105"/>
      <c r="M6" s="105"/>
      <c r="N6" s="105">
        <f>+E6*Weights!$B$2</f>
        <v>2038.921875</v>
      </c>
      <c r="O6" s="105">
        <f>+F6*Weights!$B$4</f>
        <v>0</v>
      </c>
      <c r="Q6" s="135">
        <f t="shared" si="2"/>
        <v>32220</v>
      </c>
      <c r="R6">
        <v>18</v>
      </c>
      <c r="S6">
        <f t="shared" si="3"/>
        <v>232710</v>
      </c>
    </row>
    <row r="7" spans="1:23" x14ac:dyDescent="0.3">
      <c r="A7" s="4">
        <f>+'Raw Data - Production'!A8</f>
        <v>46119</v>
      </c>
      <c r="B7" s="6">
        <f t="shared" si="0"/>
        <v>15</v>
      </c>
      <c r="C7" s="6" t="str">
        <f t="shared" si="1"/>
        <v>April</v>
      </c>
      <c r="D7" s="6" t="s">
        <v>1</v>
      </c>
      <c r="E7" s="14">
        <f>+'Raw Data - Production'!D8+'Raw Data - Production'!E8</f>
        <v>46380</v>
      </c>
      <c r="F7" s="15">
        <f>+'Raw Data - Production'!F8+'Raw Data - Production'!G8+'Raw Data - Production'!H8</f>
        <v>0</v>
      </c>
      <c r="G7" s="16">
        <f>+'Raw Data - Production'!J8+'Raw Data - Production'!K8+'Raw Data - Packing'!I8</f>
        <v>0</v>
      </c>
      <c r="H7" s="15">
        <f>+'Raw Data - Production'!L8+'Raw Data - Production'!M8+'Raw Data - Production'!N8+'Raw Data - Packing'!L8</f>
        <v>0</v>
      </c>
      <c r="I7" s="103">
        <f>SUMIF('Raw Data - Packing'!A:A,A7,'Raw Data - Packing'!D:D)</f>
        <v>46380</v>
      </c>
      <c r="J7" s="15">
        <f>SUMIF('Raw Data - Packing'!A:A,A7,'Raw Data - Packing'!F:F)</f>
        <v>0</v>
      </c>
      <c r="K7" s="20"/>
      <c r="L7" s="105"/>
      <c r="M7" s="105"/>
      <c r="N7" s="105">
        <f>+E7*Weights!$B$2</f>
        <v>2934.984375</v>
      </c>
      <c r="O7" s="105">
        <f>+F7*Weights!$B$4</f>
        <v>0</v>
      </c>
      <c r="Q7" s="135">
        <f t="shared" si="2"/>
        <v>46380</v>
      </c>
      <c r="R7">
        <v>19</v>
      </c>
      <c r="S7">
        <f t="shared" si="3"/>
        <v>235500</v>
      </c>
    </row>
    <row r="8" spans="1:23" x14ac:dyDescent="0.3">
      <c r="A8" s="4">
        <f>+'Raw Data - Production'!A9</f>
        <v>46120</v>
      </c>
      <c r="B8" s="6">
        <f t="shared" si="0"/>
        <v>15</v>
      </c>
      <c r="C8" s="6" t="str">
        <f t="shared" si="1"/>
        <v>April</v>
      </c>
      <c r="D8" s="6" t="s">
        <v>1</v>
      </c>
      <c r="E8" s="14">
        <f>+'Raw Data - Production'!D9+'Raw Data - Production'!E9</f>
        <v>47220</v>
      </c>
      <c r="F8" s="15">
        <f>+'Raw Data - Production'!F9+'Raw Data - Production'!G9+'Raw Data - Production'!H9</f>
        <v>0</v>
      </c>
      <c r="G8" s="16">
        <f>+'Raw Data - Production'!J9+'Raw Data - Production'!K9+'Raw Data - Packing'!I9</f>
        <v>0</v>
      </c>
      <c r="H8" s="15">
        <f>+'Raw Data - Production'!L9+'Raw Data - Production'!M9+'Raw Data - Production'!N9+'Raw Data - Packing'!L9</f>
        <v>0</v>
      </c>
      <c r="I8" s="103">
        <f>SUMIF('Raw Data - Packing'!A:A,A8,'Raw Data - Packing'!D:D)</f>
        <v>47220</v>
      </c>
      <c r="J8" s="15">
        <f>SUMIF('Raw Data - Packing'!A:A,A8,'Raw Data - Packing'!F:F)</f>
        <v>0</v>
      </c>
      <c r="K8" s="20"/>
      <c r="L8" s="105"/>
      <c r="M8" s="105"/>
      <c r="N8" s="105">
        <f>+E8*Weights!$B$2</f>
        <v>2988.140625</v>
      </c>
      <c r="O8" s="105">
        <f>+F8*Weights!$B$4</f>
        <v>0</v>
      </c>
      <c r="Q8" s="135">
        <f t="shared" si="2"/>
        <v>47220</v>
      </c>
      <c r="R8">
        <v>20</v>
      </c>
      <c r="S8">
        <f t="shared" si="3"/>
        <v>229320</v>
      </c>
    </row>
    <row r="9" spans="1:23" x14ac:dyDescent="0.3">
      <c r="A9" s="4">
        <f>+'Raw Data - Production'!A10</f>
        <v>46121</v>
      </c>
      <c r="B9" s="6">
        <f t="shared" si="0"/>
        <v>15</v>
      </c>
      <c r="C9" s="6" t="str">
        <f t="shared" si="1"/>
        <v>April</v>
      </c>
      <c r="D9" s="6" t="s">
        <v>1</v>
      </c>
      <c r="E9" s="14">
        <f>+'Raw Data - Production'!D10+'Raw Data - Production'!E10</f>
        <v>46020</v>
      </c>
      <c r="F9" s="15">
        <f>+'Raw Data - Production'!F10+'Raw Data - Production'!G10+'Raw Data - Production'!H10</f>
        <v>0</v>
      </c>
      <c r="G9" s="16">
        <f>+'Raw Data - Production'!J10+'Raw Data - Production'!K10+'Raw Data - Packing'!I10</f>
        <v>0</v>
      </c>
      <c r="H9" s="15">
        <f>+'Raw Data - Production'!L10+'Raw Data - Production'!M10+'Raw Data - Production'!N10+'Raw Data - Packing'!L10</f>
        <v>0</v>
      </c>
      <c r="I9" s="103">
        <f>SUMIF('Raw Data - Packing'!A:A,A9,'Raw Data - Packing'!D:D)</f>
        <v>46020</v>
      </c>
      <c r="J9" s="15">
        <f>SUMIF('Raw Data - Packing'!A:A,A9,'Raw Data - Packing'!F:F)</f>
        <v>0</v>
      </c>
      <c r="K9" s="20"/>
      <c r="L9" s="105"/>
      <c r="M9" s="105"/>
      <c r="N9" s="105">
        <f>+E9*Weights!$B$2</f>
        <v>2912.203125</v>
      </c>
      <c r="O9" s="105">
        <f>+F9*Weights!$B$4</f>
        <v>0</v>
      </c>
      <c r="Q9" s="135">
        <f t="shared" si="2"/>
        <v>46020</v>
      </c>
      <c r="R9">
        <v>21</v>
      </c>
      <c r="S9">
        <f t="shared" si="3"/>
        <v>183464</v>
      </c>
    </row>
    <row r="10" spans="1:23" x14ac:dyDescent="0.3">
      <c r="A10" s="4">
        <f>+'Raw Data - Production'!A11</f>
        <v>46125</v>
      </c>
      <c r="B10" s="6">
        <f t="shared" si="0"/>
        <v>16</v>
      </c>
      <c r="C10" s="6" t="str">
        <f t="shared" si="1"/>
        <v>April</v>
      </c>
      <c r="D10" s="6" t="s">
        <v>1</v>
      </c>
      <c r="E10" s="14">
        <f>+'Raw Data - Production'!D11+'Raw Data - Production'!E11</f>
        <v>42240</v>
      </c>
      <c r="F10" s="15">
        <f>+'Raw Data - Production'!F11+'Raw Data - Production'!G11+'Raw Data - Production'!H11</f>
        <v>0</v>
      </c>
      <c r="G10" s="16">
        <f>+'Raw Data - Production'!J11+'Raw Data - Production'!K11+'Raw Data - Packing'!I11</f>
        <v>0</v>
      </c>
      <c r="H10" s="15">
        <f>+'Raw Data - Production'!L11+'Raw Data - Production'!M11+'Raw Data - Production'!N11+'Raw Data - Packing'!L11</f>
        <v>0</v>
      </c>
      <c r="I10" s="103">
        <f>SUMIF('Raw Data - Packing'!A:A,A10,'Raw Data - Packing'!D:D)</f>
        <v>42240</v>
      </c>
      <c r="J10" s="15">
        <f>SUMIF('Raw Data - Packing'!A:A,A10,'Raw Data - Packing'!F:F)</f>
        <v>0</v>
      </c>
      <c r="K10" s="20"/>
      <c r="L10" s="105"/>
      <c r="M10" s="105"/>
      <c r="N10" s="105">
        <f>+E10*Weights!$B$2</f>
        <v>2673</v>
      </c>
      <c r="O10" s="105">
        <f>+F10*Weights!$B$4</f>
        <v>0</v>
      </c>
      <c r="Q10" s="135">
        <f t="shared" si="2"/>
        <v>42240</v>
      </c>
      <c r="R10">
        <v>22</v>
      </c>
      <c r="S10">
        <f t="shared" si="3"/>
        <v>187868</v>
      </c>
    </row>
    <row r="11" spans="1:23" x14ac:dyDescent="0.3">
      <c r="A11" s="4">
        <f>+'Raw Data - Production'!A12</f>
        <v>46126</v>
      </c>
      <c r="B11" s="6">
        <f t="shared" si="0"/>
        <v>16</v>
      </c>
      <c r="C11" s="6" t="str">
        <f t="shared" si="1"/>
        <v>April</v>
      </c>
      <c r="D11" s="6" t="s">
        <v>1</v>
      </c>
      <c r="E11" s="14">
        <f>+'Raw Data - Production'!D12+'Raw Data - Production'!E12</f>
        <v>57960</v>
      </c>
      <c r="F11" s="15">
        <f>+'Raw Data - Production'!F12+'Raw Data - Production'!G12+'Raw Data - Production'!H12</f>
        <v>0</v>
      </c>
      <c r="G11" s="16">
        <f>+'Raw Data - Production'!J12+'Raw Data - Production'!K12+'Raw Data - Packing'!I12</f>
        <v>190</v>
      </c>
      <c r="H11" s="15">
        <f>+'Raw Data - Production'!L12+'Raw Data - Production'!M12+'Raw Data - Production'!N12+'Raw Data - Packing'!L12</f>
        <v>0</v>
      </c>
      <c r="I11" s="103">
        <f>SUMIF('Raw Data - Packing'!A:A,A11,'Raw Data - Packing'!D:D)</f>
        <v>57960</v>
      </c>
      <c r="J11" s="15">
        <f>SUMIF('Raw Data - Packing'!A:A,A11,'Raw Data - Packing'!F:F)</f>
        <v>0</v>
      </c>
      <c r="K11" s="20"/>
      <c r="L11" s="105"/>
      <c r="M11" s="105"/>
      <c r="N11" s="105">
        <f>+E11*Weights!$B$2</f>
        <v>3667.78125</v>
      </c>
      <c r="O11" s="105">
        <f>+F11*Weights!$B$4</f>
        <v>0</v>
      </c>
      <c r="Q11" s="135">
        <f t="shared" si="2"/>
        <v>57960</v>
      </c>
      <c r="R11">
        <v>23</v>
      </c>
      <c r="S11">
        <f t="shared" si="3"/>
        <v>313946</v>
      </c>
    </row>
    <row r="12" spans="1:23" x14ac:dyDescent="0.3">
      <c r="A12" s="4">
        <f>+'Raw Data - Production'!A13</f>
        <v>46127</v>
      </c>
      <c r="B12" s="6">
        <f t="shared" si="0"/>
        <v>16</v>
      </c>
      <c r="C12" s="6" t="str">
        <f t="shared" si="1"/>
        <v>April</v>
      </c>
      <c r="D12" s="6" t="s">
        <v>1</v>
      </c>
      <c r="E12" s="14">
        <f>+'Raw Data - Production'!D13+'Raw Data - Production'!E13</f>
        <v>54960</v>
      </c>
      <c r="F12" s="15">
        <f>+'Raw Data - Production'!F13+'Raw Data - Production'!G13+'Raw Data - Production'!H13</f>
        <v>0</v>
      </c>
      <c r="G12" s="16">
        <f>+'Raw Data - Production'!J13+'Raw Data - Production'!K13+'Raw Data - Packing'!I13</f>
        <v>1516</v>
      </c>
      <c r="H12" s="15">
        <f>+'Raw Data - Production'!L13+'Raw Data - Production'!M13+'Raw Data - Production'!N13+'Raw Data - Packing'!L13</f>
        <v>0</v>
      </c>
      <c r="I12" s="103">
        <f>SUMIF('Raw Data - Packing'!A:A,A12,'Raw Data - Packing'!D:D)</f>
        <v>54960</v>
      </c>
      <c r="J12" s="15">
        <f>SUMIF('Raw Data - Packing'!A:A,A12,'Raw Data - Packing'!F:F)</f>
        <v>0</v>
      </c>
      <c r="K12" s="20"/>
      <c r="L12" s="105"/>
      <c r="M12" s="105"/>
      <c r="N12" s="105">
        <f>+E12*Weights!$B$2</f>
        <v>3477.9375</v>
      </c>
      <c r="O12" s="105">
        <f>+F12*Weights!$B$4</f>
        <v>0</v>
      </c>
      <c r="Q12" s="135">
        <f t="shared" si="2"/>
        <v>54960</v>
      </c>
      <c r="R12">
        <v>24</v>
      </c>
      <c r="S12">
        <f t="shared" si="3"/>
        <v>211948</v>
      </c>
    </row>
    <row r="13" spans="1:23" x14ac:dyDescent="0.3">
      <c r="A13" s="4">
        <f>+'Raw Data - Production'!A14</f>
        <v>46128</v>
      </c>
      <c r="B13" s="6">
        <f t="shared" si="0"/>
        <v>16</v>
      </c>
      <c r="C13" s="6" t="str">
        <f t="shared" si="1"/>
        <v>April</v>
      </c>
      <c r="D13" s="6" t="s">
        <v>1</v>
      </c>
      <c r="E13" s="14">
        <f>+'Raw Data - Production'!D14+'Raw Data - Production'!E14</f>
        <v>34800</v>
      </c>
      <c r="F13" s="15">
        <f>+'Raw Data - Production'!F14+'Raw Data - Production'!G14+'Raw Data - Production'!H14</f>
        <v>0</v>
      </c>
      <c r="G13" s="16">
        <f>+'Raw Data - Production'!J14+'Raw Data - Production'!K14+'Raw Data - Packing'!I14</f>
        <v>0</v>
      </c>
      <c r="H13" s="15">
        <f>+'Raw Data - Production'!L14+'Raw Data - Production'!M14+'Raw Data - Production'!N14+'Raw Data - Packing'!L14</f>
        <v>0</v>
      </c>
      <c r="I13" s="103">
        <f>SUMIF('Raw Data - Packing'!A:A,A13,'Raw Data - Packing'!D:D)</f>
        <v>34800</v>
      </c>
      <c r="J13" s="15">
        <f>SUMIF('Raw Data - Packing'!A:A,A13,'Raw Data - Packing'!F:F)</f>
        <v>0</v>
      </c>
      <c r="K13" s="20"/>
      <c r="L13" s="105"/>
      <c r="M13" s="105"/>
      <c r="N13" s="105">
        <f>+E13*Weights!$B$2</f>
        <v>2202.1875</v>
      </c>
      <c r="O13" s="105">
        <f>+F13*Weights!$B$4</f>
        <v>0</v>
      </c>
      <c r="Q13" s="135">
        <f t="shared" si="2"/>
        <v>34800</v>
      </c>
      <c r="R13">
        <v>25</v>
      </c>
      <c r="S13">
        <f t="shared" si="3"/>
        <v>319554</v>
      </c>
    </row>
    <row r="14" spans="1:23" x14ac:dyDescent="0.3">
      <c r="A14" s="4">
        <f>+'Raw Data - Production'!A15</f>
        <v>46132</v>
      </c>
      <c r="B14" s="6">
        <f t="shared" si="0"/>
        <v>17</v>
      </c>
      <c r="C14" s="6" t="str">
        <f t="shared" si="1"/>
        <v>April</v>
      </c>
      <c r="D14" s="6" t="s">
        <v>1</v>
      </c>
      <c r="E14" s="14">
        <f>+'Raw Data - Production'!D15+'Raw Data - Production'!E15</f>
        <v>56280</v>
      </c>
      <c r="F14" s="15">
        <f>+'Raw Data - Production'!F15+'Raw Data - Production'!G15+'Raw Data - Production'!H15</f>
        <v>0</v>
      </c>
      <c r="G14" s="16">
        <f>+'Raw Data - Production'!J15+'Raw Data - Production'!K15+'Raw Data - Packing'!I15</f>
        <v>338</v>
      </c>
      <c r="H14" s="15">
        <f>+'Raw Data - Production'!L15+'Raw Data - Production'!M15+'Raw Data - Production'!N15+'Raw Data - Packing'!L15</f>
        <v>0</v>
      </c>
      <c r="I14" s="103">
        <f>SUMIF('Raw Data - Packing'!A:A,A14,'Raw Data - Packing'!D:D)</f>
        <v>56280</v>
      </c>
      <c r="J14" s="15">
        <f>SUMIF('Raw Data - Packing'!A:A,A14,'Raw Data - Packing'!F:F)</f>
        <v>0</v>
      </c>
      <c r="K14" s="20"/>
      <c r="L14" s="105"/>
      <c r="M14" s="105"/>
      <c r="N14" s="105">
        <f>+E14*Weights!$B$2</f>
        <v>3561.46875</v>
      </c>
      <c r="O14" s="105">
        <f>+F14*Weights!$B$4</f>
        <v>0</v>
      </c>
      <c r="Q14" s="135">
        <f t="shared" si="2"/>
        <v>56280</v>
      </c>
      <c r="R14">
        <v>26</v>
      </c>
      <c r="S14">
        <f t="shared" si="3"/>
        <v>331544</v>
      </c>
      <c r="W14">
        <v>33000</v>
      </c>
    </row>
    <row r="15" spans="1:23" x14ac:dyDescent="0.3">
      <c r="A15" s="4">
        <f>+'Raw Data - Production'!A16</f>
        <v>46133</v>
      </c>
      <c r="B15" s="6">
        <f t="shared" si="0"/>
        <v>17</v>
      </c>
      <c r="C15" s="6" t="str">
        <f t="shared" si="1"/>
        <v>April</v>
      </c>
      <c r="D15" s="6" t="s">
        <v>1</v>
      </c>
      <c r="E15" s="14">
        <f>+'Raw Data - Production'!D16+'Raw Data - Production'!E16</f>
        <v>52680</v>
      </c>
      <c r="F15" s="15">
        <f>+'Raw Data - Production'!F16+'Raw Data - Production'!G16+'Raw Data - Production'!H16</f>
        <v>0</v>
      </c>
      <c r="G15" s="16">
        <f>+'Raw Data - Production'!J16+'Raw Data - Production'!K16+'Raw Data - Packing'!I16</f>
        <v>179</v>
      </c>
      <c r="H15" s="15">
        <f>+'Raw Data - Production'!L16+'Raw Data - Production'!M16+'Raw Data - Production'!N16+'Raw Data - Packing'!L16</f>
        <v>0</v>
      </c>
      <c r="I15" s="103">
        <f>SUMIF('Raw Data - Packing'!A:A,A15,'Raw Data - Packing'!D:D)</f>
        <v>52680</v>
      </c>
      <c r="J15" s="15">
        <f>SUMIF('Raw Data - Packing'!A:A,A15,'Raw Data - Packing'!F:F)</f>
        <v>0</v>
      </c>
      <c r="K15" s="20"/>
      <c r="L15" s="105"/>
      <c r="M15" s="105"/>
      <c r="N15" s="105">
        <f>+E15*Weights!$B$2</f>
        <v>3333.65625</v>
      </c>
      <c r="O15" s="105">
        <f>+F15*Weights!$B$4</f>
        <v>0</v>
      </c>
      <c r="Q15" s="135">
        <f t="shared" si="2"/>
        <v>52680</v>
      </c>
      <c r="R15">
        <v>27</v>
      </c>
      <c r="S15">
        <f t="shared" si="3"/>
        <v>367664</v>
      </c>
      <c r="W15">
        <v>100</v>
      </c>
    </row>
    <row r="16" spans="1:23" x14ac:dyDescent="0.3">
      <c r="A16" s="4">
        <f>+'Raw Data - Production'!A17</f>
        <v>46134</v>
      </c>
      <c r="B16" s="6">
        <f t="shared" si="0"/>
        <v>17</v>
      </c>
      <c r="C16" s="6" t="str">
        <f t="shared" si="1"/>
        <v>April</v>
      </c>
      <c r="D16" s="6" t="s">
        <v>1</v>
      </c>
      <c r="E16" s="14">
        <f>+'Raw Data - Production'!D17+'Raw Data - Production'!E17</f>
        <v>67680</v>
      </c>
      <c r="F16" s="15">
        <f>+'Raw Data - Production'!F17+'Raw Data - Production'!G17+'Raw Data - Production'!H17</f>
        <v>0</v>
      </c>
      <c r="G16" s="16">
        <f>+'Raw Data - Production'!J17+'Raw Data - Production'!K17+'Raw Data - Packing'!I17</f>
        <v>308</v>
      </c>
      <c r="H16" s="15">
        <f>+'Raw Data - Production'!L17+'Raw Data - Production'!M17+'Raw Data - Production'!N17+'Raw Data - Packing'!L17</f>
        <v>0</v>
      </c>
      <c r="I16" s="103">
        <f>SUMIF('Raw Data - Packing'!A:A,A16,'Raw Data - Packing'!D:D)</f>
        <v>67680</v>
      </c>
      <c r="J16" s="15">
        <f>SUMIF('Raw Data - Packing'!A:A,A16,'Raw Data - Packing'!F:F)</f>
        <v>0</v>
      </c>
      <c r="K16" s="20"/>
      <c r="L16" s="105"/>
      <c r="M16" s="105"/>
      <c r="N16" s="105">
        <f>+E16*Weights!$B$2</f>
        <v>4282.875</v>
      </c>
      <c r="O16" s="105">
        <f>+F16*Weights!$B$4</f>
        <v>0</v>
      </c>
      <c r="Q16" s="135">
        <f t="shared" si="2"/>
        <v>67680</v>
      </c>
      <c r="R16">
        <v>28</v>
      </c>
      <c r="S16">
        <f t="shared" si="3"/>
        <v>203761</v>
      </c>
      <c r="W16">
        <f>+W14/W15</f>
        <v>330</v>
      </c>
    </row>
    <row r="17" spans="1:20" x14ac:dyDescent="0.3">
      <c r="A17" s="4">
        <f>+'Raw Data - Production'!A18</f>
        <v>46135</v>
      </c>
      <c r="B17" s="6">
        <f t="shared" si="0"/>
        <v>17</v>
      </c>
      <c r="C17" s="6" t="str">
        <f t="shared" si="1"/>
        <v>April</v>
      </c>
      <c r="D17" s="6" t="s">
        <v>1</v>
      </c>
      <c r="E17" s="14">
        <f>+'Raw Data - Production'!D18+'Raw Data - Production'!E18</f>
        <v>70200</v>
      </c>
      <c r="F17" s="15">
        <f>+'Raw Data - Production'!F18+'Raw Data - Production'!G18+'Raw Data - Production'!H18</f>
        <v>0</v>
      </c>
      <c r="G17" s="16">
        <f>+'Raw Data - Production'!J18+'Raw Data - Production'!K18+'Raw Data - Packing'!I18</f>
        <v>0</v>
      </c>
      <c r="H17" s="15">
        <f>+'Raw Data - Production'!L18+'Raw Data - Production'!M18+'Raw Data - Production'!N18+'Raw Data - Packing'!L18</f>
        <v>0</v>
      </c>
      <c r="I17" s="103">
        <f>SUMIF('Raw Data - Packing'!A:A,A17,'Raw Data - Packing'!D:D)</f>
        <v>70200</v>
      </c>
      <c r="J17" s="15">
        <f>SUMIF('Raw Data - Packing'!A:A,A17,'Raw Data - Packing'!F:F)</f>
        <v>0</v>
      </c>
      <c r="K17" s="20"/>
      <c r="L17" s="105"/>
      <c r="M17" s="105"/>
      <c r="N17" s="105">
        <f>+E17*Weights!$B$2</f>
        <v>4442.34375</v>
      </c>
      <c r="O17" s="105">
        <f>+F17*Weights!$B$4</f>
        <v>0</v>
      </c>
      <c r="Q17" s="135">
        <f t="shared" si="2"/>
        <v>70200</v>
      </c>
      <c r="R17">
        <v>29</v>
      </c>
      <c r="S17">
        <f t="shared" si="3"/>
        <v>99490</v>
      </c>
    </row>
    <row r="18" spans="1:20" x14ac:dyDescent="0.3">
      <c r="A18" s="4">
        <f>+'Raw Data - Production'!A19</f>
        <v>46139</v>
      </c>
      <c r="B18" s="6">
        <f t="shared" si="0"/>
        <v>18</v>
      </c>
      <c r="C18" s="6" t="str">
        <f t="shared" si="1"/>
        <v>April</v>
      </c>
      <c r="D18" s="6" t="s">
        <v>1</v>
      </c>
      <c r="E18" s="14">
        <f>+'Raw Data - Production'!D19+'Raw Data - Production'!E19</f>
        <v>66480</v>
      </c>
      <c r="F18" s="15">
        <f>+'Raw Data - Production'!F19+'Raw Data - Production'!G19+'Raw Data - Production'!H19</f>
        <v>0</v>
      </c>
      <c r="G18" s="16">
        <f>+'Raw Data - Production'!J19+'Raw Data - Production'!K19+'Raw Data - Packing'!I19</f>
        <v>326</v>
      </c>
      <c r="H18" s="15">
        <f>+'Raw Data - Production'!L19+'Raw Data - Production'!M19+'Raw Data - Production'!N19+'Raw Data - Packing'!L19</f>
        <v>0</v>
      </c>
      <c r="I18" s="103">
        <f>SUMIF('Raw Data - Packing'!A:A,A18,'Raw Data - Packing'!D:D)</f>
        <v>66480</v>
      </c>
      <c r="J18" s="15">
        <f>SUMIF('Raw Data - Packing'!A:A,A18,'Raw Data - Packing'!F:F)</f>
        <v>0</v>
      </c>
      <c r="K18" s="20"/>
      <c r="L18" s="105"/>
      <c r="M18" s="105"/>
      <c r="N18" s="105">
        <f>+E18*Weights!$B$2</f>
        <v>4206.9375</v>
      </c>
      <c r="O18" s="105">
        <f>+F18*Weights!$B$4</f>
        <v>0</v>
      </c>
      <c r="Q18" s="135">
        <f t="shared" si="2"/>
        <v>66480</v>
      </c>
    </row>
    <row r="19" spans="1:20" x14ac:dyDescent="0.3">
      <c r="A19" s="4">
        <f>+'Raw Data - Production'!A20</f>
        <v>46140</v>
      </c>
      <c r="B19" s="6">
        <f t="shared" si="0"/>
        <v>18</v>
      </c>
      <c r="C19" s="6" t="str">
        <f t="shared" si="1"/>
        <v>April</v>
      </c>
      <c r="D19" s="6" t="s">
        <v>1</v>
      </c>
      <c r="E19" s="14">
        <f>+'Raw Data - Production'!D20+'Raw Data - Production'!E20</f>
        <v>67140</v>
      </c>
      <c r="F19" s="15">
        <f>+'Raw Data - Production'!F20+'Raw Data - Production'!G20+'Raw Data - Production'!H20</f>
        <v>0</v>
      </c>
      <c r="G19" s="16">
        <f>+'Raw Data - Production'!J20+'Raw Data - Production'!K20+'Raw Data - Packing'!I20</f>
        <v>0</v>
      </c>
      <c r="H19" s="15">
        <f>+'Raw Data - Production'!L20+'Raw Data - Production'!M20+'Raw Data - Production'!N20+'Raw Data - Packing'!L20</f>
        <v>0</v>
      </c>
      <c r="I19" s="103">
        <f>SUMIF('Raw Data - Packing'!A:A,A19,'Raw Data - Packing'!D:D)</f>
        <v>0</v>
      </c>
      <c r="J19" s="15">
        <f>SUMIF('Raw Data - Packing'!A:A,A19,'Raw Data - Packing'!F:F)</f>
        <v>0</v>
      </c>
      <c r="K19" s="20"/>
      <c r="L19" s="105"/>
      <c r="M19" s="105"/>
      <c r="N19" s="105">
        <f>+E19*Weights!$B$2</f>
        <v>4248.703125</v>
      </c>
      <c r="O19" s="105">
        <f>+F19*Weights!$B$4</f>
        <v>0</v>
      </c>
      <c r="Q19" s="135">
        <f t="shared" si="2"/>
        <v>0</v>
      </c>
    </row>
    <row r="20" spans="1:20" x14ac:dyDescent="0.3">
      <c r="A20" s="4">
        <f>+'Raw Data - Production'!A21</f>
        <v>46141</v>
      </c>
      <c r="B20" s="6">
        <f t="shared" si="0"/>
        <v>18</v>
      </c>
      <c r="C20" s="6" t="str">
        <f t="shared" si="1"/>
        <v>April</v>
      </c>
      <c r="D20" s="6" t="s">
        <v>1</v>
      </c>
      <c r="E20" s="14">
        <f>+'Raw Data - Production'!D21+'Raw Data - Production'!E21</f>
        <v>75960</v>
      </c>
      <c r="F20" s="15">
        <f>+'Raw Data - Production'!F21+'Raw Data - Production'!G21+'Raw Data - Production'!H21</f>
        <v>0</v>
      </c>
      <c r="G20" s="16">
        <f>+'Raw Data - Production'!J21+'Raw Data - Production'!K21+'Raw Data - Packing'!I21</f>
        <v>538.5</v>
      </c>
      <c r="H20" s="15">
        <f>+'Raw Data - Production'!L21+'Raw Data - Production'!M21+'Raw Data - Production'!N21+'Raw Data - Packing'!L21</f>
        <v>0</v>
      </c>
      <c r="I20" s="103">
        <f>SUMIF('Raw Data - Packing'!A:A,A20,'Raw Data - Packing'!D:D)</f>
        <v>75960</v>
      </c>
      <c r="J20" s="15">
        <f>SUMIF('Raw Data - Packing'!A:A,A20,'Raw Data - Packing'!F:F)</f>
        <v>0</v>
      </c>
      <c r="K20" s="20"/>
      <c r="L20" s="105"/>
      <c r="M20" s="105"/>
      <c r="N20" s="105">
        <f>+E20*Weights!$B$2</f>
        <v>4806.84375</v>
      </c>
      <c r="O20" s="105">
        <f>+F20*Weights!$B$4</f>
        <v>0</v>
      </c>
      <c r="Q20" s="135">
        <f t="shared" si="2"/>
        <v>75960</v>
      </c>
    </row>
    <row r="21" spans="1:20" x14ac:dyDescent="0.3">
      <c r="A21" s="4">
        <f>+'Raw Data - Production'!A22</f>
        <v>46142</v>
      </c>
      <c r="B21" s="6">
        <f t="shared" si="0"/>
        <v>18</v>
      </c>
      <c r="C21" s="6" t="str">
        <f t="shared" si="1"/>
        <v>April</v>
      </c>
      <c r="D21" s="6" t="s">
        <v>1</v>
      </c>
      <c r="E21" s="14">
        <f>+'Raw Data - Production'!D22+'Raw Data - Production'!E22</f>
        <v>90270</v>
      </c>
      <c r="F21" s="15">
        <f>+'Raw Data - Production'!F22+'Raw Data - Production'!G22+'Raw Data - Production'!H22</f>
        <v>0</v>
      </c>
      <c r="G21" s="16">
        <f>+'Raw Data - Production'!J22+'Raw Data - Production'!K22+'Raw Data - Packing'!I22</f>
        <v>360</v>
      </c>
      <c r="H21" s="15">
        <f>+'Raw Data - Production'!L22+'Raw Data - Production'!M22+'Raw Data - Production'!N22+'Raw Data - Packing'!L22</f>
        <v>0</v>
      </c>
      <c r="I21" s="103">
        <f>SUMIF('Raw Data - Packing'!A:A,A21,'Raw Data - Packing'!D:D)</f>
        <v>90270</v>
      </c>
      <c r="J21" s="15">
        <f>SUMIF('Raw Data - Packing'!A:A,A21,'Raw Data - Packing'!F:F)</f>
        <v>0</v>
      </c>
      <c r="K21" s="20"/>
      <c r="L21" s="105"/>
      <c r="M21" s="105"/>
      <c r="N21" s="105">
        <f>+E21*Weights!$B$2</f>
        <v>5712.3984375</v>
      </c>
      <c r="O21" s="105">
        <f>+F21*Weights!$B$4</f>
        <v>0</v>
      </c>
      <c r="Q21" s="135">
        <f t="shared" si="2"/>
        <v>90270</v>
      </c>
    </row>
    <row r="22" spans="1:20" x14ac:dyDescent="0.3">
      <c r="A22" s="4">
        <f>+'Raw Data - Production'!A23</f>
        <v>46146</v>
      </c>
      <c r="B22" s="6">
        <f t="shared" si="0"/>
        <v>19</v>
      </c>
      <c r="C22" s="6" t="str">
        <f t="shared" si="1"/>
        <v>May</v>
      </c>
      <c r="D22" s="6" t="s">
        <v>2</v>
      </c>
      <c r="E22" s="14">
        <f>+'Raw Data - Production'!D23+'Raw Data - Production'!E23</f>
        <v>0</v>
      </c>
      <c r="F22" s="15">
        <f>+'Raw Data - Production'!F23+'Raw Data - Production'!G23+'Raw Data - Production'!H23</f>
        <v>0</v>
      </c>
      <c r="G22" s="16">
        <f>+'Raw Data - Production'!J23+'Raw Data - Production'!K23+'Raw Data - Packing'!I23</f>
        <v>982</v>
      </c>
      <c r="H22" s="15">
        <f>+'Raw Data - Production'!L23+'Raw Data - Production'!M23+'Raw Data - Production'!N23+'Raw Data - Packing'!L23</f>
        <v>0</v>
      </c>
      <c r="I22" s="103">
        <f>SUMIF('Raw Data - Packing'!A:A,A22,'Raw Data - Packing'!D:D)</f>
        <v>52920</v>
      </c>
      <c r="J22" s="15">
        <f>SUMIF('Raw Data - Packing'!A:A,A22,'Raw Data - Packing'!F:F)</f>
        <v>0</v>
      </c>
      <c r="K22" s="20"/>
      <c r="L22" s="105"/>
      <c r="M22" s="105"/>
      <c r="N22" s="105">
        <f>+E22*Weights!$B$2</f>
        <v>0</v>
      </c>
      <c r="O22" s="105">
        <f>+F22*Weights!$B$4</f>
        <v>0</v>
      </c>
      <c r="P22" s="127"/>
      <c r="Q22" s="135">
        <f t="shared" si="2"/>
        <v>52920</v>
      </c>
      <c r="R22" s="13"/>
      <c r="S22" s="13"/>
    </row>
    <row r="23" spans="1:20" x14ac:dyDescent="0.3">
      <c r="A23" s="4">
        <f>+'Raw Data - Production'!A24</f>
        <v>46147</v>
      </c>
      <c r="B23" s="6">
        <f t="shared" si="0"/>
        <v>19</v>
      </c>
      <c r="C23" s="6" t="str">
        <f t="shared" si="1"/>
        <v>May</v>
      </c>
      <c r="D23" s="6" t="s">
        <v>2</v>
      </c>
      <c r="E23" s="14">
        <f>+'Raw Data - Production'!D24+'Raw Data - Production'!E24</f>
        <v>50400</v>
      </c>
      <c r="F23" s="15">
        <f>+'Raw Data - Production'!F24+'Raw Data - Production'!G24+'Raw Data - Production'!H24</f>
        <v>0</v>
      </c>
      <c r="G23" s="16">
        <f>+'Raw Data - Production'!J24+'Raw Data - Production'!K24+'Raw Data - Packing'!I24</f>
        <v>280</v>
      </c>
      <c r="H23" s="15">
        <f>+'Raw Data - Production'!L24+'Raw Data - Production'!M24+'Raw Data - Production'!N24+'Raw Data - Packing'!L24</f>
        <v>0</v>
      </c>
      <c r="I23" s="103">
        <f>SUMIF('Raw Data - Packing'!A:A,A23,'Raw Data - Packing'!D:D)</f>
        <v>108840</v>
      </c>
      <c r="J23" s="15">
        <f>SUMIF('Raw Data - Packing'!A:A,A23,'Raw Data - Packing'!F:F)</f>
        <v>0</v>
      </c>
      <c r="K23" s="20"/>
      <c r="L23" s="105"/>
      <c r="M23" s="105"/>
      <c r="N23" s="105">
        <f>+E23*Weights!$B$2</f>
        <v>3189.375</v>
      </c>
      <c r="O23" s="105">
        <f>+F23*Weights!$B$4</f>
        <v>0</v>
      </c>
      <c r="P23" s="127"/>
      <c r="Q23" s="135">
        <f t="shared" si="2"/>
        <v>108840</v>
      </c>
      <c r="T23" s="126"/>
    </row>
    <row r="24" spans="1:20" x14ac:dyDescent="0.3">
      <c r="A24" s="4">
        <f>+'Raw Data - Production'!A25</f>
        <v>46148</v>
      </c>
      <c r="B24" s="6">
        <f t="shared" si="0"/>
        <v>19</v>
      </c>
      <c r="C24" s="6" t="str">
        <f t="shared" si="1"/>
        <v>May</v>
      </c>
      <c r="D24" s="6" t="s">
        <v>2</v>
      </c>
      <c r="E24" s="14">
        <f>+'Raw Data - Production'!D25+'Raw Data - Production'!E25</f>
        <v>72000</v>
      </c>
      <c r="F24" s="15">
        <f>+'Raw Data - Production'!F25+'Raw Data - Production'!G25+'Raw Data - Production'!H25</f>
        <v>0</v>
      </c>
      <c r="G24" s="16">
        <f>+'Raw Data - Production'!J25+'Raw Data - Production'!K25+'Raw Data - Packing'!I25</f>
        <v>26</v>
      </c>
      <c r="H24" s="15">
        <f>+'Raw Data - Production'!L25+'Raw Data - Production'!M25+'Raw Data - Production'!N25+'Raw Data - Packing'!L25</f>
        <v>0</v>
      </c>
      <c r="I24" s="103">
        <f>SUMIF('Raw Data - Packing'!A:A,A24,'Raw Data - Packing'!D:D)</f>
        <v>73740</v>
      </c>
      <c r="J24" s="15">
        <f>SUMIF('Raw Data - Packing'!A:A,A24,'Raw Data - Packing'!F:F)</f>
        <v>0</v>
      </c>
      <c r="K24" s="20"/>
      <c r="L24" s="105"/>
      <c r="M24" s="105"/>
      <c r="N24" s="105">
        <f>+E24*Weights!$B$2</f>
        <v>4556.25</v>
      </c>
      <c r="O24" s="105">
        <f>+F24*Weights!$B$4</f>
        <v>0</v>
      </c>
      <c r="P24" s="127"/>
      <c r="Q24" s="135">
        <f t="shared" si="2"/>
        <v>73740</v>
      </c>
    </row>
    <row r="25" spans="1:20" x14ac:dyDescent="0.3">
      <c r="A25" s="4">
        <f>+'Raw Data - Production'!A26</f>
        <v>46149</v>
      </c>
      <c r="B25" s="6">
        <f t="shared" si="0"/>
        <v>19</v>
      </c>
      <c r="C25" s="6" t="str">
        <f t="shared" si="1"/>
        <v>May</v>
      </c>
      <c r="D25" s="6" t="s">
        <v>2</v>
      </c>
      <c r="E25" s="14">
        <f>+'Raw Data - Production'!D26+'Raw Data - Production'!E26</f>
        <v>103600</v>
      </c>
      <c r="F25" s="15">
        <f>+'Raw Data - Production'!F26+'Raw Data - Production'!G26+'Raw Data - Production'!H26</f>
        <v>0</v>
      </c>
      <c r="G25" s="16">
        <f>+'Raw Data - Production'!J26+'Raw Data - Production'!K26+'Raw Data - Packing'!I26</f>
        <v>320</v>
      </c>
      <c r="H25" s="15">
        <f>+'Raw Data - Production'!L26+'Raw Data - Production'!M26+'Raw Data - Production'!N26+'Raw Data - Packing'!L26</f>
        <v>30</v>
      </c>
      <c r="I25" s="103">
        <f>SUMIF('Raw Data - Packing'!A:A,A25,'Raw Data - Packing'!D:D)</f>
        <v>0</v>
      </c>
      <c r="J25" s="15">
        <f>SUMIF('Raw Data - Packing'!A:A,A25,'Raw Data - Packing'!F:F)</f>
        <v>0</v>
      </c>
      <c r="K25" s="20"/>
      <c r="L25" s="105"/>
      <c r="M25" s="105"/>
      <c r="N25" s="105">
        <f>+E25*Weights!$B$2</f>
        <v>6555.9375</v>
      </c>
      <c r="O25" s="105">
        <f>+F25*Weights!$B$4</f>
        <v>0</v>
      </c>
      <c r="P25" s="127"/>
      <c r="Q25" s="135">
        <f t="shared" si="2"/>
        <v>0</v>
      </c>
    </row>
    <row r="26" spans="1:20" x14ac:dyDescent="0.3">
      <c r="A26" s="4">
        <f>+'Raw Data - Production'!A27</f>
        <v>46153</v>
      </c>
      <c r="B26" s="6">
        <f t="shared" si="0"/>
        <v>20</v>
      </c>
      <c r="C26" s="6" t="str">
        <f t="shared" si="1"/>
        <v>May</v>
      </c>
      <c r="D26" s="6" t="s">
        <v>2</v>
      </c>
      <c r="E26" s="14">
        <f>+'Raw Data - Production'!D27+'Raw Data - Production'!E27</f>
        <v>48960</v>
      </c>
      <c r="F26" s="15">
        <f>+'Raw Data - Production'!F27+'Raw Data - Production'!G27+'Raw Data - Production'!H27</f>
        <v>0</v>
      </c>
      <c r="G26" s="16">
        <f>+'Raw Data - Production'!J27+'Raw Data - Production'!K27+'Raw Data - Packing'!I27</f>
        <v>90</v>
      </c>
      <c r="H26" s="15">
        <f>+'Raw Data - Production'!L27+'Raw Data - Production'!M27+'Raw Data - Production'!N27+'Raw Data - Packing'!L27</f>
        <v>0</v>
      </c>
      <c r="I26" s="103">
        <f>SUMIF('Raw Data - Packing'!A:A,A26,'Raw Data - Packing'!D:D)</f>
        <v>33060</v>
      </c>
      <c r="J26" s="15">
        <f>SUMIF('Raw Data - Packing'!A:A,A26,'Raw Data - Packing'!F:F)</f>
        <v>0</v>
      </c>
      <c r="K26" s="20"/>
      <c r="L26" s="105"/>
      <c r="M26" s="105"/>
      <c r="N26" s="105">
        <f>+E26*Weights!$B$2</f>
        <v>3098.25</v>
      </c>
      <c r="O26" s="105">
        <f>+F26*Weights!$B$4</f>
        <v>0</v>
      </c>
      <c r="P26" s="127"/>
      <c r="Q26" s="135">
        <f t="shared" si="2"/>
        <v>33060</v>
      </c>
    </row>
    <row r="27" spans="1:20" x14ac:dyDescent="0.3">
      <c r="A27" s="4">
        <f>+'Raw Data - Production'!A28</f>
        <v>46154</v>
      </c>
      <c r="B27" s="6">
        <f t="shared" si="0"/>
        <v>20</v>
      </c>
      <c r="C27" s="6" t="str">
        <f t="shared" si="1"/>
        <v>May</v>
      </c>
      <c r="D27" s="6" t="s">
        <v>2</v>
      </c>
      <c r="E27" s="14">
        <f>+'Raw Data - Production'!D28+'Raw Data - Production'!E28</f>
        <v>64320</v>
      </c>
      <c r="F27" s="15">
        <f>+'Raw Data - Production'!F28+'Raw Data - Production'!G28+'Raw Data - Production'!H28</f>
        <v>3800</v>
      </c>
      <c r="G27" s="16">
        <f>+'Raw Data - Production'!J28+'Raw Data - Production'!K28+'Raw Data - Packing'!I28</f>
        <v>150</v>
      </c>
      <c r="H27" s="15">
        <f>+'Raw Data - Production'!L28+'Raw Data - Production'!M28+'Raw Data - Production'!N28+'Raw Data - Packing'!L28</f>
        <v>50</v>
      </c>
      <c r="I27" s="103">
        <f>SUMIF('Raw Data - Packing'!A:A,A27,'Raw Data - Packing'!D:D)</f>
        <v>64320</v>
      </c>
      <c r="J27" s="15">
        <f>SUMIF('Raw Data - Packing'!A:A,A27,'Raw Data - Packing'!F:F)</f>
        <v>0</v>
      </c>
      <c r="K27" s="20"/>
      <c r="L27" s="105"/>
      <c r="M27" s="105"/>
      <c r="N27" s="105">
        <f>+E27*Weights!$B$2</f>
        <v>4070.25</v>
      </c>
      <c r="O27" s="105">
        <f>+F27*Weights!$B$4</f>
        <v>593.75</v>
      </c>
      <c r="P27" s="127"/>
      <c r="Q27" s="135">
        <f t="shared" si="2"/>
        <v>64320</v>
      </c>
    </row>
    <row r="28" spans="1:20" x14ac:dyDescent="0.3">
      <c r="A28" s="4">
        <f>+'Raw Data - Production'!A29</f>
        <v>46155</v>
      </c>
      <c r="B28" s="6">
        <f t="shared" si="0"/>
        <v>20</v>
      </c>
      <c r="C28" s="6" t="str">
        <f t="shared" si="1"/>
        <v>May</v>
      </c>
      <c r="D28" s="6" t="s">
        <v>2</v>
      </c>
      <c r="E28" s="14">
        <f>+'Raw Data - Production'!D29+'Raw Data - Production'!E29</f>
        <v>68700</v>
      </c>
      <c r="F28" s="15">
        <f>+'Raw Data - Production'!F29+'Raw Data - Production'!G29+'Raw Data - Production'!H29</f>
        <v>13650</v>
      </c>
      <c r="G28" s="16">
        <f>+'Raw Data - Production'!J29+'Raw Data - Production'!K29+'Raw Data - Packing'!I29</f>
        <v>260</v>
      </c>
      <c r="H28" s="15">
        <f>+'Raw Data - Production'!L29+'Raw Data - Production'!M29+'Raw Data - Production'!N29+'Raw Data - Packing'!L29</f>
        <v>66</v>
      </c>
      <c r="I28" s="103">
        <f>SUMIF('Raw Data - Packing'!A:A,A28,'Raw Data - Packing'!D:D)</f>
        <v>68700</v>
      </c>
      <c r="J28" s="15">
        <f>SUMIF('Raw Data - Packing'!A:A,A28,'Raw Data - Packing'!F:F)</f>
        <v>0</v>
      </c>
      <c r="K28" s="20"/>
      <c r="L28" s="105"/>
      <c r="M28" s="105"/>
      <c r="N28" s="105">
        <f>+E28*Weights!$B$2</f>
        <v>4347.421875</v>
      </c>
      <c r="O28" s="105">
        <f>+F28*Weights!$B$4</f>
        <v>2132.8125</v>
      </c>
      <c r="P28" s="127"/>
      <c r="Q28" s="135">
        <f t="shared" si="2"/>
        <v>68700</v>
      </c>
    </row>
    <row r="29" spans="1:20" x14ac:dyDescent="0.3">
      <c r="A29" s="4">
        <f>+'Raw Data - Production'!A30</f>
        <v>46156</v>
      </c>
      <c r="B29" s="6">
        <f t="shared" si="0"/>
        <v>20</v>
      </c>
      <c r="C29" s="6" t="str">
        <f t="shared" si="1"/>
        <v>May</v>
      </c>
      <c r="D29" s="6" t="s">
        <v>2</v>
      </c>
      <c r="E29" s="14">
        <f>+'Raw Data - Production'!D30+'Raw Data - Production'!E30</f>
        <v>65260</v>
      </c>
      <c r="F29" s="15">
        <f>+'Raw Data - Production'!F30+'Raw Data - Production'!G30+'Raw Data - Production'!H30</f>
        <v>0</v>
      </c>
      <c r="G29" s="16">
        <f>+'Raw Data - Production'!J30+'Raw Data - Production'!K30+'Raw Data - Packing'!I30</f>
        <v>704</v>
      </c>
      <c r="H29" s="15">
        <f>+'Raw Data - Production'!L30+'Raw Data - Production'!M30+'Raw Data - Production'!N30+'Raw Data - Packing'!L30</f>
        <v>0</v>
      </c>
      <c r="I29" s="103">
        <f>SUMIF('Raw Data - Packing'!A:A,A29,'Raw Data - Packing'!D:D)</f>
        <v>63240</v>
      </c>
      <c r="J29" s="15">
        <f>SUMIF('Raw Data - Packing'!A:A,A29,'Raw Data - Packing'!F:F)</f>
        <v>0</v>
      </c>
      <c r="K29" s="20"/>
      <c r="L29" s="105"/>
      <c r="M29" s="105"/>
      <c r="N29" s="105">
        <f>+E29*Weights!$B$2</f>
        <v>4129.734375</v>
      </c>
      <c r="O29" s="105">
        <f>+F29*Weights!$B$4</f>
        <v>0</v>
      </c>
      <c r="P29" s="127"/>
      <c r="Q29" s="135">
        <f t="shared" si="2"/>
        <v>63240</v>
      </c>
      <c r="T29" s="126"/>
    </row>
    <row r="30" spans="1:20" x14ac:dyDescent="0.3">
      <c r="A30" s="4">
        <f>+'Raw Data - Production'!A31</f>
        <v>46160</v>
      </c>
      <c r="B30" s="6">
        <f t="shared" si="0"/>
        <v>21</v>
      </c>
      <c r="C30" s="6" t="str">
        <f t="shared" si="1"/>
        <v>May</v>
      </c>
      <c r="D30" s="6" t="s">
        <v>2</v>
      </c>
      <c r="E30" s="14">
        <f>+'Raw Data - Production'!D31+'Raw Data - Production'!E31</f>
        <v>61920</v>
      </c>
      <c r="F30" s="15">
        <f>+'Raw Data - Production'!F31+'Raw Data - Production'!G31+'Raw Data - Production'!H31</f>
        <v>9555</v>
      </c>
      <c r="G30" s="16">
        <f>+'Raw Data - Production'!J31+'Raw Data - Production'!K31+'Raw Data - Packing'!I31</f>
        <v>160</v>
      </c>
      <c r="H30" s="15">
        <f>+'Raw Data - Production'!L31+'Raw Data - Production'!M31+'Raw Data - Production'!N31+'Raw Data - Packing'!L31</f>
        <v>152</v>
      </c>
      <c r="I30" s="103">
        <f>SUMIF('Raw Data - Packing'!A:A,A30,'Raw Data - Packing'!D:D)</f>
        <v>66480</v>
      </c>
      <c r="J30" s="15">
        <f>SUMIF('Raw Data - Packing'!A:A,A30,'Raw Data - Packing'!F:F)</f>
        <v>4320</v>
      </c>
      <c r="K30" s="20"/>
      <c r="L30" s="105"/>
      <c r="M30" s="105"/>
      <c r="N30" s="105">
        <f>+E30*Weights!$B$2</f>
        <v>3918.375</v>
      </c>
      <c r="O30" s="105">
        <f>+F30*Weights!$B$4</f>
        <v>1492.96875</v>
      </c>
      <c r="P30" s="127"/>
      <c r="Q30" s="135">
        <f t="shared" si="2"/>
        <v>70800</v>
      </c>
    </row>
    <row r="31" spans="1:20" x14ac:dyDescent="0.3">
      <c r="A31" s="4">
        <f>+'Raw Data - Production'!A32</f>
        <v>46161</v>
      </c>
      <c r="B31" s="6">
        <f t="shared" si="0"/>
        <v>21</v>
      </c>
      <c r="C31" s="6" t="str">
        <f t="shared" si="1"/>
        <v>May</v>
      </c>
      <c r="D31" s="6" t="s">
        <v>2</v>
      </c>
      <c r="E31" s="14">
        <f>+'Raw Data - Production'!D32+'Raw Data - Production'!E32</f>
        <v>68352</v>
      </c>
      <c r="F31" s="15">
        <f>+'Raw Data - Production'!F32+'Raw Data - Production'!G32+'Raw Data - Production'!H32</f>
        <v>6825</v>
      </c>
      <c r="G31" s="16">
        <f>+'Raw Data - Production'!J32+'Raw Data - Production'!K32+'Raw Data - Packing'!I32</f>
        <v>80</v>
      </c>
      <c r="H31" s="15">
        <f>+'Raw Data - Production'!L32+'Raw Data - Production'!M32+'Raw Data - Production'!N32+'Raw Data - Packing'!L32</f>
        <v>0</v>
      </c>
      <c r="I31" s="103">
        <f>SUMIF('Raw Data - Packing'!A:A,A31,'Raw Data - Packing'!D:D)</f>
        <v>30780</v>
      </c>
      <c r="J31" s="15">
        <f>SUMIF('Raw Data - Packing'!A:A,A31,'Raw Data - Packing'!F:F)</f>
        <v>0</v>
      </c>
      <c r="K31" s="20"/>
      <c r="L31" s="105"/>
      <c r="M31" s="105"/>
      <c r="N31" s="105">
        <f>+E31*Weights!$B$2</f>
        <v>4325.3999999999996</v>
      </c>
      <c r="O31" s="105">
        <f>+F31*Weights!$B$4</f>
        <v>1066.40625</v>
      </c>
      <c r="P31" s="127"/>
      <c r="Q31" s="135">
        <f t="shared" si="2"/>
        <v>30780</v>
      </c>
    </row>
    <row r="32" spans="1:20" x14ac:dyDescent="0.3">
      <c r="A32" s="4">
        <f>+'Raw Data - Production'!A33</f>
        <v>46162</v>
      </c>
      <c r="B32" s="6">
        <f t="shared" si="0"/>
        <v>21</v>
      </c>
      <c r="C32" s="6" t="str">
        <f t="shared" si="1"/>
        <v>May</v>
      </c>
      <c r="D32" s="6" t="s">
        <v>2</v>
      </c>
      <c r="E32" s="14">
        <f>+'Raw Data - Production'!D33+'Raw Data - Production'!E33</f>
        <v>66528</v>
      </c>
      <c r="F32" s="15">
        <f>+'Raw Data - Production'!F33+'Raw Data - Production'!G33+'Raw Data - Production'!H33</f>
        <v>18935</v>
      </c>
      <c r="G32" s="16">
        <f>+'Raw Data - Production'!J33+'Raw Data - Production'!K33+'Raw Data - Packing'!I33</f>
        <v>80</v>
      </c>
      <c r="H32" s="15">
        <f>+'Raw Data - Production'!L33+'Raw Data - Production'!M33+'Raw Data - Production'!N33+'Raw Data - Packing'!L33</f>
        <v>296</v>
      </c>
      <c r="I32" s="103">
        <f>SUMIF('Raw Data - Packing'!A:A,A32,'Raw Data - Packing'!D:D)</f>
        <v>49200</v>
      </c>
      <c r="J32" s="15">
        <f>SUMIF('Raw Data - Packing'!A:A,A32,'Raw Data - Packing'!F:F)</f>
        <v>8640</v>
      </c>
      <c r="K32" s="20"/>
      <c r="L32" s="105"/>
      <c r="M32" s="105"/>
      <c r="N32" s="105">
        <f>+E32*Weights!$B$2</f>
        <v>4209.9749999999995</v>
      </c>
      <c r="O32" s="105">
        <f>+F32*Weights!$B$4</f>
        <v>2958.59375</v>
      </c>
      <c r="P32" s="127"/>
      <c r="Q32" s="135">
        <f t="shared" si="2"/>
        <v>57840</v>
      </c>
    </row>
    <row r="33" spans="1:25" x14ac:dyDescent="0.3">
      <c r="A33" s="4">
        <f>+'Raw Data - Production'!A34</f>
        <v>46163</v>
      </c>
      <c r="B33" s="6">
        <f t="shared" si="0"/>
        <v>21</v>
      </c>
      <c r="C33" s="6" t="str">
        <f t="shared" si="1"/>
        <v>May</v>
      </c>
      <c r="D33" s="6" t="s">
        <v>2</v>
      </c>
      <c r="E33" s="14">
        <f>+'Raw Data - Production'!D34+'Raw Data - Production'!E34</f>
        <v>51264</v>
      </c>
      <c r="F33" s="15">
        <f>+'Raw Data - Production'!F34+'Raw Data - Production'!G34+'Raw Data - Production'!H34</f>
        <v>9485</v>
      </c>
      <c r="G33" s="16">
        <f>+'Raw Data - Production'!J34+'Raw Data - Production'!K34+'Raw Data - Packing'!I34</f>
        <v>0</v>
      </c>
      <c r="H33" s="15">
        <f>+'Raw Data - Production'!L34+'Raw Data - Production'!M34+'Raw Data - Production'!N34+'Raw Data - Packing'!L34</f>
        <v>594</v>
      </c>
      <c r="I33" s="103">
        <f>SUMIF('Raw Data - Packing'!A:A,A33,'Raw Data - Packing'!D:D)</f>
        <v>10380</v>
      </c>
      <c r="J33" s="15">
        <f>SUMIF('Raw Data - Packing'!A:A,A33,'Raw Data - Packing'!F:F)</f>
        <v>13664</v>
      </c>
      <c r="K33" s="20"/>
      <c r="L33" s="105"/>
      <c r="M33" s="105"/>
      <c r="N33" s="105">
        <f>+E33*Weights!$B$2</f>
        <v>3244.0499999999997</v>
      </c>
      <c r="O33" s="105">
        <f>+F33*Weights!$B$4</f>
        <v>1482.03125</v>
      </c>
      <c r="P33" s="127"/>
      <c r="Q33" s="135">
        <f t="shared" si="2"/>
        <v>24044</v>
      </c>
    </row>
    <row r="34" spans="1:25" x14ac:dyDescent="0.3">
      <c r="A34" s="4">
        <f>+'Raw Data - Production'!A35</f>
        <v>46164</v>
      </c>
      <c r="B34" s="6">
        <f t="shared" si="0"/>
        <v>21</v>
      </c>
      <c r="C34" s="6" t="str">
        <f t="shared" si="1"/>
        <v>May</v>
      </c>
      <c r="D34" s="6" t="s">
        <v>2</v>
      </c>
      <c r="E34" s="14">
        <f>+'Raw Data - Production'!D35+'Raw Data - Production'!E35</f>
        <v>0</v>
      </c>
      <c r="F34" s="15">
        <f>+'Raw Data - Production'!F35+'Raw Data - Production'!G35+'Raw Data - Production'!H35</f>
        <v>0</v>
      </c>
      <c r="G34" s="16">
        <f>+'Raw Data - Production'!J35+'Raw Data - Production'!K35+'Raw Data - Packing'!I35</f>
        <v>0</v>
      </c>
      <c r="H34" s="15">
        <f>+'Raw Data - Production'!L35+'Raw Data - Production'!M35+'Raw Data - Production'!N35+'Raw Data - Packing'!L35</f>
        <v>0</v>
      </c>
      <c r="I34" s="103">
        <f>SUMIF('Raw Data - Packing'!A:A,A34,'Raw Data - Packing'!D:D)</f>
        <v>0</v>
      </c>
      <c r="J34" s="15">
        <f>SUMIF('Raw Data - Packing'!A:A,A34,'Raw Data - Packing'!F:F)</f>
        <v>0</v>
      </c>
      <c r="K34" s="20"/>
      <c r="L34" s="105"/>
      <c r="M34" s="105"/>
      <c r="N34" s="105">
        <f>+E34*Weights!$B$2</f>
        <v>0</v>
      </c>
      <c r="O34" s="105">
        <f>+F34*Weights!$B$4</f>
        <v>0</v>
      </c>
      <c r="P34" s="127"/>
      <c r="Q34" s="135">
        <f t="shared" si="2"/>
        <v>0</v>
      </c>
    </row>
    <row r="35" spans="1:25" x14ac:dyDescent="0.3">
      <c r="A35" s="4">
        <f>+'Raw Data - Production'!A36</f>
        <v>46168</v>
      </c>
      <c r="B35" s="6">
        <f t="shared" si="0"/>
        <v>22</v>
      </c>
      <c r="C35" s="6" t="str">
        <f t="shared" si="1"/>
        <v>May</v>
      </c>
      <c r="D35" s="6" t="s">
        <v>2</v>
      </c>
      <c r="E35" s="14">
        <f>+'Raw Data - Production'!D36+'Raw Data - Production'!E36</f>
        <v>67968</v>
      </c>
      <c r="F35" s="15">
        <f>+'Raw Data - Production'!F36+'Raw Data - Production'!G36+'Raw Data - Production'!H36</f>
        <v>0</v>
      </c>
      <c r="G35" s="16">
        <f>+'Raw Data - Production'!J36+'Raw Data - Production'!K36+'Raw Data - Packing'!I36</f>
        <v>240</v>
      </c>
      <c r="H35" s="15">
        <f>+'Raw Data - Production'!L36+'Raw Data - Production'!M36+'Raw Data - Production'!N36+'Raw Data - Packing'!L36</f>
        <v>0</v>
      </c>
      <c r="I35" s="103">
        <f>SUMIF('Raw Data - Packing'!A:A,A35,'Raw Data - Packing'!D:D)</f>
        <v>43980</v>
      </c>
      <c r="J35" s="15">
        <f>SUMIF('Raw Data - Packing'!A:A,A35,'Raw Data - Packing'!F:F)</f>
        <v>2112</v>
      </c>
      <c r="K35" s="20"/>
      <c r="L35" s="105"/>
      <c r="M35" s="105"/>
      <c r="N35" s="105">
        <f>+E35*Weights!$B$2</f>
        <v>4301.0999999999995</v>
      </c>
      <c r="O35" s="105">
        <f>+F35*Weights!$B$4</f>
        <v>0</v>
      </c>
      <c r="P35" s="127"/>
      <c r="Q35" s="135">
        <f t="shared" si="2"/>
        <v>46092</v>
      </c>
    </row>
    <row r="36" spans="1:25" x14ac:dyDescent="0.3">
      <c r="A36" s="4">
        <f>+'Raw Data - Production'!A37</f>
        <v>46169</v>
      </c>
      <c r="B36" s="6">
        <f t="shared" si="0"/>
        <v>22</v>
      </c>
      <c r="C36" s="6" t="str">
        <f t="shared" si="1"/>
        <v>May</v>
      </c>
      <c r="D36" s="6" t="s">
        <v>2</v>
      </c>
      <c r="E36" s="14">
        <f>+'Raw Data - Production'!D37+'Raw Data - Production'!E37</f>
        <v>0</v>
      </c>
      <c r="F36" s="15">
        <f>+'Raw Data - Production'!F37+'Raw Data - Production'!G37+'Raw Data - Production'!H37</f>
        <v>0</v>
      </c>
      <c r="G36" s="16">
        <f>+'Raw Data - Production'!J37+'Raw Data - Production'!K37+'Raw Data - Packing'!I37</f>
        <v>0</v>
      </c>
      <c r="H36" s="15">
        <f>+'Raw Data - Production'!L37+'Raw Data - Production'!M37+'Raw Data - Production'!N37+'Raw Data - Packing'!L37</f>
        <v>0</v>
      </c>
      <c r="I36" s="103">
        <f>SUMIF('Raw Data - Packing'!A:A,A36,'Raw Data - Packing'!D:D)</f>
        <v>37800</v>
      </c>
      <c r="J36" s="15">
        <f>SUMIF('Raw Data - Packing'!A:A,A36,'Raw Data - Packing'!F:F)</f>
        <v>0</v>
      </c>
      <c r="K36" s="20"/>
      <c r="L36" s="105"/>
      <c r="M36" s="105"/>
      <c r="N36" s="105">
        <f>+E36*Weights!$B$2</f>
        <v>0</v>
      </c>
      <c r="O36" s="105">
        <f>+F36*Weights!$B$4</f>
        <v>0</v>
      </c>
      <c r="P36" s="127"/>
      <c r="Q36" s="135">
        <f t="shared" si="2"/>
        <v>37800</v>
      </c>
    </row>
    <row r="37" spans="1:25" x14ac:dyDescent="0.3">
      <c r="A37" s="4">
        <f>+'Raw Data - Production'!A38</f>
        <v>46170</v>
      </c>
      <c r="B37" s="6">
        <f t="shared" si="0"/>
        <v>22</v>
      </c>
      <c r="C37" s="6" t="str">
        <f t="shared" si="1"/>
        <v>May</v>
      </c>
      <c r="D37" s="6" t="s">
        <v>2</v>
      </c>
      <c r="E37" s="14">
        <f>+'Raw Data - Production'!D38+'Raw Data - Production'!E38</f>
        <v>0</v>
      </c>
      <c r="F37" s="15">
        <f>+'Raw Data - Production'!F38+'Raw Data - Production'!G38+'Raw Data - Production'!H38</f>
        <v>20562</v>
      </c>
      <c r="G37" s="16">
        <f>+'Raw Data - Production'!J38+'Raw Data - Production'!K38+'Raw Data - Packing'!I38</f>
        <v>250</v>
      </c>
      <c r="H37" s="15">
        <f>+'Raw Data - Production'!L38+'Raw Data - Production'!M38+'Raw Data - Production'!N38+'Raw Data - Packing'!L38</f>
        <v>268</v>
      </c>
      <c r="I37" s="103">
        <f>SUMIF('Raw Data - Packing'!A:A,A37,'Raw Data - Packing'!D:D)</f>
        <v>63480</v>
      </c>
      <c r="J37" s="15">
        <f>SUMIF('Raw Data - Packing'!A:A,A37,'Raw Data - Packing'!F:F)</f>
        <v>2656</v>
      </c>
      <c r="K37" s="20"/>
      <c r="L37" s="105"/>
      <c r="M37" s="105"/>
      <c r="N37" s="105">
        <f>+E37*Weights!$B$2</f>
        <v>0</v>
      </c>
      <c r="O37" s="105">
        <f>+F37*Weights!$B$4</f>
        <v>3212.8125</v>
      </c>
      <c r="P37" s="127"/>
      <c r="Q37" s="135">
        <f t="shared" si="2"/>
        <v>66136</v>
      </c>
    </row>
    <row r="38" spans="1:25" x14ac:dyDescent="0.3">
      <c r="A38" s="4">
        <f>+'Raw Data - Production'!A39</f>
        <v>46171</v>
      </c>
      <c r="B38" s="6">
        <f t="shared" si="0"/>
        <v>22</v>
      </c>
      <c r="C38" s="6" t="str">
        <f t="shared" si="1"/>
        <v>May</v>
      </c>
      <c r="D38" s="6" t="s">
        <v>2</v>
      </c>
      <c r="E38" s="14">
        <f>+'Raw Data - Production'!D39+'Raw Data - Production'!E39</f>
        <v>64512</v>
      </c>
      <c r="F38" s="15">
        <f>+'Raw Data - Production'!F39+'Raw Data - Production'!G39+'Raw Data - Production'!H39</f>
        <v>0</v>
      </c>
      <c r="G38" s="16">
        <f>+'Raw Data - Production'!J39+'Raw Data - Production'!K39+'Raw Data - Packing'!I39</f>
        <v>80</v>
      </c>
      <c r="H38" s="15">
        <f>+'Raw Data - Production'!L39+'Raw Data - Production'!M39+'Raw Data - Production'!N39+'Raw Data - Packing'!L39</f>
        <v>0</v>
      </c>
      <c r="I38" s="103">
        <f>SUMIF('Raw Data - Packing'!A:A,A38,'Raw Data - Packing'!D:D)</f>
        <v>34080</v>
      </c>
      <c r="J38" s="15">
        <f>SUMIF('Raw Data - Packing'!A:A,A38,'Raw Data - Packing'!F:F)</f>
        <v>3760</v>
      </c>
      <c r="K38" s="20"/>
      <c r="L38" s="105"/>
      <c r="M38" s="105"/>
      <c r="N38" s="105">
        <f>+E38*Weights!$B$2</f>
        <v>4082.3999999999996</v>
      </c>
      <c r="O38" s="105">
        <f>+F38*Weights!$B$4</f>
        <v>0</v>
      </c>
      <c r="P38" s="127"/>
      <c r="Q38" s="135">
        <f t="shared" si="2"/>
        <v>37840</v>
      </c>
    </row>
    <row r="39" spans="1:25" x14ac:dyDescent="0.3">
      <c r="A39" s="4">
        <f>+'Raw Data - Production'!A40</f>
        <v>46174</v>
      </c>
      <c r="B39" s="6">
        <f t="shared" si="0"/>
        <v>23</v>
      </c>
      <c r="C39" s="6" t="str">
        <f t="shared" si="1"/>
        <v>June</v>
      </c>
      <c r="D39" s="6" t="s">
        <v>3</v>
      </c>
      <c r="E39" s="14">
        <f>+'Raw Data - Production'!D40+'Raw Data - Production'!E40</f>
        <v>76320</v>
      </c>
      <c r="F39" s="15">
        <f>+'Raw Data - Production'!F40+'Raw Data - Production'!G40+'Raw Data - Production'!H40</f>
        <v>0</v>
      </c>
      <c r="G39" s="16">
        <f>+'Raw Data - Production'!J40+'Raw Data - Production'!K40+'Raw Data - Packing'!I40</f>
        <v>326</v>
      </c>
      <c r="H39" s="15">
        <f>+'Raw Data - Production'!L40+'Raw Data - Production'!M40+'Raw Data - Production'!N40+'Raw Data - Packing'!L40</f>
        <v>0</v>
      </c>
      <c r="I39" s="103">
        <f>SUMIF('Raw Data - Packing'!A:A,A39,'Raw Data - Packing'!D:D)</f>
        <v>96000</v>
      </c>
      <c r="J39" s="15">
        <f>SUMIF('Raw Data - Packing'!A:A,A39,'Raw Data - Packing'!F:F)</f>
        <v>416</v>
      </c>
      <c r="K39" s="20"/>
      <c r="L39" s="105"/>
      <c r="M39" s="105"/>
      <c r="N39" s="105">
        <f>+E39*Weights!$B$2</f>
        <v>4829.625</v>
      </c>
      <c r="O39" s="105">
        <f>+F39*Weights!$B$4</f>
        <v>0</v>
      </c>
      <c r="Q39" s="135">
        <f t="shared" si="2"/>
        <v>96416</v>
      </c>
    </row>
    <row r="40" spans="1:25" x14ac:dyDescent="0.3">
      <c r="A40" s="4">
        <f>+'Raw Data - Production'!A41</f>
        <v>46175</v>
      </c>
      <c r="B40" s="6">
        <f t="shared" si="0"/>
        <v>23</v>
      </c>
      <c r="C40" s="6" t="str">
        <f t="shared" si="1"/>
        <v>June</v>
      </c>
      <c r="D40" s="6" t="s">
        <v>3</v>
      </c>
      <c r="E40" s="14">
        <f>+'Raw Data - Production'!D41+'Raw Data - Production'!E41</f>
        <v>89280</v>
      </c>
      <c r="F40" s="15">
        <f>+'Raw Data - Production'!F41+'Raw Data - Production'!G41+'Raw Data - Production'!H41</f>
        <v>0</v>
      </c>
      <c r="G40" s="16">
        <f>+'Raw Data - Production'!J41+'Raw Data - Production'!K41+'Raw Data - Packing'!I41</f>
        <v>168</v>
      </c>
      <c r="H40" s="15">
        <f>+'Raw Data - Production'!L41+'Raw Data - Production'!M41+'Raw Data - Production'!N41+'Raw Data - Packing'!L41</f>
        <v>0</v>
      </c>
      <c r="I40" s="103">
        <f>SUMIF('Raw Data - Packing'!A:A,A40,'Raw Data - Packing'!D:D)</f>
        <v>54540</v>
      </c>
      <c r="J40" s="15">
        <f>SUMIF('Raw Data - Packing'!A:A,A40,'Raw Data - Packing'!F:F)</f>
        <v>12100</v>
      </c>
      <c r="K40" s="20"/>
      <c r="L40" s="105"/>
      <c r="M40" s="105"/>
      <c r="N40" s="105">
        <f>+E40*Weights!$B$2</f>
        <v>5649.75</v>
      </c>
      <c r="O40" s="105">
        <f>+F40*Weights!$B$4</f>
        <v>0</v>
      </c>
      <c r="Q40" s="135">
        <f t="shared" si="2"/>
        <v>66640</v>
      </c>
      <c r="X40" t="s">
        <v>51</v>
      </c>
      <c r="Y40" t="s">
        <v>52</v>
      </c>
    </row>
    <row r="41" spans="1:25" x14ac:dyDescent="0.3">
      <c r="A41" s="4">
        <f>+'Raw Data - Production'!A42</f>
        <v>46176</v>
      </c>
      <c r="B41" s="6">
        <f t="shared" si="0"/>
        <v>23</v>
      </c>
      <c r="C41" s="6" t="str">
        <f t="shared" si="1"/>
        <v>June</v>
      </c>
      <c r="D41" s="6" t="s">
        <v>3</v>
      </c>
      <c r="E41" s="14">
        <f>+'Raw Data - Production'!D42+'Raw Data - Production'!E42</f>
        <v>55656</v>
      </c>
      <c r="F41" s="15">
        <f>+'Raw Data - Production'!F42+'Raw Data - Production'!G42+'Raw Data - Production'!H42</f>
        <v>0</v>
      </c>
      <c r="G41" s="16">
        <f>+'Raw Data - Production'!J42+'Raw Data - Production'!K42+'Raw Data - Packing'!I42</f>
        <v>166</v>
      </c>
      <c r="H41" s="15">
        <f>+'Raw Data - Production'!L42+'Raw Data - Production'!M42+'Raw Data - Production'!N42+'Raw Data - Packing'!L42</f>
        <v>60</v>
      </c>
      <c r="I41" s="103">
        <f>SUMIF('Raw Data - Packing'!A:A,A41,'Raw Data - Packing'!D:D)</f>
        <v>47520</v>
      </c>
      <c r="J41" s="15">
        <f>SUMIF('Raw Data - Packing'!A:A,A41,'Raw Data - Packing'!F:F)</f>
        <v>3650</v>
      </c>
      <c r="K41" s="20"/>
      <c r="L41" s="105"/>
      <c r="M41" s="105"/>
      <c r="N41" s="105">
        <f>+E41*Weights!$B$2</f>
        <v>3521.9812499999998</v>
      </c>
      <c r="O41" s="105">
        <f>+F41*Weights!$B$4</f>
        <v>0</v>
      </c>
      <c r="Q41" s="135">
        <f t="shared" si="2"/>
        <v>51170</v>
      </c>
      <c r="X41" s="11">
        <f>2871/Weights!B2</f>
        <v>45368.888888888891</v>
      </c>
      <c r="Y41" s="11">
        <f>2042/Weights!B4</f>
        <v>13068.8</v>
      </c>
    </row>
    <row r="42" spans="1:25" x14ac:dyDescent="0.3">
      <c r="A42" s="4">
        <f>+'Raw Data - Production'!A43</f>
        <v>46177</v>
      </c>
      <c r="B42" s="6">
        <f t="shared" si="0"/>
        <v>23</v>
      </c>
      <c r="C42" s="6" t="str">
        <f t="shared" si="1"/>
        <v>June</v>
      </c>
      <c r="D42" s="6" t="s">
        <v>3</v>
      </c>
      <c r="E42" s="14">
        <f>+'Raw Data - Production'!D43+'Raw Data - Production'!E43</f>
        <v>46320</v>
      </c>
      <c r="F42" s="15">
        <f>+'Raw Data - Production'!F43+'Raw Data - Production'!G43+'Raw Data - Production'!H43</f>
        <v>9380</v>
      </c>
      <c r="G42" s="16">
        <f>+'Raw Data - Production'!J43+'Raw Data - Production'!K43+'Raw Data - Packing'!I43</f>
        <v>73</v>
      </c>
      <c r="H42" s="15">
        <f>+'Raw Data - Production'!L43+'Raw Data - Production'!M43+'Raw Data - Production'!N43+'Raw Data - Packing'!L43</f>
        <v>132</v>
      </c>
      <c r="I42" s="103">
        <f>SUMIF('Raw Data - Packing'!A:A,A42,'Raw Data - Packing'!D:D)</f>
        <v>37800</v>
      </c>
      <c r="J42" s="15">
        <f>SUMIF('Raw Data - Packing'!A:A,A42,'Raw Data - Packing'!F:F)</f>
        <v>0</v>
      </c>
      <c r="K42" s="20"/>
      <c r="L42" s="105"/>
      <c r="M42" s="105"/>
      <c r="N42" s="105">
        <f>+E42*Weights!$B$2</f>
        <v>2931.1875</v>
      </c>
      <c r="O42" s="105">
        <f>+F42*Weights!$B$4</f>
        <v>1465.625</v>
      </c>
      <c r="Q42" s="135">
        <f t="shared" si="2"/>
        <v>37800</v>
      </c>
    </row>
    <row r="43" spans="1:25" x14ac:dyDescent="0.3">
      <c r="A43" s="4">
        <f>+'Raw Data - Production'!A44</f>
        <v>46178</v>
      </c>
      <c r="B43" s="6">
        <f t="shared" si="0"/>
        <v>23</v>
      </c>
      <c r="C43" s="6" t="str">
        <f t="shared" si="1"/>
        <v>June</v>
      </c>
      <c r="D43" s="6" t="s">
        <v>3</v>
      </c>
      <c r="E43" s="14">
        <f>+'Raw Data - Production'!D44+'Raw Data - Production'!E44</f>
        <v>0</v>
      </c>
      <c r="F43" s="15">
        <f>+'Raw Data - Production'!F44+'Raw Data - Production'!G44+'Raw Data - Production'!H44</f>
        <v>0</v>
      </c>
      <c r="G43" s="16">
        <f>+'Raw Data - Production'!J44+'Raw Data - Production'!K44+'Raw Data - Packing'!I44</f>
        <v>0</v>
      </c>
      <c r="H43" s="15">
        <f>+'Raw Data - Production'!L44+'Raw Data - Production'!M44+'Raw Data - Production'!N44+'Raw Data - Packing'!L44</f>
        <v>0</v>
      </c>
      <c r="I43" s="103">
        <f>SUMIF('Raw Data - Packing'!A:A,A43,'Raw Data - Packing'!D:D)</f>
        <v>61920</v>
      </c>
      <c r="J43" s="15">
        <f>SUMIF('Raw Data - Packing'!A:A,A43,'Raw Data - Packing'!F:F)</f>
        <v>0</v>
      </c>
      <c r="K43" s="20"/>
      <c r="L43" s="120">
        <v>83340</v>
      </c>
      <c r="M43" s="120">
        <v>12250</v>
      </c>
      <c r="N43" s="105">
        <f>+E43*Weights!$B$2</f>
        <v>0</v>
      </c>
      <c r="O43" s="105">
        <f>+F43*Weights!$B$4</f>
        <v>0</v>
      </c>
      <c r="Q43" s="135">
        <f t="shared" si="2"/>
        <v>61920</v>
      </c>
    </row>
    <row r="44" spans="1:25" x14ac:dyDescent="0.3">
      <c r="A44" s="4">
        <f>+'Raw Data - Production'!A45</f>
        <v>46181</v>
      </c>
      <c r="B44" s="6">
        <f t="shared" si="0"/>
        <v>24</v>
      </c>
      <c r="C44" s="6" t="str">
        <f t="shared" si="1"/>
        <v>June</v>
      </c>
      <c r="D44" s="6" t="s">
        <v>3</v>
      </c>
      <c r="E44" s="14">
        <f>+'Raw Data - Production'!D45+'Raw Data - Production'!E45</f>
        <v>0</v>
      </c>
      <c r="F44" s="15">
        <f>+'Raw Data - Production'!F45+'Raw Data - Production'!G45+'Raw Data - Production'!H45</f>
        <v>0</v>
      </c>
      <c r="G44" s="16">
        <f>+'Raw Data - Production'!J45+'Raw Data - Production'!K45+'Raw Data - Packing'!I45</f>
        <v>121</v>
      </c>
      <c r="H44" s="15">
        <f>+'Raw Data - Production'!L45+'Raw Data - Production'!M45+'Raw Data - Production'!N45+'Raw Data - Packing'!L45</f>
        <v>0</v>
      </c>
      <c r="I44" s="103">
        <f>SUMIF('Raw Data - Packing'!A:A,A44,'Raw Data - Packing'!D:D)</f>
        <v>83340</v>
      </c>
      <c r="J44" s="15">
        <f>SUMIF('Raw Data - Packing'!A:A,A44,'Raw Data - Packing'!F:F)</f>
        <v>0</v>
      </c>
      <c r="K44" s="20"/>
      <c r="L44" s="105">
        <v>0</v>
      </c>
      <c r="M44" s="105">
        <f t="shared" ref="M44:M58" si="4">+F44-J44+M43</f>
        <v>12250</v>
      </c>
      <c r="N44" s="105">
        <f>+E44*Weights!$B$2</f>
        <v>0</v>
      </c>
      <c r="O44" s="105">
        <f>+F44*Weights!$B$4</f>
        <v>0</v>
      </c>
      <c r="Q44" s="135">
        <f t="shared" si="2"/>
        <v>83340</v>
      </c>
    </row>
    <row r="45" spans="1:25" x14ac:dyDescent="0.3">
      <c r="A45" s="4">
        <f>+'Raw Data - Production'!A46</f>
        <v>46182</v>
      </c>
      <c r="B45" s="6">
        <f t="shared" si="0"/>
        <v>24</v>
      </c>
      <c r="C45" s="6" t="str">
        <f t="shared" si="1"/>
        <v>June</v>
      </c>
      <c r="D45" s="6" t="s">
        <v>3</v>
      </c>
      <c r="E45" s="14">
        <f>+'Raw Data - Production'!D46+'Raw Data - Production'!E46</f>
        <v>83520</v>
      </c>
      <c r="F45" s="15">
        <f>+'Raw Data - Production'!F46+'Raw Data - Production'!G46+'Raw Data - Production'!H46</f>
        <v>7315</v>
      </c>
      <c r="G45" s="16">
        <f>+'Raw Data - Production'!J46+'Raw Data - Production'!K46+'Raw Data - Packing'!I46</f>
        <v>432</v>
      </c>
      <c r="H45" s="15">
        <f>+'Raw Data - Production'!L46+'Raw Data - Production'!M46+'Raw Data - Production'!N46+'Raw Data - Packing'!L46</f>
        <v>32</v>
      </c>
      <c r="I45" s="103">
        <f>SUMIF('Raw Data - Packing'!A:A,A45,'Raw Data - Packing'!D:D)</f>
        <v>52680</v>
      </c>
      <c r="J45" s="15">
        <f>SUMIF('Raw Data - Packing'!A:A,A45,'Raw Data - Packing'!F:F)</f>
        <v>0</v>
      </c>
      <c r="K45" s="20"/>
      <c r="L45" s="105">
        <f t="shared" ref="L45:L58" si="5">+E45-I45+L44</f>
        <v>30840</v>
      </c>
      <c r="M45" s="105">
        <f t="shared" si="4"/>
        <v>19565</v>
      </c>
      <c r="N45" s="105">
        <f>+E45*Weights!$B$2</f>
        <v>5285.25</v>
      </c>
      <c r="O45" s="105">
        <f>+F45*Weights!$B$4</f>
        <v>1142.96875</v>
      </c>
      <c r="Q45" s="135">
        <f t="shared" si="2"/>
        <v>52680</v>
      </c>
    </row>
    <row r="46" spans="1:25" x14ac:dyDescent="0.3">
      <c r="A46" s="4">
        <f>+'Raw Data - Production'!A47</f>
        <v>46183</v>
      </c>
      <c r="B46" s="6">
        <f t="shared" si="0"/>
        <v>24</v>
      </c>
      <c r="C46" s="6" t="str">
        <f t="shared" si="1"/>
        <v>June</v>
      </c>
      <c r="D46" s="6" t="s">
        <v>3</v>
      </c>
      <c r="E46" s="14">
        <f>+'Raw Data - Production'!D47+'Raw Data - Production'!E47</f>
        <v>43920</v>
      </c>
      <c r="F46" s="15">
        <f>+'Raw Data - Production'!F47+'Raw Data - Production'!G47+'Raw Data - Production'!H47</f>
        <v>10500</v>
      </c>
      <c r="G46" s="16">
        <f>+'Raw Data - Production'!J47+'Raw Data - Production'!K47+'Raw Data - Packing'!I47</f>
        <v>98</v>
      </c>
      <c r="H46" s="15">
        <f>+'Raw Data - Production'!L47+'Raw Data - Production'!M47+'Raw Data - Production'!N47+'Raw Data - Packing'!L47</f>
        <v>62</v>
      </c>
      <c r="I46" s="103">
        <f>SUMIF('Raw Data - Packing'!A:A,A46,'Raw Data - Packing'!D:D)</f>
        <v>50280</v>
      </c>
      <c r="J46" s="15">
        <f>SUMIF('Raw Data - Packing'!A:A,A46,'Raw Data - Packing'!F:F)</f>
        <v>0</v>
      </c>
      <c r="K46" s="20"/>
      <c r="L46" s="105">
        <f t="shared" si="5"/>
        <v>24480</v>
      </c>
      <c r="M46" s="105">
        <f t="shared" si="4"/>
        <v>30065</v>
      </c>
      <c r="N46" s="105">
        <f>+E46*Weights!$B$2</f>
        <v>2779.3125</v>
      </c>
      <c r="O46" s="105">
        <f>+F46*Weights!$B$4</f>
        <v>1640.625</v>
      </c>
      <c r="Q46" s="135">
        <f t="shared" si="2"/>
        <v>50280</v>
      </c>
    </row>
    <row r="47" spans="1:25" x14ac:dyDescent="0.3">
      <c r="A47" s="4">
        <f>+'Raw Data - Production'!A48</f>
        <v>46184</v>
      </c>
      <c r="B47" s="6">
        <f t="shared" si="0"/>
        <v>24</v>
      </c>
      <c r="C47" s="6" t="str">
        <f t="shared" si="1"/>
        <v>June</v>
      </c>
      <c r="D47" s="6" t="s">
        <v>3</v>
      </c>
      <c r="E47" s="14">
        <f>+'Raw Data - Production'!D48+'Raw Data - Production'!E48</f>
        <v>64253</v>
      </c>
      <c r="F47" s="15">
        <f>+'Raw Data - Production'!F48+'Raw Data - Production'!G48+'Raw Data - Production'!H48</f>
        <v>9975</v>
      </c>
      <c r="G47" s="16">
        <f>+'Raw Data - Production'!J48+'Raw Data - Production'!K48+'Raw Data - Packing'!I48</f>
        <v>132</v>
      </c>
      <c r="H47" s="15">
        <f>+'Raw Data - Production'!L48+'Raw Data - Production'!M48+'Raw Data - Production'!N48+'Raw Data - Packing'!L48</f>
        <v>122</v>
      </c>
      <c r="I47" s="103">
        <f>SUMIF('Raw Data - Packing'!A:A,A47,'Raw Data - Packing'!D:D)</f>
        <v>11760</v>
      </c>
      <c r="J47" s="15">
        <f>SUMIF('Raw Data - Packing'!A:A,A47,'Raw Data - Packing'!F:F)</f>
        <v>13888</v>
      </c>
      <c r="K47" s="20"/>
      <c r="L47" s="105">
        <f t="shared" si="5"/>
        <v>76973</v>
      </c>
      <c r="M47" s="105">
        <f t="shared" si="4"/>
        <v>26152</v>
      </c>
      <c r="N47" s="105">
        <f>+E47*Weights!$B$2</f>
        <v>4066.0101562499999</v>
      </c>
      <c r="O47" s="105">
        <f>+F47*Weights!$B$4</f>
        <v>1558.59375</v>
      </c>
      <c r="Q47" s="135">
        <f t="shared" si="2"/>
        <v>25648</v>
      </c>
    </row>
    <row r="48" spans="1:25" x14ac:dyDescent="0.3">
      <c r="A48" s="4">
        <f>+'Raw Data - Production'!A49</f>
        <v>46185</v>
      </c>
      <c r="B48" s="6">
        <f t="shared" si="0"/>
        <v>24</v>
      </c>
      <c r="C48" s="6" t="str">
        <f t="shared" si="1"/>
        <v>June</v>
      </c>
      <c r="D48" s="6" t="s">
        <v>3</v>
      </c>
      <c r="E48" s="14">
        <f>+'Raw Data - Production'!D49+'Raw Data - Production'!E49</f>
        <v>0</v>
      </c>
      <c r="F48" s="15">
        <f>+'Raw Data - Production'!F49+'Raw Data - Production'!G49+'Raw Data - Production'!H49</f>
        <v>0</v>
      </c>
      <c r="G48" s="16">
        <f>+'Raw Data - Production'!J49+'Raw Data - Production'!K49+'Raw Data - Packing'!I49</f>
        <v>0</v>
      </c>
      <c r="H48" s="15">
        <f>+'Raw Data - Production'!L49+'Raw Data - Production'!M49+'Raw Data - Production'!N49+'Raw Data - Packing'!L49</f>
        <v>0</v>
      </c>
      <c r="I48" s="103">
        <f>SUMIF('Raw Data - Packing'!A:A,A48,'Raw Data - Packing'!D:D)</f>
        <v>0</v>
      </c>
      <c r="J48" s="15">
        <f>SUMIF('Raw Data - Packing'!A:A,A48,'Raw Data - Packing'!F:F)</f>
        <v>0</v>
      </c>
      <c r="K48" s="20"/>
      <c r="L48" s="120">
        <v>78136</v>
      </c>
      <c r="M48" s="120">
        <v>24150</v>
      </c>
      <c r="N48" s="105">
        <f>+E48*Weights!$B$2</f>
        <v>0</v>
      </c>
      <c r="O48" s="105">
        <f>+F48*Weights!$B$4</f>
        <v>0</v>
      </c>
      <c r="Q48" s="135">
        <f t="shared" si="2"/>
        <v>0</v>
      </c>
    </row>
    <row r="49" spans="1:20" x14ac:dyDescent="0.3">
      <c r="A49" s="4">
        <f>+'Raw Data - Production'!A50</f>
        <v>46188</v>
      </c>
      <c r="B49" s="6">
        <f t="shared" si="0"/>
        <v>25</v>
      </c>
      <c r="C49" s="6" t="str">
        <f t="shared" si="1"/>
        <v>June</v>
      </c>
      <c r="D49" s="6" t="s">
        <v>3</v>
      </c>
      <c r="E49" s="14">
        <f>+'Raw Data - Production'!D50+'Raw Data - Production'!E50</f>
        <v>33120</v>
      </c>
      <c r="F49" s="15">
        <f>+'Raw Data - Production'!F50+'Raw Data - Production'!G50+'Raw Data - Production'!H50</f>
        <v>0</v>
      </c>
      <c r="G49" s="16">
        <f>+'Raw Data - Production'!J50+'Raw Data - Production'!K50+'Raw Data - Packing'!I50</f>
        <v>68</v>
      </c>
      <c r="H49" s="15">
        <f>+'Raw Data - Production'!L50+'Raw Data - Production'!M50+'Raw Data - Production'!N50+'Raw Data - Packing'!L50</f>
        <v>0</v>
      </c>
      <c r="I49" s="103">
        <f>SUMIF('Raw Data - Packing'!A:A,A49,'Raw Data - Packing'!D:D)</f>
        <v>29100</v>
      </c>
      <c r="J49" s="15">
        <f>SUMIF('Raw Data - Packing'!A:A,A49,'Raw Data - Packing'!F:F)</f>
        <v>12514</v>
      </c>
      <c r="K49" s="20"/>
      <c r="L49" s="105">
        <f t="shared" si="5"/>
        <v>82156</v>
      </c>
      <c r="M49" s="105">
        <f t="shared" si="4"/>
        <v>11636</v>
      </c>
      <c r="N49" s="105">
        <f>+E49*Weights!$B$2</f>
        <v>2095.875</v>
      </c>
      <c r="O49" s="105">
        <f>+F49*Weights!$B$4</f>
        <v>0</v>
      </c>
      <c r="Q49" s="135">
        <f t="shared" si="2"/>
        <v>41614</v>
      </c>
    </row>
    <row r="50" spans="1:20" x14ac:dyDescent="0.3">
      <c r="A50" s="4">
        <f>+'Raw Data - Production'!A51</f>
        <v>46189</v>
      </c>
      <c r="B50" s="6">
        <f t="shared" ref="B50:B113" si="6">+WEEKNUM(A50)</f>
        <v>25</v>
      </c>
      <c r="C50" s="6" t="str">
        <f t="shared" si="1"/>
        <v>June</v>
      </c>
      <c r="D50" s="6" t="s">
        <v>3</v>
      </c>
      <c r="E50" s="14">
        <f>+'Raw Data - Production'!D51+'Raw Data - Production'!E51</f>
        <v>67680</v>
      </c>
      <c r="F50" s="15">
        <f>+'Raw Data - Production'!F51+'Raw Data - Production'!G51+'Raw Data - Production'!H51</f>
        <v>0</v>
      </c>
      <c r="G50" s="16">
        <f>+'Raw Data - Production'!J51+'Raw Data - Production'!K51+'Raw Data - Packing'!I51</f>
        <v>109</v>
      </c>
      <c r="H50" s="15">
        <f>+'Raw Data - Production'!L51+'Raw Data - Production'!M51+'Raw Data - Production'!N51+'Raw Data - Packing'!L51</f>
        <v>0</v>
      </c>
      <c r="I50" s="103">
        <f>SUMIF('Raw Data - Packing'!A:A,A50,'Raw Data - Packing'!D:D)</f>
        <v>105900</v>
      </c>
      <c r="J50" s="15">
        <f>SUMIF('Raw Data - Packing'!A:A,A50,'Raw Data - Packing'!F:F)</f>
        <v>0</v>
      </c>
      <c r="K50" s="20"/>
      <c r="L50" s="105">
        <f t="shared" si="5"/>
        <v>43936</v>
      </c>
      <c r="M50" s="105">
        <f t="shared" si="4"/>
        <v>11636</v>
      </c>
      <c r="N50" s="105">
        <f>+E50*Weights!$B$2</f>
        <v>4282.875</v>
      </c>
      <c r="O50" s="105">
        <f>+F50*Weights!$B$4</f>
        <v>0</v>
      </c>
      <c r="Q50" s="135">
        <f t="shared" si="2"/>
        <v>105900</v>
      </c>
    </row>
    <row r="51" spans="1:20" x14ac:dyDescent="0.3">
      <c r="A51" s="4">
        <f>+'Raw Data - Production'!A52</f>
        <v>46190</v>
      </c>
      <c r="B51" s="6">
        <f t="shared" si="6"/>
        <v>25</v>
      </c>
      <c r="C51" s="6" t="str">
        <f t="shared" si="1"/>
        <v>June</v>
      </c>
      <c r="D51" s="6" t="s">
        <v>3</v>
      </c>
      <c r="E51" s="14">
        <f>+'Raw Data - Production'!D52+'Raw Data - Production'!E52</f>
        <v>54816</v>
      </c>
      <c r="F51" s="15">
        <f>+'Raw Data - Production'!F52+'Raw Data - Production'!G52+'Raw Data - Production'!H52</f>
        <v>1400</v>
      </c>
      <c r="G51" s="16">
        <f>+'Raw Data - Production'!J52+'Raw Data - Production'!K52+'Raw Data - Packing'!I52</f>
        <v>229</v>
      </c>
      <c r="H51" s="15">
        <f>+'Raw Data - Production'!L52+'Raw Data - Production'!M52+'Raw Data - Production'!N52+'Raw Data - Packing'!L52</f>
        <v>14</v>
      </c>
      <c r="I51" s="103">
        <f>SUMIF('Raw Data - Packing'!A:A,A51,'Raw Data - Packing'!D:D)</f>
        <v>93720</v>
      </c>
      <c r="J51" s="15">
        <f>SUMIF('Raw Data - Packing'!A:A,A51,'Raw Data - Packing'!F:F)</f>
        <v>1312</v>
      </c>
      <c r="K51" s="20"/>
      <c r="L51" s="120">
        <v>0</v>
      </c>
      <c r="M51" s="105">
        <f t="shared" si="4"/>
        <v>11724</v>
      </c>
      <c r="N51" s="105">
        <f>+E51*Weights!$B$2</f>
        <v>3468.8249999999998</v>
      </c>
      <c r="O51" s="105">
        <f>+F51*Weights!$B$4</f>
        <v>218.75</v>
      </c>
      <c r="Q51" s="135">
        <f t="shared" si="2"/>
        <v>95032</v>
      </c>
    </row>
    <row r="52" spans="1:20" x14ac:dyDescent="0.3">
      <c r="A52" s="4">
        <f>+'Raw Data - Production'!A53</f>
        <v>46191</v>
      </c>
      <c r="B52" s="6">
        <f t="shared" si="6"/>
        <v>25</v>
      </c>
      <c r="C52" s="6" t="str">
        <f t="shared" si="1"/>
        <v>June</v>
      </c>
      <c r="D52" s="6" t="s">
        <v>3</v>
      </c>
      <c r="E52" s="14">
        <f>+'Raw Data - Production'!D53+'Raw Data - Production'!E53</f>
        <v>62352</v>
      </c>
      <c r="F52" s="15">
        <f>+'Raw Data - Production'!F53+'Raw Data - Production'!G53+'Raw Data - Production'!H53</f>
        <v>6300</v>
      </c>
      <c r="G52" s="16">
        <f>+'Raw Data - Production'!J53+'Raw Data - Production'!K53+'Raw Data - Packing'!I53</f>
        <v>134</v>
      </c>
      <c r="H52" s="15">
        <f>+'Raw Data - Production'!L53+'Raw Data - Production'!M53+'Raw Data - Production'!N53+'Raw Data - Packing'!L53</f>
        <v>23</v>
      </c>
      <c r="I52" s="103">
        <f>SUMIF('Raw Data - Packing'!A:A,A52,'Raw Data - Packing'!D:D)</f>
        <v>62352</v>
      </c>
      <c r="J52" s="15">
        <f>SUMIF('Raw Data - Packing'!A:A,A52,'Raw Data - Packing'!F:F)</f>
        <v>10816</v>
      </c>
      <c r="K52" s="20"/>
      <c r="L52" s="105">
        <f t="shared" si="5"/>
        <v>0</v>
      </c>
      <c r="M52" s="105">
        <f t="shared" si="4"/>
        <v>7208</v>
      </c>
      <c r="N52" s="105">
        <f>+E52*Weights!$B$2</f>
        <v>3945.7124999999996</v>
      </c>
      <c r="O52" s="105">
        <f>+F52*Weights!$B$4</f>
        <v>984.375</v>
      </c>
      <c r="Q52" s="135">
        <f t="shared" si="2"/>
        <v>73168</v>
      </c>
    </row>
    <row r="53" spans="1:20" x14ac:dyDescent="0.3">
      <c r="A53" s="4">
        <f>+'Raw Data - Production'!A54</f>
        <v>46192</v>
      </c>
      <c r="B53" s="6">
        <f t="shared" si="6"/>
        <v>25</v>
      </c>
      <c r="C53" s="6" t="str">
        <f t="shared" si="1"/>
        <v>June</v>
      </c>
      <c r="D53" s="6" t="s">
        <v>3</v>
      </c>
      <c r="E53" s="14">
        <f>+'Raw Data - Production'!D54+'Raw Data - Production'!E54</f>
        <v>0</v>
      </c>
      <c r="F53" s="15">
        <f>+'Raw Data - Production'!F54+'Raw Data - Production'!G54+'Raw Data - Production'!H54</f>
        <v>0</v>
      </c>
      <c r="G53" s="16">
        <f>+'Raw Data - Production'!J54+'Raw Data - Production'!K54+'Raw Data - Packing'!I54</f>
        <v>0</v>
      </c>
      <c r="H53" s="15">
        <f>+'Raw Data - Production'!L54+'Raw Data - Production'!M54+'Raw Data - Production'!N54+'Raw Data - Packing'!L54</f>
        <v>0</v>
      </c>
      <c r="I53" s="103">
        <f>SUMIF('Raw Data - Packing'!A:A,A53,'Raw Data - Packing'!D:D)</f>
        <v>0</v>
      </c>
      <c r="J53" s="15">
        <f>SUMIF('Raw Data - Packing'!A:A,A53,'Raw Data - Packing'!F:F)</f>
        <v>3840</v>
      </c>
      <c r="K53" s="20"/>
      <c r="L53" s="105">
        <f t="shared" si="5"/>
        <v>0</v>
      </c>
      <c r="M53" s="120">
        <v>0</v>
      </c>
      <c r="N53" s="105">
        <f>+E53*Weights!$B$2</f>
        <v>0</v>
      </c>
      <c r="O53" s="105">
        <f>+F53*Weights!$B$4</f>
        <v>0</v>
      </c>
      <c r="Q53" s="135">
        <f t="shared" si="2"/>
        <v>3840</v>
      </c>
      <c r="S53" s="126"/>
    </row>
    <row r="54" spans="1:20" x14ac:dyDescent="0.3">
      <c r="A54" s="4">
        <f>+'Raw Data - Production'!A55</f>
        <v>46195</v>
      </c>
      <c r="B54" s="6">
        <f t="shared" si="6"/>
        <v>26</v>
      </c>
      <c r="C54" s="6" t="str">
        <f t="shared" si="1"/>
        <v>June</v>
      </c>
      <c r="D54" s="6" t="s">
        <v>3</v>
      </c>
      <c r="E54" s="14">
        <f>+'Raw Data - Production'!D55+'Raw Data - Production'!E55</f>
        <v>72420</v>
      </c>
      <c r="F54" s="15">
        <f>+'Raw Data - Production'!F55+'Raw Data - Production'!G55+'Raw Data - Production'!H55</f>
        <v>8313</v>
      </c>
      <c r="G54" s="16">
        <f>+'Raw Data - Production'!J55+'Raw Data - Production'!K55+'Raw Data - Packing'!I55</f>
        <v>137</v>
      </c>
      <c r="H54" s="15">
        <f>+'Raw Data - Production'!L55+'Raw Data - Production'!M55+'Raw Data - Production'!N55+'Raw Data - Packing'!L55</f>
        <v>279</v>
      </c>
      <c r="I54" s="103">
        <f>SUMIF('Raw Data - Packing'!A:A,A54,'Raw Data - Packing'!D:D)</f>
        <v>72420</v>
      </c>
      <c r="J54" s="15">
        <f>SUMIF('Raw Data - Packing'!A:A,A54,'Raw Data - Packing'!F:F)</f>
        <v>5920</v>
      </c>
      <c r="K54" s="20"/>
      <c r="L54" s="105">
        <f t="shared" si="5"/>
        <v>0</v>
      </c>
      <c r="M54" s="120">
        <v>0</v>
      </c>
      <c r="N54" s="105">
        <f>+E54*Weights!$B$2</f>
        <v>4582.828125</v>
      </c>
      <c r="O54" s="105">
        <f>+F54*Weights!$B$4</f>
        <v>1298.90625</v>
      </c>
      <c r="Q54" s="135">
        <f t="shared" si="2"/>
        <v>78340</v>
      </c>
    </row>
    <row r="55" spans="1:20" x14ac:dyDescent="0.3">
      <c r="A55" s="4">
        <f>+'Raw Data - Production'!A56</f>
        <v>46196</v>
      </c>
      <c r="B55" s="6">
        <f t="shared" si="6"/>
        <v>26</v>
      </c>
      <c r="C55" s="6" t="str">
        <f t="shared" si="1"/>
        <v>June</v>
      </c>
      <c r="D55" s="6" t="s">
        <v>3</v>
      </c>
      <c r="E55" s="14">
        <f>+'Raw Data - Production'!D56+'Raw Data - Production'!E56</f>
        <v>59095</v>
      </c>
      <c r="F55" s="15">
        <f>+'Raw Data - Production'!F56+'Raw Data - Production'!G56+'Raw Data - Production'!H56</f>
        <v>9450</v>
      </c>
      <c r="G55" s="16">
        <f>+'Raw Data - Production'!J56+'Raw Data - Production'!K56+'Raw Data - Packing'!I56</f>
        <v>343</v>
      </c>
      <c r="H55" s="15">
        <f>+'Raw Data - Production'!L56+'Raw Data - Production'!M56+'Raw Data - Production'!N56+'Raw Data - Packing'!L56</f>
        <v>526</v>
      </c>
      <c r="I55" s="103">
        <f>SUMIF('Raw Data - Packing'!A:A,A55,'Raw Data - Packing'!D:D)</f>
        <v>56760</v>
      </c>
      <c r="J55" s="15">
        <f>SUMIF('Raw Data - Packing'!A:A,A55,'Raw Data - Packing'!F:F)</f>
        <v>7712</v>
      </c>
      <c r="K55" s="20"/>
      <c r="L55" s="120">
        <v>0</v>
      </c>
      <c r="M55" s="120">
        <v>0</v>
      </c>
      <c r="N55" s="105">
        <f>+E55*Weights!$B$2</f>
        <v>3739.60546875</v>
      </c>
      <c r="O55" s="105">
        <f>+F55*Weights!$B$4</f>
        <v>1476.5625</v>
      </c>
      <c r="Q55" s="135">
        <f t="shared" si="2"/>
        <v>64472</v>
      </c>
      <c r="R55" s="126"/>
    </row>
    <row r="56" spans="1:20" x14ac:dyDescent="0.3">
      <c r="A56" s="4">
        <f>+'Raw Data - Production'!A57</f>
        <v>46197</v>
      </c>
      <c r="B56" s="6">
        <f t="shared" si="6"/>
        <v>26</v>
      </c>
      <c r="C56" s="6" t="str">
        <f t="shared" si="1"/>
        <v>June</v>
      </c>
      <c r="D56" s="6" t="s">
        <v>3</v>
      </c>
      <c r="E56" s="14">
        <f>+'Raw Data - Production'!D57+'Raw Data - Production'!E57</f>
        <v>78624</v>
      </c>
      <c r="F56" s="15">
        <f>+'Raw Data - Production'!F57+'Raw Data - Production'!G57+'Raw Data - Production'!H57</f>
        <v>15540</v>
      </c>
      <c r="G56" s="16">
        <f>+'Raw Data - Production'!J57+'Raw Data - Production'!K57+'Raw Data - Packing'!I57</f>
        <v>122</v>
      </c>
      <c r="H56" s="15">
        <f>+'Raw Data - Production'!L57+'Raw Data - Production'!M57+'Raw Data - Production'!N57+'Raw Data - Packing'!L57</f>
        <v>514</v>
      </c>
      <c r="I56" s="103">
        <f>SUMIF('Raw Data - Packing'!A:A,A56,'Raw Data - Packing'!D:D)</f>
        <v>77340</v>
      </c>
      <c r="J56" s="15">
        <f>SUMIF('Raw Data - Packing'!A:A,A56,'Raw Data - Packing'!F:F)</f>
        <v>12512</v>
      </c>
      <c r="K56" s="20"/>
      <c r="L56" s="105">
        <v>0</v>
      </c>
      <c r="M56" s="105">
        <v>0</v>
      </c>
      <c r="N56" s="105">
        <f>+E56*Weights!$B$2</f>
        <v>4975.4250000000002</v>
      </c>
      <c r="O56" s="105">
        <f>+F56*Weights!$B$4</f>
        <v>2428.125</v>
      </c>
      <c r="Q56" s="135">
        <f t="shared" si="2"/>
        <v>89852</v>
      </c>
    </row>
    <row r="57" spans="1:20" x14ac:dyDescent="0.3">
      <c r="A57" s="4">
        <f>+'Raw Data - Production'!A58</f>
        <v>46198</v>
      </c>
      <c r="B57" s="6">
        <f t="shared" si="6"/>
        <v>26</v>
      </c>
      <c r="C57" s="6" t="str">
        <f t="shared" si="1"/>
        <v>June</v>
      </c>
      <c r="D57" s="6" t="s">
        <v>3</v>
      </c>
      <c r="E57" s="14">
        <f>+'Raw Data - Production'!D58+'Raw Data - Production'!E58</f>
        <v>96732</v>
      </c>
      <c r="F57" s="15">
        <f>+'Raw Data - Production'!F58+'Raw Data - Production'!G58+'Raw Data - Production'!H58</f>
        <v>4515</v>
      </c>
      <c r="G57" s="16">
        <f>+'Raw Data - Production'!J58+'Raw Data - Production'!K58+'Raw Data - Packing'!I58</f>
        <v>213</v>
      </c>
      <c r="H57" s="15">
        <f>+'Raw Data - Production'!L58+'Raw Data - Production'!M58+'Raw Data - Production'!N58+'Raw Data - Packing'!L58</f>
        <v>278</v>
      </c>
      <c r="I57" s="103">
        <f>SUMIF('Raw Data - Packing'!A:A,A57,'Raw Data - Packing'!D:D)</f>
        <v>96960</v>
      </c>
      <c r="J57" s="15">
        <f>SUMIF('Raw Data - Packing'!A:A,A57,'Raw Data - Packing'!F:F)</f>
        <v>1920</v>
      </c>
      <c r="K57" s="20"/>
      <c r="L57" s="105">
        <v>0</v>
      </c>
      <c r="M57" s="105">
        <f t="shared" si="4"/>
        <v>2595</v>
      </c>
      <c r="N57" s="105">
        <f>+E57*Weights!$B$2</f>
        <v>6121.3218749999996</v>
      </c>
      <c r="O57" s="105">
        <f>+F57*Weights!$B$4</f>
        <v>705.46875</v>
      </c>
      <c r="Q57" s="135">
        <f t="shared" si="2"/>
        <v>98880</v>
      </c>
    </row>
    <row r="58" spans="1:20" x14ac:dyDescent="0.3">
      <c r="A58" s="4">
        <f>+'Raw Data - Production'!A59</f>
        <v>46199</v>
      </c>
      <c r="B58" s="6">
        <f t="shared" si="6"/>
        <v>26</v>
      </c>
      <c r="C58" s="6" t="str">
        <f t="shared" si="1"/>
        <v>June</v>
      </c>
      <c r="D58" s="6" t="s">
        <v>3</v>
      </c>
      <c r="E58" s="14">
        <f>+'Raw Data - Production'!D59+'Raw Data - Production'!E59</f>
        <v>0</v>
      </c>
      <c r="F58" s="15">
        <f>+'Raw Data - Production'!F59+'Raw Data - Production'!G59+'Raw Data - Production'!H59</f>
        <v>0</v>
      </c>
      <c r="G58" s="16">
        <f>+'Raw Data - Production'!J59+'Raw Data - Production'!K59+'Raw Data - Packing'!I59</f>
        <v>0</v>
      </c>
      <c r="H58" s="15">
        <f>+'Raw Data - Production'!L59+'Raw Data - Production'!M59+'Raw Data - Production'!N59+'Raw Data - Packing'!L59</f>
        <v>0</v>
      </c>
      <c r="I58" s="103">
        <f>SUMIF('Raw Data - Packing'!A:A,A58,'Raw Data - Packing'!D:D)</f>
        <v>0</v>
      </c>
      <c r="J58" s="15">
        <f>SUMIF('Raw Data - Packing'!A:A,A58,'Raw Data - Packing'!F:F)</f>
        <v>0</v>
      </c>
      <c r="K58" s="20"/>
      <c r="L58" s="105">
        <f t="shared" si="5"/>
        <v>0</v>
      </c>
      <c r="M58" s="105">
        <f t="shared" si="4"/>
        <v>2595</v>
      </c>
      <c r="N58" s="105">
        <f>+E58*Weights!$B$2</f>
        <v>0</v>
      </c>
      <c r="O58" s="105">
        <f>+F58*Weights!$B$4</f>
        <v>0</v>
      </c>
      <c r="Q58" s="135">
        <f t="shared" si="2"/>
        <v>0</v>
      </c>
      <c r="R58" s="126"/>
    </row>
    <row r="59" spans="1:20" x14ac:dyDescent="0.3">
      <c r="A59" s="4">
        <f>+'Raw Data - Production'!A60</f>
        <v>46202</v>
      </c>
      <c r="B59" s="6">
        <f t="shared" si="6"/>
        <v>27</v>
      </c>
      <c r="C59" s="6" t="str">
        <f t="shared" si="1"/>
        <v>June</v>
      </c>
      <c r="D59" s="6" t="s">
        <v>4</v>
      </c>
      <c r="E59" s="14">
        <f>+'Raw Data - Production'!D60+'Raw Data - Production'!E60</f>
        <v>79968</v>
      </c>
      <c r="F59" s="15">
        <f>+'Raw Data - Production'!F60+'Raw Data - Production'!G60+'Raw Data - Production'!H60</f>
        <v>13895</v>
      </c>
      <c r="G59" s="16">
        <f>+'Raw Data - Production'!J60+'Raw Data - Production'!K60+'Raw Data - Packing'!I60</f>
        <v>429</v>
      </c>
      <c r="H59" s="15">
        <f>+'Raw Data - Production'!L60+'Raw Data - Production'!M60+'Raw Data - Production'!N60+'Raw Data - Packing'!L60</f>
        <v>166</v>
      </c>
      <c r="I59" s="103">
        <f>SUMIF('Raw Data - Packing'!A:A,A59,'Raw Data - Packing'!D:D)</f>
        <v>60480</v>
      </c>
      <c r="J59" s="15">
        <f>SUMIF('Raw Data - Packing'!A:A,A59,'Raw Data - Packing'!F:F)</f>
        <v>14304</v>
      </c>
      <c r="K59" s="20"/>
      <c r="L59" s="120">
        <v>9000</v>
      </c>
      <c r="M59" s="105">
        <f>+F59-J59+M58-(H59/Weights!$B$4)</f>
        <v>1123.5999999999999</v>
      </c>
      <c r="N59" s="105">
        <f>+E59*Weights!$B$2</f>
        <v>5060.4749999999995</v>
      </c>
      <c r="O59" s="105">
        <f>+F59*Weights!$B$4</f>
        <v>2171.09375</v>
      </c>
      <c r="Q59" s="135">
        <f t="shared" si="2"/>
        <v>74784</v>
      </c>
      <c r="S59" s="126">
        <f>G59/Weights!$B$2</f>
        <v>6779.2592592592591</v>
      </c>
      <c r="T59" s="126"/>
    </row>
    <row r="60" spans="1:20" x14ac:dyDescent="0.3">
      <c r="A60" s="4">
        <f>+'Raw Data - Production'!A61</f>
        <v>46203</v>
      </c>
      <c r="B60" s="6">
        <f t="shared" si="6"/>
        <v>27</v>
      </c>
      <c r="C60" s="6" t="str">
        <f t="shared" si="1"/>
        <v>June</v>
      </c>
      <c r="D60" s="6" t="s">
        <v>4</v>
      </c>
      <c r="E60" s="14">
        <f>+'Raw Data - Production'!D61+'Raw Data - Production'!E61</f>
        <v>81726</v>
      </c>
      <c r="F60" s="15">
        <f>+'Raw Data - Production'!F61+'Raw Data - Production'!G61+'Raw Data - Production'!H61</f>
        <v>15645</v>
      </c>
      <c r="G60" s="16">
        <f>+'Raw Data - Production'!J61+'Raw Data - Production'!K61+'Raw Data - Packing'!I61</f>
        <v>358</v>
      </c>
      <c r="H60" s="15">
        <f>+'Raw Data - Production'!L61+'Raw Data - Production'!M61+'Raw Data - Production'!N61+'Raw Data - Packing'!L61</f>
        <v>591</v>
      </c>
      <c r="I60" s="103">
        <f>SUMIF('Raw Data - Packing'!A:A,A60,'Raw Data - Packing'!D:D)</f>
        <v>90780</v>
      </c>
      <c r="J60" s="15">
        <f>SUMIF('Raw Data - Packing'!A:A,A60,'Raw Data - Packing'!F:F)</f>
        <v>15104</v>
      </c>
      <c r="K60" s="20"/>
      <c r="L60" s="105">
        <v>0</v>
      </c>
      <c r="M60" s="105">
        <v>0</v>
      </c>
      <c r="N60" s="105">
        <f>+E60*Weights!$B$2</f>
        <v>5171.7234374999998</v>
      </c>
      <c r="O60" s="105">
        <f>+F60*Weights!$B$4</f>
        <v>2444.53125</v>
      </c>
      <c r="Q60" s="135">
        <f t="shared" si="2"/>
        <v>105884</v>
      </c>
      <c r="S60" s="126">
        <f>G60/Weights!$B$2</f>
        <v>5657.2839506172841</v>
      </c>
    </row>
    <row r="61" spans="1:20" x14ac:dyDescent="0.3">
      <c r="A61" s="4">
        <f>+'Raw Data - Production'!A62</f>
        <v>46204</v>
      </c>
      <c r="B61" s="6">
        <f t="shared" si="6"/>
        <v>27</v>
      </c>
      <c r="C61" s="6" t="str">
        <f t="shared" si="1"/>
        <v>July</v>
      </c>
      <c r="D61" s="6" t="s">
        <v>4</v>
      </c>
      <c r="E61" s="14">
        <f>+'Raw Data - Production'!D62+'Raw Data - Production'!E62</f>
        <v>72000</v>
      </c>
      <c r="F61" s="15">
        <f>+'Raw Data - Production'!F62+'Raw Data - Production'!G62+'Raw Data - Production'!H62</f>
        <v>13405</v>
      </c>
      <c r="G61" s="16">
        <f>+'Raw Data - Production'!J62+'Raw Data - Production'!K62+'Raw Data - Packing'!I62</f>
        <v>185</v>
      </c>
      <c r="H61" s="15">
        <f>+'Raw Data - Production'!L62+'Raw Data - Production'!M62+'Raw Data - Production'!N62+'Raw Data - Packing'!L62</f>
        <v>184</v>
      </c>
      <c r="I61" s="103">
        <f>SUMIF('Raw Data - Packing'!A:A,A61,'Raw Data - Packing'!D:D)</f>
        <v>68040</v>
      </c>
      <c r="J61" s="15">
        <f>SUMIF('Raw Data - Packing'!A:A,A61,'Raw Data - Packing'!F:F)</f>
        <v>11392</v>
      </c>
      <c r="K61" s="20"/>
      <c r="L61" s="105">
        <v>0</v>
      </c>
      <c r="M61" s="105">
        <f>12*150</f>
        <v>1800</v>
      </c>
      <c r="N61" s="105">
        <f>+E61*Weights!$B$2</f>
        <v>4556.25</v>
      </c>
      <c r="O61" s="105">
        <f>+F61*Weights!$B$4</f>
        <v>2094.53125</v>
      </c>
      <c r="Q61" s="135">
        <f t="shared" si="2"/>
        <v>79432</v>
      </c>
      <c r="S61" s="126">
        <f>G61/Weights!$B$2</f>
        <v>2923.4567901234568</v>
      </c>
    </row>
    <row r="62" spans="1:20" x14ac:dyDescent="0.3">
      <c r="A62" s="4">
        <f>+'Raw Data - Production'!A63</f>
        <v>46205</v>
      </c>
      <c r="B62" s="6">
        <f t="shared" si="6"/>
        <v>27</v>
      </c>
      <c r="C62" s="6" t="str">
        <f t="shared" si="1"/>
        <v>July</v>
      </c>
      <c r="D62" s="6" t="s">
        <v>4</v>
      </c>
      <c r="E62" s="14">
        <f>+'Raw Data - Production'!D63+'Raw Data - Production'!E63</f>
        <v>96096</v>
      </c>
      <c r="F62" s="15">
        <f>+'Raw Data - Production'!F63+'Raw Data - Production'!G63+'Raw Data - Production'!H63</f>
        <v>26565</v>
      </c>
      <c r="G62" s="16">
        <f>+'Raw Data - Production'!J63+'Raw Data - Production'!K63+'Raw Data - Packing'!I63</f>
        <v>360</v>
      </c>
      <c r="H62" s="15">
        <f>+'Raw Data - Production'!L63+'Raw Data - Production'!M63+'Raw Data - Production'!N63+'Raw Data - Packing'!L63</f>
        <v>112</v>
      </c>
      <c r="I62" s="103">
        <f>SUMIF('Raw Data - Packing'!A:A,A62,'Raw Data - Packing'!D:D)</f>
        <v>90060</v>
      </c>
      <c r="J62" s="15">
        <f>SUMIF('Raw Data - Packing'!A:A,A62,'Raw Data - Packing'!F:F)</f>
        <v>17504</v>
      </c>
      <c r="K62" s="20"/>
      <c r="L62" s="105">
        <v>8400</v>
      </c>
      <c r="M62" s="105">
        <v>4650</v>
      </c>
      <c r="N62" s="105">
        <f>+E62*Weights!$B$2</f>
        <v>6081.0749999999998</v>
      </c>
      <c r="O62" s="105">
        <f>+F62*Weights!$B$4</f>
        <v>4150.78125</v>
      </c>
      <c r="Q62" s="135">
        <f t="shared" si="2"/>
        <v>107564</v>
      </c>
      <c r="S62" s="126">
        <f>G62/Weights!$B$2</f>
        <v>5688.8888888888887</v>
      </c>
    </row>
    <row r="63" spans="1:20" x14ac:dyDescent="0.3">
      <c r="A63" s="4">
        <f>+'Raw Data - Production'!A64</f>
        <v>46206</v>
      </c>
      <c r="B63" s="6">
        <f t="shared" si="6"/>
        <v>27</v>
      </c>
      <c r="C63" s="6" t="str">
        <f t="shared" si="1"/>
        <v>July</v>
      </c>
      <c r="D63" s="6" t="s">
        <v>4</v>
      </c>
      <c r="E63" s="14">
        <f>+'Raw Data - Production'!D64+'Raw Data - Production'!E64</f>
        <v>0</v>
      </c>
      <c r="F63" s="15">
        <f>+'Raw Data - Production'!F64+'Raw Data - Production'!G64+'Raw Data - Production'!H64</f>
        <v>0</v>
      </c>
      <c r="G63" s="16">
        <f>+'Raw Data - Production'!J64+'Raw Data - Production'!K64+'Raw Data - Packing'!I64</f>
        <v>0</v>
      </c>
      <c r="H63" s="15">
        <f>+'Raw Data - Production'!L64+'Raw Data - Production'!M64+'Raw Data - Production'!N64+'Raw Data - Packing'!L64</f>
        <v>0</v>
      </c>
      <c r="I63" s="103">
        <f>SUMIF('Raw Data - Packing'!A:A,A63,'Raw Data - Packing'!D:D)</f>
        <v>0</v>
      </c>
      <c r="J63" s="15">
        <f>SUMIF('Raw Data - Packing'!A:A,A63,'Raw Data - Packing'!F:F)</f>
        <v>0</v>
      </c>
      <c r="K63" s="20"/>
      <c r="L63" s="105">
        <f>+E63-I63+L62-(G63/Weights!$B$2)</f>
        <v>8400</v>
      </c>
      <c r="M63" s="105">
        <f>+F63-J63+M62-(H63/Weights!$B$4)</f>
        <v>4650</v>
      </c>
      <c r="N63" s="105">
        <f>+E63*Weights!$B$2</f>
        <v>0</v>
      </c>
      <c r="O63" s="105">
        <f>+F63*Weights!$B$4</f>
        <v>0</v>
      </c>
      <c r="Q63" s="135">
        <f t="shared" si="2"/>
        <v>0</v>
      </c>
    </row>
    <row r="64" spans="1:20" x14ac:dyDescent="0.3">
      <c r="A64" s="4">
        <f>+'Raw Data - Production'!A65</f>
        <v>46209</v>
      </c>
      <c r="B64" s="6">
        <f t="shared" si="6"/>
        <v>28</v>
      </c>
      <c r="C64" s="6" t="str">
        <f t="shared" si="1"/>
        <v>July</v>
      </c>
      <c r="D64" s="6" t="s">
        <v>4</v>
      </c>
      <c r="E64" s="14">
        <f>+'Raw Data - Production'!D65+'Raw Data - Production'!E65</f>
        <v>55680</v>
      </c>
      <c r="F64" s="15">
        <f>+'Raw Data - Production'!F65+'Raw Data - Production'!G65+'Raw Data - Production'!H65</f>
        <v>6090</v>
      </c>
      <c r="G64" s="16">
        <f>+'Raw Data - Production'!J65+'Raw Data - Production'!K65+'Raw Data - Packing'!I65</f>
        <v>1233.98</v>
      </c>
      <c r="H64" s="15">
        <f>+'Raw Data - Production'!L65+'Raw Data - Production'!M65+'Raw Data - Production'!N65+'Raw Data - Packing'!L65</f>
        <v>270</v>
      </c>
      <c r="I64" s="103">
        <f>SUMIF('Raw Data - Packing'!A:A,A64,'Raw Data - Packing'!D:D)</f>
        <v>44580</v>
      </c>
      <c r="J64" s="15">
        <f>SUMIF('Raw Data - Packing'!A:A,A64,'Raw Data - Packing'!F:F)</f>
        <v>8470</v>
      </c>
      <c r="K64" s="20"/>
      <c r="L64" s="105">
        <f>+E64-I64+L63-(G64/Weights!$B$2)</f>
        <v>6.9135802466917085E-2</v>
      </c>
      <c r="M64" s="105">
        <f>+F64-J64+M63-(H64/Weights!$B$4)</f>
        <v>542</v>
      </c>
      <c r="N64" s="105">
        <f>+E64*Weights!$B$2</f>
        <v>3523.5</v>
      </c>
      <c r="O64" s="105">
        <f>+F64*Weights!$B$4</f>
        <v>951.5625</v>
      </c>
      <c r="Q64" s="135">
        <f t="shared" si="2"/>
        <v>53050</v>
      </c>
      <c r="S64" s="126">
        <f>G64/Weights!$B$2</f>
        <v>19499.930864197533</v>
      </c>
      <c r="T64" s="126"/>
    </row>
    <row r="65" spans="1:19" x14ac:dyDescent="0.3">
      <c r="A65" s="4">
        <f>+'Raw Data - Production'!A66</f>
        <v>46210</v>
      </c>
      <c r="B65" s="6">
        <f t="shared" si="6"/>
        <v>28</v>
      </c>
      <c r="C65" s="6" t="str">
        <f t="shared" si="1"/>
        <v>July</v>
      </c>
      <c r="D65" s="6" t="s">
        <v>4</v>
      </c>
      <c r="E65" s="14">
        <f>+'Raw Data - Production'!D66+'Raw Data - Production'!E66</f>
        <v>85824</v>
      </c>
      <c r="F65" s="15">
        <f>+'Raw Data - Production'!F66+'Raw Data - Production'!G66+'Raw Data - Production'!H66</f>
        <v>23415</v>
      </c>
      <c r="G65" s="16">
        <f>+'Raw Data - Production'!J66+'Raw Data - Production'!K66+'Raw Data - Packing'!I66</f>
        <v>426</v>
      </c>
      <c r="H65" s="15">
        <f>+'Raw Data - Production'!L66+'Raw Data - Production'!M66+'Raw Data - Production'!N66+'Raw Data - Packing'!L66</f>
        <v>221</v>
      </c>
      <c r="I65" s="103">
        <f>SUMIF('Raw Data - Packing'!A:A,A65,'Raw Data - Packing'!D:D)</f>
        <v>75600</v>
      </c>
      <c r="J65" s="15">
        <f>SUMIF('Raw Data - Packing'!A:A,A65,'Raw Data - Packing'!F:F)</f>
        <v>8640</v>
      </c>
      <c r="K65" s="20"/>
      <c r="L65" s="105">
        <f>+E65-I65+L64-(G65/Weights!$B$2)</f>
        <v>3492.2172839506147</v>
      </c>
      <c r="M65" s="105">
        <f>+F65-J65+M64-(H65/Weights!$B$4)</f>
        <v>13902.6</v>
      </c>
      <c r="N65" s="105">
        <f>+E65*Weights!$B$2</f>
        <v>5431.05</v>
      </c>
      <c r="O65" s="105">
        <f>+F65*Weights!$B$4</f>
        <v>3658.59375</v>
      </c>
      <c r="Q65" s="135">
        <f t="shared" si="2"/>
        <v>84240</v>
      </c>
      <c r="S65" s="126">
        <f>G65/Weights!$B$2</f>
        <v>6731.8518518518522</v>
      </c>
    </row>
    <row r="66" spans="1:19" x14ac:dyDescent="0.3">
      <c r="A66" s="4">
        <f>+'Raw Data - Production'!A67</f>
        <v>46211</v>
      </c>
      <c r="B66" s="6">
        <f t="shared" si="6"/>
        <v>28</v>
      </c>
      <c r="C66" s="6" t="str">
        <f t="shared" si="1"/>
        <v>July</v>
      </c>
      <c r="D66" s="6" t="s">
        <v>4</v>
      </c>
      <c r="E66" s="14">
        <f>+'Raw Data - Production'!D67+'Raw Data - Production'!E67</f>
        <v>62256</v>
      </c>
      <c r="F66" s="15">
        <f>+'Raw Data - Production'!F67+'Raw Data - Production'!G67+'Raw Data - Production'!H67</f>
        <v>20909</v>
      </c>
      <c r="G66" s="16">
        <f>+'Raw Data - Production'!J67+'Raw Data - Production'!K67+'Raw Data - Packing'!I67</f>
        <v>546</v>
      </c>
      <c r="H66" s="15">
        <f>+'Raw Data - Production'!L67+'Raw Data - Production'!M67+'Raw Data - Production'!N67+'Raw Data - Packing'!L67</f>
        <v>460</v>
      </c>
      <c r="I66" s="103">
        <f>SUMIF('Raw Data - Packing'!A:A,A66,'Raw Data - Packing'!D:D)</f>
        <v>30480</v>
      </c>
      <c r="J66" s="15">
        <f>SUMIF('Raw Data - Packing'!A:A,A66,'Raw Data - Packing'!F:F)</f>
        <v>9216</v>
      </c>
      <c r="K66" s="20"/>
      <c r="L66" s="105">
        <f>+E66-I66+L65-(G66/Weights!$B$2)</f>
        <v>26640.069135802471</v>
      </c>
      <c r="M66" s="105">
        <f>+F66-J66+M65-(H66/Weights!$B$4)</f>
        <v>22651.599999999999</v>
      </c>
      <c r="N66" s="105">
        <f>+E66*Weights!$B$2</f>
        <v>3939.6374999999998</v>
      </c>
      <c r="O66" s="105">
        <f>+F66*Weights!$B$4</f>
        <v>3267.03125</v>
      </c>
      <c r="Q66" s="135">
        <f t="shared" si="2"/>
        <v>39696</v>
      </c>
      <c r="S66" s="126">
        <f>G66/Weights!$B$2</f>
        <v>8628.1481481481478</v>
      </c>
    </row>
    <row r="67" spans="1:19" x14ac:dyDescent="0.3">
      <c r="A67" s="4">
        <f>+'Raw Data - Production'!A68</f>
        <v>46212</v>
      </c>
      <c r="B67" s="6">
        <f t="shared" si="6"/>
        <v>28</v>
      </c>
      <c r="C67" s="6" t="str">
        <f t="shared" ref="C67:C130" si="7">+TEXT(A67,"mmmm")</f>
        <v>July</v>
      </c>
      <c r="D67" s="6" t="s">
        <v>4</v>
      </c>
      <c r="E67" s="14">
        <f>+'Raw Data - Production'!D68+'Raw Data - Production'!E68</f>
        <v>66816</v>
      </c>
      <c r="F67" s="15">
        <f>+'Raw Data - Production'!F68+'Raw Data - Production'!G68+'Raw Data - Production'!H68</f>
        <v>31710</v>
      </c>
      <c r="G67" s="16">
        <f>+'Raw Data - Production'!J68+'Raw Data - Production'!K68+'Raw Data - Packing'!I68</f>
        <v>342</v>
      </c>
      <c r="H67" s="15">
        <f>+'Raw Data - Production'!L68+'Raw Data - Production'!M68+'Raw Data - Production'!N68+'Raw Data - Packing'!L68</f>
        <v>211</v>
      </c>
      <c r="I67" s="103">
        <f>SUMIF('Raw Data - Packing'!A:A,A67,'Raw Data - Packing'!D:D)</f>
        <v>0</v>
      </c>
      <c r="J67" s="15">
        <f>SUMIF('Raw Data - Packing'!A:A,A67,'Raw Data - Packing'!F:F)</f>
        <v>26775</v>
      </c>
      <c r="K67" s="20"/>
      <c r="L67" s="105">
        <f>+E67-I67+L66-(G67/Weights!$B$2)</f>
        <v>88051.62469135804</v>
      </c>
      <c r="M67" s="105">
        <f>+F67-J67+M66-(H67/Weights!$B$4)</f>
        <v>26236.199999999997</v>
      </c>
      <c r="N67" s="105">
        <f>+E67*Weights!$B$2</f>
        <v>4228.2</v>
      </c>
      <c r="O67" s="105">
        <f>+F67*Weights!$B$4</f>
        <v>4954.6875</v>
      </c>
      <c r="Q67" s="135">
        <f t="shared" ref="Q67:Q130" si="8">I67+J67</f>
        <v>26775</v>
      </c>
      <c r="S67" s="126">
        <f>G67/Weights!$B$2</f>
        <v>5404.4444444444443</v>
      </c>
    </row>
    <row r="68" spans="1:19" x14ac:dyDescent="0.3">
      <c r="A68" s="4">
        <f>+'Raw Data - Production'!A69</f>
        <v>46213</v>
      </c>
      <c r="B68" s="6">
        <f t="shared" si="6"/>
        <v>28</v>
      </c>
      <c r="C68" s="6" t="str">
        <f t="shared" si="7"/>
        <v>July</v>
      </c>
      <c r="D68" s="6" t="s">
        <v>4</v>
      </c>
      <c r="E68" s="14">
        <f>+'Raw Data - Production'!D69+'Raw Data - Production'!E69</f>
        <v>0</v>
      </c>
      <c r="F68" s="15">
        <f>+'Raw Data - Production'!F69+'Raw Data - Production'!G69+'Raw Data - Production'!H69</f>
        <v>0</v>
      </c>
      <c r="G68" s="16">
        <f>+'Raw Data - Production'!J69+'Raw Data - Production'!K69+'Raw Data - Packing'!I69</f>
        <v>0</v>
      </c>
      <c r="H68" s="15">
        <f>+'Raw Data - Production'!L69+'Raw Data - Production'!M69+'Raw Data - Production'!N69+'Raw Data - Packing'!L69</f>
        <v>0</v>
      </c>
      <c r="I68" s="103">
        <f>SUMIF('Raw Data - Packing'!A:A,A68,'Raw Data - Packing'!D:D)</f>
        <v>0</v>
      </c>
      <c r="J68" s="15">
        <f>SUMIF('Raw Data - Packing'!A:A,A68,'Raw Data - Packing'!F:F)</f>
        <v>0</v>
      </c>
      <c r="K68" s="20"/>
      <c r="L68" s="105">
        <f>+E68-I68+L67-(G68/Weights!$B$2)</f>
        <v>88051.62469135804</v>
      </c>
      <c r="M68" s="105">
        <f>+F68-J68+M67-(H68/Weights!$B$4)</f>
        <v>26236.199999999997</v>
      </c>
      <c r="N68" s="105">
        <f>+E68*Weights!$B$2</f>
        <v>0</v>
      </c>
      <c r="O68" s="105">
        <f>+F68*Weights!$B$4</f>
        <v>0</v>
      </c>
      <c r="Q68" s="135">
        <f t="shared" si="8"/>
        <v>0</v>
      </c>
    </row>
    <row r="69" spans="1:19" x14ac:dyDescent="0.3">
      <c r="A69" s="4">
        <f>+'Raw Data - Production'!A70</f>
        <v>46216</v>
      </c>
      <c r="B69" s="6">
        <f t="shared" si="6"/>
        <v>29</v>
      </c>
      <c r="C69" s="6" t="str">
        <f t="shared" si="7"/>
        <v>July</v>
      </c>
      <c r="D69" s="6" t="s">
        <v>4</v>
      </c>
      <c r="E69" s="14">
        <f>+'Raw Data - Production'!D70+'Raw Data - Production'!E70</f>
        <v>0</v>
      </c>
      <c r="F69" s="15">
        <f>+'Raw Data - Production'!F70+'Raw Data - Production'!G70+'Raw Data - Production'!H70</f>
        <v>0</v>
      </c>
      <c r="G69" s="16">
        <f>+'Raw Data - Production'!J70+'Raw Data - Production'!K70+'Raw Data - Packing'!I70</f>
        <v>0</v>
      </c>
      <c r="H69" s="15">
        <f>+'Raw Data - Production'!L70+'Raw Data - Production'!M70+'Raw Data - Production'!N70+'Raw Data - Packing'!L70</f>
        <v>0</v>
      </c>
      <c r="I69" s="103">
        <f>SUMIF('Raw Data - Packing'!A:A,A69,'Raw Data - Packing'!D:D)</f>
        <v>83250</v>
      </c>
      <c r="J69" s="15">
        <f>SUMIF('Raw Data - Packing'!A:A,A69,'Raw Data - Packing'!F:F)</f>
        <v>10080</v>
      </c>
      <c r="K69" s="20"/>
      <c r="L69" s="105">
        <v>0</v>
      </c>
      <c r="M69" s="105">
        <f>+F69-J69+M68-(H69/Weights!$B$4)</f>
        <v>16156.199999999997</v>
      </c>
      <c r="N69" s="105">
        <f>+E69*Weights!$B$2</f>
        <v>0</v>
      </c>
      <c r="O69" s="105">
        <f>+F69*Weights!$B$4</f>
        <v>0</v>
      </c>
      <c r="Q69" s="135">
        <f t="shared" si="8"/>
        <v>93330</v>
      </c>
    </row>
    <row r="70" spans="1:19" x14ac:dyDescent="0.3">
      <c r="A70" s="4">
        <f>+'Raw Data - Production'!A71</f>
        <v>46217</v>
      </c>
      <c r="B70" s="6">
        <f t="shared" si="6"/>
        <v>29</v>
      </c>
      <c r="C70" s="6" t="str">
        <f t="shared" si="7"/>
        <v>July</v>
      </c>
      <c r="D70" s="6" t="s">
        <v>4</v>
      </c>
      <c r="E70" s="14">
        <f>+'Raw Data - Production'!D71+'Raw Data - Production'!E71</f>
        <v>0</v>
      </c>
      <c r="F70" s="15">
        <f>+'Raw Data - Production'!F71+'Raw Data - Production'!G71+'Raw Data - Production'!H71</f>
        <v>0</v>
      </c>
      <c r="G70" s="16">
        <f>+'Raw Data - Production'!J71+'Raw Data - Production'!K71+'Raw Data - Packing'!I71</f>
        <v>0</v>
      </c>
      <c r="H70" s="15">
        <f>+'Raw Data - Production'!L71+'Raw Data - Production'!M71+'Raw Data - Production'!N71+'Raw Data - Packing'!L71</f>
        <v>0</v>
      </c>
      <c r="I70" s="103">
        <f>SUMIF('Raw Data - Packing'!A:A,A70,'Raw Data - Packing'!D:D)</f>
        <v>0</v>
      </c>
      <c r="J70" s="15">
        <f>SUMIF('Raw Data - Packing'!A:A,A70,'Raw Data - Packing'!F:F)</f>
        <v>0</v>
      </c>
      <c r="K70" s="20"/>
      <c r="L70" s="105">
        <f>+E70-I70+L69-(G70/Weights!$B$2)</f>
        <v>0</v>
      </c>
      <c r="M70" s="105">
        <f>+F70-J70+M69-(H70/Weights!$B$4)</f>
        <v>16156.199999999997</v>
      </c>
      <c r="N70" s="105">
        <f>+E70*Weights!$B$2</f>
        <v>0</v>
      </c>
      <c r="O70" s="105">
        <f>+F70*Weights!$B$4</f>
        <v>0</v>
      </c>
      <c r="Q70" s="135">
        <f t="shared" si="8"/>
        <v>0</v>
      </c>
    </row>
    <row r="71" spans="1:19" x14ac:dyDescent="0.3">
      <c r="A71" s="4">
        <f>+'Raw Data - Production'!A72</f>
        <v>46218</v>
      </c>
      <c r="B71" s="6">
        <f t="shared" si="6"/>
        <v>29</v>
      </c>
      <c r="C71" s="6" t="str">
        <f t="shared" si="7"/>
        <v>July</v>
      </c>
      <c r="D71" s="6" t="s">
        <v>4</v>
      </c>
      <c r="E71" s="14">
        <f>+'Raw Data - Production'!D72+'Raw Data - Production'!E72</f>
        <v>0</v>
      </c>
      <c r="F71" s="15">
        <f>+'Raw Data - Production'!F72+'Raw Data - Production'!G72+'Raw Data - Production'!H72</f>
        <v>0</v>
      </c>
      <c r="G71" s="16">
        <f>+'Raw Data - Production'!J72+'Raw Data - Production'!K72+'Raw Data - Packing'!I72</f>
        <v>0</v>
      </c>
      <c r="H71" s="15">
        <f>+'Raw Data - Production'!L72+'Raw Data - Production'!M72+'Raw Data - Production'!N72+'Raw Data - Packing'!L72</f>
        <v>0</v>
      </c>
      <c r="I71" s="103">
        <f>SUMIF('Raw Data - Packing'!A:A,A71,'Raw Data - Packing'!D:D)</f>
        <v>0</v>
      </c>
      <c r="J71" s="15">
        <f>SUMIF('Raw Data - Packing'!A:A,A71,'Raw Data - Packing'!F:F)</f>
        <v>0</v>
      </c>
      <c r="K71" s="20"/>
      <c r="L71" s="105">
        <f>+E71-I71+L70-(G71/Weights!$B$2)</f>
        <v>0</v>
      </c>
      <c r="M71" s="105">
        <f>+F71-J71+M70-(H71/Weights!$B$4)</f>
        <v>16156.199999999997</v>
      </c>
      <c r="N71" s="105">
        <f>+E71*Weights!$B$2</f>
        <v>0</v>
      </c>
      <c r="O71" s="105">
        <f>+F71*Weights!$B$4</f>
        <v>0</v>
      </c>
      <c r="Q71" s="135">
        <f t="shared" si="8"/>
        <v>0</v>
      </c>
    </row>
    <row r="72" spans="1:19" x14ac:dyDescent="0.3">
      <c r="A72" s="4">
        <f>+'Raw Data - Production'!A73</f>
        <v>46219</v>
      </c>
      <c r="B72" s="6">
        <f t="shared" si="6"/>
        <v>29</v>
      </c>
      <c r="C72" s="6" t="str">
        <f t="shared" si="7"/>
        <v>July</v>
      </c>
      <c r="D72" s="6" t="s">
        <v>4</v>
      </c>
      <c r="E72" s="14">
        <f>+'Raw Data - Production'!D73+'Raw Data - Production'!E73</f>
        <v>0</v>
      </c>
      <c r="F72" s="15">
        <f>+'Raw Data - Production'!F73+'Raw Data - Production'!G73+'Raw Data - Production'!H73</f>
        <v>0</v>
      </c>
      <c r="G72" s="16">
        <f>+'Raw Data - Production'!J73+'Raw Data - Production'!K73+'Raw Data - Packing'!I73</f>
        <v>0</v>
      </c>
      <c r="H72" s="15">
        <f>+'Raw Data - Production'!L73+'Raw Data - Production'!M73+'Raw Data - Production'!N73+'Raw Data - Packing'!L73</f>
        <v>0</v>
      </c>
      <c r="I72" s="103">
        <f>SUMIF('Raw Data - Packing'!A:A,A72,'Raw Data - Packing'!D:D)</f>
        <v>0</v>
      </c>
      <c r="J72" s="15">
        <f>SUMIF('Raw Data - Packing'!A:A,A72,'Raw Data - Packing'!F:F)</f>
        <v>6160</v>
      </c>
      <c r="K72" s="20"/>
      <c r="L72" s="105">
        <f>+E72-I72+L71-(G72/Weights!$B$2)</f>
        <v>0</v>
      </c>
      <c r="M72" s="105">
        <f>+F72-J72+M71-(H72/Weights!$B$4)</f>
        <v>9996.1999999999971</v>
      </c>
      <c r="N72" s="105">
        <f>+E72*Weights!$B$2</f>
        <v>0</v>
      </c>
      <c r="O72" s="105">
        <f>+F72*Weights!$B$4</f>
        <v>0</v>
      </c>
      <c r="Q72" s="135">
        <f t="shared" si="8"/>
        <v>6160</v>
      </c>
    </row>
    <row r="73" spans="1:19" x14ac:dyDescent="0.3">
      <c r="A73" s="4">
        <f>+'Raw Data - Production'!A74</f>
        <v>46220</v>
      </c>
      <c r="B73" s="6">
        <f t="shared" si="6"/>
        <v>29</v>
      </c>
      <c r="C73" s="6" t="str">
        <f t="shared" si="7"/>
        <v>July</v>
      </c>
      <c r="D73" s="6" t="s">
        <v>4</v>
      </c>
      <c r="E73" s="14">
        <f>+'Raw Data - Production'!D74+'Raw Data - Production'!E74</f>
        <v>0</v>
      </c>
      <c r="F73" s="15">
        <f>+'Raw Data - Production'!F74+'Raw Data - Production'!G74+'Raw Data - Production'!H74</f>
        <v>0</v>
      </c>
      <c r="G73" s="16">
        <f>+'Raw Data - Production'!J74+'Raw Data - Production'!K74+'Raw Data - Packing'!I74</f>
        <v>0</v>
      </c>
      <c r="H73" s="15">
        <f>+'Raw Data - Production'!L74+'Raw Data - Production'!M74+'Raw Data - Production'!N74+'Raw Data - Packing'!L74</f>
        <v>0</v>
      </c>
      <c r="I73" s="103">
        <f>SUMIF('Raw Data - Packing'!A:A,A73,'Raw Data - Packing'!D:D)</f>
        <v>0</v>
      </c>
      <c r="J73" s="15">
        <f>SUMIF('Raw Data - Packing'!A:A,A73,'Raw Data - Packing'!F:F)</f>
        <v>0</v>
      </c>
      <c r="K73" s="20"/>
      <c r="L73" s="105">
        <f>+E73-I73+L72-(G73/Weights!$B$2)</f>
        <v>0</v>
      </c>
      <c r="M73" s="105">
        <f>+F73-J73+M72-(H73/Weights!$B$4)</f>
        <v>9996.1999999999971</v>
      </c>
      <c r="N73" s="105">
        <f>+E73*Weights!$B$2</f>
        <v>0</v>
      </c>
      <c r="O73" s="105">
        <f>+F73*Weights!$B$4</f>
        <v>0</v>
      </c>
      <c r="Q73" s="135">
        <f t="shared" si="8"/>
        <v>0</v>
      </c>
    </row>
    <row r="74" spans="1:19" x14ac:dyDescent="0.3">
      <c r="A74" s="4">
        <f>+'Raw Data - Production'!A75</f>
        <v>46223</v>
      </c>
      <c r="B74" s="6">
        <f t="shared" si="6"/>
        <v>30</v>
      </c>
      <c r="C74" s="6" t="str">
        <f t="shared" si="7"/>
        <v>July</v>
      </c>
      <c r="D74" s="6" t="s">
        <v>4</v>
      </c>
      <c r="E74" s="14">
        <f>+'Raw Data - Production'!D75+'Raw Data - Production'!E75</f>
        <v>52800</v>
      </c>
      <c r="F74" s="15">
        <f>+'Raw Data - Production'!F75+'Raw Data - Production'!G75+'Raw Data - Production'!H75</f>
        <v>0</v>
      </c>
      <c r="G74" s="16">
        <f>+'Raw Data - Production'!J75+'Raw Data - Production'!K75+'Raw Data - Packing'!I75</f>
        <v>200</v>
      </c>
      <c r="H74" s="15">
        <f>+'Raw Data - Production'!L75+'Raw Data - Production'!M75+'Raw Data - Production'!N75+'Raw Data - Packing'!L75</f>
        <v>0</v>
      </c>
      <c r="I74" s="103">
        <f>SUMIF('Raw Data - Packing'!A:A,A74,'Raw Data - Packing'!D:D)</f>
        <v>0</v>
      </c>
      <c r="J74" s="15">
        <f>SUMIF('Raw Data - Packing'!A:A,A74,'Raw Data - Packing'!F:F)</f>
        <v>0</v>
      </c>
      <c r="K74" s="20"/>
      <c r="L74" s="105">
        <f>+E74-I74+L73-(G74/Weights!$B$2)</f>
        <v>49639.506172839509</v>
      </c>
      <c r="M74" s="105">
        <f>+F74-J74+M73-(H74/Weights!$B$4)</f>
        <v>9996.1999999999971</v>
      </c>
      <c r="N74" s="105">
        <f>+E74*Weights!$B$2</f>
        <v>3341.25</v>
      </c>
      <c r="O74" s="105">
        <f>+F74*Weights!$B$4</f>
        <v>0</v>
      </c>
      <c r="Q74" s="135">
        <f t="shared" si="8"/>
        <v>0</v>
      </c>
    </row>
    <row r="75" spans="1:19" x14ac:dyDescent="0.3">
      <c r="A75" s="4">
        <f>+'Raw Data - Production'!A76</f>
        <v>46224</v>
      </c>
      <c r="B75" s="6">
        <f t="shared" si="6"/>
        <v>30</v>
      </c>
      <c r="C75" s="6" t="str">
        <f t="shared" si="7"/>
        <v>July</v>
      </c>
      <c r="D75" s="6" t="s">
        <v>4</v>
      </c>
      <c r="E75" s="14">
        <f>+'Raw Data - Production'!D76+'Raw Data - Production'!E76</f>
        <v>82848</v>
      </c>
      <c r="F75" s="15">
        <f>+'Raw Data - Production'!F76+'Raw Data - Production'!G76+'Raw Data - Production'!H76</f>
        <v>29645</v>
      </c>
      <c r="G75" s="16">
        <f>+'Raw Data - Production'!J76+'Raw Data - Production'!K76+'Raw Data - Packing'!I76</f>
        <v>277</v>
      </c>
      <c r="H75" s="15">
        <f>+'Raw Data - Production'!L76+'Raw Data - Production'!M76+'Raw Data - Production'!N76+'Raw Data - Packing'!L76</f>
        <v>570</v>
      </c>
      <c r="I75" s="103">
        <f>SUMIF('Raw Data - Packing'!A:A,A75,'Raw Data - Packing'!D:D)</f>
        <v>0</v>
      </c>
      <c r="J75" s="15">
        <f>SUMIF('Raw Data - Packing'!A:A,A75,'Raw Data - Packing'!F:F)</f>
        <v>21440</v>
      </c>
      <c r="K75" s="20"/>
      <c r="L75" s="105">
        <f>+E75-I75+L74-(G75/Weights!$B$2)</f>
        <v>128110.2222222222</v>
      </c>
      <c r="M75" s="105">
        <f>+F75-J75+M74-(H75/Weights!$B$4)</f>
        <v>14553.199999999997</v>
      </c>
      <c r="N75" s="105">
        <f>+E75*Weights!$B$2</f>
        <v>5242.7249999999995</v>
      </c>
      <c r="O75" s="105">
        <f>+F75*Weights!$B$4</f>
        <v>4632.03125</v>
      </c>
      <c r="Q75" s="135">
        <f t="shared" si="8"/>
        <v>21440</v>
      </c>
      <c r="S75">
        <f>470/Weights!B4</f>
        <v>3008</v>
      </c>
    </row>
    <row r="76" spans="1:19" x14ac:dyDescent="0.3">
      <c r="A76" s="4">
        <f>+'Raw Data - Production'!A77</f>
        <v>46225</v>
      </c>
      <c r="B76" s="6">
        <f t="shared" si="6"/>
        <v>30</v>
      </c>
      <c r="C76" s="6" t="str">
        <f t="shared" si="7"/>
        <v>July</v>
      </c>
      <c r="D76" s="6" t="s">
        <v>4</v>
      </c>
      <c r="E76" s="14">
        <f>+'Raw Data - Production'!D77+'Raw Data - Production'!E77</f>
        <v>73296</v>
      </c>
      <c r="F76" s="15">
        <f>+'Raw Data - Production'!F77+'Raw Data - Production'!G77+'Raw Data - Production'!H77</f>
        <v>23800</v>
      </c>
      <c r="G76" s="16">
        <f>+'Raw Data - Production'!J77+'Raw Data - Production'!K77+'Raw Data - Packing'!I77</f>
        <v>510</v>
      </c>
      <c r="H76" s="15">
        <f>+'Raw Data - Production'!L77+'Raw Data - Production'!M77+'Raw Data - Production'!N77+'Raw Data - Packing'!L77</f>
        <v>512</v>
      </c>
      <c r="I76" s="103">
        <f>SUMIF('Raw Data - Packing'!A:A,A76,'Raw Data - Packing'!D:D)</f>
        <v>37800</v>
      </c>
      <c r="J76" s="15">
        <f>SUMIF('Raw Data - Packing'!A:A,A76,'Raw Data - Packing'!F:F)</f>
        <v>32704</v>
      </c>
      <c r="K76" s="20"/>
      <c r="L76" s="105">
        <f>+E76-I76+L75-(G76/Weights!$B$2)</f>
        <v>155546.96296296292</v>
      </c>
      <c r="M76" s="105">
        <f>+F76-J76+M75-(H76/Weights!$B$4)</f>
        <v>2372.3999999999969</v>
      </c>
      <c r="N76" s="105">
        <f>+E76*Weights!$B$2</f>
        <v>4638.2624999999998</v>
      </c>
      <c r="O76" s="105">
        <f>+F76*Weights!$B$4</f>
        <v>3718.75</v>
      </c>
      <c r="Q76" s="135">
        <f t="shared" si="8"/>
        <v>70504</v>
      </c>
    </row>
    <row r="77" spans="1:19" x14ac:dyDescent="0.3">
      <c r="A77" s="4">
        <f>+'Raw Data - Production'!A78</f>
        <v>46226</v>
      </c>
      <c r="B77" s="6">
        <f t="shared" si="6"/>
        <v>30</v>
      </c>
      <c r="C77" s="6" t="str">
        <f t="shared" si="7"/>
        <v>July</v>
      </c>
      <c r="D77" s="6" t="s">
        <v>4</v>
      </c>
      <c r="E77" s="14">
        <f>+'Raw Data - Production'!D78+'Raw Data - Production'!E78</f>
        <v>75264</v>
      </c>
      <c r="F77" s="15">
        <f>+'Raw Data - Production'!F78+'Raw Data - Production'!G78+'Raw Data - Production'!H78</f>
        <v>21542.5</v>
      </c>
      <c r="G77" s="16">
        <f>+'Raw Data - Production'!J78+'Raw Data - Production'!K78+'Raw Data - Packing'!I78</f>
        <v>373</v>
      </c>
      <c r="H77" s="15">
        <f>+'Raw Data - Production'!L78+'Raw Data - Production'!M78+'Raw Data - Production'!N78+'Raw Data - Packing'!L78</f>
        <v>573</v>
      </c>
      <c r="I77" s="103">
        <f>SUMIF('Raw Data - Packing'!A:A,A77,'Raw Data - Packing'!D:D)</f>
        <v>60480</v>
      </c>
      <c r="J77" s="15">
        <f>SUMIF('Raw Data - Packing'!A:A,A77,'Raw Data - Packing'!F:F)</f>
        <v>24288</v>
      </c>
      <c r="K77" s="20"/>
      <c r="L77" s="105">
        <f>+E77-I77+L76-(G77/Weights!$B$2)</f>
        <v>164436.64197530859</v>
      </c>
      <c r="M77" s="105">
        <f>13*150</f>
        <v>1950</v>
      </c>
      <c r="N77" s="105">
        <f>+E77*Weights!$B$2</f>
        <v>4762.8</v>
      </c>
      <c r="O77" s="105">
        <f>+F77*Weights!$B$4</f>
        <v>3366.015625</v>
      </c>
      <c r="Q77" s="135">
        <f t="shared" si="8"/>
        <v>84768</v>
      </c>
    </row>
    <row r="78" spans="1:19" x14ac:dyDescent="0.3">
      <c r="A78" s="4">
        <f>+'Raw Data - Production'!A79</f>
        <v>46227</v>
      </c>
      <c r="B78" s="6">
        <f t="shared" si="6"/>
        <v>30</v>
      </c>
      <c r="C78" s="6" t="str">
        <f t="shared" si="7"/>
        <v>July</v>
      </c>
      <c r="D78" s="6" t="s">
        <v>4</v>
      </c>
      <c r="E78" s="14">
        <f>+'Raw Data - Production'!D79+'Raw Data - Production'!E79</f>
        <v>0</v>
      </c>
      <c r="F78" s="15">
        <f>+'Raw Data - Production'!F79+'Raw Data - Production'!G79+'Raw Data - Production'!H79</f>
        <v>0</v>
      </c>
      <c r="G78" s="16">
        <f>+'Raw Data - Production'!J79+'Raw Data - Production'!K79+'Raw Data - Packing'!I79</f>
        <v>147</v>
      </c>
      <c r="H78" s="15">
        <f>+'Raw Data - Production'!L79+'Raw Data - Production'!M79+'Raw Data - Production'!N79+'Raw Data - Packing'!L79</f>
        <v>0</v>
      </c>
      <c r="I78" s="103">
        <f>SUMIF('Raw Data - Packing'!A:A,A78,'Raw Data - Packing'!D:D)</f>
        <v>87135</v>
      </c>
      <c r="J78" s="15">
        <f>SUMIF('Raw Data - Packing'!A:A,A78,'Raw Data - Packing'!F:F)</f>
        <v>1888</v>
      </c>
      <c r="K78" s="20"/>
      <c r="L78" s="105">
        <f>+E78-I78+L77-(G78/Weights!$B$2)</f>
        <v>74978.67901234563</v>
      </c>
      <c r="M78" s="105">
        <v>0</v>
      </c>
      <c r="N78" s="105">
        <f>+E78*Weights!$B$2</f>
        <v>0</v>
      </c>
      <c r="O78" s="105">
        <f>+F78*Weights!$B$4</f>
        <v>0</v>
      </c>
      <c r="Q78" s="135">
        <f t="shared" si="8"/>
        <v>89023</v>
      </c>
    </row>
    <row r="79" spans="1:19" x14ac:dyDescent="0.3">
      <c r="A79" s="4">
        <f>+'Raw Data - Production'!A80</f>
        <v>46230</v>
      </c>
      <c r="B79" s="6">
        <f t="shared" si="6"/>
        <v>31</v>
      </c>
      <c r="C79" s="6" t="str">
        <f t="shared" si="7"/>
        <v>July</v>
      </c>
      <c r="D79" s="6" t="s">
        <v>4</v>
      </c>
      <c r="E79" s="14">
        <f>+'Raw Data - Production'!D80+'Raw Data - Production'!E80</f>
        <v>56448</v>
      </c>
      <c r="F79" s="15">
        <f>+'Raw Data - Production'!F80+'Raw Data - Production'!G80+'Raw Data - Production'!H80</f>
        <v>25392.5</v>
      </c>
      <c r="G79" s="16">
        <f>+'Raw Data - Production'!J80+'Raw Data - Production'!K80+'Raw Data - Packing'!I80</f>
        <v>424</v>
      </c>
      <c r="H79" s="15">
        <f>+'Raw Data - Production'!L80+'Raw Data - Production'!M80+'Raw Data - Production'!N80+'Raw Data - Packing'!L80</f>
        <v>183</v>
      </c>
      <c r="I79" s="103">
        <f>SUMIF('Raw Data - Packing'!A:A,A79,'Raw Data - Packing'!D:D)</f>
        <v>62490</v>
      </c>
      <c r="J79" s="15">
        <f>SUMIF('Raw Data - Packing'!A:A,A79,'Raw Data - Packing'!F:F)</f>
        <v>19392</v>
      </c>
      <c r="K79" s="20"/>
      <c r="L79" s="105">
        <f>+E79-I79+L78-(G79/Weights!$B$2)</f>
        <v>62236.432098765385</v>
      </c>
      <c r="M79" s="105">
        <f>+F79-J79+M78-(H79/Weights!$B$4)</f>
        <v>4829.3</v>
      </c>
      <c r="N79" s="105">
        <f>+E79*Weights!$B$2</f>
        <v>3572.1</v>
      </c>
      <c r="O79" s="105">
        <f>+F79*Weights!$B$4</f>
        <v>3967.578125</v>
      </c>
      <c r="Q79" s="135">
        <f t="shared" si="8"/>
        <v>81882</v>
      </c>
    </row>
    <row r="80" spans="1:19" x14ac:dyDescent="0.3">
      <c r="A80" s="4">
        <f>+'Raw Data - Production'!A81</f>
        <v>46231</v>
      </c>
      <c r="B80" s="6">
        <f t="shared" si="6"/>
        <v>31</v>
      </c>
      <c r="C80" s="6" t="str">
        <f t="shared" si="7"/>
        <v>July</v>
      </c>
      <c r="D80" s="6" t="s">
        <v>4</v>
      </c>
      <c r="E80" s="14">
        <f>+'Raw Data - Production'!D81+'Raw Data - Production'!E81</f>
        <v>48888</v>
      </c>
      <c r="F80" s="15">
        <f>+'Raw Data - Production'!F81+'Raw Data - Production'!G81+'Raw Data - Production'!H81</f>
        <v>29662</v>
      </c>
      <c r="G80" s="16">
        <f>+'Raw Data - Production'!J81+'Raw Data - Production'!K81+'Raw Data - Packing'!I81</f>
        <v>198</v>
      </c>
      <c r="H80" s="15">
        <f>+'Raw Data - Production'!L81+'Raw Data - Production'!M81+'Raw Data - Production'!N81+'Raw Data - Packing'!L81</f>
        <v>154</v>
      </c>
      <c r="I80" s="103">
        <f>SUMIF('Raw Data - Packing'!A:A,A80,'Raw Data - Packing'!D:D)</f>
        <v>104775</v>
      </c>
      <c r="J80" s="15">
        <f>SUMIF('Raw Data - Packing'!A:A,A80,'Raw Data - Packing'!F:F)</f>
        <v>26944</v>
      </c>
      <c r="K80" s="20"/>
      <c r="L80" s="105">
        <f>+E80-I80+L79-(G80/Weights!$B$2)</f>
        <v>3220.5432098764954</v>
      </c>
      <c r="M80" s="105">
        <f>+F80-J80+M79-(H80/Weights!$B$4)</f>
        <v>6561.7</v>
      </c>
      <c r="N80" s="105">
        <f>+E80*Weights!$B$2</f>
        <v>3093.6937499999999</v>
      </c>
      <c r="O80" s="105">
        <f>+F80*Weights!$B$4</f>
        <v>4634.6875</v>
      </c>
      <c r="Q80" s="135">
        <f t="shared" si="8"/>
        <v>131719</v>
      </c>
    </row>
    <row r="81" spans="1:20" x14ac:dyDescent="0.3">
      <c r="A81" s="4">
        <f>+'Raw Data - Production'!A82</f>
        <v>46232</v>
      </c>
      <c r="B81" s="6">
        <f t="shared" si="6"/>
        <v>31</v>
      </c>
      <c r="C81" s="6" t="str">
        <f t="shared" si="7"/>
        <v>July</v>
      </c>
      <c r="D81" s="6" t="s">
        <v>4</v>
      </c>
      <c r="E81" s="14">
        <f>+'Raw Data - Production'!D82+'Raw Data - Production'!E82</f>
        <v>60960</v>
      </c>
      <c r="F81" s="15">
        <f>+'Raw Data - Production'!F82+'Raw Data - Production'!G82+'Raw Data - Production'!H82</f>
        <v>34527.5</v>
      </c>
      <c r="G81" s="16">
        <f>+'Raw Data - Production'!J82+'Raw Data - Production'!K82+'Raw Data - Packing'!I82</f>
        <v>370.85</v>
      </c>
      <c r="H81" s="15">
        <f>+'Raw Data - Production'!L82+'Raw Data - Production'!M82+'Raw Data - Production'!N82+'Raw Data - Packing'!L82</f>
        <v>1134</v>
      </c>
      <c r="I81" s="103">
        <f>SUMIF('Raw Data - Packing'!A:A,A81,'Raw Data - Packing'!D:D)</f>
        <v>58320</v>
      </c>
      <c r="J81" s="15">
        <f>SUMIF('Raw Data - Packing'!A:A,A81,'Raw Data - Packing'!F:F)</f>
        <v>22560</v>
      </c>
      <c r="K81" s="20"/>
      <c r="L81" s="105">
        <f>+E81-I81+L80-(G81/Weights!$B$2)</f>
        <v>0.19753086414948484</v>
      </c>
      <c r="M81" s="105">
        <f>+F81-J81+M80-(H81/Weights!$B$4)</f>
        <v>11271.6</v>
      </c>
      <c r="N81" s="105">
        <f>+E81*Weights!$B$2</f>
        <v>3857.625</v>
      </c>
      <c r="O81" s="105">
        <f>+F81*Weights!$B$4</f>
        <v>5394.921875</v>
      </c>
      <c r="Q81" s="135">
        <f t="shared" si="8"/>
        <v>80880</v>
      </c>
    </row>
    <row r="82" spans="1:20" x14ac:dyDescent="0.3">
      <c r="A82" s="4">
        <f>+'Raw Data - Production'!A83</f>
        <v>46233</v>
      </c>
      <c r="B82" s="6">
        <f t="shared" si="6"/>
        <v>31</v>
      </c>
      <c r="C82" s="6" t="str">
        <f t="shared" si="7"/>
        <v>July</v>
      </c>
      <c r="D82" s="6" t="s">
        <v>4</v>
      </c>
      <c r="E82" s="14">
        <f>+'Raw Data - Production'!D83+'Raw Data - Production'!E83</f>
        <v>0</v>
      </c>
      <c r="F82" s="15">
        <f>+'Raw Data - Production'!F83+'Raw Data - Production'!G83+'Raw Data - Production'!H83</f>
        <v>0</v>
      </c>
      <c r="G82" s="16">
        <f>+'Raw Data - Production'!J83+'Raw Data - Production'!K83+'Raw Data - Packing'!I83</f>
        <v>0</v>
      </c>
      <c r="H82" s="15">
        <f>+'Raw Data - Production'!L83+'Raw Data - Production'!M83+'Raw Data - Production'!N83+'Raw Data - Packing'!L83</f>
        <v>0</v>
      </c>
      <c r="I82" s="103">
        <f>SUMIF('Raw Data - Packing'!A:A,A82,'Raw Data - Packing'!D:D)</f>
        <v>0</v>
      </c>
      <c r="J82" s="15">
        <f>SUMIF('Raw Data - Packing'!A:A,A82,'Raw Data - Packing'!F:F)</f>
        <v>0</v>
      </c>
      <c r="K82" s="20"/>
      <c r="L82" s="105">
        <f>+E82-I82+L81-(G82/Weights!$B$2)</f>
        <v>0.19753086414948484</v>
      </c>
      <c r="M82" s="105">
        <f>+F82-J82+M81-(H82/Weights!$B$4)</f>
        <v>11271.6</v>
      </c>
      <c r="N82" s="105">
        <f>+E82*Weights!$B$2</f>
        <v>0</v>
      </c>
      <c r="O82" s="105">
        <f>+F82*Weights!$B$4</f>
        <v>0</v>
      </c>
      <c r="Q82" s="135">
        <f t="shared" si="8"/>
        <v>0</v>
      </c>
    </row>
    <row r="83" spans="1:20" x14ac:dyDescent="0.3">
      <c r="A83" s="4">
        <f>+'Raw Data - Production'!A84</f>
        <v>46234</v>
      </c>
      <c r="B83" s="6">
        <f t="shared" si="6"/>
        <v>31</v>
      </c>
      <c r="C83" s="6" t="str">
        <f t="shared" si="7"/>
        <v>July</v>
      </c>
      <c r="D83" s="6" t="s">
        <v>4</v>
      </c>
      <c r="E83" s="14">
        <f>+'Raw Data - Production'!D84+'Raw Data - Production'!E84</f>
        <v>0</v>
      </c>
      <c r="F83" s="15">
        <f>+'Raw Data - Production'!F84+'Raw Data - Production'!G84+'Raw Data - Production'!H84</f>
        <v>0</v>
      </c>
      <c r="G83" s="16">
        <f>+'Raw Data - Production'!J84+'Raw Data - Production'!K84+'Raw Data - Packing'!I84</f>
        <v>0</v>
      </c>
      <c r="H83" s="15">
        <f>+'Raw Data - Production'!L84+'Raw Data - Production'!M84+'Raw Data - Production'!N84+'Raw Data - Packing'!L84</f>
        <v>0</v>
      </c>
      <c r="I83" s="103">
        <f>SUMIF('Raw Data - Packing'!A:A,A83,'Raw Data - Packing'!D:D)</f>
        <v>0</v>
      </c>
      <c r="J83" s="15">
        <f>SUMIF('Raw Data - Packing'!A:A,A83,'Raw Data - Packing'!F:F)</f>
        <v>0</v>
      </c>
      <c r="K83" s="20"/>
      <c r="L83" s="105">
        <f>+E83-I83+L82-(G83/Weights!$B$2)</f>
        <v>0.19753086414948484</v>
      </c>
      <c r="M83" s="105">
        <f>+F83-J83+M82-(H83/Weights!$B$4)</f>
        <v>11271.6</v>
      </c>
      <c r="N83" s="105">
        <f>+E83*Weights!$B$2</f>
        <v>0</v>
      </c>
      <c r="O83" s="105">
        <f>+F83*Weights!$B$4</f>
        <v>0</v>
      </c>
      <c r="Q83" s="135">
        <f t="shared" si="8"/>
        <v>0</v>
      </c>
    </row>
    <row r="84" spans="1:20" x14ac:dyDescent="0.3">
      <c r="A84" s="4">
        <f>+'Raw Data - Production'!A85</f>
        <v>46237</v>
      </c>
      <c r="B84" s="6">
        <f t="shared" si="6"/>
        <v>32</v>
      </c>
      <c r="C84" s="6" t="str">
        <f t="shared" si="7"/>
        <v>August</v>
      </c>
      <c r="E84" s="14">
        <f>+'Raw Data - Production'!D85+'Raw Data - Production'!E85</f>
        <v>0</v>
      </c>
      <c r="F84" s="15">
        <f>+'Raw Data - Production'!F85+'Raw Data - Production'!G85+'Raw Data - Production'!H85</f>
        <v>0</v>
      </c>
      <c r="G84" s="16">
        <f>+'Raw Data - Production'!J85+'Raw Data - Production'!K85+'Raw Data - Packing'!I85</f>
        <v>0</v>
      </c>
      <c r="H84" s="15">
        <f>+'Raw Data - Production'!L85+'Raw Data - Production'!M85+'Raw Data - Production'!N85+'Raw Data - Packing'!L85</f>
        <v>0</v>
      </c>
      <c r="I84" s="103">
        <f>SUMIF('Raw Data - Packing'!A:A,A84,'Raw Data - Packing'!D:D)</f>
        <v>0</v>
      </c>
      <c r="J84" s="15">
        <f>SUMIF('Raw Data - Packing'!A:A,A84,'Raw Data - Packing'!F:F)</f>
        <v>0</v>
      </c>
      <c r="K84" s="20"/>
      <c r="L84" s="105">
        <f>+E84-I84+L83-(G84/Weights!$B$2)</f>
        <v>0.19753086414948484</v>
      </c>
      <c r="M84" s="105">
        <f>+F84-J84+M83-(H84/Weights!$B$4)</f>
        <v>11271.6</v>
      </c>
      <c r="N84" s="105">
        <f>+E84*Weights!$B$2</f>
        <v>0</v>
      </c>
      <c r="O84" s="105">
        <f>+F84*Weights!$B$4</f>
        <v>0</v>
      </c>
      <c r="Q84" s="135">
        <f t="shared" si="8"/>
        <v>0</v>
      </c>
    </row>
    <row r="85" spans="1:20" x14ac:dyDescent="0.3">
      <c r="A85" s="4">
        <f>+'Raw Data - Production'!A86</f>
        <v>46238</v>
      </c>
      <c r="B85" s="6">
        <f t="shared" si="6"/>
        <v>32</v>
      </c>
      <c r="C85" s="6" t="str">
        <f t="shared" si="7"/>
        <v>August</v>
      </c>
      <c r="E85" s="14">
        <f>+'Raw Data - Production'!D86+'Raw Data - Production'!E86</f>
        <v>0</v>
      </c>
      <c r="F85" s="15">
        <f>+'Raw Data - Production'!F86+'Raw Data - Production'!G86+'Raw Data - Production'!H86</f>
        <v>0</v>
      </c>
      <c r="G85" s="16">
        <f>+'Raw Data - Production'!J86+'Raw Data - Production'!K86+'Raw Data - Packing'!I86</f>
        <v>0</v>
      </c>
      <c r="H85" s="15">
        <f>+'Raw Data - Production'!L86+'Raw Data - Production'!M86+'Raw Data - Production'!N86+'Raw Data - Packing'!L86</f>
        <v>0</v>
      </c>
      <c r="I85" s="103">
        <f>SUMIF('Raw Data - Packing'!A:A,A85,'Raw Data - Packing'!D:D)</f>
        <v>0</v>
      </c>
      <c r="J85" s="15">
        <f>SUMIF('Raw Data - Packing'!A:A,A85,'Raw Data - Packing'!F:F)</f>
        <v>0</v>
      </c>
      <c r="K85" s="20"/>
      <c r="L85" s="105">
        <f>+E85-I85+L84-(G85/Weights!$B$2)</f>
        <v>0.19753086414948484</v>
      </c>
      <c r="M85" s="105">
        <f>+F85-J85+M84-(H85/Weights!$B$4)</f>
        <v>11271.6</v>
      </c>
      <c r="N85" s="105">
        <f>+E85*Weights!$B$2</f>
        <v>0</v>
      </c>
      <c r="O85" s="105">
        <f>+F85*Weights!$B$4</f>
        <v>0</v>
      </c>
      <c r="Q85" s="135">
        <f t="shared" si="8"/>
        <v>0</v>
      </c>
    </row>
    <row r="86" spans="1:20" x14ac:dyDescent="0.3">
      <c r="A86" s="4">
        <f>+'Raw Data - Production'!A87</f>
        <v>46239</v>
      </c>
      <c r="B86" s="6">
        <f t="shared" si="6"/>
        <v>32</v>
      </c>
      <c r="C86" s="6" t="str">
        <f t="shared" si="7"/>
        <v>August</v>
      </c>
      <c r="E86" s="14">
        <f>+'Raw Data - Production'!D87+'Raw Data - Production'!E87</f>
        <v>0</v>
      </c>
      <c r="F86" s="15">
        <f>+'Raw Data - Production'!F87+'Raw Data - Production'!G87+'Raw Data - Production'!H87</f>
        <v>0</v>
      </c>
      <c r="G86" s="16">
        <f>+'Raw Data - Production'!J87+'Raw Data - Production'!K87+'Raw Data - Packing'!I87</f>
        <v>0</v>
      </c>
      <c r="H86" s="15">
        <f>+'Raw Data - Production'!L87+'Raw Data - Production'!M87+'Raw Data - Production'!N87+'Raw Data - Packing'!L87</f>
        <v>0</v>
      </c>
      <c r="I86" s="103">
        <f>SUMIF('Raw Data - Packing'!A:A,A86,'Raw Data - Packing'!D:D)</f>
        <v>0</v>
      </c>
      <c r="J86" s="15">
        <f>SUMIF('Raw Data - Packing'!A:A,A86,'Raw Data - Packing'!F:F)</f>
        <v>0</v>
      </c>
      <c r="K86" s="20"/>
      <c r="L86" s="105">
        <f>+E86-I86+L85-(G86/Weights!$B$2)</f>
        <v>0.19753086414948484</v>
      </c>
      <c r="M86" s="105">
        <f>+F86-J86+M85-(H86/Weights!$B$4)</f>
        <v>11271.6</v>
      </c>
      <c r="N86" s="105">
        <f>+E86*Weights!$B$2</f>
        <v>0</v>
      </c>
      <c r="O86" s="105">
        <f>+F86*Weights!$B$4</f>
        <v>0</v>
      </c>
      <c r="Q86" s="135">
        <f t="shared" si="8"/>
        <v>0</v>
      </c>
      <c r="T86">
        <f>83250/225</f>
        <v>370</v>
      </c>
    </row>
    <row r="87" spans="1:20" x14ac:dyDescent="0.3">
      <c r="A87" s="4">
        <f>+'Raw Data - Production'!A88</f>
        <v>46240</v>
      </c>
      <c r="B87" s="6">
        <f t="shared" si="6"/>
        <v>32</v>
      </c>
      <c r="C87" s="6" t="str">
        <f t="shared" si="7"/>
        <v>August</v>
      </c>
      <c r="E87" s="14">
        <f>+'Raw Data - Production'!D88+'Raw Data - Production'!E88</f>
        <v>0</v>
      </c>
      <c r="F87" s="15">
        <f>+'Raw Data - Production'!F88+'Raw Data - Production'!G88+'Raw Data - Production'!H88</f>
        <v>0</v>
      </c>
      <c r="G87" s="16">
        <f>+'Raw Data - Production'!J88+'Raw Data - Production'!K88+'Raw Data - Packing'!I88</f>
        <v>0</v>
      </c>
      <c r="H87" s="15">
        <f>+'Raw Data - Production'!L88+'Raw Data - Production'!M88+'Raw Data - Production'!N88+'Raw Data - Packing'!L88</f>
        <v>0</v>
      </c>
      <c r="I87" s="103">
        <f>SUMIF('Raw Data - Packing'!A:A,A87,'Raw Data - Packing'!D:D)</f>
        <v>0</v>
      </c>
      <c r="J87" s="15">
        <f>SUMIF('Raw Data - Packing'!A:A,A87,'Raw Data - Packing'!F:F)</f>
        <v>0</v>
      </c>
      <c r="K87" s="20"/>
      <c r="L87" s="105">
        <f>+E87-I87+L86-(G87/Weights!$B$2)</f>
        <v>0.19753086414948484</v>
      </c>
      <c r="M87" s="105">
        <f>+F87-J87+M86-(H87/Weights!$B$4)</f>
        <v>11271.6</v>
      </c>
      <c r="N87" s="105">
        <f>+E87*Weights!$B$2</f>
        <v>0</v>
      </c>
      <c r="O87" s="105">
        <f>+F87*Weights!$B$4</f>
        <v>0</v>
      </c>
      <c r="Q87" s="135">
        <f t="shared" si="8"/>
        <v>0</v>
      </c>
    </row>
    <row r="88" spans="1:20" x14ac:dyDescent="0.3">
      <c r="A88" s="4">
        <f>+'Raw Data - Production'!A89</f>
        <v>46241</v>
      </c>
      <c r="B88" s="6">
        <f t="shared" si="6"/>
        <v>32</v>
      </c>
      <c r="C88" s="6" t="str">
        <f t="shared" si="7"/>
        <v>August</v>
      </c>
      <c r="E88" s="14">
        <f>+'Raw Data - Production'!D89+'Raw Data - Production'!E89</f>
        <v>0</v>
      </c>
      <c r="F88" s="15">
        <f>+'Raw Data - Production'!F89+'Raw Data - Production'!G89+'Raw Data - Production'!H89</f>
        <v>0</v>
      </c>
      <c r="G88" s="16">
        <f>+'Raw Data - Production'!J89+'Raw Data - Production'!K89+'Raw Data - Packing'!I89</f>
        <v>0</v>
      </c>
      <c r="H88" s="15">
        <f>+'Raw Data - Production'!L89+'Raw Data - Production'!M89+'Raw Data - Production'!N89+'Raw Data - Packing'!L89</f>
        <v>0</v>
      </c>
      <c r="I88" s="103">
        <f>SUMIF('Raw Data - Packing'!A:A,A88,'Raw Data - Packing'!D:D)</f>
        <v>0</v>
      </c>
      <c r="J88" s="15">
        <f>SUMIF('Raw Data - Packing'!A:A,A88,'Raw Data - Packing'!F:F)</f>
        <v>0</v>
      </c>
      <c r="K88" s="20"/>
      <c r="L88" s="105">
        <f>+E88-I88+L87-(G88/Weights!$B$2)</f>
        <v>0.19753086414948484</v>
      </c>
      <c r="M88" s="105">
        <f>+F88-J88+M87-(H88/Weights!$B$4)</f>
        <v>11271.6</v>
      </c>
      <c r="N88" s="105">
        <f>+E88*Weights!$B$2</f>
        <v>0</v>
      </c>
      <c r="O88" s="105">
        <f>+F88*Weights!$B$4</f>
        <v>0</v>
      </c>
      <c r="Q88" s="135">
        <f t="shared" si="8"/>
        <v>0</v>
      </c>
    </row>
    <row r="89" spans="1:20" x14ac:dyDescent="0.3">
      <c r="A89" s="4">
        <f>+'Raw Data - Production'!A90</f>
        <v>46244</v>
      </c>
      <c r="B89" s="6">
        <f t="shared" si="6"/>
        <v>33</v>
      </c>
      <c r="C89" s="6" t="str">
        <f t="shared" si="7"/>
        <v>August</v>
      </c>
      <c r="E89" s="14">
        <f>+'Raw Data - Production'!D90+'Raw Data - Production'!E90</f>
        <v>0</v>
      </c>
      <c r="F89" s="15">
        <f>+'Raw Data - Production'!F90+'Raw Data - Production'!G90+'Raw Data - Production'!H90</f>
        <v>0</v>
      </c>
      <c r="G89" s="16">
        <f>+'Raw Data - Production'!J90+'Raw Data - Production'!K90+'Raw Data - Packing'!I90</f>
        <v>0</v>
      </c>
      <c r="H89" s="15">
        <f>+'Raw Data - Production'!L90+'Raw Data - Production'!M90+'Raw Data - Production'!N90+'Raw Data - Packing'!L90</f>
        <v>0</v>
      </c>
      <c r="I89" s="103">
        <f>SUMIF('Raw Data - Packing'!A:A,A89,'Raw Data - Packing'!D:D)</f>
        <v>0</v>
      </c>
      <c r="J89" s="15">
        <f>SUMIF('Raw Data - Packing'!A:A,A89,'Raw Data - Packing'!F:F)</f>
        <v>0</v>
      </c>
      <c r="K89" s="20"/>
      <c r="L89" s="105">
        <f>+E89-I89+L88-(G89/Weights!$B$2)</f>
        <v>0.19753086414948484</v>
      </c>
      <c r="M89" s="105">
        <f>+F89-J89+M88-(H89/Weights!$B$4)</f>
        <v>11271.6</v>
      </c>
      <c r="N89" s="105">
        <f>+E89*Weights!$B$2</f>
        <v>0</v>
      </c>
      <c r="O89" s="105">
        <f>+F89*Weights!$B$4</f>
        <v>0</v>
      </c>
      <c r="Q89" s="135">
        <f t="shared" si="8"/>
        <v>0</v>
      </c>
    </row>
    <row r="90" spans="1:20" x14ac:dyDescent="0.3">
      <c r="A90" s="4">
        <f>+'Raw Data - Production'!A91</f>
        <v>46245</v>
      </c>
      <c r="B90" s="6">
        <f t="shared" si="6"/>
        <v>33</v>
      </c>
      <c r="C90" s="6" t="str">
        <f t="shared" si="7"/>
        <v>August</v>
      </c>
      <c r="E90" s="14">
        <f>+'Raw Data - Production'!D91+'Raw Data - Production'!E91</f>
        <v>0</v>
      </c>
      <c r="F90" s="15">
        <f>+'Raw Data - Production'!F91+'Raw Data - Production'!G91+'Raw Data - Production'!H91</f>
        <v>0</v>
      </c>
      <c r="G90" s="16">
        <f>+'Raw Data - Production'!J91+'Raw Data - Production'!K91+'Raw Data - Packing'!I91</f>
        <v>0</v>
      </c>
      <c r="H90" s="15">
        <f>+'Raw Data - Production'!L91+'Raw Data - Production'!M91+'Raw Data - Production'!N91+'Raw Data - Packing'!L91</f>
        <v>0</v>
      </c>
      <c r="I90" s="103">
        <f>SUMIF('Raw Data - Packing'!A:A,A90,'Raw Data - Packing'!D:D)</f>
        <v>0</v>
      </c>
      <c r="J90" s="15">
        <f>SUMIF('Raw Data - Packing'!A:A,A90,'Raw Data - Packing'!F:F)</f>
        <v>0</v>
      </c>
      <c r="K90" s="20"/>
      <c r="L90" s="105">
        <f>+E90-I90+L89-(G90/Weights!$B$2)</f>
        <v>0.19753086414948484</v>
      </c>
      <c r="M90" s="105">
        <f>+F90-J90+M89-(H90/Weights!$B$4)</f>
        <v>11271.6</v>
      </c>
      <c r="N90" s="105">
        <f>+E90*Weights!$B$2</f>
        <v>0</v>
      </c>
      <c r="O90" s="105">
        <f>+F90*Weights!$B$4</f>
        <v>0</v>
      </c>
      <c r="Q90" s="135">
        <f t="shared" si="8"/>
        <v>0</v>
      </c>
    </row>
    <row r="91" spans="1:20" x14ac:dyDescent="0.3">
      <c r="A91" s="4">
        <f>+'Raw Data - Production'!A92</f>
        <v>46246</v>
      </c>
      <c r="B91" s="6">
        <f t="shared" si="6"/>
        <v>33</v>
      </c>
      <c r="C91" s="6" t="str">
        <f t="shared" si="7"/>
        <v>August</v>
      </c>
      <c r="E91" s="14">
        <f>+'Raw Data - Production'!D92+'Raw Data - Production'!E92</f>
        <v>0</v>
      </c>
      <c r="F91" s="15">
        <f>+'Raw Data - Production'!F92+'Raw Data - Production'!G92+'Raw Data - Production'!H92</f>
        <v>0</v>
      </c>
      <c r="G91" s="16">
        <f>+'Raw Data - Production'!J92+'Raw Data - Production'!K92+'Raw Data - Packing'!I92</f>
        <v>0</v>
      </c>
      <c r="H91" s="15">
        <f>+'Raw Data - Production'!L92+'Raw Data - Production'!M92+'Raw Data - Production'!N92+'Raw Data - Packing'!L92</f>
        <v>0</v>
      </c>
      <c r="I91" s="103">
        <f>SUMIF('Raw Data - Packing'!A:A,A91,'Raw Data - Packing'!D:D)</f>
        <v>0</v>
      </c>
      <c r="J91" s="15">
        <f>SUMIF('Raw Data - Packing'!A:A,A91,'Raw Data - Packing'!F:F)</f>
        <v>0</v>
      </c>
      <c r="K91" s="20"/>
      <c r="L91" s="105">
        <f>+E91-I91+L90-(G91/Weights!$B$2)</f>
        <v>0.19753086414948484</v>
      </c>
      <c r="M91" s="105">
        <f>+F91-J91+M90-(H91/Weights!$B$4)</f>
        <v>11271.6</v>
      </c>
      <c r="N91" s="105">
        <f>+E91*Weights!$B$2</f>
        <v>0</v>
      </c>
      <c r="O91" s="105">
        <f>+F91*Weights!$B$4</f>
        <v>0</v>
      </c>
      <c r="Q91" s="135">
        <f t="shared" si="8"/>
        <v>0</v>
      </c>
    </row>
    <row r="92" spans="1:20" x14ac:dyDescent="0.3">
      <c r="A92" s="4">
        <f>+'Raw Data - Production'!A93</f>
        <v>46247</v>
      </c>
      <c r="B92" s="6">
        <f t="shared" si="6"/>
        <v>33</v>
      </c>
      <c r="C92" s="6" t="str">
        <f t="shared" si="7"/>
        <v>August</v>
      </c>
      <c r="E92" s="14">
        <f>+'Raw Data - Production'!D93+'Raw Data - Production'!E93</f>
        <v>0</v>
      </c>
      <c r="F92" s="15">
        <f>+'Raw Data - Production'!F93+'Raw Data - Production'!G93+'Raw Data - Production'!H93</f>
        <v>0</v>
      </c>
      <c r="G92" s="16">
        <f>+'Raw Data - Production'!J93+'Raw Data - Production'!K93+'Raw Data - Packing'!I93</f>
        <v>0</v>
      </c>
      <c r="H92" s="15">
        <f>+'Raw Data - Production'!L93+'Raw Data - Production'!M93+'Raw Data - Production'!N93+'Raw Data - Packing'!L93</f>
        <v>0</v>
      </c>
      <c r="I92" s="103">
        <f>SUMIF('Raw Data - Packing'!A:A,A92,'Raw Data - Packing'!D:D)</f>
        <v>0</v>
      </c>
      <c r="J92" s="15">
        <f>SUMIF('Raw Data - Packing'!A:A,A92,'Raw Data - Packing'!F:F)</f>
        <v>0</v>
      </c>
      <c r="K92" s="20"/>
      <c r="L92" s="105">
        <f>+E92-I92+L91-(G92/Weights!$B$2)</f>
        <v>0.19753086414948484</v>
      </c>
      <c r="M92" s="105">
        <f>+F92-J92+M91-(H92/Weights!$B$4)</f>
        <v>11271.6</v>
      </c>
      <c r="N92" s="105">
        <f>+E92*Weights!$B$2</f>
        <v>0</v>
      </c>
      <c r="O92" s="105">
        <f>+F92*Weights!$B$4</f>
        <v>0</v>
      </c>
      <c r="Q92" s="135">
        <f t="shared" si="8"/>
        <v>0</v>
      </c>
    </row>
    <row r="93" spans="1:20" x14ac:dyDescent="0.3">
      <c r="A93" s="4">
        <f>+'Raw Data - Production'!A94</f>
        <v>46248</v>
      </c>
      <c r="B93" s="6">
        <f t="shared" si="6"/>
        <v>33</v>
      </c>
      <c r="C93" s="6" t="str">
        <f t="shared" si="7"/>
        <v>August</v>
      </c>
      <c r="E93" s="14">
        <f>+'Raw Data - Production'!D94+'Raw Data - Production'!E94</f>
        <v>0</v>
      </c>
      <c r="F93" s="15">
        <f>+'Raw Data - Production'!F94+'Raw Data - Production'!G94+'Raw Data - Production'!H94</f>
        <v>0</v>
      </c>
      <c r="G93" s="16">
        <f>+'Raw Data - Production'!J94+'Raw Data - Production'!K94+'Raw Data - Packing'!I94</f>
        <v>0</v>
      </c>
      <c r="H93" s="15">
        <f>+'Raw Data - Production'!L94+'Raw Data - Production'!M94+'Raw Data - Production'!N94+'Raw Data - Packing'!L94</f>
        <v>0</v>
      </c>
      <c r="I93" s="103">
        <f>SUMIF('Raw Data - Packing'!A:A,A93,'Raw Data - Packing'!D:D)</f>
        <v>0</v>
      </c>
      <c r="J93" s="15">
        <f>SUMIF('Raw Data - Packing'!A:A,A93,'Raw Data - Packing'!F:F)</f>
        <v>0</v>
      </c>
      <c r="K93" s="20"/>
      <c r="L93" s="105">
        <f>+E93-I93+L92-(G93/Weights!$B$2)</f>
        <v>0.19753086414948484</v>
      </c>
      <c r="M93" s="105">
        <f>+F93-J93+M92-(H93/Weights!$B$4)</f>
        <v>11271.6</v>
      </c>
      <c r="N93" s="105">
        <f>+E93*Weights!$B$2</f>
        <v>0</v>
      </c>
      <c r="O93" s="105">
        <f>+F93*Weights!$B$4</f>
        <v>0</v>
      </c>
      <c r="Q93" s="135">
        <f t="shared" si="8"/>
        <v>0</v>
      </c>
    </row>
    <row r="94" spans="1:20" x14ac:dyDescent="0.3">
      <c r="A94" s="4">
        <f>+'Raw Data - Production'!A95</f>
        <v>46251</v>
      </c>
      <c r="B94" s="6">
        <f t="shared" si="6"/>
        <v>34</v>
      </c>
      <c r="C94" s="6" t="str">
        <f t="shared" si="7"/>
        <v>August</v>
      </c>
      <c r="E94" s="14">
        <f>+'Raw Data - Production'!D95+'Raw Data - Production'!E95</f>
        <v>0</v>
      </c>
      <c r="F94" s="15">
        <f>+'Raw Data - Production'!F95+'Raw Data - Production'!G95+'Raw Data - Production'!H95</f>
        <v>0</v>
      </c>
      <c r="G94" s="16">
        <f>+'Raw Data - Production'!J95+'Raw Data - Production'!K95+'Raw Data - Packing'!I95</f>
        <v>0</v>
      </c>
      <c r="H94" s="15">
        <f>+'Raw Data - Production'!L95+'Raw Data - Production'!M95+'Raw Data - Production'!N95+'Raw Data - Packing'!L95</f>
        <v>0</v>
      </c>
      <c r="I94" s="103">
        <f>SUMIF('Raw Data - Packing'!A:A,A94,'Raw Data - Packing'!D:D)</f>
        <v>0</v>
      </c>
      <c r="J94" s="15">
        <f>SUMIF('Raw Data - Packing'!A:A,A94,'Raw Data - Packing'!F:F)</f>
        <v>0</v>
      </c>
      <c r="K94" s="20"/>
      <c r="L94" s="105">
        <f>+E94-I94+L93-(G94/Weights!$B$2)</f>
        <v>0.19753086414948484</v>
      </c>
      <c r="M94" s="105">
        <f>+F94-J94+M93-(H94/Weights!$B$4)</f>
        <v>11271.6</v>
      </c>
      <c r="N94" s="105">
        <f>+E94*Weights!$B$2</f>
        <v>0</v>
      </c>
      <c r="O94" s="105">
        <f>+F94*Weights!$B$4</f>
        <v>0</v>
      </c>
      <c r="Q94" s="135">
        <f t="shared" si="8"/>
        <v>0</v>
      </c>
    </row>
    <row r="95" spans="1:20" x14ac:dyDescent="0.3">
      <c r="A95" s="4">
        <f>+'Raw Data - Production'!A96</f>
        <v>46252</v>
      </c>
      <c r="B95" s="6">
        <f t="shared" si="6"/>
        <v>34</v>
      </c>
      <c r="C95" s="6" t="str">
        <f t="shared" si="7"/>
        <v>August</v>
      </c>
      <c r="E95" s="14">
        <f>+'Raw Data - Production'!D96+'Raw Data - Production'!E96</f>
        <v>0</v>
      </c>
      <c r="F95" s="15">
        <f>+'Raw Data - Production'!F96+'Raw Data - Production'!G96+'Raw Data - Production'!H96</f>
        <v>0</v>
      </c>
      <c r="G95" s="16">
        <f>+'Raw Data - Production'!J96+'Raw Data - Production'!K96+'Raw Data - Packing'!I96</f>
        <v>0</v>
      </c>
      <c r="H95" s="15">
        <f>+'Raw Data - Production'!L96+'Raw Data - Production'!M96+'Raw Data - Production'!N96+'Raw Data - Packing'!L96</f>
        <v>0</v>
      </c>
      <c r="I95" s="103">
        <f>SUMIF('Raw Data - Packing'!A:A,A95,'Raw Data - Packing'!D:D)</f>
        <v>0</v>
      </c>
      <c r="J95" s="15">
        <f>SUMIF('Raw Data - Packing'!A:A,A95,'Raw Data - Packing'!F:F)</f>
        <v>0</v>
      </c>
      <c r="K95" s="20"/>
      <c r="L95" s="105">
        <f>+E95-I95+L94-(G95/Weights!$B$2)</f>
        <v>0.19753086414948484</v>
      </c>
      <c r="M95" s="105">
        <f>+F95-J95+M94-(H95/Weights!$B$4)</f>
        <v>11271.6</v>
      </c>
      <c r="N95" s="105">
        <f>+E95*Weights!$B$2</f>
        <v>0</v>
      </c>
      <c r="O95" s="105">
        <f>+F95*Weights!$B$4</f>
        <v>0</v>
      </c>
      <c r="Q95" s="135">
        <f t="shared" si="8"/>
        <v>0</v>
      </c>
    </row>
    <row r="96" spans="1:20" x14ac:dyDescent="0.3">
      <c r="A96" s="4">
        <f>+'Raw Data - Production'!A97</f>
        <v>46253</v>
      </c>
      <c r="B96" s="6">
        <f t="shared" si="6"/>
        <v>34</v>
      </c>
      <c r="C96" s="6" t="str">
        <f t="shared" si="7"/>
        <v>August</v>
      </c>
      <c r="E96" s="14">
        <f>+'Raw Data - Production'!D97+'Raw Data - Production'!E97</f>
        <v>0</v>
      </c>
      <c r="F96" s="15">
        <f>+'Raw Data - Production'!F97+'Raw Data - Production'!G97+'Raw Data - Production'!H97</f>
        <v>0</v>
      </c>
      <c r="G96" s="16">
        <f>+'Raw Data - Production'!J97+'Raw Data - Production'!K97+'Raw Data - Packing'!I97</f>
        <v>0</v>
      </c>
      <c r="H96" s="15">
        <f>+'Raw Data - Production'!L97+'Raw Data - Production'!M97+'Raw Data - Production'!N97+'Raw Data - Packing'!L97</f>
        <v>0</v>
      </c>
      <c r="I96" s="103">
        <f>SUMIF('Raw Data - Packing'!A:A,A96,'Raw Data - Packing'!D:D)</f>
        <v>0</v>
      </c>
      <c r="J96" s="15">
        <f>SUMIF('Raw Data - Packing'!A:A,A96,'Raw Data - Packing'!F:F)</f>
        <v>0</v>
      </c>
      <c r="K96" s="20"/>
      <c r="L96" s="105">
        <f>+E96-I96+L95-(G96/Weights!$B$2)</f>
        <v>0.19753086414948484</v>
      </c>
      <c r="M96" s="105">
        <f>+F96-J96+M95-(H96/Weights!$B$4)</f>
        <v>11271.6</v>
      </c>
      <c r="N96" s="105">
        <f>+E96*Weights!$B$2</f>
        <v>0</v>
      </c>
      <c r="O96" s="105">
        <f>+F96*Weights!$B$4</f>
        <v>0</v>
      </c>
      <c r="Q96" s="135">
        <f t="shared" si="8"/>
        <v>0</v>
      </c>
    </row>
    <row r="97" spans="1:17" x14ac:dyDescent="0.3">
      <c r="A97" s="4">
        <f>+'Raw Data - Production'!A98</f>
        <v>46254</v>
      </c>
      <c r="B97" s="6">
        <f t="shared" si="6"/>
        <v>34</v>
      </c>
      <c r="C97" s="6" t="str">
        <f t="shared" si="7"/>
        <v>August</v>
      </c>
      <c r="E97" s="14">
        <f>+'Raw Data - Production'!D98+'Raw Data - Production'!E98</f>
        <v>0</v>
      </c>
      <c r="F97" s="15">
        <f>+'Raw Data - Production'!F98+'Raw Data - Production'!G98+'Raw Data - Production'!H98</f>
        <v>0</v>
      </c>
      <c r="G97" s="16">
        <f>+'Raw Data - Production'!J98+'Raw Data - Production'!K98+'Raw Data - Packing'!I98</f>
        <v>0</v>
      </c>
      <c r="H97" s="15">
        <f>+'Raw Data - Production'!L98+'Raw Data - Production'!M98+'Raw Data - Production'!N98+'Raw Data - Packing'!L98</f>
        <v>0</v>
      </c>
      <c r="I97" s="103">
        <f>SUMIF('Raw Data - Packing'!A:A,A97,'Raw Data - Packing'!D:D)</f>
        <v>0</v>
      </c>
      <c r="J97" s="15">
        <f>SUMIF('Raw Data - Packing'!A:A,A97,'Raw Data - Packing'!F:F)</f>
        <v>0</v>
      </c>
      <c r="K97" s="20"/>
      <c r="L97" s="105">
        <f>+E97-I97+L96-(G97/Weights!$B$2)</f>
        <v>0.19753086414948484</v>
      </c>
      <c r="M97" s="105">
        <f>+F97-J97+M96-(H97/Weights!$B$4)</f>
        <v>11271.6</v>
      </c>
      <c r="N97" s="105">
        <f>+E97*Weights!$B$2</f>
        <v>0</v>
      </c>
      <c r="O97" s="105">
        <f>+F97*Weights!$B$4</f>
        <v>0</v>
      </c>
      <c r="Q97" s="135">
        <f t="shared" si="8"/>
        <v>0</v>
      </c>
    </row>
    <row r="98" spans="1:17" x14ac:dyDescent="0.3">
      <c r="A98" s="4">
        <f>+'Raw Data - Production'!A99</f>
        <v>46255</v>
      </c>
      <c r="B98" s="6">
        <f t="shared" si="6"/>
        <v>34</v>
      </c>
      <c r="C98" s="6" t="str">
        <f t="shared" si="7"/>
        <v>August</v>
      </c>
      <c r="E98" s="14">
        <f>+'Raw Data - Production'!D99+'Raw Data - Production'!E99</f>
        <v>0</v>
      </c>
      <c r="F98" s="15">
        <f>+'Raw Data - Production'!F99+'Raw Data - Production'!G99+'Raw Data - Production'!H99</f>
        <v>0</v>
      </c>
      <c r="G98" s="16">
        <f>+'Raw Data - Production'!J99+'Raw Data - Production'!K99+'Raw Data - Packing'!I99</f>
        <v>0</v>
      </c>
      <c r="H98" s="15">
        <f>+'Raw Data - Production'!L99+'Raw Data - Production'!M99+'Raw Data - Production'!N99+'Raw Data - Packing'!L99</f>
        <v>0</v>
      </c>
      <c r="I98" s="103">
        <f>SUMIF('Raw Data - Packing'!A:A,A98,'Raw Data - Packing'!D:D)</f>
        <v>0</v>
      </c>
      <c r="J98" s="15">
        <f>SUMIF('Raw Data - Packing'!A:A,A98,'Raw Data - Packing'!F:F)</f>
        <v>0</v>
      </c>
      <c r="K98" s="20"/>
      <c r="L98" s="105">
        <f>+E98-I98+L97-(G98/Weights!$B$2)</f>
        <v>0.19753086414948484</v>
      </c>
      <c r="M98" s="105">
        <f>+F98-J98+M97-(H98/Weights!$B$4)</f>
        <v>11271.6</v>
      </c>
      <c r="N98" s="105">
        <f>+E98*Weights!$B$2</f>
        <v>0</v>
      </c>
      <c r="O98" s="105">
        <f>+F98*Weights!$B$4</f>
        <v>0</v>
      </c>
      <c r="Q98" s="135">
        <f t="shared" si="8"/>
        <v>0</v>
      </c>
    </row>
    <row r="99" spans="1:17" x14ac:dyDescent="0.3">
      <c r="A99" s="4">
        <f>+'Raw Data - Production'!A100</f>
        <v>46258</v>
      </c>
      <c r="B99" s="6">
        <f t="shared" si="6"/>
        <v>35</v>
      </c>
      <c r="C99" s="6" t="str">
        <f t="shared" si="7"/>
        <v>August</v>
      </c>
      <c r="E99" s="14">
        <f>+'Raw Data - Production'!D100+'Raw Data - Production'!E100</f>
        <v>0</v>
      </c>
      <c r="F99" s="15">
        <f>+'Raw Data - Production'!F100+'Raw Data - Production'!G100+'Raw Data - Production'!H100</f>
        <v>0</v>
      </c>
      <c r="G99" s="16">
        <f>+'Raw Data - Production'!J100+'Raw Data - Production'!K100+'Raw Data - Packing'!I100</f>
        <v>0</v>
      </c>
      <c r="H99" s="15">
        <f>+'Raw Data - Production'!L100+'Raw Data - Production'!M100+'Raw Data - Production'!N100+'Raw Data - Packing'!L100</f>
        <v>0</v>
      </c>
      <c r="I99" s="103">
        <f>SUMIF('Raw Data - Packing'!A:A,A99,'Raw Data - Packing'!D:D)</f>
        <v>0</v>
      </c>
      <c r="J99" s="15">
        <f>SUMIF('Raw Data - Packing'!A:A,A99,'Raw Data - Packing'!F:F)</f>
        <v>0</v>
      </c>
      <c r="K99" s="20"/>
      <c r="L99" s="105">
        <f>+E99-I99+L98-(G99/Weights!$B$2)</f>
        <v>0.19753086414948484</v>
      </c>
      <c r="M99" s="105">
        <f>+F99-J99+M98-(H99/Weights!$B$4)</f>
        <v>11271.6</v>
      </c>
      <c r="N99" s="105">
        <f>+E99*Weights!$B$2</f>
        <v>0</v>
      </c>
      <c r="O99" s="105">
        <f>+F99*Weights!$B$4</f>
        <v>0</v>
      </c>
      <c r="Q99" s="135">
        <f t="shared" si="8"/>
        <v>0</v>
      </c>
    </row>
    <row r="100" spans="1:17" x14ac:dyDescent="0.3">
      <c r="A100" s="4">
        <f>+'Raw Data - Production'!A101</f>
        <v>46259</v>
      </c>
      <c r="B100" s="6">
        <f t="shared" si="6"/>
        <v>35</v>
      </c>
      <c r="C100" s="6" t="str">
        <f t="shared" si="7"/>
        <v>August</v>
      </c>
      <c r="E100" s="14">
        <f>+'Raw Data - Production'!D101+'Raw Data - Production'!E101</f>
        <v>0</v>
      </c>
      <c r="F100" s="15">
        <f>+'Raw Data - Production'!F101+'Raw Data - Production'!G101+'Raw Data - Production'!H101</f>
        <v>0</v>
      </c>
      <c r="G100" s="16">
        <f>+'Raw Data - Production'!J101+'Raw Data - Production'!K101+'Raw Data - Packing'!I101</f>
        <v>0</v>
      </c>
      <c r="H100" s="15">
        <f>+'Raw Data - Production'!L101+'Raw Data - Production'!M101+'Raw Data - Production'!N101+'Raw Data - Packing'!L101</f>
        <v>0</v>
      </c>
      <c r="I100" s="103">
        <f>SUMIF('Raw Data - Packing'!A:A,A100,'Raw Data - Packing'!D:D)</f>
        <v>0</v>
      </c>
      <c r="J100" s="15">
        <f>SUMIF('Raw Data - Packing'!A:A,A100,'Raw Data - Packing'!F:F)</f>
        <v>0</v>
      </c>
      <c r="K100" s="20"/>
      <c r="L100" s="105">
        <f>+E100-I100+L99-(G100/Weights!$B$2)</f>
        <v>0.19753086414948484</v>
      </c>
      <c r="M100" s="105">
        <f>+F100-J100+M99-(H100/Weights!$B$4)</f>
        <v>11271.6</v>
      </c>
      <c r="N100" s="105">
        <f>+E100*Weights!$B$2</f>
        <v>0</v>
      </c>
      <c r="O100" s="105">
        <f>+F100*Weights!$B$4</f>
        <v>0</v>
      </c>
      <c r="Q100" s="135">
        <f t="shared" si="8"/>
        <v>0</v>
      </c>
    </row>
    <row r="101" spans="1:17" x14ac:dyDescent="0.3">
      <c r="A101" s="4">
        <f>+'Raw Data - Production'!A102</f>
        <v>46260</v>
      </c>
      <c r="B101" s="6">
        <f t="shared" si="6"/>
        <v>35</v>
      </c>
      <c r="C101" s="6" t="str">
        <f t="shared" si="7"/>
        <v>August</v>
      </c>
      <c r="E101" s="14">
        <f>+'Raw Data - Production'!D102+'Raw Data - Production'!E102</f>
        <v>0</v>
      </c>
      <c r="F101" s="15">
        <f>+'Raw Data - Production'!F102+'Raw Data - Production'!G102+'Raw Data - Production'!H102</f>
        <v>0</v>
      </c>
      <c r="G101" s="16">
        <f>+'Raw Data - Production'!J102+'Raw Data - Production'!K102+'Raw Data - Packing'!I102</f>
        <v>0</v>
      </c>
      <c r="H101" s="15">
        <f>+'Raw Data - Production'!L102+'Raw Data - Production'!M102+'Raw Data - Production'!N102+'Raw Data - Packing'!L102</f>
        <v>0</v>
      </c>
      <c r="I101" s="103">
        <f>SUMIF('Raw Data - Packing'!A:A,A101,'Raw Data - Packing'!D:D)</f>
        <v>0</v>
      </c>
      <c r="J101" s="15">
        <f>SUMIF('Raw Data - Packing'!A:A,A101,'Raw Data - Packing'!F:F)</f>
        <v>0</v>
      </c>
      <c r="K101" s="20"/>
      <c r="L101" s="105">
        <f>+E101-I101+L100-(G101/Weights!$B$2)</f>
        <v>0.19753086414948484</v>
      </c>
      <c r="M101" s="105">
        <f>+F101-J101+M100-(H101/Weights!$B$4)</f>
        <v>11271.6</v>
      </c>
      <c r="N101" s="105">
        <f>+E101*Weights!$B$2</f>
        <v>0</v>
      </c>
      <c r="O101" s="105">
        <f>+F101*Weights!$B$4</f>
        <v>0</v>
      </c>
      <c r="Q101" s="135">
        <f t="shared" si="8"/>
        <v>0</v>
      </c>
    </row>
    <row r="102" spans="1:17" x14ac:dyDescent="0.3">
      <c r="A102" s="4">
        <f>+'Raw Data - Production'!A103</f>
        <v>46261</v>
      </c>
      <c r="B102" s="6">
        <f t="shared" si="6"/>
        <v>35</v>
      </c>
      <c r="C102" s="6" t="str">
        <f t="shared" si="7"/>
        <v>August</v>
      </c>
      <c r="E102" s="14">
        <f>+'Raw Data - Production'!D103+'Raw Data - Production'!E103</f>
        <v>0</v>
      </c>
      <c r="F102" s="15">
        <f>+'Raw Data - Production'!F103+'Raw Data - Production'!G103+'Raw Data - Production'!H103</f>
        <v>0</v>
      </c>
      <c r="G102" s="16">
        <f>+'Raw Data - Production'!J103+'Raw Data - Production'!K103+'Raw Data - Packing'!I103</f>
        <v>0</v>
      </c>
      <c r="H102" s="15">
        <f>+'Raw Data - Production'!L103+'Raw Data - Production'!M103+'Raw Data - Production'!N103+'Raw Data - Packing'!L103</f>
        <v>0</v>
      </c>
      <c r="I102" s="103">
        <f>SUMIF('Raw Data - Packing'!A:A,A102,'Raw Data - Packing'!D:D)</f>
        <v>0</v>
      </c>
      <c r="J102" s="15">
        <f>SUMIF('Raw Data - Packing'!A:A,A102,'Raw Data - Packing'!F:F)</f>
        <v>0</v>
      </c>
      <c r="K102" s="20"/>
      <c r="L102" s="105">
        <f>+E102-I102+L101-(G102/Weights!$B$2)</f>
        <v>0.19753086414948484</v>
      </c>
      <c r="M102" s="105">
        <f>+F102-J102+M101-(H102/Weights!$B$4)</f>
        <v>11271.6</v>
      </c>
      <c r="N102" s="105">
        <f>+E102*Weights!$B$2</f>
        <v>0</v>
      </c>
      <c r="O102" s="105">
        <f>+F102*Weights!$B$4</f>
        <v>0</v>
      </c>
      <c r="Q102" s="135">
        <f t="shared" si="8"/>
        <v>0</v>
      </c>
    </row>
    <row r="103" spans="1:17" x14ac:dyDescent="0.3">
      <c r="A103" s="4">
        <f>+'Raw Data - Production'!A104</f>
        <v>46262</v>
      </c>
      <c r="B103" s="6">
        <f t="shared" si="6"/>
        <v>35</v>
      </c>
      <c r="C103" s="6" t="str">
        <f t="shared" si="7"/>
        <v>August</v>
      </c>
      <c r="E103" s="14">
        <f>+'Raw Data - Production'!D104+'Raw Data - Production'!E104</f>
        <v>0</v>
      </c>
      <c r="F103" s="15">
        <f>+'Raw Data - Production'!F104+'Raw Data - Production'!G104+'Raw Data - Production'!H104</f>
        <v>0</v>
      </c>
      <c r="G103" s="16">
        <f>+'Raw Data - Production'!J104+'Raw Data - Production'!K104+'Raw Data - Packing'!I104</f>
        <v>0</v>
      </c>
      <c r="H103" s="15">
        <f>+'Raw Data - Production'!L104+'Raw Data - Production'!M104+'Raw Data - Production'!N104+'Raw Data - Packing'!L104</f>
        <v>0</v>
      </c>
      <c r="I103" s="103">
        <f>SUMIF('Raw Data - Packing'!A:A,A103,'Raw Data - Packing'!D:D)</f>
        <v>0</v>
      </c>
      <c r="J103" s="15">
        <f>SUMIF('Raw Data - Packing'!A:A,A103,'Raw Data - Packing'!F:F)</f>
        <v>0</v>
      </c>
      <c r="K103" s="20"/>
      <c r="L103" s="105">
        <f>+E103-I103+L102-(G103/Weights!$B$2)</f>
        <v>0.19753086414948484</v>
      </c>
      <c r="M103" s="105">
        <f>+F103-J103+M102-(H103/Weights!$B$4)</f>
        <v>11271.6</v>
      </c>
      <c r="N103" s="105">
        <f>+E103*Weights!$B$2</f>
        <v>0</v>
      </c>
      <c r="O103" s="105">
        <f>+F103*Weights!$B$4</f>
        <v>0</v>
      </c>
      <c r="Q103" s="135">
        <f t="shared" si="8"/>
        <v>0</v>
      </c>
    </row>
    <row r="104" spans="1:17" x14ac:dyDescent="0.3">
      <c r="A104" s="4">
        <f>+'Raw Data - Production'!A105</f>
        <v>46265</v>
      </c>
      <c r="B104" s="6">
        <f t="shared" si="6"/>
        <v>36</v>
      </c>
      <c r="C104" s="6" t="str">
        <f t="shared" si="7"/>
        <v>August</v>
      </c>
      <c r="E104" s="14">
        <f>+'Raw Data - Production'!D105+'Raw Data - Production'!E105</f>
        <v>0</v>
      </c>
      <c r="F104" s="15">
        <f>+'Raw Data - Production'!F105+'Raw Data - Production'!G105+'Raw Data - Production'!H105</f>
        <v>0</v>
      </c>
      <c r="G104" s="16">
        <f>+'Raw Data - Production'!J105+'Raw Data - Production'!K105+'Raw Data - Packing'!I105</f>
        <v>0</v>
      </c>
      <c r="H104" s="15">
        <f>+'Raw Data - Production'!L105+'Raw Data - Production'!M105+'Raw Data - Production'!N105+'Raw Data - Packing'!L105</f>
        <v>0</v>
      </c>
      <c r="I104" s="103">
        <f>SUMIF('Raw Data - Packing'!A:A,A104,'Raw Data - Packing'!D:D)</f>
        <v>0</v>
      </c>
      <c r="J104" s="15">
        <f>SUMIF('Raw Data - Packing'!A:A,A104,'Raw Data - Packing'!F:F)</f>
        <v>0</v>
      </c>
      <c r="K104" s="20"/>
      <c r="L104" s="105">
        <f>+E104-I104+L103-(G104/Weights!$B$2)</f>
        <v>0.19753086414948484</v>
      </c>
      <c r="M104" s="105">
        <f>+F104-J104+M103-(H104/Weights!$B$4)</f>
        <v>11271.6</v>
      </c>
      <c r="N104" s="105">
        <f>+E104*Weights!$B$2</f>
        <v>0</v>
      </c>
      <c r="O104" s="105">
        <f>+F104*Weights!$B$4</f>
        <v>0</v>
      </c>
      <c r="Q104" s="135">
        <f t="shared" si="8"/>
        <v>0</v>
      </c>
    </row>
    <row r="105" spans="1:17" x14ac:dyDescent="0.3">
      <c r="A105" s="4">
        <f>+'Raw Data - Production'!A106</f>
        <v>46266</v>
      </c>
      <c r="B105" s="6">
        <f t="shared" si="6"/>
        <v>36</v>
      </c>
      <c r="C105" s="6" t="str">
        <f t="shared" si="7"/>
        <v>September</v>
      </c>
      <c r="E105" s="14">
        <f>+'Raw Data - Production'!D106+'Raw Data - Production'!E106</f>
        <v>0</v>
      </c>
      <c r="F105" s="15">
        <f>+'Raw Data - Production'!F106+'Raw Data - Production'!G106+'Raw Data - Production'!H106</f>
        <v>0</v>
      </c>
      <c r="G105" s="16">
        <f>+'Raw Data - Production'!J106+'Raw Data - Production'!K106+'Raw Data - Packing'!I106</f>
        <v>0</v>
      </c>
      <c r="H105" s="15">
        <f>+'Raw Data - Production'!L106+'Raw Data - Production'!M106+'Raw Data - Production'!N106+'Raw Data - Packing'!L106</f>
        <v>0</v>
      </c>
      <c r="I105" s="103">
        <f>SUMIF('Raw Data - Packing'!A:A,A105,'Raw Data - Packing'!D:D)</f>
        <v>0</v>
      </c>
      <c r="J105" s="15">
        <f>SUMIF('Raw Data - Packing'!A:A,A105,'Raw Data - Packing'!F:F)</f>
        <v>0</v>
      </c>
      <c r="K105" s="20"/>
      <c r="L105" s="105">
        <f>+E105-I105+L104-(G105/Weights!$B$2)</f>
        <v>0.19753086414948484</v>
      </c>
      <c r="M105" s="105">
        <f>+F105-J105+M104-(H105/Weights!$B$4)</f>
        <v>11271.6</v>
      </c>
      <c r="N105" s="105">
        <f>+E105*Weights!$B$2</f>
        <v>0</v>
      </c>
      <c r="O105" s="105">
        <f>+F105*Weights!$B$4</f>
        <v>0</v>
      </c>
      <c r="Q105" s="135">
        <f t="shared" si="8"/>
        <v>0</v>
      </c>
    </row>
    <row r="106" spans="1:17" x14ac:dyDescent="0.3">
      <c r="A106" s="4">
        <f>+'Raw Data - Production'!A107</f>
        <v>46267</v>
      </c>
      <c r="B106" s="6">
        <f t="shared" si="6"/>
        <v>36</v>
      </c>
      <c r="C106" s="6" t="str">
        <f t="shared" si="7"/>
        <v>September</v>
      </c>
      <c r="E106" s="14">
        <f>+'Raw Data - Production'!D107+'Raw Data - Production'!E107</f>
        <v>0</v>
      </c>
      <c r="F106" s="15">
        <f>+'Raw Data - Production'!F107+'Raw Data - Production'!G107+'Raw Data - Production'!H107</f>
        <v>0</v>
      </c>
      <c r="G106" s="16">
        <f>+'Raw Data - Production'!J107+'Raw Data - Production'!K107+'Raw Data - Packing'!I107</f>
        <v>0</v>
      </c>
      <c r="H106" s="15">
        <f>+'Raw Data - Production'!L107+'Raw Data - Production'!M107+'Raw Data - Production'!N107+'Raw Data - Packing'!L107</f>
        <v>0</v>
      </c>
      <c r="I106" s="103">
        <f>SUMIF('Raw Data - Packing'!A:A,A106,'Raw Data - Packing'!D:D)</f>
        <v>0</v>
      </c>
      <c r="J106" s="15">
        <f>SUMIF('Raw Data - Packing'!A:A,A106,'Raw Data - Packing'!F:F)</f>
        <v>0</v>
      </c>
      <c r="K106" s="20"/>
      <c r="L106" s="105">
        <f>+E106-I106+L105-(G106/Weights!$B$2)</f>
        <v>0.19753086414948484</v>
      </c>
      <c r="M106" s="105">
        <f>+F106-J106+M105-(H106/Weights!$B$4)</f>
        <v>11271.6</v>
      </c>
      <c r="N106" s="105">
        <f>+E106*Weights!$B$2</f>
        <v>0</v>
      </c>
      <c r="O106" s="105">
        <f>+F106*Weights!$B$4</f>
        <v>0</v>
      </c>
      <c r="Q106" s="135">
        <f t="shared" si="8"/>
        <v>0</v>
      </c>
    </row>
    <row r="107" spans="1:17" x14ac:dyDescent="0.3">
      <c r="A107" s="4">
        <f>+'Raw Data - Production'!A108</f>
        <v>46268</v>
      </c>
      <c r="B107" s="6">
        <f t="shared" si="6"/>
        <v>36</v>
      </c>
      <c r="C107" s="6" t="str">
        <f t="shared" si="7"/>
        <v>September</v>
      </c>
      <c r="E107" s="14">
        <f>+'Raw Data - Production'!D108+'Raw Data - Production'!E108</f>
        <v>0</v>
      </c>
      <c r="F107" s="15">
        <f>+'Raw Data - Production'!F108+'Raw Data - Production'!G108+'Raw Data - Production'!H108</f>
        <v>0</v>
      </c>
      <c r="G107" s="16">
        <f>+'Raw Data - Production'!J108+'Raw Data - Production'!K108+'Raw Data - Packing'!I108</f>
        <v>0</v>
      </c>
      <c r="H107" s="15">
        <f>+'Raw Data - Production'!L108+'Raw Data - Production'!M108+'Raw Data - Production'!N108+'Raw Data - Packing'!L108</f>
        <v>0</v>
      </c>
      <c r="I107" s="103">
        <f>SUMIF('Raw Data - Packing'!A:A,A107,'Raw Data - Packing'!D:D)</f>
        <v>0</v>
      </c>
      <c r="J107" s="15">
        <f>SUMIF('Raw Data - Packing'!A:A,A107,'Raw Data - Packing'!F:F)</f>
        <v>0</v>
      </c>
      <c r="K107" s="20"/>
      <c r="L107" s="105">
        <f>+E107-I107+L106-(G107/Weights!$B$2)</f>
        <v>0.19753086414948484</v>
      </c>
      <c r="M107" s="105">
        <f>+F107-J107+M106-(H107/Weights!$B$4)</f>
        <v>11271.6</v>
      </c>
      <c r="N107" s="105">
        <f>+E107*Weights!$B$2</f>
        <v>0</v>
      </c>
      <c r="O107" s="105">
        <f>+F107*Weights!$B$4</f>
        <v>0</v>
      </c>
      <c r="Q107" s="135">
        <f t="shared" si="8"/>
        <v>0</v>
      </c>
    </row>
    <row r="108" spans="1:17" x14ac:dyDescent="0.3">
      <c r="A108" s="4">
        <f>+'Raw Data - Production'!A109</f>
        <v>46269</v>
      </c>
      <c r="B108" s="6">
        <f t="shared" si="6"/>
        <v>36</v>
      </c>
      <c r="C108" s="6" t="str">
        <f t="shared" si="7"/>
        <v>September</v>
      </c>
      <c r="E108" s="14">
        <f>+'Raw Data - Production'!D109+'Raw Data - Production'!E109</f>
        <v>0</v>
      </c>
      <c r="F108" s="15">
        <f>+'Raw Data - Production'!F109+'Raw Data - Production'!G109+'Raw Data - Production'!H109</f>
        <v>0</v>
      </c>
      <c r="G108" s="16">
        <f>+'Raw Data - Production'!J109+'Raw Data - Production'!K109+'Raw Data - Packing'!I109</f>
        <v>0</v>
      </c>
      <c r="H108" s="15">
        <f>+'Raw Data - Production'!L109+'Raw Data - Production'!M109+'Raw Data - Production'!N109+'Raw Data - Packing'!L109</f>
        <v>0</v>
      </c>
      <c r="I108" s="103">
        <f>SUMIF('Raw Data - Packing'!A:A,A108,'Raw Data - Packing'!D:D)</f>
        <v>0</v>
      </c>
      <c r="J108" s="15">
        <f>SUMIF('Raw Data - Packing'!A:A,A108,'Raw Data - Packing'!F:F)</f>
        <v>0</v>
      </c>
      <c r="K108" s="20"/>
      <c r="L108" s="105">
        <f>+E108-I108+L107-(G108/Weights!$B$2)</f>
        <v>0.19753086414948484</v>
      </c>
      <c r="M108" s="105">
        <f>+F108-J108+M107-(H108/Weights!$B$4)</f>
        <v>11271.6</v>
      </c>
      <c r="N108" s="105">
        <f>+E108*Weights!$B$2</f>
        <v>0</v>
      </c>
      <c r="O108" s="105">
        <f>+F108*Weights!$B$4</f>
        <v>0</v>
      </c>
      <c r="Q108" s="135">
        <f t="shared" si="8"/>
        <v>0</v>
      </c>
    </row>
    <row r="109" spans="1:17" x14ac:dyDescent="0.3">
      <c r="A109" s="4">
        <f>+'Raw Data - Production'!A110</f>
        <v>46273</v>
      </c>
      <c r="B109" s="6">
        <f t="shared" si="6"/>
        <v>37</v>
      </c>
      <c r="C109" s="6" t="str">
        <f t="shared" si="7"/>
        <v>September</v>
      </c>
      <c r="E109" s="14">
        <f>+'Raw Data - Production'!D110+'Raw Data - Production'!E110</f>
        <v>0</v>
      </c>
      <c r="F109" s="15">
        <f>+'Raw Data - Production'!F110+'Raw Data - Production'!G110+'Raw Data - Production'!H110</f>
        <v>0</v>
      </c>
      <c r="G109" s="16">
        <f>+'Raw Data - Production'!J110+'Raw Data - Production'!K110+'Raw Data - Packing'!I110</f>
        <v>0</v>
      </c>
      <c r="H109" s="15">
        <f>+'Raw Data - Production'!L110+'Raw Data - Production'!M110+'Raw Data - Production'!N110+'Raw Data - Packing'!L110</f>
        <v>0</v>
      </c>
      <c r="I109" s="103">
        <f>SUMIF('Raw Data - Packing'!A:A,A109,'Raw Data - Packing'!D:D)</f>
        <v>0</v>
      </c>
      <c r="J109" s="15">
        <f>SUMIF('Raw Data - Packing'!A:A,A109,'Raw Data - Packing'!F:F)</f>
        <v>0</v>
      </c>
      <c r="K109" s="20"/>
      <c r="L109" s="105">
        <f>+E109-I109+L108-(G109/Weights!$B$2)</f>
        <v>0.19753086414948484</v>
      </c>
      <c r="M109" s="105">
        <f>+F109-J109+M108-(H109/Weights!$B$4)</f>
        <v>11271.6</v>
      </c>
      <c r="N109" s="105">
        <f>+E109*Weights!$B$2</f>
        <v>0</v>
      </c>
      <c r="O109" s="105">
        <f>+F109*Weights!$B$4</f>
        <v>0</v>
      </c>
      <c r="Q109" s="135">
        <f t="shared" si="8"/>
        <v>0</v>
      </c>
    </row>
    <row r="110" spans="1:17" x14ac:dyDescent="0.3">
      <c r="A110" s="4">
        <f>+'Raw Data - Production'!A111</f>
        <v>46274</v>
      </c>
      <c r="B110" s="6">
        <f t="shared" si="6"/>
        <v>37</v>
      </c>
      <c r="C110" s="6" t="str">
        <f t="shared" si="7"/>
        <v>September</v>
      </c>
      <c r="E110" s="14">
        <f>+'Raw Data - Production'!D111+'Raw Data - Production'!E111</f>
        <v>0</v>
      </c>
      <c r="F110" s="15">
        <f>+'Raw Data - Production'!F111+'Raw Data - Production'!G111+'Raw Data - Production'!H111</f>
        <v>0</v>
      </c>
      <c r="G110" s="16">
        <f>+'Raw Data - Production'!J111+'Raw Data - Production'!K111+'Raw Data - Packing'!I111</f>
        <v>0</v>
      </c>
      <c r="H110" s="15">
        <f>+'Raw Data - Production'!L111+'Raw Data - Production'!M111+'Raw Data - Production'!N111+'Raw Data - Packing'!L111</f>
        <v>0</v>
      </c>
      <c r="I110" s="103">
        <f>SUMIF('Raw Data - Packing'!A:A,A110,'Raw Data - Packing'!D:D)</f>
        <v>0</v>
      </c>
      <c r="J110" s="15">
        <f>SUMIF('Raw Data - Packing'!A:A,A110,'Raw Data - Packing'!F:F)</f>
        <v>0</v>
      </c>
      <c r="K110" s="20"/>
      <c r="L110" s="105">
        <f>+E110-I110+L109-(G110/Weights!$B$2)</f>
        <v>0.19753086414948484</v>
      </c>
      <c r="M110" s="105">
        <f>+F110-J110+M109-(H110/Weights!$B$4)</f>
        <v>11271.6</v>
      </c>
      <c r="N110" s="105">
        <f>+E110*Weights!$B$2</f>
        <v>0</v>
      </c>
      <c r="O110" s="105">
        <f>+F110*Weights!$B$4</f>
        <v>0</v>
      </c>
      <c r="Q110" s="135">
        <f t="shared" si="8"/>
        <v>0</v>
      </c>
    </row>
    <row r="111" spans="1:17" x14ac:dyDescent="0.3">
      <c r="A111" s="4">
        <f>+'Raw Data - Production'!A112</f>
        <v>46275</v>
      </c>
      <c r="B111" s="6">
        <f t="shared" si="6"/>
        <v>37</v>
      </c>
      <c r="C111" s="6" t="str">
        <f t="shared" si="7"/>
        <v>September</v>
      </c>
      <c r="E111" s="14">
        <f>+'Raw Data - Production'!D112+'Raw Data - Production'!E112</f>
        <v>0</v>
      </c>
      <c r="F111" s="15">
        <f>+'Raw Data - Production'!F112+'Raw Data - Production'!G112+'Raw Data - Production'!H112</f>
        <v>0</v>
      </c>
      <c r="G111" s="16">
        <f>+'Raw Data - Production'!J112+'Raw Data - Production'!K112+'Raw Data - Packing'!I112</f>
        <v>0</v>
      </c>
      <c r="H111" s="15">
        <f>+'Raw Data - Production'!L112+'Raw Data - Production'!M112+'Raw Data - Production'!N112+'Raw Data - Packing'!L112</f>
        <v>0</v>
      </c>
      <c r="I111" s="103">
        <f>SUMIF('Raw Data - Packing'!A:A,A111,'Raw Data - Packing'!D:D)</f>
        <v>0</v>
      </c>
      <c r="J111" s="15">
        <f>SUMIF('Raw Data - Packing'!A:A,A111,'Raw Data - Packing'!F:F)</f>
        <v>0</v>
      </c>
      <c r="K111" s="20"/>
      <c r="L111" s="105">
        <f>+E111-I111+L110-(G111/Weights!$B$2)</f>
        <v>0.19753086414948484</v>
      </c>
      <c r="M111" s="105">
        <f>+F111-J111+M110-(H111/Weights!$B$4)</f>
        <v>11271.6</v>
      </c>
      <c r="N111" s="105">
        <f>+E111*Weights!$B$2</f>
        <v>0</v>
      </c>
      <c r="O111" s="105">
        <f>+F111*Weights!$B$4</f>
        <v>0</v>
      </c>
      <c r="Q111" s="135">
        <f t="shared" si="8"/>
        <v>0</v>
      </c>
    </row>
    <row r="112" spans="1:17" x14ac:dyDescent="0.3">
      <c r="A112" s="4">
        <f>+'Raw Data - Production'!A113</f>
        <v>46276</v>
      </c>
      <c r="B112" s="6">
        <f t="shared" si="6"/>
        <v>37</v>
      </c>
      <c r="C112" s="6" t="str">
        <f t="shared" si="7"/>
        <v>September</v>
      </c>
      <c r="E112" s="14">
        <f>+'Raw Data - Production'!D113+'Raw Data - Production'!E113</f>
        <v>0</v>
      </c>
      <c r="F112" s="15">
        <f>+'Raw Data - Production'!F113+'Raw Data - Production'!G113+'Raw Data - Production'!H113</f>
        <v>0</v>
      </c>
      <c r="G112" s="16">
        <f>+'Raw Data - Production'!J113+'Raw Data - Production'!K113+'Raw Data - Packing'!I113</f>
        <v>0</v>
      </c>
      <c r="H112" s="15">
        <f>+'Raw Data - Production'!L113+'Raw Data - Production'!M113+'Raw Data - Production'!N113+'Raw Data - Packing'!L113</f>
        <v>0</v>
      </c>
      <c r="I112" s="103">
        <f>SUMIF('Raw Data - Packing'!A:A,A112,'Raw Data - Packing'!D:D)</f>
        <v>0</v>
      </c>
      <c r="J112" s="15">
        <f>SUMIF('Raw Data - Packing'!A:A,A112,'Raw Data - Packing'!F:F)</f>
        <v>0</v>
      </c>
      <c r="K112" s="20"/>
      <c r="L112" s="105">
        <f>+E112-I112+L111-(G112/Weights!$B$2)</f>
        <v>0.19753086414948484</v>
      </c>
      <c r="M112" s="105">
        <f>+F112-J112+M111-(H112/Weights!$B$4)</f>
        <v>11271.6</v>
      </c>
      <c r="N112" s="105">
        <f>+E112*Weights!$B$2</f>
        <v>0</v>
      </c>
      <c r="O112" s="105">
        <f>+F112*Weights!$B$4</f>
        <v>0</v>
      </c>
      <c r="Q112" s="135">
        <f t="shared" si="8"/>
        <v>0</v>
      </c>
    </row>
    <row r="113" spans="1:17" x14ac:dyDescent="0.3">
      <c r="A113" s="4">
        <f>+'Raw Data - Production'!A114</f>
        <v>46279</v>
      </c>
      <c r="B113" s="6">
        <f t="shared" si="6"/>
        <v>38</v>
      </c>
      <c r="C113" s="6" t="str">
        <f t="shared" si="7"/>
        <v>September</v>
      </c>
      <c r="E113" s="14">
        <f>+'Raw Data - Production'!D114+'Raw Data - Production'!E114</f>
        <v>0</v>
      </c>
      <c r="F113" s="15">
        <f>+'Raw Data - Production'!F114+'Raw Data - Production'!G114+'Raw Data - Production'!H114</f>
        <v>0</v>
      </c>
      <c r="G113" s="16">
        <f>+'Raw Data - Production'!J114+'Raw Data - Production'!K114+'Raw Data - Packing'!I114</f>
        <v>0</v>
      </c>
      <c r="H113" s="15">
        <f>+'Raw Data - Production'!L114+'Raw Data - Production'!M114+'Raw Data - Production'!N114+'Raw Data - Packing'!L114</f>
        <v>0</v>
      </c>
      <c r="I113" s="103">
        <f>SUMIF('Raw Data - Packing'!A:A,A113,'Raw Data - Packing'!D:D)</f>
        <v>0</v>
      </c>
      <c r="J113" s="15">
        <f>SUMIF('Raw Data - Packing'!A:A,A113,'Raw Data - Packing'!F:F)</f>
        <v>0</v>
      </c>
      <c r="K113" s="20"/>
      <c r="L113" s="105">
        <f>+E113-I113+L112-(G113/Weights!$B$2)</f>
        <v>0.19753086414948484</v>
      </c>
      <c r="M113" s="105">
        <f>+F113-J113+M112-(H113/Weights!$B$4)</f>
        <v>11271.6</v>
      </c>
      <c r="N113" s="105">
        <f>+E113*Weights!$B$2</f>
        <v>0</v>
      </c>
      <c r="O113" s="105">
        <f>+F113*Weights!$B$4</f>
        <v>0</v>
      </c>
      <c r="Q113" s="135">
        <f t="shared" si="8"/>
        <v>0</v>
      </c>
    </row>
    <row r="114" spans="1:17" x14ac:dyDescent="0.3">
      <c r="A114" s="4">
        <f>+'Raw Data - Production'!A115</f>
        <v>46280</v>
      </c>
      <c r="B114" s="6">
        <f t="shared" ref="B114:B177" si="9">+WEEKNUM(A114)</f>
        <v>38</v>
      </c>
      <c r="C114" s="6" t="str">
        <f t="shared" si="7"/>
        <v>September</v>
      </c>
      <c r="E114" s="14">
        <f>+'Raw Data - Production'!D115+'Raw Data - Production'!E115</f>
        <v>0</v>
      </c>
      <c r="F114" s="15">
        <f>+'Raw Data - Production'!F115+'Raw Data - Production'!G115+'Raw Data - Production'!H115</f>
        <v>0</v>
      </c>
      <c r="G114" s="16">
        <f>+'Raw Data - Production'!J115+'Raw Data - Production'!K115+'Raw Data - Packing'!I115</f>
        <v>0</v>
      </c>
      <c r="H114" s="15">
        <f>+'Raw Data - Production'!L115+'Raw Data - Production'!M115+'Raw Data - Production'!N115+'Raw Data - Packing'!L115</f>
        <v>0</v>
      </c>
      <c r="I114" s="103">
        <f>SUMIF('Raw Data - Packing'!A:A,A114,'Raw Data - Packing'!D:D)</f>
        <v>0</v>
      </c>
      <c r="J114" s="15">
        <f>SUMIF('Raw Data - Packing'!A:A,A114,'Raw Data - Packing'!F:F)</f>
        <v>0</v>
      </c>
      <c r="K114" s="20"/>
      <c r="L114" s="105">
        <f>+E114-I114+L113-(G114/Weights!$B$2)</f>
        <v>0.19753086414948484</v>
      </c>
      <c r="M114" s="105">
        <f>+F114-J114+M113-(H114/Weights!$B$4)</f>
        <v>11271.6</v>
      </c>
      <c r="N114" s="105">
        <f>+E114*Weights!$B$2</f>
        <v>0</v>
      </c>
      <c r="O114" s="105">
        <f>+F114*Weights!$B$4</f>
        <v>0</v>
      </c>
      <c r="Q114" s="135">
        <f t="shared" si="8"/>
        <v>0</v>
      </c>
    </row>
    <row r="115" spans="1:17" x14ac:dyDescent="0.3">
      <c r="A115" s="4">
        <f>+'Raw Data - Production'!A116</f>
        <v>46281</v>
      </c>
      <c r="B115" s="6">
        <f t="shared" si="9"/>
        <v>38</v>
      </c>
      <c r="C115" s="6" t="str">
        <f t="shared" si="7"/>
        <v>September</v>
      </c>
      <c r="E115" s="14">
        <f>+'Raw Data - Production'!D116+'Raw Data - Production'!E116</f>
        <v>0</v>
      </c>
      <c r="F115" s="15">
        <f>+'Raw Data - Production'!F116+'Raw Data - Production'!G116+'Raw Data - Production'!H116</f>
        <v>0</v>
      </c>
      <c r="G115" s="16">
        <f>+'Raw Data - Production'!J116+'Raw Data - Production'!K116+'Raw Data - Packing'!I116</f>
        <v>0</v>
      </c>
      <c r="H115" s="15">
        <f>+'Raw Data - Production'!L116+'Raw Data - Production'!M116+'Raw Data - Production'!N116+'Raw Data - Packing'!L116</f>
        <v>0</v>
      </c>
      <c r="I115" s="103">
        <f>SUMIF('Raw Data - Packing'!A:A,A115,'Raw Data - Packing'!D:D)</f>
        <v>0</v>
      </c>
      <c r="J115" s="15">
        <f>SUMIF('Raw Data - Packing'!A:A,A115,'Raw Data - Packing'!F:F)</f>
        <v>0</v>
      </c>
      <c r="K115" s="20"/>
      <c r="L115" s="105">
        <f>+E115-I115+L114-(G115/Weights!$B$2)</f>
        <v>0.19753086414948484</v>
      </c>
      <c r="M115" s="105">
        <f>+F115-J115+M114-(H115/Weights!$B$4)</f>
        <v>11271.6</v>
      </c>
      <c r="N115" s="105">
        <f>+E115*Weights!$B$2</f>
        <v>0</v>
      </c>
      <c r="O115" s="105">
        <f>+F115*Weights!$B$4</f>
        <v>0</v>
      </c>
      <c r="Q115" s="135">
        <f t="shared" si="8"/>
        <v>0</v>
      </c>
    </row>
    <row r="116" spans="1:17" x14ac:dyDescent="0.3">
      <c r="A116" s="4">
        <f>+'Raw Data - Production'!A117</f>
        <v>46282</v>
      </c>
      <c r="B116" s="6">
        <f t="shared" si="9"/>
        <v>38</v>
      </c>
      <c r="C116" s="6" t="str">
        <f t="shared" si="7"/>
        <v>September</v>
      </c>
      <c r="E116" s="14">
        <f>+'Raw Data - Production'!D117+'Raw Data - Production'!E117</f>
        <v>0</v>
      </c>
      <c r="F116" s="15">
        <f>+'Raw Data - Production'!F117+'Raw Data - Production'!G117+'Raw Data - Production'!H117</f>
        <v>0</v>
      </c>
      <c r="G116" s="16">
        <f>+'Raw Data - Production'!J117+'Raw Data - Production'!K117+'Raw Data - Packing'!I117</f>
        <v>0</v>
      </c>
      <c r="H116" s="15">
        <f>+'Raw Data - Production'!L117+'Raw Data - Production'!M117+'Raw Data - Production'!N117+'Raw Data - Packing'!L117</f>
        <v>0</v>
      </c>
      <c r="I116" s="103">
        <f>SUMIF('Raw Data - Packing'!A:A,A116,'Raw Data - Packing'!D:D)</f>
        <v>0</v>
      </c>
      <c r="J116" s="15">
        <f>SUMIF('Raw Data - Packing'!A:A,A116,'Raw Data - Packing'!F:F)</f>
        <v>0</v>
      </c>
      <c r="K116" s="20"/>
      <c r="L116" s="105">
        <f>+E116-I116+L115-(G116/Weights!$B$2)</f>
        <v>0.19753086414948484</v>
      </c>
      <c r="M116" s="105">
        <f>+F116-J116+M115-(H116/Weights!$B$4)</f>
        <v>11271.6</v>
      </c>
      <c r="N116" s="105">
        <f>+E116*Weights!$B$2</f>
        <v>0</v>
      </c>
      <c r="O116" s="105">
        <f>+F116*Weights!$B$4</f>
        <v>0</v>
      </c>
      <c r="Q116" s="135">
        <f t="shared" si="8"/>
        <v>0</v>
      </c>
    </row>
    <row r="117" spans="1:17" x14ac:dyDescent="0.3">
      <c r="A117" s="4">
        <f>+'Raw Data - Production'!A118</f>
        <v>46283</v>
      </c>
      <c r="B117" s="6">
        <f t="shared" si="9"/>
        <v>38</v>
      </c>
      <c r="C117" s="6" t="str">
        <f t="shared" si="7"/>
        <v>September</v>
      </c>
      <c r="E117" s="14">
        <f>+'Raw Data - Production'!D118+'Raw Data - Production'!E118</f>
        <v>0</v>
      </c>
      <c r="F117" s="15">
        <f>+'Raw Data - Production'!F118+'Raw Data - Production'!G118+'Raw Data - Production'!H118</f>
        <v>0</v>
      </c>
      <c r="G117" s="16">
        <f>+'Raw Data - Production'!J118+'Raw Data - Production'!K118+'Raw Data - Packing'!I118</f>
        <v>0</v>
      </c>
      <c r="H117" s="15">
        <f>+'Raw Data - Production'!L118+'Raw Data - Production'!M118+'Raw Data - Production'!N118+'Raw Data - Packing'!L118</f>
        <v>0</v>
      </c>
      <c r="I117" s="103">
        <f>SUMIF('Raw Data - Packing'!A:A,A117,'Raw Data - Packing'!D:D)</f>
        <v>0</v>
      </c>
      <c r="J117" s="15">
        <f>SUMIF('Raw Data - Packing'!A:A,A117,'Raw Data - Packing'!F:F)</f>
        <v>0</v>
      </c>
      <c r="K117" s="20"/>
      <c r="L117" s="105">
        <f>+E117-I117+L116-(G117/Weights!$B$2)</f>
        <v>0.19753086414948484</v>
      </c>
      <c r="M117" s="105">
        <f>+F117-J117+M116-(H117/Weights!$B$4)</f>
        <v>11271.6</v>
      </c>
      <c r="N117" s="105">
        <f>+E117*Weights!$B$2</f>
        <v>0</v>
      </c>
      <c r="O117" s="105">
        <f>+F117*Weights!$B$4</f>
        <v>0</v>
      </c>
      <c r="Q117" s="135">
        <f t="shared" si="8"/>
        <v>0</v>
      </c>
    </row>
    <row r="118" spans="1:17" x14ac:dyDescent="0.3">
      <c r="A118" s="4">
        <f>+'Raw Data - Production'!A119</f>
        <v>46286</v>
      </c>
      <c r="B118" s="6">
        <f t="shared" si="9"/>
        <v>39</v>
      </c>
      <c r="C118" s="6" t="str">
        <f t="shared" si="7"/>
        <v>September</v>
      </c>
      <c r="E118" s="14">
        <f>+'Raw Data - Production'!D119+'Raw Data - Production'!E119</f>
        <v>0</v>
      </c>
      <c r="F118" s="15">
        <f>+'Raw Data - Production'!F119+'Raw Data - Production'!G119+'Raw Data - Production'!H119</f>
        <v>0</v>
      </c>
      <c r="G118" s="16">
        <f>+'Raw Data - Production'!J119+'Raw Data - Production'!K119+'Raw Data - Packing'!I119</f>
        <v>0</v>
      </c>
      <c r="H118" s="15">
        <f>+'Raw Data - Production'!L119+'Raw Data - Production'!M119+'Raw Data - Production'!N119+'Raw Data - Packing'!L119</f>
        <v>0</v>
      </c>
      <c r="I118" s="103">
        <f>SUMIF('Raw Data - Packing'!A:A,A118,'Raw Data - Packing'!D:D)</f>
        <v>0</v>
      </c>
      <c r="J118" s="15">
        <f>SUMIF('Raw Data - Packing'!A:A,A118,'Raw Data - Packing'!F:F)</f>
        <v>0</v>
      </c>
      <c r="K118" s="20"/>
      <c r="L118" s="105">
        <f>+E118-I118+L117-(G118/Weights!$B$2)</f>
        <v>0.19753086414948484</v>
      </c>
      <c r="M118" s="105">
        <f>+F118-J118+M117-(H118/Weights!$B$4)</f>
        <v>11271.6</v>
      </c>
      <c r="N118" s="105">
        <f>+E118*Weights!$B$2</f>
        <v>0</v>
      </c>
      <c r="O118" s="105">
        <f>+F118*Weights!$B$4</f>
        <v>0</v>
      </c>
      <c r="Q118" s="135">
        <f t="shared" si="8"/>
        <v>0</v>
      </c>
    </row>
    <row r="119" spans="1:17" x14ac:dyDescent="0.3">
      <c r="A119" s="4">
        <f>+'Raw Data - Production'!A120</f>
        <v>46287</v>
      </c>
      <c r="B119" s="6">
        <f t="shared" si="9"/>
        <v>39</v>
      </c>
      <c r="C119" s="6" t="str">
        <f t="shared" si="7"/>
        <v>September</v>
      </c>
      <c r="E119" s="14">
        <f>+'Raw Data - Production'!D120+'Raw Data - Production'!E120</f>
        <v>0</v>
      </c>
      <c r="F119" s="15">
        <f>+'Raw Data - Production'!F120+'Raw Data - Production'!G120+'Raw Data - Production'!H120</f>
        <v>0</v>
      </c>
      <c r="G119" s="16">
        <f>+'Raw Data - Production'!J120+'Raw Data - Production'!K120+'Raw Data - Packing'!I120</f>
        <v>0</v>
      </c>
      <c r="H119" s="15">
        <f>+'Raw Data - Production'!L120+'Raw Data - Production'!M120+'Raw Data - Production'!N120+'Raw Data - Packing'!L120</f>
        <v>0</v>
      </c>
      <c r="I119" s="103">
        <f>SUMIF('Raw Data - Packing'!A:A,A119,'Raw Data - Packing'!D:D)</f>
        <v>0</v>
      </c>
      <c r="J119" s="15">
        <f>SUMIF('Raw Data - Packing'!A:A,A119,'Raw Data - Packing'!F:F)</f>
        <v>0</v>
      </c>
      <c r="K119" s="20"/>
      <c r="L119" s="105">
        <f>+E119-I119+L118-(G119/Weights!$B$2)</f>
        <v>0.19753086414948484</v>
      </c>
      <c r="M119" s="105">
        <f>+F119-J119+M118-(H119/Weights!$B$4)</f>
        <v>11271.6</v>
      </c>
      <c r="N119" s="105">
        <f>+E119*Weights!$B$2</f>
        <v>0</v>
      </c>
      <c r="O119" s="105">
        <f>+F119*Weights!$B$4</f>
        <v>0</v>
      </c>
      <c r="Q119" s="135">
        <f t="shared" si="8"/>
        <v>0</v>
      </c>
    </row>
    <row r="120" spans="1:17" x14ac:dyDescent="0.3">
      <c r="A120" s="4">
        <f>+'Raw Data - Production'!A121</f>
        <v>46288</v>
      </c>
      <c r="B120" s="6">
        <f t="shared" si="9"/>
        <v>39</v>
      </c>
      <c r="C120" s="6" t="str">
        <f t="shared" si="7"/>
        <v>September</v>
      </c>
      <c r="E120" s="14">
        <f>+'Raw Data - Production'!D121+'Raw Data - Production'!E121</f>
        <v>0</v>
      </c>
      <c r="F120" s="15">
        <f>+'Raw Data - Production'!F121+'Raw Data - Production'!G121+'Raw Data - Production'!H121</f>
        <v>0</v>
      </c>
      <c r="G120" s="16">
        <f>+'Raw Data - Production'!J121+'Raw Data - Production'!K121+'Raw Data - Packing'!I121</f>
        <v>0</v>
      </c>
      <c r="H120" s="15">
        <f>+'Raw Data - Production'!L121+'Raw Data - Production'!M121+'Raw Data - Production'!N121+'Raw Data - Packing'!L121</f>
        <v>0</v>
      </c>
      <c r="I120" s="103">
        <f>SUMIF('Raw Data - Packing'!A:A,A120,'Raw Data - Packing'!D:D)</f>
        <v>0</v>
      </c>
      <c r="J120" s="15">
        <f>SUMIF('Raw Data - Packing'!A:A,A120,'Raw Data - Packing'!F:F)</f>
        <v>0</v>
      </c>
      <c r="K120" s="20"/>
      <c r="L120" s="105">
        <f>+E120-I120+L119-(G120/Weights!$B$2)</f>
        <v>0.19753086414948484</v>
      </c>
      <c r="M120" s="105">
        <f>+F120-J120+M119-(H120/Weights!$B$4)</f>
        <v>11271.6</v>
      </c>
      <c r="N120" s="105">
        <f>+E120*Weights!$B$2</f>
        <v>0</v>
      </c>
      <c r="O120" s="105">
        <f>+F120*Weights!$B$4</f>
        <v>0</v>
      </c>
      <c r="Q120" s="135">
        <f t="shared" si="8"/>
        <v>0</v>
      </c>
    </row>
    <row r="121" spans="1:17" x14ac:dyDescent="0.3">
      <c r="A121" s="4">
        <f>+'Raw Data - Production'!A122</f>
        <v>46289</v>
      </c>
      <c r="B121" s="6">
        <f t="shared" si="9"/>
        <v>39</v>
      </c>
      <c r="C121" s="6" t="str">
        <f t="shared" si="7"/>
        <v>September</v>
      </c>
      <c r="E121" s="14">
        <f>+'Raw Data - Production'!D122+'Raw Data - Production'!E122</f>
        <v>0</v>
      </c>
      <c r="F121" s="15">
        <f>+'Raw Data - Production'!F122+'Raw Data - Production'!G122+'Raw Data - Production'!H122</f>
        <v>0</v>
      </c>
      <c r="G121" s="16">
        <f>+'Raw Data - Production'!J122+'Raw Data - Production'!K122+'Raw Data - Packing'!I122</f>
        <v>0</v>
      </c>
      <c r="H121" s="15">
        <f>+'Raw Data - Production'!L122+'Raw Data - Production'!M122+'Raw Data - Production'!N122+'Raw Data - Packing'!L122</f>
        <v>0</v>
      </c>
      <c r="I121" s="103">
        <f>SUMIF('Raw Data - Packing'!A:A,A121,'Raw Data - Packing'!D:D)</f>
        <v>0</v>
      </c>
      <c r="J121" s="15">
        <f>SUMIF('Raw Data - Packing'!A:A,A121,'Raw Data - Packing'!F:F)</f>
        <v>0</v>
      </c>
      <c r="K121" s="20"/>
      <c r="L121" s="105">
        <f>+E121-I121+L120-(G121/Weights!$B$2)</f>
        <v>0.19753086414948484</v>
      </c>
      <c r="M121" s="105">
        <f>+F121-J121+M120-(H121/Weights!$B$4)</f>
        <v>11271.6</v>
      </c>
      <c r="N121" s="105">
        <f>+E121*Weights!$B$2</f>
        <v>0</v>
      </c>
      <c r="O121" s="105">
        <f>+F121*Weights!$B$4</f>
        <v>0</v>
      </c>
      <c r="Q121" s="135">
        <f t="shared" si="8"/>
        <v>0</v>
      </c>
    </row>
    <row r="122" spans="1:17" x14ac:dyDescent="0.3">
      <c r="A122" s="4">
        <f>+'Raw Data - Production'!A123</f>
        <v>46290</v>
      </c>
      <c r="B122" s="6">
        <f t="shared" si="9"/>
        <v>39</v>
      </c>
      <c r="C122" s="6" t="str">
        <f t="shared" si="7"/>
        <v>September</v>
      </c>
      <c r="E122" s="14">
        <f>+'Raw Data - Production'!D123+'Raw Data - Production'!E123</f>
        <v>0</v>
      </c>
      <c r="F122" s="15">
        <f>+'Raw Data - Production'!F123+'Raw Data - Production'!G123+'Raw Data - Production'!H123</f>
        <v>0</v>
      </c>
      <c r="G122" s="16">
        <f>+'Raw Data - Production'!J123+'Raw Data - Production'!K123+'Raw Data - Packing'!I123</f>
        <v>0</v>
      </c>
      <c r="H122" s="15">
        <f>+'Raw Data - Production'!L123+'Raw Data - Production'!M123+'Raw Data - Production'!N123+'Raw Data - Packing'!L123</f>
        <v>0</v>
      </c>
      <c r="I122" s="103">
        <f>SUMIF('Raw Data - Packing'!A:A,A122,'Raw Data - Packing'!D:D)</f>
        <v>0</v>
      </c>
      <c r="J122" s="15">
        <f>SUMIF('Raw Data - Packing'!A:A,A122,'Raw Data - Packing'!F:F)</f>
        <v>0</v>
      </c>
      <c r="K122" s="20"/>
      <c r="L122" s="105">
        <f>+E122-I122+L121-(G122/Weights!$B$2)</f>
        <v>0.19753086414948484</v>
      </c>
      <c r="M122" s="105">
        <f>+F122-J122+M121-(H122/Weights!$B$4)</f>
        <v>11271.6</v>
      </c>
      <c r="N122" s="105">
        <f>+E122*Weights!$B$2</f>
        <v>0</v>
      </c>
      <c r="O122" s="105">
        <f>+F122*Weights!$B$4</f>
        <v>0</v>
      </c>
      <c r="Q122" s="135">
        <f t="shared" si="8"/>
        <v>0</v>
      </c>
    </row>
    <row r="123" spans="1:17" x14ac:dyDescent="0.3">
      <c r="A123" s="4">
        <f>+'Raw Data - Production'!A124</f>
        <v>46293</v>
      </c>
      <c r="B123" s="6">
        <f t="shared" si="9"/>
        <v>40</v>
      </c>
      <c r="C123" s="6" t="str">
        <f t="shared" si="7"/>
        <v>September</v>
      </c>
      <c r="E123" s="14">
        <f>+'Raw Data - Production'!D124+'Raw Data - Production'!E124</f>
        <v>0</v>
      </c>
      <c r="F123" s="15">
        <f>+'Raw Data - Production'!F124+'Raw Data - Production'!G124+'Raw Data - Production'!H124</f>
        <v>0</v>
      </c>
      <c r="G123" s="16">
        <f>+'Raw Data - Production'!J124+'Raw Data - Production'!K124+'Raw Data - Packing'!I124</f>
        <v>0</v>
      </c>
      <c r="H123" s="15">
        <f>+'Raw Data - Production'!L124+'Raw Data - Production'!M124+'Raw Data - Production'!N124+'Raw Data - Packing'!L124</f>
        <v>0</v>
      </c>
      <c r="I123" s="103">
        <f>SUMIF('Raw Data - Packing'!A:A,A123,'Raw Data - Packing'!D:D)</f>
        <v>0</v>
      </c>
      <c r="J123" s="15">
        <f>SUMIF('Raw Data - Packing'!A:A,A123,'Raw Data - Packing'!F:F)</f>
        <v>0</v>
      </c>
      <c r="K123" s="20"/>
      <c r="L123" s="105">
        <f>+E123-I123+L122-(G123/Weights!$B$2)</f>
        <v>0.19753086414948484</v>
      </c>
      <c r="M123" s="105">
        <f>+F123-J123+M122-(H123/Weights!$B$4)</f>
        <v>11271.6</v>
      </c>
      <c r="N123" s="105">
        <f>+E123*Weights!$B$2</f>
        <v>0</v>
      </c>
      <c r="O123" s="105">
        <f>+F123*Weights!$B$4</f>
        <v>0</v>
      </c>
      <c r="Q123" s="135">
        <f t="shared" si="8"/>
        <v>0</v>
      </c>
    </row>
    <row r="124" spans="1:17" x14ac:dyDescent="0.3">
      <c r="A124" s="4">
        <f>+'Raw Data - Production'!A125</f>
        <v>46294</v>
      </c>
      <c r="B124" s="6">
        <f t="shared" si="9"/>
        <v>40</v>
      </c>
      <c r="C124" s="6" t="str">
        <f t="shared" si="7"/>
        <v>September</v>
      </c>
      <c r="E124" s="14">
        <f>+'Raw Data - Production'!D125+'Raw Data - Production'!E125</f>
        <v>0</v>
      </c>
      <c r="F124" s="15">
        <f>+'Raw Data - Production'!F125+'Raw Data - Production'!G125+'Raw Data - Production'!H125</f>
        <v>0</v>
      </c>
      <c r="G124" s="16">
        <f>+'Raw Data - Production'!J125+'Raw Data - Production'!K125+'Raw Data - Packing'!I125</f>
        <v>0</v>
      </c>
      <c r="H124" s="15">
        <f>+'Raw Data - Production'!L125+'Raw Data - Production'!M125+'Raw Data - Production'!N125+'Raw Data - Packing'!L125</f>
        <v>0</v>
      </c>
      <c r="I124" s="103">
        <f>SUMIF('Raw Data - Packing'!A:A,A124,'Raw Data - Packing'!D:D)</f>
        <v>0</v>
      </c>
      <c r="J124" s="15">
        <f>SUMIF('Raw Data - Packing'!A:A,A124,'Raw Data - Packing'!F:F)</f>
        <v>0</v>
      </c>
      <c r="K124" s="20"/>
      <c r="L124" s="105">
        <f>+E124-I124+L123-(G124/Weights!$B$2)</f>
        <v>0.19753086414948484</v>
      </c>
      <c r="M124" s="105">
        <f>+F124-J124+M123-(H124/Weights!$B$4)</f>
        <v>11271.6</v>
      </c>
      <c r="N124" s="105">
        <f>+E124*Weights!$B$2</f>
        <v>0</v>
      </c>
      <c r="O124" s="105">
        <f>+F124*Weights!$B$4</f>
        <v>0</v>
      </c>
      <c r="Q124" s="135">
        <f t="shared" si="8"/>
        <v>0</v>
      </c>
    </row>
    <row r="125" spans="1:17" x14ac:dyDescent="0.3">
      <c r="A125" s="4">
        <f>+'Raw Data - Production'!A126</f>
        <v>46295</v>
      </c>
      <c r="B125" s="6">
        <f t="shared" si="9"/>
        <v>40</v>
      </c>
      <c r="C125" s="6" t="str">
        <f t="shared" si="7"/>
        <v>September</v>
      </c>
      <c r="E125" s="14">
        <f>+'Raw Data - Production'!D126+'Raw Data - Production'!E126</f>
        <v>0</v>
      </c>
      <c r="F125" s="15">
        <f>+'Raw Data - Production'!F126+'Raw Data - Production'!G126+'Raw Data - Production'!H126</f>
        <v>0</v>
      </c>
      <c r="G125" s="16">
        <f>+'Raw Data - Production'!J126+'Raw Data - Production'!K126+'Raw Data - Packing'!I126</f>
        <v>0</v>
      </c>
      <c r="H125" s="15">
        <f>+'Raw Data - Production'!L126+'Raw Data - Production'!M126+'Raw Data - Production'!N126+'Raw Data - Packing'!L126</f>
        <v>0</v>
      </c>
      <c r="I125" s="103">
        <f>SUMIF('Raw Data - Packing'!A:A,A125,'Raw Data - Packing'!D:D)</f>
        <v>0</v>
      </c>
      <c r="J125" s="15">
        <f>SUMIF('Raw Data - Packing'!A:A,A125,'Raw Data - Packing'!F:F)</f>
        <v>0</v>
      </c>
      <c r="K125" s="20"/>
      <c r="L125" s="105">
        <f>+E125-I125+L124-(G125/Weights!$B$2)</f>
        <v>0.19753086414948484</v>
      </c>
      <c r="M125" s="105">
        <f>+F125-J125+M124-(H125/Weights!$B$4)</f>
        <v>11271.6</v>
      </c>
      <c r="N125" s="105">
        <f>+E125*Weights!$B$2</f>
        <v>0</v>
      </c>
      <c r="O125" s="105">
        <f>+F125*Weights!$B$4</f>
        <v>0</v>
      </c>
      <c r="Q125" s="135">
        <f t="shared" si="8"/>
        <v>0</v>
      </c>
    </row>
    <row r="126" spans="1:17" x14ac:dyDescent="0.3">
      <c r="A126" s="4">
        <f>+'Raw Data - Production'!A127</f>
        <v>46296</v>
      </c>
      <c r="B126" s="6">
        <f t="shared" si="9"/>
        <v>40</v>
      </c>
      <c r="C126" s="6" t="str">
        <f t="shared" si="7"/>
        <v>October</v>
      </c>
      <c r="E126" s="14">
        <f>+'Raw Data - Production'!D127+'Raw Data - Production'!E127</f>
        <v>0</v>
      </c>
      <c r="F126" s="15">
        <f>+'Raw Data - Production'!F127+'Raw Data - Production'!G127+'Raw Data - Production'!H127</f>
        <v>0</v>
      </c>
      <c r="G126" s="16">
        <f>+'Raw Data - Production'!J127+'Raw Data - Production'!K127+'Raw Data - Packing'!I127</f>
        <v>0</v>
      </c>
      <c r="H126" s="15">
        <f>+'Raw Data - Production'!L127+'Raw Data - Production'!M127+'Raw Data - Production'!N127+'Raw Data - Packing'!L127</f>
        <v>0</v>
      </c>
      <c r="I126" s="103">
        <f>SUMIF('Raw Data - Packing'!A:A,A126,'Raw Data - Packing'!D:D)</f>
        <v>0</v>
      </c>
      <c r="J126" s="15">
        <f>SUMIF('Raw Data - Packing'!A:A,A126,'Raw Data - Packing'!F:F)</f>
        <v>0</v>
      </c>
      <c r="K126" s="20"/>
      <c r="L126" s="105">
        <f>+E126-I126+L125-(G126/Weights!$B$2)</f>
        <v>0.19753086414948484</v>
      </c>
      <c r="M126" s="105">
        <f>+F126-J126+M125-(H126/Weights!$B$4)</f>
        <v>11271.6</v>
      </c>
      <c r="N126" s="105">
        <f>+E126*Weights!$B$2</f>
        <v>0</v>
      </c>
      <c r="O126" s="105">
        <f>+F126*Weights!$B$4</f>
        <v>0</v>
      </c>
      <c r="Q126" s="135">
        <f t="shared" si="8"/>
        <v>0</v>
      </c>
    </row>
    <row r="127" spans="1:17" x14ac:dyDescent="0.3">
      <c r="A127" s="4">
        <f>+'Raw Data - Production'!A128</f>
        <v>46297</v>
      </c>
      <c r="B127" s="6">
        <f t="shared" si="9"/>
        <v>40</v>
      </c>
      <c r="C127" s="6" t="str">
        <f t="shared" si="7"/>
        <v>October</v>
      </c>
      <c r="E127" s="14">
        <f>+'Raw Data - Production'!D128+'Raw Data - Production'!E128</f>
        <v>0</v>
      </c>
      <c r="F127" s="15">
        <f>+'Raw Data - Production'!F128+'Raw Data - Production'!G128+'Raw Data - Production'!H128</f>
        <v>0</v>
      </c>
      <c r="G127" s="16">
        <f>+'Raw Data - Production'!J128+'Raw Data - Production'!K128+'Raw Data - Packing'!I128</f>
        <v>0</v>
      </c>
      <c r="H127" s="15">
        <f>+'Raw Data - Production'!L128+'Raw Data - Production'!M128+'Raw Data - Production'!N128+'Raw Data - Packing'!L128</f>
        <v>0</v>
      </c>
      <c r="I127" s="103">
        <f>SUMIF('Raw Data - Packing'!A:A,A127,'Raw Data - Packing'!D:D)</f>
        <v>0</v>
      </c>
      <c r="J127" s="15">
        <f>SUMIF('Raw Data - Packing'!A:A,A127,'Raw Data - Packing'!F:F)</f>
        <v>0</v>
      </c>
      <c r="K127" s="20"/>
      <c r="L127" s="105">
        <f>+E127-I127+L126-(G127/Weights!$B$2)</f>
        <v>0.19753086414948484</v>
      </c>
      <c r="M127" s="105">
        <f>+F127-J127+M126-(H127/Weights!$B$4)</f>
        <v>11271.6</v>
      </c>
      <c r="N127" s="105">
        <f>+E127*Weights!$B$2</f>
        <v>0</v>
      </c>
      <c r="O127" s="105">
        <f>+F127*Weights!$B$4</f>
        <v>0</v>
      </c>
      <c r="Q127" s="135">
        <f t="shared" si="8"/>
        <v>0</v>
      </c>
    </row>
    <row r="128" spans="1:17" x14ac:dyDescent="0.3">
      <c r="A128" s="4">
        <f>+'Raw Data - Production'!A129</f>
        <v>46300</v>
      </c>
      <c r="B128" s="6">
        <f t="shared" si="9"/>
        <v>41</v>
      </c>
      <c r="C128" s="6" t="str">
        <f t="shared" si="7"/>
        <v>October</v>
      </c>
      <c r="E128" s="14">
        <f>+'Raw Data - Production'!D129+'Raw Data - Production'!E129</f>
        <v>0</v>
      </c>
      <c r="F128" s="15">
        <f>+'Raw Data - Production'!F129+'Raw Data - Production'!G129+'Raw Data - Production'!H129</f>
        <v>0</v>
      </c>
      <c r="G128" s="16">
        <f>+'Raw Data - Production'!J129+'Raw Data - Production'!K129+'Raw Data - Packing'!I129</f>
        <v>0</v>
      </c>
      <c r="H128" s="15">
        <f>+'Raw Data - Production'!L129+'Raw Data - Production'!M129+'Raw Data - Production'!N129+'Raw Data - Packing'!L129</f>
        <v>0</v>
      </c>
      <c r="I128" s="103">
        <f>SUMIF('Raw Data - Packing'!A:A,A128,'Raw Data - Packing'!D:D)</f>
        <v>0</v>
      </c>
      <c r="J128" s="15">
        <f>SUMIF('Raw Data - Packing'!A:A,A128,'Raw Data - Packing'!F:F)</f>
        <v>0</v>
      </c>
      <c r="K128" s="20"/>
      <c r="L128" s="105">
        <f>+E128-I128+L127-(G128/Weights!$B$2)</f>
        <v>0.19753086414948484</v>
      </c>
      <c r="M128" s="105">
        <f>+F128-J128+M127-(H128/Weights!$B$4)</f>
        <v>11271.6</v>
      </c>
      <c r="N128" s="105">
        <f>+E128*Weights!$B$2</f>
        <v>0</v>
      </c>
      <c r="O128" s="105">
        <f>+F128*Weights!$B$4</f>
        <v>0</v>
      </c>
      <c r="Q128" s="135">
        <f t="shared" si="8"/>
        <v>0</v>
      </c>
    </row>
    <row r="129" spans="1:17" x14ac:dyDescent="0.3">
      <c r="A129" s="4">
        <f>+'Raw Data - Production'!A130</f>
        <v>46301</v>
      </c>
      <c r="B129" s="6">
        <f t="shared" si="9"/>
        <v>41</v>
      </c>
      <c r="C129" s="6" t="str">
        <f t="shared" si="7"/>
        <v>October</v>
      </c>
      <c r="E129" s="14">
        <f>+'Raw Data - Production'!D130+'Raw Data - Production'!E130</f>
        <v>0</v>
      </c>
      <c r="F129" s="15">
        <f>+'Raw Data - Production'!F130+'Raw Data - Production'!G130+'Raw Data - Production'!H130</f>
        <v>0</v>
      </c>
      <c r="G129" s="16">
        <f>+'Raw Data - Production'!J130+'Raw Data - Production'!K130+'Raw Data - Packing'!I130</f>
        <v>0</v>
      </c>
      <c r="H129" s="15">
        <f>+'Raw Data - Production'!L130+'Raw Data - Production'!M130+'Raw Data - Production'!N130+'Raw Data - Packing'!L130</f>
        <v>0</v>
      </c>
      <c r="I129" s="103">
        <f>SUMIF('Raw Data - Packing'!A:A,A129,'Raw Data - Packing'!D:D)</f>
        <v>0</v>
      </c>
      <c r="J129" s="15">
        <f>SUMIF('Raw Data - Packing'!A:A,A129,'Raw Data - Packing'!F:F)</f>
        <v>0</v>
      </c>
      <c r="K129" s="20"/>
      <c r="L129" s="105">
        <f>+E129-I129+L128-(G129/Weights!$B$2)</f>
        <v>0.19753086414948484</v>
      </c>
      <c r="M129" s="105">
        <f>+F129-J129+M128-(H129/Weights!$B$4)</f>
        <v>11271.6</v>
      </c>
      <c r="N129" s="105">
        <f>+E129*Weights!$B$2</f>
        <v>0</v>
      </c>
      <c r="O129" s="105">
        <f>+F129*Weights!$B$4</f>
        <v>0</v>
      </c>
      <c r="Q129" s="135">
        <f t="shared" si="8"/>
        <v>0</v>
      </c>
    </row>
    <row r="130" spans="1:17" x14ac:dyDescent="0.3">
      <c r="A130" s="4">
        <f>+'Raw Data - Production'!A131</f>
        <v>46302</v>
      </c>
      <c r="B130" s="6">
        <f t="shared" si="9"/>
        <v>41</v>
      </c>
      <c r="C130" s="6" t="str">
        <f t="shared" si="7"/>
        <v>October</v>
      </c>
      <c r="E130" s="14">
        <f>+'Raw Data - Production'!D131+'Raw Data - Production'!E131</f>
        <v>0</v>
      </c>
      <c r="F130" s="15">
        <f>+'Raw Data - Production'!F131+'Raw Data - Production'!G131+'Raw Data - Production'!H131</f>
        <v>0</v>
      </c>
      <c r="G130" s="16">
        <f>+'Raw Data - Production'!J131+'Raw Data - Production'!K131+'Raw Data - Packing'!I131</f>
        <v>0</v>
      </c>
      <c r="H130" s="15">
        <f>+'Raw Data - Production'!L131+'Raw Data - Production'!M131+'Raw Data - Production'!N131+'Raw Data - Packing'!L131</f>
        <v>0</v>
      </c>
      <c r="I130" s="103">
        <f>SUMIF('Raw Data - Packing'!A:A,A130,'Raw Data - Packing'!D:D)</f>
        <v>0</v>
      </c>
      <c r="J130" s="15">
        <f>SUMIF('Raw Data - Packing'!A:A,A130,'Raw Data - Packing'!F:F)</f>
        <v>0</v>
      </c>
      <c r="K130" s="20"/>
      <c r="L130" s="105">
        <f>+E130-I130+L129-(G130/Weights!$B$2)</f>
        <v>0.19753086414948484</v>
      </c>
      <c r="M130" s="105">
        <f>+F130-J130+M129-(H130/Weights!$B$4)</f>
        <v>11271.6</v>
      </c>
      <c r="N130" s="105">
        <f>+E130*Weights!$B$2</f>
        <v>0</v>
      </c>
      <c r="O130" s="105">
        <f>+F130*Weights!$B$4</f>
        <v>0</v>
      </c>
      <c r="Q130" s="135">
        <f t="shared" si="8"/>
        <v>0</v>
      </c>
    </row>
    <row r="131" spans="1:17" x14ac:dyDescent="0.3">
      <c r="A131" s="4">
        <f>+'Raw Data - Production'!A132</f>
        <v>46303</v>
      </c>
      <c r="B131" s="6">
        <f t="shared" si="9"/>
        <v>41</v>
      </c>
      <c r="C131" s="6" t="str">
        <f t="shared" ref="C131:C194" si="10">+TEXT(A131,"mmmm")</f>
        <v>October</v>
      </c>
      <c r="E131" s="14">
        <f>+'Raw Data - Production'!D132+'Raw Data - Production'!E132</f>
        <v>0</v>
      </c>
      <c r="F131" s="15">
        <f>+'Raw Data - Production'!F132+'Raw Data - Production'!G132+'Raw Data - Production'!H132</f>
        <v>0</v>
      </c>
      <c r="G131" s="16">
        <f>+'Raw Data - Production'!J132+'Raw Data - Production'!K132+'Raw Data - Packing'!I132</f>
        <v>0</v>
      </c>
      <c r="H131" s="15">
        <f>+'Raw Data - Production'!L132+'Raw Data - Production'!M132+'Raw Data - Production'!N132+'Raw Data - Packing'!L132</f>
        <v>0</v>
      </c>
      <c r="I131" s="103">
        <f>SUMIF('Raw Data - Packing'!A:A,A131,'Raw Data - Packing'!D:D)</f>
        <v>0</v>
      </c>
      <c r="J131" s="15">
        <f>SUMIF('Raw Data - Packing'!A:A,A131,'Raw Data - Packing'!F:F)</f>
        <v>0</v>
      </c>
      <c r="K131" s="20"/>
      <c r="L131" s="105">
        <f>+E131-I131+L130-(G131/Weights!$B$2)</f>
        <v>0.19753086414948484</v>
      </c>
      <c r="M131" s="105">
        <f>+F131-J131+M130-(H131/Weights!$B$4)</f>
        <v>11271.6</v>
      </c>
      <c r="N131" s="105">
        <f>+E131*Weights!$B$2</f>
        <v>0</v>
      </c>
      <c r="O131" s="105">
        <f>+F131*Weights!$B$4</f>
        <v>0</v>
      </c>
      <c r="Q131" s="135">
        <f t="shared" ref="Q131:Q194" si="11">I131+J131</f>
        <v>0</v>
      </c>
    </row>
    <row r="132" spans="1:17" x14ac:dyDescent="0.3">
      <c r="A132" s="4">
        <f>+'Raw Data - Production'!A133</f>
        <v>46304</v>
      </c>
      <c r="B132" s="6">
        <f t="shared" si="9"/>
        <v>41</v>
      </c>
      <c r="C132" s="6" t="str">
        <f t="shared" si="10"/>
        <v>October</v>
      </c>
      <c r="E132" s="14">
        <f>+'Raw Data - Production'!D133+'Raw Data - Production'!E133</f>
        <v>0</v>
      </c>
      <c r="F132" s="15">
        <f>+'Raw Data - Production'!F133+'Raw Data - Production'!G133+'Raw Data - Production'!H133</f>
        <v>0</v>
      </c>
      <c r="G132" s="16">
        <f>+'Raw Data - Production'!J133+'Raw Data - Production'!K133+'Raw Data - Packing'!I133</f>
        <v>0</v>
      </c>
      <c r="H132" s="15">
        <f>+'Raw Data - Production'!L133+'Raw Data - Production'!M133+'Raw Data - Production'!N133+'Raw Data - Packing'!L133</f>
        <v>0</v>
      </c>
      <c r="I132" s="103">
        <f>SUMIF('Raw Data - Packing'!A:A,A132,'Raw Data - Packing'!D:D)</f>
        <v>0</v>
      </c>
      <c r="J132" s="15">
        <f>SUMIF('Raw Data - Packing'!A:A,A132,'Raw Data - Packing'!F:F)</f>
        <v>0</v>
      </c>
      <c r="K132" s="20"/>
      <c r="L132" s="105">
        <f>+E132-I132+L131-(G132/Weights!$B$2)</f>
        <v>0.19753086414948484</v>
      </c>
      <c r="M132" s="105">
        <f>+F132-J132+M131-(H132/Weights!$B$4)</f>
        <v>11271.6</v>
      </c>
      <c r="N132" s="105">
        <f>+E132*Weights!$B$2</f>
        <v>0</v>
      </c>
      <c r="O132" s="105">
        <f>+F132*Weights!$B$4</f>
        <v>0</v>
      </c>
      <c r="Q132" s="135">
        <f t="shared" si="11"/>
        <v>0</v>
      </c>
    </row>
    <row r="133" spans="1:17" x14ac:dyDescent="0.3">
      <c r="A133" s="4">
        <f>+'Raw Data - Production'!A134</f>
        <v>46307</v>
      </c>
      <c r="B133" s="6">
        <f t="shared" si="9"/>
        <v>42</v>
      </c>
      <c r="C133" s="6" t="str">
        <f t="shared" si="10"/>
        <v>October</v>
      </c>
      <c r="E133" s="14">
        <f>+'Raw Data - Production'!D134+'Raw Data - Production'!E134</f>
        <v>0</v>
      </c>
      <c r="F133" s="15">
        <f>+'Raw Data - Production'!F134+'Raw Data - Production'!G134+'Raw Data - Production'!H134</f>
        <v>0</v>
      </c>
      <c r="G133" s="16">
        <f>+'Raw Data - Production'!J134+'Raw Data - Production'!K134+'Raw Data - Packing'!I134</f>
        <v>0</v>
      </c>
      <c r="H133" s="15">
        <f>+'Raw Data - Production'!L134+'Raw Data - Production'!M134+'Raw Data - Production'!N134+'Raw Data - Packing'!L134</f>
        <v>0</v>
      </c>
      <c r="I133" s="103">
        <f>SUMIF('Raw Data - Packing'!A:A,A133,'Raw Data - Packing'!D:D)</f>
        <v>0</v>
      </c>
      <c r="J133" s="15">
        <f>SUMIF('Raw Data - Packing'!A:A,A133,'Raw Data - Packing'!F:F)</f>
        <v>0</v>
      </c>
      <c r="K133" s="20"/>
      <c r="L133" s="105">
        <f>+E133-I133+L132-(G133/Weights!$B$2)</f>
        <v>0.19753086414948484</v>
      </c>
      <c r="M133" s="105">
        <f>+F133-J133+M132-(H133/Weights!$B$4)</f>
        <v>11271.6</v>
      </c>
      <c r="N133" s="105">
        <f>+E133*Weights!$B$2</f>
        <v>0</v>
      </c>
      <c r="O133" s="105">
        <f>+F133*Weights!$B$4</f>
        <v>0</v>
      </c>
      <c r="Q133" s="135">
        <f t="shared" si="11"/>
        <v>0</v>
      </c>
    </row>
    <row r="134" spans="1:17" x14ac:dyDescent="0.3">
      <c r="A134" s="4">
        <f>+'Raw Data - Production'!A135</f>
        <v>46308</v>
      </c>
      <c r="B134" s="6">
        <f t="shared" si="9"/>
        <v>42</v>
      </c>
      <c r="C134" s="6" t="str">
        <f t="shared" si="10"/>
        <v>October</v>
      </c>
      <c r="E134" s="14">
        <f>+'Raw Data - Production'!D135+'Raw Data - Production'!E135</f>
        <v>0</v>
      </c>
      <c r="F134" s="15">
        <f>+'Raw Data - Production'!F135+'Raw Data - Production'!G135+'Raw Data - Production'!H135</f>
        <v>0</v>
      </c>
      <c r="G134" s="16">
        <f>+'Raw Data - Production'!J135+'Raw Data - Production'!K135+'Raw Data - Packing'!I135</f>
        <v>0</v>
      </c>
      <c r="H134" s="15">
        <f>+'Raw Data - Production'!L135+'Raw Data - Production'!M135+'Raw Data - Production'!N135+'Raw Data - Packing'!L135</f>
        <v>0</v>
      </c>
      <c r="I134" s="103">
        <f>SUMIF('Raw Data - Packing'!A:A,A134,'Raw Data - Packing'!D:D)</f>
        <v>0</v>
      </c>
      <c r="J134" s="15">
        <f>SUMIF('Raw Data - Packing'!A:A,A134,'Raw Data - Packing'!F:F)</f>
        <v>0</v>
      </c>
      <c r="K134" s="20"/>
      <c r="L134" s="105">
        <f>+E134-I134+L133-(G134/Weights!$B$2)</f>
        <v>0.19753086414948484</v>
      </c>
      <c r="M134" s="105">
        <f>+F134-J134+M133-(H134/Weights!$B$4)</f>
        <v>11271.6</v>
      </c>
      <c r="N134" s="105">
        <f>+E134*Weights!$B$2</f>
        <v>0</v>
      </c>
      <c r="O134" s="105">
        <f>+F134*Weights!$B$4</f>
        <v>0</v>
      </c>
      <c r="Q134" s="135">
        <f t="shared" si="11"/>
        <v>0</v>
      </c>
    </row>
    <row r="135" spans="1:17" x14ac:dyDescent="0.3">
      <c r="A135" s="4">
        <f>+'Raw Data - Production'!A136</f>
        <v>46309</v>
      </c>
      <c r="B135" s="6">
        <f t="shared" si="9"/>
        <v>42</v>
      </c>
      <c r="C135" s="6" t="str">
        <f t="shared" si="10"/>
        <v>October</v>
      </c>
      <c r="E135" s="14">
        <f>+'Raw Data - Production'!D136+'Raw Data - Production'!E136</f>
        <v>0</v>
      </c>
      <c r="F135" s="15">
        <f>+'Raw Data - Production'!F136+'Raw Data - Production'!G136+'Raw Data - Production'!H136</f>
        <v>0</v>
      </c>
      <c r="G135" s="16">
        <f>+'Raw Data - Production'!J136+'Raw Data - Production'!K136+'Raw Data - Packing'!I136</f>
        <v>0</v>
      </c>
      <c r="H135" s="15">
        <f>+'Raw Data - Production'!L136+'Raw Data - Production'!M136+'Raw Data - Production'!N136+'Raw Data - Packing'!L136</f>
        <v>0</v>
      </c>
      <c r="I135" s="103">
        <f>SUMIF('Raw Data - Packing'!A:A,A135,'Raw Data - Packing'!D:D)</f>
        <v>0</v>
      </c>
      <c r="J135" s="15">
        <f>SUMIF('Raw Data - Packing'!A:A,A135,'Raw Data - Packing'!F:F)</f>
        <v>0</v>
      </c>
      <c r="K135" s="20"/>
      <c r="L135" s="105">
        <f>+E135-I135+L134-(G135/Weights!$B$2)</f>
        <v>0.19753086414948484</v>
      </c>
      <c r="M135" s="105">
        <f>+F135-J135+M134-(H135/Weights!$B$4)</f>
        <v>11271.6</v>
      </c>
      <c r="N135" s="105">
        <f>+E135*Weights!$B$2</f>
        <v>0</v>
      </c>
      <c r="O135" s="105">
        <f>+F135*Weights!$B$4</f>
        <v>0</v>
      </c>
      <c r="Q135" s="135">
        <f t="shared" si="11"/>
        <v>0</v>
      </c>
    </row>
    <row r="136" spans="1:17" x14ac:dyDescent="0.3">
      <c r="A136" s="4">
        <f>+'Raw Data - Production'!A137</f>
        <v>46310</v>
      </c>
      <c r="B136" s="6">
        <f t="shared" si="9"/>
        <v>42</v>
      </c>
      <c r="C136" s="6" t="str">
        <f t="shared" si="10"/>
        <v>October</v>
      </c>
      <c r="E136" s="14">
        <f>+'Raw Data - Production'!D137+'Raw Data - Production'!E137</f>
        <v>0</v>
      </c>
      <c r="F136" s="15">
        <f>+'Raw Data - Production'!F137+'Raw Data - Production'!G137+'Raw Data - Production'!H137</f>
        <v>0</v>
      </c>
      <c r="G136" s="16">
        <f>+'Raw Data - Production'!J137+'Raw Data - Production'!K137+'Raw Data - Packing'!I137</f>
        <v>0</v>
      </c>
      <c r="H136" s="15">
        <f>+'Raw Data - Production'!L137+'Raw Data - Production'!M137+'Raw Data - Production'!N137+'Raw Data - Packing'!L137</f>
        <v>0</v>
      </c>
      <c r="I136" s="103">
        <f>SUMIF('Raw Data - Packing'!A:A,A136,'Raw Data - Packing'!D:D)</f>
        <v>0</v>
      </c>
      <c r="J136" s="15">
        <f>SUMIF('Raw Data - Packing'!A:A,A136,'Raw Data - Packing'!F:F)</f>
        <v>0</v>
      </c>
      <c r="K136" s="20"/>
      <c r="L136" s="105">
        <f>+E136-I136+L135-(G136/Weights!$B$2)</f>
        <v>0.19753086414948484</v>
      </c>
      <c r="M136" s="105">
        <f>+F136-J136+M135-(H136/Weights!$B$4)</f>
        <v>11271.6</v>
      </c>
      <c r="N136" s="105">
        <f>+E136*Weights!$B$2</f>
        <v>0</v>
      </c>
      <c r="O136" s="105">
        <f>+F136*Weights!$B$4</f>
        <v>0</v>
      </c>
      <c r="Q136" s="135">
        <f t="shared" si="11"/>
        <v>0</v>
      </c>
    </row>
    <row r="137" spans="1:17" x14ac:dyDescent="0.3">
      <c r="A137" s="4">
        <f>+'Raw Data - Production'!A138</f>
        <v>46311</v>
      </c>
      <c r="B137" s="6">
        <f t="shared" si="9"/>
        <v>42</v>
      </c>
      <c r="C137" s="6" t="str">
        <f t="shared" si="10"/>
        <v>October</v>
      </c>
      <c r="E137" s="14">
        <f>+'Raw Data - Production'!D138+'Raw Data - Production'!E138</f>
        <v>0</v>
      </c>
      <c r="F137" s="15">
        <f>+'Raw Data - Production'!F138+'Raw Data - Production'!G138+'Raw Data - Production'!H138</f>
        <v>0</v>
      </c>
      <c r="G137" s="16">
        <f>+'Raw Data - Production'!J138+'Raw Data - Production'!K138+'Raw Data - Packing'!I138</f>
        <v>0</v>
      </c>
      <c r="H137" s="15">
        <f>+'Raw Data - Production'!L138+'Raw Data - Production'!M138+'Raw Data - Production'!N138+'Raw Data - Packing'!L138</f>
        <v>0</v>
      </c>
      <c r="I137" s="103">
        <f>SUMIF('Raw Data - Packing'!A:A,A137,'Raw Data - Packing'!D:D)</f>
        <v>0</v>
      </c>
      <c r="J137" s="15">
        <f>SUMIF('Raw Data - Packing'!A:A,A137,'Raw Data - Packing'!F:F)</f>
        <v>0</v>
      </c>
      <c r="K137" s="20"/>
      <c r="L137" s="105">
        <f>+E137-I137+L136-(G137/Weights!$B$2)</f>
        <v>0.19753086414948484</v>
      </c>
      <c r="M137" s="105">
        <f>+F137-J137+M136-(H137/Weights!$B$4)</f>
        <v>11271.6</v>
      </c>
      <c r="N137" s="105">
        <f>+E137*Weights!$B$2</f>
        <v>0</v>
      </c>
      <c r="O137" s="105">
        <f>+F137*Weights!$B$4</f>
        <v>0</v>
      </c>
      <c r="Q137" s="135">
        <f t="shared" si="11"/>
        <v>0</v>
      </c>
    </row>
    <row r="138" spans="1:17" x14ac:dyDescent="0.3">
      <c r="A138" s="4">
        <f>+'Raw Data - Production'!A139</f>
        <v>46314</v>
      </c>
      <c r="B138" s="6">
        <f t="shared" si="9"/>
        <v>43</v>
      </c>
      <c r="C138" s="6" t="str">
        <f t="shared" si="10"/>
        <v>October</v>
      </c>
      <c r="E138" s="14">
        <f>+'Raw Data - Production'!D139+'Raw Data - Production'!E139</f>
        <v>0</v>
      </c>
      <c r="F138" s="15">
        <f>+'Raw Data - Production'!F139+'Raw Data - Production'!G139+'Raw Data - Production'!H139</f>
        <v>0</v>
      </c>
      <c r="G138" s="16">
        <f>+'Raw Data - Production'!J139+'Raw Data - Production'!K139+'Raw Data - Packing'!I139</f>
        <v>0</v>
      </c>
      <c r="H138" s="15">
        <f>+'Raw Data - Production'!L139+'Raw Data - Production'!M139+'Raw Data - Production'!N139+'Raw Data - Packing'!L139</f>
        <v>0</v>
      </c>
      <c r="I138" s="103">
        <f>SUMIF('Raw Data - Packing'!A:A,A138,'Raw Data - Packing'!D:D)</f>
        <v>0</v>
      </c>
      <c r="J138" s="15">
        <f>SUMIF('Raw Data - Packing'!A:A,A138,'Raw Data - Packing'!F:F)</f>
        <v>0</v>
      </c>
      <c r="K138" s="20"/>
      <c r="L138" s="105">
        <f>+E138-I138+L137-(G138/Weights!$B$2)</f>
        <v>0.19753086414948484</v>
      </c>
      <c r="M138" s="105">
        <f>+F138-J138+M137-(H138/Weights!$B$4)</f>
        <v>11271.6</v>
      </c>
      <c r="N138" s="105">
        <f>+E138*Weights!$B$2</f>
        <v>0</v>
      </c>
      <c r="O138" s="105">
        <f>+F138*Weights!$B$4</f>
        <v>0</v>
      </c>
      <c r="Q138" s="135">
        <f t="shared" si="11"/>
        <v>0</v>
      </c>
    </row>
    <row r="139" spans="1:17" x14ac:dyDescent="0.3">
      <c r="A139" s="4">
        <f>+'Raw Data - Production'!A140</f>
        <v>46315</v>
      </c>
      <c r="B139" s="6">
        <f t="shared" si="9"/>
        <v>43</v>
      </c>
      <c r="C139" s="6" t="str">
        <f t="shared" si="10"/>
        <v>October</v>
      </c>
      <c r="E139" s="14">
        <f>+'Raw Data - Production'!D140+'Raw Data - Production'!E140</f>
        <v>0</v>
      </c>
      <c r="F139" s="15">
        <f>+'Raw Data - Production'!F140+'Raw Data - Production'!G140+'Raw Data - Production'!H140</f>
        <v>0</v>
      </c>
      <c r="G139" s="16">
        <f>+'Raw Data - Production'!J140+'Raw Data - Production'!K140+'Raw Data - Packing'!I140</f>
        <v>0</v>
      </c>
      <c r="H139" s="15">
        <f>+'Raw Data - Production'!L140+'Raw Data - Production'!M140+'Raw Data - Production'!N140+'Raw Data - Packing'!L140</f>
        <v>0</v>
      </c>
      <c r="I139" s="103">
        <f>SUMIF('Raw Data - Packing'!A:A,A139,'Raw Data - Packing'!D:D)</f>
        <v>0</v>
      </c>
      <c r="J139" s="15">
        <f>SUMIF('Raw Data - Packing'!A:A,A139,'Raw Data - Packing'!F:F)</f>
        <v>0</v>
      </c>
      <c r="K139" s="20"/>
      <c r="L139" s="105">
        <f>+E139-I139+L138-(G139/Weights!$B$2)</f>
        <v>0.19753086414948484</v>
      </c>
      <c r="M139" s="105">
        <f>+F139-J139+M138-(H139/Weights!$B$4)</f>
        <v>11271.6</v>
      </c>
      <c r="N139" s="105">
        <f>+E139*Weights!$B$2</f>
        <v>0</v>
      </c>
      <c r="O139" s="105">
        <f>+F139*Weights!$B$4</f>
        <v>0</v>
      </c>
      <c r="Q139" s="135">
        <f t="shared" si="11"/>
        <v>0</v>
      </c>
    </row>
    <row r="140" spans="1:17" x14ac:dyDescent="0.3">
      <c r="A140" s="4">
        <f>+'Raw Data - Production'!A141</f>
        <v>46316</v>
      </c>
      <c r="B140" s="6">
        <f t="shared" si="9"/>
        <v>43</v>
      </c>
      <c r="C140" s="6" t="str">
        <f t="shared" si="10"/>
        <v>October</v>
      </c>
      <c r="E140" s="14">
        <f>+'Raw Data - Production'!D141+'Raw Data - Production'!E141</f>
        <v>0</v>
      </c>
      <c r="F140" s="15">
        <f>+'Raw Data - Production'!F141+'Raw Data - Production'!G141+'Raw Data - Production'!H141</f>
        <v>0</v>
      </c>
      <c r="G140" s="16">
        <f>+'Raw Data - Production'!J141+'Raw Data - Production'!K141+'Raw Data - Packing'!I141</f>
        <v>0</v>
      </c>
      <c r="H140" s="15">
        <f>+'Raw Data - Production'!L141+'Raw Data - Production'!M141+'Raw Data - Production'!N141+'Raw Data - Packing'!L141</f>
        <v>0</v>
      </c>
      <c r="I140" s="103">
        <f>SUMIF('Raw Data - Packing'!A:A,A140,'Raw Data - Packing'!D:D)</f>
        <v>0</v>
      </c>
      <c r="J140" s="15">
        <f>SUMIF('Raw Data - Packing'!A:A,A140,'Raw Data - Packing'!F:F)</f>
        <v>0</v>
      </c>
      <c r="K140" s="20"/>
      <c r="L140" s="105">
        <f>+E140-I140+L139-(G140/Weights!$B$2)</f>
        <v>0.19753086414948484</v>
      </c>
      <c r="M140" s="105">
        <f>+F140-J140+M139-(H140/Weights!$B$4)</f>
        <v>11271.6</v>
      </c>
      <c r="N140" s="105">
        <f>+E140*Weights!$B$2</f>
        <v>0</v>
      </c>
      <c r="O140" s="105">
        <f>+F140*Weights!$B$4</f>
        <v>0</v>
      </c>
      <c r="Q140" s="135">
        <f t="shared" si="11"/>
        <v>0</v>
      </c>
    </row>
    <row r="141" spans="1:17" x14ac:dyDescent="0.3">
      <c r="A141" s="4">
        <f>+'Raw Data - Production'!A142</f>
        <v>46317</v>
      </c>
      <c r="B141" s="6">
        <f t="shared" si="9"/>
        <v>43</v>
      </c>
      <c r="C141" s="6" t="str">
        <f t="shared" si="10"/>
        <v>October</v>
      </c>
      <c r="E141" s="14">
        <f>+'Raw Data - Production'!D142+'Raw Data - Production'!E142</f>
        <v>0</v>
      </c>
      <c r="F141" s="15">
        <f>+'Raw Data - Production'!F142+'Raw Data - Production'!G142+'Raw Data - Production'!H142</f>
        <v>0</v>
      </c>
      <c r="G141" s="16">
        <f>+'Raw Data - Production'!J142+'Raw Data - Production'!K142+'Raw Data - Packing'!I142</f>
        <v>0</v>
      </c>
      <c r="H141" s="15">
        <f>+'Raw Data - Production'!L142+'Raw Data - Production'!M142+'Raw Data - Production'!N142+'Raw Data - Packing'!L142</f>
        <v>0</v>
      </c>
      <c r="I141" s="103">
        <f>SUMIF('Raw Data - Packing'!A:A,A141,'Raw Data - Packing'!D:D)</f>
        <v>0</v>
      </c>
      <c r="J141" s="15">
        <f>SUMIF('Raw Data - Packing'!A:A,A141,'Raw Data - Packing'!F:F)</f>
        <v>0</v>
      </c>
      <c r="K141" s="20"/>
      <c r="L141" s="105">
        <f>+E141-I141+L140-(G141/Weights!$B$2)</f>
        <v>0.19753086414948484</v>
      </c>
      <c r="M141" s="105">
        <f>+F141-J141+M140-(H141/Weights!$B$4)</f>
        <v>11271.6</v>
      </c>
      <c r="N141" s="105">
        <f>+E141*Weights!$B$2</f>
        <v>0</v>
      </c>
      <c r="O141" s="105">
        <f>+F141*Weights!$B$4</f>
        <v>0</v>
      </c>
      <c r="Q141" s="135">
        <f t="shared" si="11"/>
        <v>0</v>
      </c>
    </row>
    <row r="142" spans="1:17" x14ac:dyDescent="0.3">
      <c r="A142" s="4">
        <f>+'Raw Data - Production'!A143</f>
        <v>46318</v>
      </c>
      <c r="B142" s="6">
        <f t="shared" si="9"/>
        <v>43</v>
      </c>
      <c r="C142" s="6" t="str">
        <f t="shared" si="10"/>
        <v>October</v>
      </c>
      <c r="E142" s="14">
        <f>+'Raw Data - Production'!D143+'Raw Data - Production'!E143</f>
        <v>0</v>
      </c>
      <c r="F142" s="15">
        <f>+'Raw Data - Production'!F143+'Raw Data - Production'!G143+'Raw Data - Production'!H143</f>
        <v>0</v>
      </c>
      <c r="G142" s="16">
        <f>+'Raw Data - Production'!J143+'Raw Data - Production'!K143+'Raw Data - Packing'!I143</f>
        <v>0</v>
      </c>
      <c r="H142" s="15">
        <f>+'Raw Data - Production'!L143+'Raw Data - Production'!M143+'Raw Data - Production'!N143+'Raw Data - Packing'!L143</f>
        <v>0</v>
      </c>
      <c r="I142" s="103">
        <f>SUMIF('Raw Data - Packing'!A:A,A142,'Raw Data - Packing'!D:D)</f>
        <v>0</v>
      </c>
      <c r="J142" s="15">
        <f>SUMIF('Raw Data - Packing'!A:A,A142,'Raw Data - Packing'!F:F)</f>
        <v>0</v>
      </c>
      <c r="K142" s="20"/>
      <c r="L142" s="105">
        <f>+E142-I142+L141-(G142/Weights!$B$2)</f>
        <v>0.19753086414948484</v>
      </c>
      <c r="M142" s="105">
        <f>+F142-J142+M141-(H142/Weights!$B$4)</f>
        <v>11271.6</v>
      </c>
      <c r="N142" s="105">
        <f>+E142*Weights!$B$2</f>
        <v>0</v>
      </c>
      <c r="O142" s="105">
        <f>+F142*Weights!$B$4</f>
        <v>0</v>
      </c>
      <c r="Q142" s="135">
        <f t="shared" si="11"/>
        <v>0</v>
      </c>
    </row>
    <row r="143" spans="1:17" x14ac:dyDescent="0.3">
      <c r="A143" s="4">
        <f>+'Raw Data - Production'!A144</f>
        <v>46321</v>
      </c>
      <c r="B143" s="6">
        <f t="shared" si="9"/>
        <v>44</v>
      </c>
      <c r="C143" s="6" t="str">
        <f t="shared" si="10"/>
        <v>October</v>
      </c>
      <c r="E143" s="14">
        <f>+'Raw Data - Production'!D144+'Raw Data - Production'!E144</f>
        <v>0</v>
      </c>
      <c r="F143" s="15">
        <f>+'Raw Data - Production'!F144+'Raw Data - Production'!G144+'Raw Data - Production'!H144</f>
        <v>0</v>
      </c>
      <c r="G143" s="16">
        <f>+'Raw Data - Production'!J144+'Raw Data - Production'!K144+'Raw Data - Packing'!I144</f>
        <v>0</v>
      </c>
      <c r="H143" s="15">
        <f>+'Raw Data - Production'!L144+'Raw Data - Production'!M144+'Raw Data - Production'!N144+'Raw Data - Packing'!L144</f>
        <v>0</v>
      </c>
      <c r="I143" s="103">
        <f>SUMIF('Raw Data - Packing'!A:A,A143,'Raw Data - Packing'!D:D)</f>
        <v>0</v>
      </c>
      <c r="J143" s="15">
        <f>SUMIF('Raw Data - Packing'!A:A,A143,'Raw Data - Packing'!F:F)</f>
        <v>0</v>
      </c>
      <c r="K143" s="20"/>
      <c r="L143" s="105">
        <f>+E143-I143+L142-(G143/Weights!$B$2)</f>
        <v>0.19753086414948484</v>
      </c>
      <c r="M143" s="105">
        <f>+F143-J143+M142-(H143/Weights!$B$4)</f>
        <v>11271.6</v>
      </c>
      <c r="N143" s="105">
        <f>+E143*Weights!$B$2</f>
        <v>0</v>
      </c>
      <c r="O143" s="105">
        <f>+F143*Weights!$B$4</f>
        <v>0</v>
      </c>
      <c r="Q143" s="135">
        <f t="shared" si="11"/>
        <v>0</v>
      </c>
    </row>
    <row r="144" spans="1:17" x14ac:dyDescent="0.3">
      <c r="A144" s="4">
        <f>+'Raw Data - Production'!A145</f>
        <v>46322</v>
      </c>
      <c r="B144" s="6">
        <f t="shared" si="9"/>
        <v>44</v>
      </c>
      <c r="C144" s="6" t="str">
        <f t="shared" si="10"/>
        <v>October</v>
      </c>
      <c r="E144" s="14">
        <f>+'Raw Data - Production'!D145+'Raw Data - Production'!E145</f>
        <v>0</v>
      </c>
      <c r="F144" s="15">
        <f>+'Raw Data - Production'!F145+'Raw Data - Production'!G145+'Raw Data - Production'!H145</f>
        <v>0</v>
      </c>
      <c r="G144" s="16">
        <f>+'Raw Data - Production'!J145+'Raw Data - Production'!K145+'Raw Data - Packing'!I145</f>
        <v>0</v>
      </c>
      <c r="H144" s="15">
        <f>+'Raw Data - Production'!L145+'Raw Data - Production'!M145+'Raw Data - Production'!N145+'Raw Data - Packing'!L145</f>
        <v>0</v>
      </c>
      <c r="I144" s="103">
        <f>SUMIF('Raw Data - Packing'!A:A,A144,'Raw Data - Packing'!D:D)</f>
        <v>0</v>
      </c>
      <c r="J144" s="15">
        <f>SUMIF('Raw Data - Packing'!A:A,A144,'Raw Data - Packing'!F:F)</f>
        <v>0</v>
      </c>
      <c r="K144" s="20"/>
      <c r="L144" s="105">
        <f>+E144-I144+L143-(G144/Weights!$B$2)</f>
        <v>0.19753086414948484</v>
      </c>
      <c r="M144" s="105">
        <f>+F144-J144+M143-(H144/Weights!$B$4)</f>
        <v>11271.6</v>
      </c>
      <c r="N144" s="105">
        <f>+E144*Weights!$B$2</f>
        <v>0</v>
      </c>
      <c r="O144" s="105">
        <f>+F144*Weights!$B$4</f>
        <v>0</v>
      </c>
      <c r="Q144" s="135">
        <f t="shared" si="11"/>
        <v>0</v>
      </c>
    </row>
    <row r="145" spans="1:17" x14ac:dyDescent="0.3">
      <c r="A145" s="4">
        <f>+'Raw Data - Production'!A146</f>
        <v>46323</v>
      </c>
      <c r="B145" s="6">
        <f t="shared" si="9"/>
        <v>44</v>
      </c>
      <c r="C145" s="6" t="str">
        <f t="shared" si="10"/>
        <v>October</v>
      </c>
      <c r="E145" s="14">
        <f>+'Raw Data - Production'!D146+'Raw Data - Production'!E146</f>
        <v>0</v>
      </c>
      <c r="F145" s="15">
        <f>+'Raw Data - Production'!F146+'Raw Data - Production'!G146+'Raw Data - Production'!H146</f>
        <v>0</v>
      </c>
      <c r="G145" s="16">
        <f>+'Raw Data - Production'!J146+'Raw Data - Production'!K146+'Raw Data - Packing'!I146</f>
        <v>0</v>
      </c>
      <c r="H145" s="15">
        <f>+'Raw Data - Production'!L146+'Raw Data - Production'!M146+'Raw Data - Production'!N146+'Raw Data - Packing'!L146</f>
        <v>0</v>
      </c>
      <c r="I145" s="103">
        <f>SUMIF('Raw Data - Packing'!A:A,A145,'Raw Data - Packing'!D:D)</f>
        <v>0</v>
      </c>
      <c r="J145" s="15">
        <f>SUMIF('Raw Data - Packing'!A:A,A145,'Raw Data - Packing'!F:F)</f>
        <v>0</v>
      </c>
      <c r="K145" s="20"/>
      <c r="L145" s="105">
        <f>+E145-I145+L144-(G145/Weights!$B$2)</f>
        <v>0.19753086414948484</v>
      </c>
      <c r="M145" s="105">
        <f>+F145-J145+M144-(H145/Weights!$B$4)</f>
        <v>11271.6</v>
      </c>
      <c r="N145" s="105">
        <f>+E145*Weights!$B$2</f>
        <v>0</v>
      </c>
      <c r="O145" s="105">
        <f>+F145*Weights!$B$4</f>
        <v>0</v>
      </c>
      <c r="Q145" s="135">
        <f t="shared" si="11"/>
        <v>0</v>
      </c>
    </row>
    <row r="146" spans="1:17" x14ac:dyDescent="0.3">
      <c r="A146" s="4">
        <f>+'Raw Data - Production'!A147</f>
        <v>46324</v>
      </c>
      <c r="B146" s="6">
        <f t="shared" si="9"/>
        <v>44</v>
      </c>
      <c r="C146" s="6" t="str">
        <f t="shared" si="10"/>
        <v>October</v>
      </c>
      <c r="E146" s="14">
        <f>+'Raw Data - Production'!D147+'Raw Data - Production'!E147</f>
        <v>0</v>
      </c>
      <c r="F146" s="15">
        <f>+'Raw Data - Production'!F147+'Raw Data - Production'!G147+'Raw Data - Production'!H147</f>
        <v>0</v>
      </c>
      <c r="G146" s="16">
        <f>+'Raw Data - Production'!J147+'Raw Data - Production'!K147+'Raw Data - Packing'!I147</f>
        <v>0</v>
      </c>
      <c r="H146" s="15">
        <f>+'Raw Data - Production'!L147+'Raw Data - Production'!M147+'Raw Data - Production'!N147+'Raw Data - Packing'!L147</f>
        <v>0</v>
      </c>
      <c r="I146" s="103">
        <f>SUMIF('Raw Data - Packing'!A:A,A146,'Raw Data - Packing'!D:D)</f>
        <v>0</v>
      </c>
      <c r="J146" s="15">
        <f>SUMIF('Raw Data - Packing'!A:A,A146,'Raw Data - Packing'!F:F)</f>
        <v>0</v>
      </c>
      <c r="K146" s="20"/>
      <c r="L146" s="105">
        <f>+E146-I146+L145-(G146/Weights!$B$2)</f>
        <v>0.19753086414948484</v>
      </c>
      <c r="M146" s="105">
        <f>+F146-J146+M145-(H146/Weights!$B$4)</f>
        <v>11271.6</v>
      </c>
      <c r="N146" s="105">
        <f>+E146*Weights!$B$2</f>
        <v>0</v>
      </c>
      <c r="O146" s="105">
        <f>+F146*Weights!$B$4</f>
        <v>0</v>
      </c>
      <c r="Q146" s="135">
        <f t="shared" si="11"/>
        <v>0</v>
      </c>
    </row>
    <row r="147" spans="1:17" x14ac:dyDescent="0.3">
      <c r="A147" s="4">
        <f>+'Raw Data - Production'!A148</f>
        <v>46325</v>
      </c>
      <c r="B147" s="6">
        <f t="shared" si="9"/>
        <v>44</v>
      </c>
      <c r="C147" s="6" t="str">
        <f t="shared" si="10"/>
        <v>October</v>
      </c>
      <c r="E147" s="14">
        <f>+'Raw Data - Production'!D148+'Raw Data - Production'!E148</f>
        <v>0</v>
      </c>
      <c r="F147" s="15">
        <f>+'Raw Data - Production'!F148+'Raw Data - Production'!G148+'Raw Data - Production'!H148</f>
        <v>0</v>
      </c>
      <c r="G147" s="16">
        <f>+'Raw Data - Production'!J148+'Raw Data - Production'!K148+'Raw Data - Packing'!I148</f>
        <v>0</v>
      </c>
      <c r="H147" s="15">
        <f>+'Raw Data - Production'!L148+'Raw Data - Production'!M148+'Raw Data - Production'!N148+'Raw Data - Packing'!L148</f>
        <v>0</v>
      </c>
      <c r="I147" s="103">
        <f>SUMIF('Raw Data - Packing'!A:A,A147,'Raw Data - Packing'!D:D)</f>
        <v>0</v>
      </c>
      <c r="J147" s="15">
        <f>SUMIF('Raw Data - Packing'!A:A,A147,'Raw Data - Packing'!F:F)</f>
        <v>0</v>
      </c>
      <c r="K147" s="20"/>
      <c r="L147" s="105">
        <f>+E147-I147+L146-(G147/Weights!$B$2)</f>
        <v>0.19753086414948484</v>
      </c>
      <c r="M147" s="105">
        <f>+F147-J147+M146-(H147/Weights!$B$4)</f>
        <v>11271.6</v>
      </c>
      <c r="N147" s="105">
        <f>+E147*Weights!$B$2</f>
        <v>0</v>
      </c>
      <c r="O147" s="105">
        <f>+F147*Weights!$B$4</f>
        <v>0</v>
      </c>
      <c r="Q147" s="135">
        <f t="shared" si="11"/>
        <v>0</v>
      </c>
    </row>
    <row r="148" spans="1:17" x14ac:dyDescent="0.3">
      <c r="A148" s="4">
        <f>+'Raw Data - Production'!A149</f>
        <v>46328</v>
      </c>
      <c r="B148" s="6">
        <f t="shared" si="9"/>
        <v>45</v>
      </c>
      <c r="C148" s="6" t="str">
        <f t="shared" si="10"/>
        <v>November</v>
      </c>
      <c r="E148" s="14">
        <f>+'Raw Data - Production'!D149+'Raw Data - Production'!E149</f>
        <v>0</v>
      </c>
      <c r="F148" s="15">
        <f>+'Raw Data - Production'!F149+'Raw Data - Production'!G149+'Raw Data - Production'!H149</f>
        <v>0</v>
      </c>
      <c r="G148" s="16">
        <f>+'Raw Data - Production'!J149+'Raw Data - Production'!K149+'Raw Data - Packing'!I149</f>
        <v>0</v>
      </c>
      <c r="H148" s="15">
        <f>+'Raw Data - Production'!L149+'Raw Data - Production'!M149+'Raw Data - Production'!N149+'Raw Data - Packing'!L149</f>
        <v>0</v>
      </c>
      <c r="I148" s="103">
        <f>SUMIF('Raw Data - Packing'!A:A,A148,'Raw Data - Packing'!D:D)</f>
        <v>0</v>
      </c>
      <c r="J148" s="15">
        <f>SUMIF('Raw Data - Packing'!A:A,A148,'Raw Data - Packing'!F:F)</f>
        <v>0</v>
      </c>
      <c r="K148" s="20"/>
      <c r="L148" s="105">
        <f>+E148-I148+L147-(G148/Weights!$B$2)</f>
        <v>0.19753086414948484</v>
      </c>
      <c r="M148" s="105">
        <f>+F148-J148+M147-(H148/Weights!$B$4)</f>
        <v>11271.6</v>
      </c>
      <c r="N148" s="105">
        <f>+E148*Weights!$B$2</f>
        <v>0</v>
      </c>
      <c r="O148" s="105">
        <f>+F148*Weights!$B$4</f>
        <v>0</v>
      </c>
      <c r="Q148" s="135">
        <f t="shared" si="11"/>
        <v>0</v>
      </c>
    </row>
    <row r="149" spans="1:17" x14ac:dyDescent="0.3">
      <c r="A149" s="4">
        <f>+'Raw Data - Production'!A150</f>
        <v>46329</v>
      </c>
      <c r="B149" s="6">
        <f t="shared" si="9"/>
        <v>45</v>
      </c>
      <c r="C149" s="6" t="str">
        <f t="shared" si="10"/>
        <v>November</v>
      </c>
      <c r="E149" s="14">
        <f>+'Raw Data - Production'!D150+'Raw Data - Production'!E150</f>
        <v>0</v>
      </c>
      <c r="F149" s="15">
        <f>+'Raw Data - Production'!F150+'Raw Data - Production'!G150+'Raw Data - Production'!H150</f>
        <v>0</v>
      </c>
      <c r="G149" s="16">
        <f>+'Raw Data - Production'!J150+'Raw Data - Production'!K150+'Raw Data - Packing'!I150</f>
        <v>0</v>
      </c>
      <c r="H149" s="15">
        <f>+'Raw Data - Production'!L150+'Raw Data - Production'!M150+'Raw Data - Production'!N150+'Raw Data - Packing'!L150</f>
        <v>0</v>
      </c>
      <c r="I149" s="103">
        <f>SUMIF('Raw Data - Packing'!A:A,A149,'Raw Data - Packing'!D:D)</f>
        <v>0</v>
      </c>
      <c r="J149" s="15">
        <f>SUMIF('Raw Data - Packing'!A:A,A149,'Raw Data - Packing'!F:F)</f>
        <v>0</v>
      </c>
      <c r="K149" s="20"/>
      <c r="L149" s="105">
        <f>+E149-I149+L148-(G149/Weights!$B$2)</f>
        <v>0.19753086414948484</v>
      </c>
      <c r="M149" s="105">
        <f>+F149-J149+M148-(H149/Weights!$B$4)</f>
        <v>11271.6</v>
      </c>
      <c r="N149" s="105">
        <f>+E149*Weights!$B$2</f>
        <v>0</v>
      </c>
      <c r="O149" s="105">
        <f>+F149*Weights!$B$4</f>
        <v>0</v>
      </c>
      <c r="Q149" s="135">
        <f t="shared" si="11"/>
        <v>0</v>
      </c>
    </row>
    <row r="150" spans="1:17" x14ac:dyDescent="0.3">
      <c r="A150" s="4">
        <f>+'Raw Data - Production'!A151</f>
        <v>46330</v>
      </c>
      <c r="B150" s="6">
        <f t="shared" si="9"/>
        <v>45</v>
      </c>
      <c r="C150" s="6" t="str">
        <f t="shared" si="10"/>
        <v>November</v>
      </c>
      <c r="E150" s="14">
        <f>+'Raw Data - Production'!D151+'Raw Data - Production'!E151</f>
        <v>0</v>
      </c>
      <c r="F150" s="15">
        <f>+'Raw Data - Production'!F151+'Raw Data - Production'!G151+'Raw Data - Production'!H151</f>
        <v>0</v>
      </c>
      <c r="G150" s="16">
        <f>+'Raw Data - Production'!J151+'Raw Data - Production'!K151+'Raw Data - Packing'!I151</f>
        <v>0</v>
      </c>
      <c r="H150" s="15">
        <f>+'Raw Data - Production'!L151+'Raw Data - Production'!M151+'Raw Data - Production'!N151+'Raw Data - Packing'!L151</f>
        <v>0</v>
      </c>
      <c r="I150" s="103">
        <f>SUMIF('Raw Data - Packing'!A:A,A150,'Raw Data - Packing'!D:D)</f>
        <v>0</v>
      </c>
      <c r="J150" s="15">
        <f>SUMIF('Raw Data - Packing'!A:A,A150,'Raw Data - Packing'!F:F)</f>
        <v>0</v>
      </c>
      <c r="K150" s="20"/>
      <c r="L150" s="105">
        <f>+E150-I150+L149-(G150/Weights!$B$2)</f>
        <v>0.19753086414948484</v>
      </c>
      <c r="M150" s="105">
        <f>+F150-J150+M149-(H150/Weights!$B$4)</f>
        <v>11271.6</v>
      </c>
      <c r="N150" s="105">
        <f>+E150*Weights!$B$2</f>
        <v>0</v>
      </c>
      <c r="O150" s="105">
        <f>+F150*Weights!$B$4</f>
        <v>0</v>
      </c>
      <c r="Q150" s="135">
        <f t="shared" si="11"/>
        <v>0</v>
      </c>
    </row>
    <row r="151" spans="1:17" x14ac:dyDescent="0.3">
      <c r="A151" s="4">
        <f>+'Raw Data - Production'!A152</f>
        <v>46331</v>
      </c>
      <c r="B151" s="6">
        <f t="shared" si="9"/>
        <v>45</v>
      </c>
      <c r="C151" s="6" t="str">
        <f t="shared" si="10"/>
        <v>November</v>
      </c>
      <c r="E151" s="14">
        <f>+'Raw Data - Production'!D152+'Raw Data - Production'!E152</f>
        <v>0</v>
      </c>
      <c r="F151" s="15">
        <f>+'Raw Data - Production'!F152+'Raw Data - Production'!G152+'Raw Data - Production'!H152</f>
        <v>0</v>
      </c>
      <c r="G151" s="16">
        <f>+'Raw Data - Production'!J152+'Raw Data - Production'!K152+'Raw Data - Packing'!I152</f>
        <v>0</v>
      </c>
      <c r="H151" s="15">
        <f>+'Raw Data - Production'!L152+'Raw Data - Production'!M152+'Raw Data - Production'!N152+'Raw Data - Packing'!L152</f>
        <v>0</v>
      </c>
      <c r="I151" s="103">
        <f>SUMIF('Raw Data - Packing'!A:A,A151,'Raw Data - Packing'!D:D)</f>
        <v>0</v>
      </c>
      <c r="J151" s="15">
        <f>SUMIF('Raw Data - Packing'!A:A,A151,'Raw Data - Packing'!F:F)</f>
        <v>0</v>
      </c>
      <c r="K151" s="20"/>
      <c r="L151" s="105">
        <f>+E151-I151+L150-(G151/Weights!$B$2)</f>
        <v>0.19753086414948484</v>
      </c>
      <c r="M151" s="105">
        <f>+F151-J151+M150-(H151/Weights!$B$4)</f>
        <v>11271.6</v>
      </c>
      <c r="N151" s="105">
        <f>+E151*Weights!$B$2</f>
        <v>0</v>
      </c>
      <c r="O151" s="105">
        <f>+F151*Weights!$B$4</f>
        <v>0</v>
      </c>
      <c r="Q151" s="135">
        <f t="shared" si="11"/>
        <v>0</v>
      </c>
    </row>
    <row r="152" spans="1:17" x14ac:dyDescent="0.3">
      <c r="A152" s="4">
        <f>+'Raw Data - Production'!A153</f>
        <v>46332</v>
      </c>
      <c r="B152" s="6">
        <f t="shared" si="9"/>
        <v>45</v>
      </c>
      <c r="C152" s="6" t="str">
        <f t="shared" si="10"/>
        <v>November</v>
      </c>
      <c r="E152" s="14">
        <f>+'Raw Data - Production'!D153+'Raw Data - Production'!E153</f>
        <v>0</v>
      </c>
      <c r="F152" s="15">
        <f>+'Raw Data - Production'!F153+'Raw Data - Production'!G153+'Raw Data - Production'!H153</f>
        <v>0</v>
      </c>
      <c r="G152" s="16">
        <f>+'Raw Data - Production'!J153+'Raw Data - Production'!K153+'Raw Data - Packing'!I153</f>
        <v>0</v>
      </c>
      <c r="H152" s="15">
        <f>+'Raw Data - Production'!L153+'Raw Data - Production'!M153+'Raw Data - Production'!N153+'Raw Data - Packing'!L153</f>
        <v>0</v>
      </c>
      <c r="I152" s="103">
        <f>SUMIF('Raw Data - Packing'!A:A,A152,'Raw Data - Packing'!D:D)</f>
        <v>0</v>
      </c>
      <c r="J152" s="15">
        <f>SUMIF('Raw Data - Packing'!A:A,A152,'Raw Data - Packing'!F:F)</f>
        <v>0</v>
      </c>
      <c r="K152" s="20"/>
      <c r="L152" s="105">
        <f>+E152-I152+L151-(G152/Weights!$B$2)</f>
        <v>0.19753086414948484</v>
      </c>
      <c r="M152" s="105">
        <f>+F152-J152+M151-(H152/Weights!$B$4)</f>
        <v>11271.6</v>
      </c>
      <c r="N152" s="105">
        <f>+E152*Weights!$B$2</f>
        <v>0</v>
      </c>
      <c r="O152" s="105">
        <f>+F152*Weights!$B$4</f>
        <v>0</v>
      </c>
      <c r="Q152" s="135">
        <f t="shared" si="11"/>
        <v>0</v>
      </c>
    </row>
    <row r="153" spans="1:17" x14ac:dyDescent="0.3">
      <c r="A153" s="4">
        <f>+'Raw Data - Production'!A154</f>
        <v>46335</v>
      </c>
      <c r="B153" s="6">
        <f t="shared" si="9"/>
        <v>46</v>
      </c>
      <c r="C153" s="6" t="str">
        <f t="shared" si="10"/>
        <v>November</v>
      </c>
      <c r="E153" s="14">
        <f>+'Raw Data - Production'!D154+'Raw Data - Production'!E154</f>
        <v>0</v>
      </c>
      <c r="F153" s="15">
        <f>+'Raw Data - Production'!F154+'Raw Data - Production'!G154+'Raw Data - Production'!H154</f>
        <v>0</v>
      </c>
      <c r="G153" s="16">
        <f>+'Raw Data - Production'!J154+'Raw Data - Production'!K154+'Raw Data - Packing'!I154</f>
        <v>0</v>
      </c>
      <c r="H153" s="15">
        <f>+'Raw Data - Production'!L154+'Raw Data - Production'!M154+'Raw Data - Production'!N154+'Raw Data - Packing'!L154</f>
        <v>0</v>
      </c>
      <c r="I153" s="103">
        <f>SUMIF('Raw Data - Packing'!A:A,A153,'Raw Data - Packing'!D:D)</f>
        <v>0</v>
      </c>
      <c r="J153" s="15">
        <f>SUMIF('Raw Data - Packing'!A:A,A153,'Raw Data - Packing'!F:F)</f>
        <v>0</v>
      </c>
      <c r="K153" s="20"/>
      <c r="L153" s="105">
        <f>+E153-I153+L152-(G153/Weights!$B$2)</f>
        <v>0.19753086414948484</v>
      </c>
      <c r="M153" s="105">
        <f>+F153-J153+M152-(H153/Weights!$B$4)</f>
        <v>11271.6</v>
      </c>
      <c r="N153" s="105">
        <f>+E153*Weights!$B$2</f>
        <v>0</v>
      </c>
      <c r="O153" s="105">
        <f>+F153*Weights!$B$4</f>
        <v>0</v>
      </c>
      <c r="Q153" s="135">
        <f t="shared" si="11"/>
        <v>0</v>
      </c>
    </row>
    <row r="154" spans="1:17" x14ac:dyDescent="0.3">
      <c r="A154" s="4">
        <f>+'Raw Data - Production'!A155</f>
        <v>46336</v>
      </c>
      <c r="B154" s="6">
        <f t="shared" si="9"/>
        <v>46</v>
      </c>
      <c r="C154" s="6" t="str">
        <f t="shared" si="10"/>
        <v>November</v>
      </c>
      <c r="E154" s="14">
        <f>+'Raw Data - Production'!D155+'Raw Data - Production'!E155</f>
        <v>0</v>
      </c>
      <c r="F154" s="15">
        <f>+'Raw Data - Production'!F155+'Raw Data - Production'!G155+'Raw Data - Production'!H155</f>
        <v>0</v>
      </c>
      <c r="G154" s="16">
        <f>+'Raw Data - Production'!J155+'Raw Data - Production'!K155+'Raw Data - Packing'!I155</f>
        <v>0</v>
      </c>
      <c r="H154" s="15">
        <f>+'Raw Data - Production'!L155+'Raw Data - Production'!M155+'Raw Data - Production'!N155+'Raw Data - Packing'!L155</f>
        <v>0</v>
      </c>
      <c r="I154" s="103">
        <f>SUMIF('Raw Data - Packing'!A:A,A154,'Raw Data - Packing'!D:D)</f>
        <v>0</v>
      </c>
      <c r="J154" s="15">
        <f>SUMIF('Raw Data - Packing'!A:A,A154,'Raw Data - Packing'!F:F)</f>
        <v>0</v>
      </c>
      <c r="K154" s="20"/>
      <c r="L154" s="105">
        <f>+E154-I154+L153-(G154/Weights!$B$2)</f>
        <v>0.19753086414948484</v>
      </c>
      <c r="M154" s="105">
        <f>+F154-J154+M153-(H154/Weights!$B$4)</f>
        <v>11271.6</v>
      </c>
      <c r="N154" s="105">
        <f>+E154*Weights!$B$2</f>
        <v>0</v>
      </c>
      <c r="O154" s="105">
        <f>+F154*Weights!$B$4</f>
        <v>0</v>
      </c>
      <c r="Q154" s="135">
        <f t="shared" si="11"/>
        <v>0</v>
      </c>
    </row>
    <row r="155" spans="1:17" x14ac:dyDescent="0.3">
      <c r="A155" s="4">
        <f>+'Raw Data - Production'!A156</f>
        <v>46337</v>
      </c>
      <c r="B155" s="6">
        <f t="shared" si="9"/>
        <v>46</v>
      </c>
      <c r="C155" s="6" t="str">
        <f t="shared" si="10"/>
        <v>November</v>
      </c>
      <c r="E155" s="14">
        <f>+'Raw Data - Production'!D156+'Raw Data - Production'!E156</f>
        <v>0</v>
      </c>
      <c r="F155" s="15">
        <f>+'Raw Data - Production'!F156+'Raw Data - Production'!G156+'Raw Data - Production'!H156</f>
        <v>0</v>
      </c>
      <c r="G155" s="16">
        <f>+'Raw Data - Production'!J156+'Raw Data - Production'!K156+'Raw Data - Packing'!I156</f>
        <v>0</v>
      </c>
      <c r="H155" s="15">
        <f>+'Raw Data - Production'!L156+'Raw Data - Production'!M156+'Raw Data - Production'!N156+'Raw Data - Packing'!L156</f>
        <v>0</v>
      </c>
      <c r="I155" s="103">
        <f>SUMIF('Raw Data - Packing'!A:A,A155,'Raw Data - Packing'!D:D)</f>
        <v>0</v>
      </c>
      <c r="J155" s="15">
        <f>SUMIF('Raw Data - Packing'!A:A,A155,'Raw Data - Packing'!F:F)</f>
        <v>0</v>
      </c>
      <c r="K155" s="20"/>
      <c r="L155" s="105">
        <f>+E155-I155+L154-(G155/Weights!$B$2)</f>
        <v>0.19753086414948484</v>
      </c>
      <c r="M155" s="105">
        <f>+F155-J155+M154-(H155/Weights!$B$4)</f>
        <v>11271.6</v>
      </c>
      <c r="N155" s="105">
        <f>+E155*Weights!$B$2</f>
        <v>0</v>
      </c>
      <c r="O155" s="105">
        <f>+F155*Weights!$B$4</f>
        <v>0</v>
      </c>
      <c r="Q155" s="135">
        <f t="shared" si="11"/>
        <v>0</v>
      </c>
    </row>
    <row r="156" spans="1:17" x14ac:dyDescent="0.3">
      <c r="A156" s="4">
        <f>+'Raw Data - Production'!A157</f>
        <v>46338</v>
      </c>
      <c r="B156" s="6">
        <f t="shared" si="9"/>
        <v>46</v>
      </c>
      <c r="C156" s="6" t="str">
        <f t="shared" si="10"/>
        <v>November</v>
      </c>
      <c r="E156" s="14">
        <f>+'Raw Data - Production'!D157+'Raw Data - Production'!E157</f>
        <v>0</v>
      </c>
      <c r="F156" s="15">
        <f>+'Raw Data - Production'!F157+'Raw Data - Production'!G157+'Raw Data - Production'!H157</f>
        <v>0</v>
      </c>
      <c r="G156" s="16">
        <f>+'Raw Data - Production'!J157+'Raw Data - Production'!K157+'Raw Data - Packing'!I157</f>
        <v>0</v>
      </c>
      <c r="H156" s="15">
        <f>+'Raw Data - Production'!L157+'Raw Data - Production'!M157+'Raw Data - Production'!N157+'Raw Data - Packing'!L157</f>
        <v>0</v>
      </c>
      <c r="I156" s="103">
        <f>SUMIF('Raw Data - Packing'!A:A,A156,'Raw Data - Packing'!D:D)</f>
        <v>0</v>
      </c>
      <c r="J156" s="15">
        <f>SUMIF('Raw Data - Packing'!A:A,A156,'Raw Data - Packing'!F:F)</f>
        <v>0</v>
      </c>
      <c r="K156" s="20"/>
      <c r="L156" s="105">
        <f>+E156-I156+L155-(G156/Weights!$B$2)</f>
        <v>0.19753086414948484</v>
      </c>
      <c r="M156" s="105">
        <f>+F156-J156+M155-(H156/Weights!$B$4)</f>
        <v>11271.6</v>
      </c>
      <c r="N156" s="105">
        <f>+E156*Weights!$B$2</f>
        <v>0</v>
      </c>
      <c r="O156" s="105">
        <f>+F156*Weights!$B$4</f>
        <v>0</v>
      </c>
      <c r="Q156" s="135">
        <f t="shared" si="11"/>
        <v>0</v>
      </c>
    </row>
    <row r="157" spans="1:17" x14ac:dyDescent="0.3">
      <c r="A157" s="4">
        <f>+'Raw Data - Production'!A158</f>
        <v>46339</v>
      </c>
      <c r="B157" s="6">
        <f t="shared" si="9"/>
        <v>46</v>
      </c>
      <c r="C157" s="6" t="str">
        <f t="shared" si="10"/>
        <v>November</v>
      </c>
      <c r="E157" s="14">
        <f>+'Raw Data - Production'!D158+'Raw Data - Production'!E158</f>
        <v>0</v>
      </c>
      <c r="F157" s="15">
        <f>+'Raw Data - Production'!F158+'Raw Data - Production'!G158+'Raw Data - Production'!H158</f>
        <v>0</v>
      </c>
      <c r="G157" s="16">
        <f>+'Raw Data - Production'!J158+'Raw Data - Production'!K158+'Raw Data - Packing'!I158</f>
        <v>0</v>
      </c>
      <c r="H157" s="15">
        <f>+'Raw Data - Production'!L158+'Raw Data - Production'!M158+'Raw Data - Production'!N158+'Raw Data - Packing'!L158</f>
        <v>0</v>
      </c>
      <c r="I157" s="103">
        <f>SUMIF('Raw Data - Packing'!A:A,A157,'Raw Data - Packing'!D:D)</f>
        <v>0</v>
      </c>
      <c r="J157" s="15">
        <f>SUMIF('Raw Data - Packing'!A:A,A157,'Raw Data - Packing'!F:F)</f>
        <v>0</v>
      </c>
      <c r="K157" s="20"/>
      <c r="L157" s="105">
        <f>+E157-I157+L156-(G157/Weights!$B$2)</f>
        <v>0.19753086414948484</v>
      </c>
      <c r="M157" s="105">
        <f>+F157-J157+M156-(H157/Weights!$B$4)</f>
        <v>11271.6</v>
      </c>
      <c r="N157" s="105">
        <f>+E157*Weights!$B$2</f>
        <v>0</v>
      </c>
      <c r="O157" s="105">
        <f>+F157*Weights!$B$4</f>
        <v>0</v>
      </c>
      <c r="Q157" s="135">
        <f t="shared" si="11"/>
        <v>0</v>
      </c>
    </row>
    <row r="158" spans="1:17" x14ac:dyDescent="0.3">
      <c r="A158" s="4">
        <f>+'Raw Data - Production'!A159</f>
        <v>46342</v>
      </c>
      <c r="B158" s="6">
        <f t="shared" si="9"/>
        <v>47</v>
      </c>
      <c r="C158" s="6" t="str">
        <f t="shared" si="10"/>
        <v>November</v>
      </c>
      <c r="E158" s="14">
        <f>+'Raw Data - Production'!D159+'Raw Data - Production'!E159</f>
        <v>0</v>
      </c>
      <c r="F158" s="15">
        <f>+'Raw Data - Production'!F159+'Raw Data - Production'!G159+'Raw Data - Production'!H159</f>
        <v>0</v>
      </c>
      <c r="G158" s="16">
        <f>+'Raw Data - Production'!J159+'Raw Data - Production'!K159+'Raw Data - Packing'!I159</f>
        <v>0</v>
      </c>
      <c r="H158" s="15">
        <f>+'Raw Data - Production'!L159+'Raw Data - Production'!M159+'Raw Data - Production'!N159+'Raw Data - Packing'!L159</f>
        <v>0</v>
      </c>
      <c r="I158" s="103">
        <f>SUMIF('Raw Data - Packing'!A:A,A158,'Raw Data - Packing'!D:D)</f>
        <v>0</v>
      </c>
      <c r="J158" s="15">
        <f>SUMIF('Raw Data - Packing'!A:A,A158,'Raw Data - Packing'!F:F)</f>
        <v>0</v>
      </c>
      <c r="K158" s="20"/>
      <c r="L158" s="105">
        <f>+E158-I158+L157-(G158/Weights!$B$2)</f>
        <v>0.19753086414948484</v>
      </c>
      <c r="M158" s="105">
        <f>+F158-J158+M157-(H158/Weights!$B$4)</f>
        <v>11271.6</v>
      </c>
      <c r="N158" s="105">
        <f>+E158*Weights!$B$2</f>
        <v>0</v>
      </c>
      <c r="O158" s="105">
        <f>+F158*Weights!$B$4</f>
        <v>0</v>
      </c>
      <c r="Q158" s="135">
        <f t="shared" si="11"/>
        <v>0</v>
      </c>
    </row>
    <row r="159" spans="1:17" x14ac:dyDescent="0.3">
      <c r="A159" s="4">
        <f>+'Raw Data - Production'!A160</f>
        <v>46343</v>
      </c>
      <c r="B159" s="6">
        <f t="shared" si="9"/>
        <v>47</v>
      </c>
      <c r="C159" s="6" t="str">
        <f t="shared" si="10"/>
        <v>November</v>
      </c>
      <c r="E159" s="14">
        <f>+'Raw Data - Production'!D160+'Raw Data - Production'!E160</f>
        <v>0</v>
      </c>
      <c r="F159" s="15">
        <f>+'Raw Data - Production'!F160+'Raw Data - Production'!G160+'Raw Data - Production'!H160</f>
        <v>0</v>
      </c>
      <c r="G159" s="16">
        <f>+'Raw Data - Production'!J160+'Raw Data - Production'!K160+'Raw Data - Packing'!I160</f>
        <v>0</v>
      </c>
      <c r="H159" s="15">
        <f>+'Raw Data - Production'!L160+'Raw Data - Production'!M160+'Raw Data - Production'!N160+'Raw Data - Packing'!L160</f>
        <v>0</v>
      </c>
      <c r="I159" s="103">
        <f>SUMIF('Raw Data - Packing'!A:A,A159,'Raw Data - Packing'!D:D)</f>
        <v>0</v>
      </c>
      <c r="J159" s="15">
        <f>SUMIF('Raw Data - Packing'!A:A,A159,'Raw Data - Packing'!F:F)</f>
        <v>0</v>
      </c>
      <c r="K159" s="20"/>
      <c r="L159" s="105">
        <f>+E159-I159+L158-(G159/Weights!$B$2)</f>
        <v>0.19753086414948484</v>
      </c>
      <c r="M159" s="105">
        <f>+F159-J159+M158-(H159/Weights!$B$4)</f>
        <v>11271.6</v>
      </c>
      <c r="N159" s="105">
        <f>+E159*Weights!$B$2</f>
        <v>0</v>
      </c>
      <c r="O159" s="105">
        <f>+F159*Weights!$B$4</f>
        <v>0</v>
      </c>
      <c r="Q159" s="135">
        <f t="shared" si="11"/>
        <v>0</v>
      </c>
    </row>
    <row r="160" spans="1:17" x14ac:dyDescent="0.3">
      <c r="A160" s="4">
        <f>+'Raw Data - Production'!A161</f>
        <v>46344</v>
      </c>
      <c r="B160" s="6">
        <f t="shared" si="9"/>
        <v>47</v>
      </c>
      <c r="C160" s="6" t="str">
        <f t="shared" si="10"/>
        <v>November</v>
      </c>
      <c r="E160" s="14">
        <f>+'Raw Data - Production'!D161+'Raw Data - Production'!E161</f>
        <v>0</v>
      </c>
      <c r="F160" s="15">
        <f>+'Raw Data - Production'!F161+'Raw Data - Production'!G161+'Raw Data - Production'!H161</f>
        <v>0</v>
      </c>
      <c r="G160" s="16">
        <f>+'Raw Data - Production'!J161+'Raw Data - Production'!K161+'Raw Data - Packing'!I161</f>
        <v>0</v>
      </c>
      <c r="H160" s="15">
        <f>+'Raw Data - Production'!L161+'Raw Data - Production'!M161+'Raw Data - Production'!N161+'Raw Data - Packing'!L161</f>
        <v>0</v>
      </c>
      <c r="I160" s="103">
        <f>SUMIF('Raw Data - Packing'!A:A,A160,'Raw Data - Packing'!D:D)</f>
        <v>0</v>
      </c>
      <c r="J160" s="15">
        <f>SUMIF('Raw Data - Packing'!A:A,A160,'Raw Data - Packing'!F:F)</f>
        <v>0</v>
      </c>
      <c r="K160" s="20"/>
      <c r="L160" s="105">
        <f>+E160-I160+L159-(G160/Weights!$B$2)</f>
        <v>0.19753086414948484</v>
      </c>
      <c r="M160" s="105">
        <f>+F160-J160+M159-(H160/Weights!$B$4)</f>
        <v>11271.6</v>
      </c>
      <c r="N160" s="105">
        <f>+E160*Weights!$B$2</f>
        <v>0</v>
      </c>
      <c r="O160" s="105">
        <f>+F160*Weights!$B$4</f>
        <v>0</v>
      </c>
      <c r="Q160" s="135">
        <f t="shared" si="11"/>
        <v>0</v>
      </c>
    </row>
    <row r="161" spans="1:17" x14ac:dyDescent="0.3">
      <c r="A161" s="4">
        <f>+'Raw Data - Production'!A162</f>
        <v>46345</v>
      </c>
      <c r="B161" s="6">
        <f t="shared" si="9"/>
        <v>47</v>
      </c>
      <c r="C161" s="6" t="str">
        <f t="shared" si="10"/>
        <v>November</v>
      </c>
      <c r="E161" s="14">
        <f>+'Raw Data - Production'!D162+'Raw Data - Production'!E162</f>
        <v>0</v>
      </c>
      <c r="F161" s="15">
        <f>+'Raw Data - Production'!F162+'Raw Data - Production'!G162+'Raw Data - Production'!H162</f>
        <v>0</v>
      </c>
      <c r="G161" s="16">
        <f>+'Raw Data - Production'!J162+'Raw Data - Production'!K162+'Raw Data - Packing'!I162</f>
        <v>0</v>
      </c>
      <c r="H161" s="15">
        <f>+'Raw Data - Production'!L162+'Raw Data - Production'!M162+'Raw Data - Production'!N162+'Raw Data - Packing'!L162</f>
        <v>0</v>
      </c>
      <c r="I161" s="103">
        <f>SUMIF('Raw Data - Packing'!A:A,A161,'Raw Data - Packing'!D:D)</f>
        <v>0</v>
      </c>
      <c r="J161" s="15">
        <f>SUMIF('Raw Data - Packing'!A:A,A161,'Raw Data - Packing'!F:F)</f>
        <v>0</v>
      </c>
      <c r="K161" s="20"/>
      <c r="L161" s="105">
        <f>+E161-I161+L160-(G161/Weights!$B$2)</f>
        <v>0.19753086414948484</v>
      </c>
      <c r="M161" s="105">
        <f>+F161-J161+M160-(H161/Weights!$B$4)</f>
        <v>11271.6</v>
      </c>
      <c r="N161" s="105">
        <f>+E161*Weights!$B$2</f>
        <v>0</v>
      </c>
      <c r="O161" s="105">
        <f>+F161*Weights!$B$4</f>
        <v>0</v>
      </c>
      <c r="Q161" s="135">
        <f t="shared" si="11"/>
        <v>0</v>
      </c>
    </row>
    <row r="162" spans="1:17" x14ac:dyDescent="0.3">
      <c r="A162" s="4">
        <f>+'Raw Data - Production'!A163</f>
        <v>46346</v>
      </c>
      <c r="B162" s="6">
        <f t="shared" si="9"/>
        <v>47</v>
      </c>
      <c r="C162" s="6" t="str">
        <f t="shared" si="10"/>
        <v>November</v>
      </c>
      <c r="E162" s="14">
        <f>+'Raw Data - Production'!D163+'Raw Data - Production'!E163</f>
        <v>0</v>
      </c>
      <c r="F162" s="15">
        <f>+'Raw Data - Production'!F163+'Raw Data - Production'!G163+'Raw Data - Production'!H163</f>
        <v>0</v>
      </c>
      <c r="G162" s="16">
        <f>+'Raw Data - Production'!J163+'Raw Data - Production'!K163+'Raw Data - Packing'!I163</f>
        <v>0</v>
      </c>
      <c r="H162" s="15">
        <f>+'Raw Data - Production'!L163+'Raw Data - Production'!M163+'Raw Data - Production'!N163+'Raw Data - Packing'!L163</f>
        <v>0</v>
      </c>
      <c r="I162" s="103">
        <f>SUMIF('Raw Data - Packing'!A:A,A162,'Raw Data - Packing'!D:D)</f>
        <v>0</v>
      </c>
      <c r="J162" s="15">
        <f>SUMIF('Raw Data - Packing'!A:A,A162,'Raw Data - Packing'!F:F)</f>
        <v>0</v>
      </c>
      <c r="K162" s="20"/>
      <c r="L162" s="105">
        <f>+E162-I162+L161-(G162/Weights!$B$2)</f>
        <v>0.19753086414948484</v>
      </c>
      <c r="M162" s="105">
        <f>+F162-J162+M161-(H162/Weights!$B$4)</f>
        <v>11271.6</v>
      </c>
      <c r="N162" s="105">
        <f>+E162*Weights!$B$2</f>
        <v>0</v>
      </c>
      <c r="O162" s="105">
        <f>+F162*Weights!$B$4</f>
        <v>0</v>
      </c>
      <c r="Q162" s="135">
        <f t="shared" si="11"/>
        <v>0</v>
      </c>
    </row>
    <row r="163" spans="1:17" x14ac:dyDescent="0.3">
      <c r="A163" s="4">
        <f>+'Raw Data - Production'!A164</f>
        <v>46349</v>
      </c>
      <c r="B163" s="6">
        <f t="shared" si="9"/>
        <v>48</v>
      </c>
      <c r="C163" s="6" t="str">
        <f t="shared" si="10"/>
        <v>November</v>
      </c>
      <c r="E163" s="14">
        <f>+'Raw Data - Production'!D164+'Raw Data - Production'!E164</f>
        <v>0</v>
      </c>
      <c r="F163" s="15">
        <f>+'Raw Data - Production'!F164+'Raw Data - Production'!G164+'Raw Data - Production'!H164</f>
        <v>0</v>
      </c>
      <c r="G163" s="16">
        <f>+'Raw Data - Production'!J164+'Raw Data - Production'!K164+'Raw Data - Packing'!I164</f>
        <v>0</v>
      </c>
      <c r="H163" s="15">
        <f>+'Raw Data - Production'!L164+'Raw Data - Production'!M164+'Raw Data - Production'!N164+'Raw Data - Packing'!L164</f>
        <v>0</v>
      </c>
      <c r="I163" s="103">
        <f>SUMIF('Raw Data - Packing'!A:A,A163,'Raw Data - Packing'!D:D)</f>
        <v>0</v>
      </c>
      <c r="J163" s="15">
        <f>SUMIF('Raw Data - Packing'!A:A,A163,'Raw Data - Packing'!F:F)</f>
        <v>0</v>
      </c>
      <c r="K163" s="20"/>
      <c r="L163" s="105">
        <f>+E163-I163+L162-(G163/Weights!$B$2)</f>
        <v>0.19753086414948484</v>
      </c>
      <c r="M163" s="105">
        <f>+F163-J163+M162-(H163/Weights!$B$4)</f>
        <v>11271.6</v>
      </c>
      <c r="N163" s="105">
        <f>+E163*Weights!$B$2</f>
        <v>0</v>
      </c>
      <c r="O163" s="105">
        <f>+F163*Weights!$B$4</f>
        <v>0</v>
      </c>
      <c r="Q163" s="135">
        <f t="shared" si="11"/>
        <v>0</v>
      </c>
    </row>
    <row r="164" spans="1:17" x14ac:dyDescent="0.3">
      <c r="A164" s="4">
        <f>+'Raw Data - Production'!A165</f>
        <v>46350</v>
      </c>
      <c r="B164" s="6">
        <f t="shared" si="9"/>
        <v>48</v>
      </c>
      <c r="C164" s="6" t="str">
        <f t="shared" si="10"/>
        <v>November</v>
      </c>
      <c r="E164" s="14">
        <f>+'Raw Data - Production'!D165+'Raw Data - Production'!E165</f>
        <v>0</v>
      </c>
      <c r="F164" s="15">
        <f>+'Raw Data - Production'!F165+'Raw Data - Production'!G165+'Raw Data - Production'!H165</f>
        <v>0</v>
      </c>
      <c r="G164" s="16">
        <f>+'Raw Data - Production'!J165+'Raw Data - Production'!K165+'Raw Data - Packing'!I165</f>
        <v>0</v>
      </c>
      <c r="H164" s="15">
        <f>+'Raw Data - Production'!L165+'Raw Data - Production'!M165+'Raw Data - Production'!N165+'Raw Data - Packing'!L165</f>
        <v>0</v>
      </c>
      <c r="I164" s="103">
        <f>SUMIF('Raw Data - Packing'!A:A,A164,'Raw Data - Packing'!D:D)</f>
        <v>0</v>
      </c>
      <c r="J164" s="15">
        <f>SUMIF('Raw Data - Packing'!A:A,A164,'Raw Data - Packing'!F:F)</f>
        <v>0</v>
      </c>
      <c r="K164" s="20"/>
      <c r="L164" s="105">
        <f>+E164-I164+L163-(G164/Weights!$B$2)</f>
        <v>0.19753086414948484</v>
      </c>
      <c r="M164" s="105">
        <f>+F164-J164+M163-(H164/Weights!$B$4)</f>
        <v>11271.6</v>
      </c>
      <c r="N164" s="105">
        <f>+E164*Weights!$B$2</f>
        <v>0</v>
      </c>
      <c r="O164" s="105">
        <f>+F164*Weights!$B$4</f>
        <v>0</v>
      </c>
      <c r="Q164" s="135">
        <f t="shared" si="11"/>
        <v>0</v>
      </c>
    </row>
    <row r="165" spans="1:17" x14ac:dyDescent="0.3">
      <c r="A165" s="4">
        <f>+'Raw Data - Production'!A166</f>
        <v>46351</v>
      </c>
      <c r="B165" s="6">
        <f t="shared" si="9"/>
        <v>48</v>
      </c>
      <c r="C165" s="6" t="str">
        <f t="shared" si="10"/>
        <v>November</v>
      </c>
      <c r="E165" s="14">
        <f>+'Raw Data - Production'!D166+'Raw Data - Production'!E166</f>
        <v>0</v>
      </c>
      <c r="F165" s="15">
        <f>+'Raw Data - Production'!F166+'Raw Data - Production'!G166+'Raw Data - Production'!H166</f>
        <v>0</v>
      </c>
      <c r="G165" s="16">
        <f>+'Raw Data - Production'!J166+'Raw Data - Production'!K166+'Raw Data - Packing'!I166</f>
        <v>0</v>
      </c>
      <c r="H165" s="15">
        <f>+'Raw Data - Production'!L166+'Raw Data - Production'!M166+'Raw Data - Production'!N166+'Raw Data - Packing'!L166</f>
        <v>0</v>
      </c>
      <c r="I165" s="103">
        <f>SUMIF('Raw Data - Packing'!A:A,A165,'Raw Data - Packing'!D:D)</f>
        <v>0</v>
      </c>
      <c r="J165" s="15">
        <f>SUMIF('Raw Data - Packing'!A:A,A165,'Raw Data - Packing'!F:F)</f>
        <v>0</v>
      </c>
      <c r="K165" s="20"/>
      <c r="L165" s="105">
        <f>+E165-I165+L164-(G165/Weights!$B$2)</f>
        <v>0.19753086414948484</v>
      </c>
      <c r="M165" s="105">
        <f>+F165-J165+M164-(H165/Weights!$B$4)</f>
        <v>11271.6</v>
      </c>
      <c r="N165" s="105">
        <f>+E165*Weights!$B$2</f>
        <v>0</v>
      </c>
      <c r="O165" s="105">
        <f>+F165*Weights!$B$4</f>
        <v>0</v>
      </c>
      <c r="Q165" s="135">
        <f t="shared" si="11"/>
        <v>0</v>
      </c>
    </row>
    <row r="166" spans="1:17" x14ac:dyDescent="0.3">
      <c r="A166" s="4">
        <f>+'Raw Data - Production'!A167</f>
        <v>46353</v>
      </c>
      <c r="B166" s="6">
        <f t="shared" si="9"/>
        <v>48</v>
      </c>
      <c r="C166" s="6" t="str">
        <f t="shared" si="10"/>
        <v>November</v>
      </c>
      <c r="E166" s="14">
        <f>+'Raw Data - Production'!D167+'Raw Data - Production'!E167</f>
        <v>0</v>
      </c>
      <c r="F166" s="15">
        <f>+'Raw Data - Production'!F167+'Raw Data - Production'!G167+'Raw Data - Production'!H167</f>
        <v>0</v>
      </c>
      <c r="G166" s="16">
        <f>+'Raw Data - Production'!J167+'Raw Data - Production'!K167+'Raw Data - Packing'!I167</f>
        <v>0</v>
      </c>
      <c r="H166" s="15">
        <f>+'Raw Data - Production'!L167+'Raw Data - Production'!M167+'Raw Data - Production'!N167+'Raw Data - Packing'!L167</f>
        <v>0</v>
      </c>
      <c r="I166" s="103">
        <f>SUMIF('Raw Data - Packing'!A:A,A166,'Raw Data - Packing'!D:D)</f>
        <v>0</v>
      </c>
      <c r="J166" s="15">
        <f>SUMIF('Raw Data - Packing'!A:A,A166,'Raw Data - Packing'!F:F)</f>
        <v>0</v>
      </c>
      <c r="K166" s="20"/>
      <c r="L166" s="105">
        <f>+E166-I166+L165-(G166/Weights!$B$2)</f>
        <v>0.19753086414948484</v>
      </c>
      <c r="M166" s="105">
        <f>+F166-J166+M165-(H166/Weights!$B$4)</f>
        <v>11271.6</v>
      </c>
      <c r="N166" s="105">
        <f>+E166*Weights!$B$2</f>
        <v>0</v>
      </c>
      <c r="O166" s="105">
        <f>+F166*Weights!$B$4</f>
        <v>0</v>
      </c>
      <c r="Q166" s="135">
        <f t="shared" si="11"/>
        <v>0</v>
      </c>
    </row>
    <row r="167" spans="1:17" x14ac:dyDescent="0.3">
      <c r="A167" s="4">
        <f>+'Raw Data - Production'!A168</f>
        <v>46356</v>
      </c>
      <c r="B167" s="6">
        <f t="shared" si="9"/>
        <v>49</v>
      </c>
      <c r="C167" s="6" t="str">
        <f t="shared" si="10"/>
        <v>November</v>
      </c>
      <c r="E167" s="14">
        <f>+'Raw Data - Production'!D168+'Raw Data - Production'!E168</f>
        <v>0</v>
      </c>
      <c r="F167" s="15">
        <f>+'Raw Data - Production'!F168+'Raw Data - Production'!G168+'Raw Data - Production'!H168</f>
        <v>0</v>
      </c>
      <c r="G167" s="16">
        <f>+'Raw Data - Production'!J168+'Raw Data - Production'!K168+'Raw Data - Packing'!I168</f>
        <v>0</v>
      </c>
      <c r="H167" s="15">
        <f>+'Raw Data - Production'!L168+'Raw Data - Production'!M168+'Raw Data - Production'!N168+'Raw Data - Packing'!L168</f>
        <v>0</v>
      </c>
      <c r="I167" s="103">
        <f>SUMIF('Raw Data - Packing'!A:A,A167,'Raw Data - Packing'!D:D)</f>
        <v>0</v>
      </c>
      <c r="J167" s="15">
        <f>SUMIF('Raw Data - Packing'!A:A,A167,'Raw Data - Packing'!F:F)</f>
        <v>0</v>
      </c>
      <c r="K167" s="20"/>
      <c r="L167" s="105">
        <f>+E167-I167+L166-(G167/Weights!$B$2)</f>
        <v>0.19753086414948484</v>
      </c>
      <c r="M167" s="105">
        <f>+F167-J167+M166-(H167/Weights!$B$4)</f>
        <v>11271.6</v>
      </c>
      <c r="N167" s="105">
        <f>+E167*Weights!$B$2</f>
        <v>0</v>
      </c>
      <c r="O167" s="105">
        <f>+F167*Weights!$B$4</f>
        <v>0</v>
      </c>
      <c r="Q167" s="135">
        <f t="shared" si="11"/>
        <v>0</v>
      </c>
    </row>
    <row r="168" spans="1:17" x14ac:dyDescent="0.3">
      <c r="A168" s="4">
        <f>+'Raw Data - Production'!A169</f>
        <v>46357</v>
      </c>
      <c r="B168" s="6">
        <f t="shared" si="9"/>
        <v>49</v>
      </c>
      <c r="C168" s="6" t="str">
        <f t="shared" si="10"/>
        <v>December</v>
      </c>
      <c r="E168" s="14">
        <f>+'Raw Data - Production'!D169+'Raw Data - Production'!E169</f>
        <v>0</v>
      </c>
      <c r="F168" s="15">
        <f>+'Raw Data - Production'!F169+'Raw Data - Production'!G169+'Raw Data - Production'!H169</f>
        <v>0</v>
      </c>
      <c r="G168" s="16">
        <f>+'Raw Data - Production'!J169+'Raw Data - Production'!K169+'Raw Data - Packing'!I169</f>
        <v>0</v>
      </c>
      <c r="H168" s="15">
        <f>+'Raw Data - Production'!L169+'Raw Data - Production'!M169+'Raw Data - Production'!N169+'Raw Data - Packing'!L169</f>
        <v>0</v>
      </c>
      <c r="I168" s="103">
        <f>SUMIF('Raw Data - Packing'!A:A,A168,'Raw Data - Packing'!D:D)</f>
        <v>0</v>
      </c>
      <c r="J168" s="15">
        <f>SUMIF('Raw Data - Packing'!A:A,A168,'Raw Data - Packing'!F:F)</f>
        <v>0</v>
      </c>
      <c r="K168" s="20"/>
      <c r="L168" s="105">
        <f>+E168-I168+L167-(G168/Weights!$B$2)</f>
        <v>0.19753086414948484</v>
      </c>
      <c r="M168" s="105">
        <f>+F168-J168+M167-(H168/Weights!$B$4)</f>
        <v>11271.6</v>
      </c>
      <c r="N168" s="105">
        <f>+E168*Weights!$B$2</f>
        <v>0</v>
      </c>
      <c r="O168" s="105">
        <f>+F168*Weights!$B$4</f>
        <v>0</v>
      </c>
      <c r="Q168" s="135">
        <f t="shared" si="11"/>
        <v>0</v>
      </c>
    </row>
    <row r="169" spans="1:17" x14ac:dyDescent="0.3">
      <c r="A169" s="4">
        <f>+'Raw Data - Production'!A170</f>
        <v>46358</v>
      </c>
      <c r="B169" s="6">
        <f t="shared" si="9"/>
        <v>49</v>
      </c>
      <c r="C169" s="6" t="str">
        <f t="shared" si="10"/>
        <v>December</v>
      </c>
      <c r="E169" s="14">
        <f>+'Raw Data - Production'!D170+'Raw Data - Production'!E170</f>
        <v>0</v>
      </c>
      <c r="F169" s="15">
        <f>+'Raw Data - Production'!F170+'Raw Data - Production'!G170+'Raw Data - Production'!H170</f>
        <v>0</v>
      </c>
      <c r="G169" s="16">
        <f>+'Raw Data - Production'!J170+'Raw Data - Production'!K170+'Raw Data - Packing'!I170</f>
        <v>0</v>
      </c>
      <c r="H169" s="15">
        <f>+'Raw Data - Production'!L170+'Raw Data - Production'!M170+'Raw Data - Production'!N170+'Raw Data - Packing'!L170</f>
        <v>0</v>
      </c>
      <c r="I169" s="103">
        <f>SUMIF('Raw Data - Packing'!A:A,A169,'Raw Data - Packing'!D:D)</f>
        <v>0</v>
      </c>
      <c r="J169" s="15">
        <f>SUMIF('Raw Data - Packing'!A:A,A169,'Raw Data - Packing'!F:F)</f>
        <v>0</v>
      </c>
      <c r="K169" s="20"/>
      <c r="L169" s="105">
        <f>+E169-I169+L168-(G169/Weights!$B$2)</f>
        <v>0.19753086414948484</v>
      </c>
      <c r="M169" s="105">
        <f>+F169-J169+M168-(H169/Weights!$B$4)</f>
        <v>11271.6</v>
      </c>
      <c r="N169" s="105">
        <f>+E169*Weights!$B$2</f>
        <v>0</v>
      </c>
      <c r="O169" s="105">
        <f>+F169*Weights!$B$4</f>
        <v>0</v>
      </c>
      <c r="Q169" s="135">
        <f t="shared" si="11"/>
        <v>0</v>
      </c>
    </row>
    <row r="170" spans="1:17" x14ac:dyDescent="0.3">
      <c r="A170" s="4">
        <f>+'Raw Data - Production'!A171</f>
        <v>46359</v>
      </c>
      <c r="B170" s="6">
        <f t="shared" si="9"/>
        <v>49</v>
      </c>
      <c r="C170" s="6" t="str">
        <f t="shared" si="10"/>
        <v>December</v>
      </c>
      <c r="E170" s="14">
        <f>+'Raw Data - Production'!D171+'Raw Data - Production'!E171</f>
        <v>0</v>
      </c>
      <c r="F170" s="15">
        <f>+'Raw Data - Production'!F171+'Raw Data - Production'!G171+'Raw Data - Production'!H171</f>
        <v>0</v>
      </c>
      <c r="G170" s="16">
        <f>+'Raw Data - Production'!J171+'Raw Data - Production'!K171+'Raw Data - Packing'!I171</f>
        <v>0</v>
      </c>
      <c r="H170" s="15">
        <f>+'Raw Data - Production'!L171+'Raw Data - Production'!M171+'Raw Data - Production'!N171+'Raw Data - Packing'!L171</f>
        <v>0</v>
      </c>
      <c r="I170" s="103">
        <f>SUMIF('Raw Data - Packing'!A:A,A170,'Raw Data - Packing'!D:D)</f>
        <v>0</v>
      </c>
      <c r="J170" s="15">
        <f>SUMIF('Raw Data - Packing'!A:A,A170,'Raw Data - Packing'!F:F)</f>
        <v>0</v>
      </c>
      <c r="K170" s="20"/>
      <c r="L170" s="105">
        <f>+E170-I170+L169-(G170/Weights!$B$2)</f>
        <v>0.19753086414948484</v>
      </c>
      <c r="M170" s="105">
        <f>+F170-J170+M169-(H170/Weights!$B$4)</f>
        <v>11271.6</v>
      </c>
      <c r="N170" s="105">
        <f>+E170*Weights!$B$2</f>
        <v>0</v>
      </c>
      <c r="O170" s="105">
        <f>+F170*Weights!$B$4</f>
        <v>0</v>
      </c>
      <c r="Q170" s="135">
        <f t="shared" si="11"/>
        <v>0</v>
      </c>
    </row>
    <row r="171" spans="1:17" x14ac:dyDescent="0.3">
      <c r="A171" s="4">
        <f>+'Raw Data - Production'!A172</f>
        <v>46360</v>
      </c>
      <c r="B171" s="6">
        <f t="shared" si="9"/>
        <v>49</v>
      </c>
      <c r="C171" s="6" t="str">
        <f t="shared" si="10"/>
        <v>December</v>
      </c>
      <c r="E171" s="14">
        <f>+'Raw Data - Production'!D172+'Raw Data - Production'!E172</f>
        <v>0</v>
      </c>
      <c r="F171" s="15">
        <f>+'Raw Data - Production'!F172+'Raw Data - Production'!G172+'Raw Data - Production'!H172</f>
        <v>0</v>
      </c>
      <c r="G171" s="16">
        <f>+'Raw Data - Production'!J172+'Raw Data - Production'!K172+'Raw Data - Packing'!I172</f>
        <v>0</v>
      </c>
      <c r="H171" s="15">
        <f>+'Raw Data - Production'!L172+'Raw Data - Production'!M172+'Raw Data - Production'!N172+'Raw Data - Packing'!L172</f>
        <v>0</v>
      </c>
      <c r="I171" s="103">
        <f>SUMIF('Raw Data - Packing'!A:A,A171,'Raw Data - Packing'!D:D)</f>
        <v>0</v>
      </c>
      <c r="J171" s="15">
        <f>SUMIF('Raw Data - Packing'!A:A,A171,'Raw Data - Packing'!F:F)</f>
        <v>0</v>
      </c>
      <c r="K171" s="20"/>
      <c r="L171" s="105">
        <f>+E171-I171+L170-(G171/Weights!$B$2)</f>
        <v>0.19753086414948484</v>
      </c>
      <c r="M171" s="105">
        <f>+F171-J171+M170-(H171/Weights!$B$4)</f>
        <v>11271.6</v>
      </c>
      <c r="N171" s="105">
        <f>+E171*Weights!$B$2</f>
        <v>0</v>
      </c>
      <c r="O171" s="105">
        <f>+F171*Weights!$B$4</f>
        <v>0</v>
      </c>
      <c r="Q171" s="135">
        <f t="shared" si="11"/>
        <v>0</v>
      </c>
    </row>
    <row r="172" spans="1:17" x14ac:dyDescent="0.3">
      <c r="A172" s="4">
        <f>+'Raw Data - Production'!A173</f>
        <v>46363</v>
      </c>
      <c r="B172" s="6">
        <f t="shared" si="9"/>
        <v>50</v>
      </c>
      <c r="C172" s="6" t="str">
        <f t="shared" si="10"/>
        <v>December</v>
      </c>
      <c r="E172" s="14">
        <f>+'Raw Data - Production'!D173+'Raw Data - Production'!E173</f>
        <v>0</v>
      </c>
      <c r="F172" s="15">
        <f>+'Raw Data - Production'!F173+'Raw Data - Production'!G173+'Raw Data - Production'!H173</f>
        <v>0</v>
      </c>
      <c r="G172" s="16">
        <f>+'Raw Data - Production'!J173+'Raw Data - Production'!K173+'Raw Data - Packing'!I173</f>
        <v>0</v>
      </c>
      <c r="H172" s="15">
        <f>+'Raw Data - Production'!L173+'Raw Data - Production'!M173+'Raw Data - Production'!N173+'Raw Data - Packing'!L173</f>
        <v>0</v>
      </c>
      <c r="I172" s="103">
        <f>SUMIF('Raw Data - Packing'!A:A,A172,'Raw Data - Packing'!D:D)</f>
        <v>0</v>
      </c>
      <c r="J172" s="15">
        <f>SUMIF('Raw Data - Packing'!A:A,A172,'Raw Data - Packing'!F:F)</f>
        <v>0</v>
      </c>
      <c r="K172" s="20"/>
      <c r="L172" s="105">
        <f>+E172-I172+L171-(G172/Weights!$B$2)</f>
        <v>0.19753086414948484</v>
      </c>
      <c r="M172" s="105">
        <f>+F172-J172+M171-(H172/Weights!$B$4)</f>
        <v>11271.6</v>
      </c>
      <c r="N172" s="105">
        <f>+E172*Weights!$B$2</f>
        <v>0</v>
      </c>
      <c r="O172" s="105">
        <f>+F172*Weights!$B$4</f>
        <v>0</v>
      </c>
      <c r="Q172" s="135">
        <f t="shared" si="11"/>
        <v>0</v>
      </c>
    </row>
    <row r="173" spans="1:17" x14ac:dyDescent="0.3">
      <c r="A173" s="4">
        <f>+'Raw Data - Production'!A174</f>
        <v>46364</v>
      </c>
      <c r="B173" s="6">
        <f t="shared" si="9"/>
        <v>50</v>
      </c>
      <c r="C173" s="6" t="str">
        <f t="shared" si="10"/>
        <v>December</v>
      </c>
      <c r="E173" s="14">
        <f>+'Raw Data - Production'!D174+'Raw Data - Production'!E174</f>
        <v>0</v>
      </c>
      <c r="F173" s="15">
        <f>+'Raw Data - Production'!F174+'Raw Data - Production'!G174+'Raw Data - Production'!H174</f>
        <v>0</v>
      </c>
      <c r="G173" s="16">
        <f>+'Raw Data - Production'!J174+'Raw Data - Production'!K174+'Raw Data - Packing'!I174</f>
        <v>0</v>
      </c>
      <c r="H173" s="15">
        <f>+'Raw Data - Production'!L174+'Raw Data - Production'!M174+'Raw Data - Production'!N174+'Raw Data - Packing'!L174</f>
        <v>0</v>
      </c>
      <c r="I173" s="103">
        <f>SUMIF('Raw Data - Packing'!A:A,A173,'Raw Data - Packing'!D:D)</f>
        <v>0</v>
      </c>
      <c r="J173" s="15">
        <f>SUMIF('Raw Data - Packing'!A:A,A173,'Raw Data - Packing'!F:F)</f>
        <v>0</v>
      </c>
      <c r="K173" s="20"/>
      <c r="L173" s="105">
        <f>+E173-I173+L172-(G173/Weights!$B$2)</f>
        <v>0.19753086414948484</v>
      </c>
      <c r="M173" s="105">
        <f>+F173-J173+M172-(H173/Weights!$B$4)</f>
        <v>11271.6</v>
      </c>
      <c r="N173" s="105">
        <f>+E173*Weights!$B$2</f>
        <v>0</v>
      </c>
      <c r="O173" s="105">
        <f>+F173*Weights!$B$4</f>
        <v>0</v>
      </c>
      <c r="Q173" s="135">
        <f t="shared" si="11"/>
        <v>0</v>
      </c>
    </row>
    <row r="174" spans="1:17" x14ac:dyDescent="0.3">
      <c r="A174" s="4">
        <f>+'Raw Data - Production'!A175</f>
        <v>46365</v>
      </c>
      <c r="B174" s="6">
        <f t="shared" si="9"/>
        <v>50</v>
      </c>
      <c r="C174" s="6" t="str">
        <f t="shared" si="10"/>
        <v>December</v>
      </c>
      <c r="E174" s="14">
        <f>+'Raw Data - Production'!D175+'Raw Data - Production'!E175</f>
        <v>0</v>
      </c>
      <c r="F174" s="15">
        <f>+'Raw Data - Production'!F175+'Raw Data - Production'!G175+'Raw Data - Production'!H175</f>
        <v>0</v>
      </c>
      <c r="G174" s="16">
        <f>+'Raw Data - Production'!J175+'Raw Data - Production'!K175+'Raw Data - Packing'!I175</f>
        <v>0</v>
      </c>
      <c r="H174" s="15">
        <f>+'Raw Data - Production'!L175+'Raw Data - Production'!M175+'Raw Data - Production'!N175+'Raw Data - Packing'!L175</f>
        <v>0</v>
      </c>
      <c r="I174" s="103">
        <f>SUMIF('Raw Data - Packing'!A:A,A174,'Raw Data - Packing'!D:D)</f>
        <v>0</v>
      </c>
      <c r="J174" s="15">
        <f>SUMIF('Raw Data - Packing'!A:A,A174,'Raw Data - Packing'!F:F)</f>
        <v>0</v>
      </c>
      <c r="K174" s="20"/>
      <c r="L174" s="105">
        <f>+E174-I174+L173-(G174/Weights!$B$2)</f>
        <v>0.19753086414948484</v>
      </c>
      <c r="M174" s="105">
        <f>+F174-J174+M173-(H174/Weights!$B$4)</f>
        <v>11271.6</v>
      </c>
      <c r="N174" s="105">
        <f>+E174*Weights!$B$2</f>
        <v>0</v>
      </c>
      <c r="O174" s="105">
        <f>+F174*Weights!$B$4</f>
        <v>0</v>
      </c>
      <c r="Q174" s="135">
        <f t="shared" si="11"/>
        <v>0</v>
      </c>
    </row>
    <row r="175" spans="1:17" x14ac:dyDescent="0.3">
      <c r="A175" s="4">
        <f>+'Raw Data - Production'!A176</f>
        <v>46366</v>
      </c>
      <c r="B175" s="6">
        <f t="shared" si="9"/>
        <v>50</v>
      </c>
      <c r="C175" s="6" t="str">
        <f t="shared" si="10"/>
        <v>December</v>
      </c>
      <c r="E175" s="14">
        <f>+'Raw Data - Production'!D176+'Raw Data - Production'!E176</f>
        <v>0</v>
      </c>
      <c r="F175" s="15">
        <f>+'Raw Data - Production'!F176+'Raw Data - Production'!G176+'Raw Data - Production'!H176</f>
        <v>0</v>
      </c>
      <c r="G175" s="16">
        <f>+'Raw Data - Production'!J176+'Raw Data - Production'!K176+'Raw Data - Packing'!I176</f>
        <v>0</v>
      </c>
      <c r="H175" s="15">
        <f>+'Raw Data - Production'!L176+'Raw Data - Production'!M176+'Raw Data - Production'!N176+'Raw Data - Packing'!L176</f>
        <v>0</v>
      </c>
      <c r="I175" s="103">
        <f>SUMIF('Raw Data - Packing'!A:A,A175,'Raw Data - Packing'!D:D)</f>
        <v>0</v>
      </c>
      <c r="J175" s="15">
        <f>SUMIF('Raw Data - Packing'!A:A,A175,'Raw Data - Packing'!F:F)</f>
        <v>0</v>
      </c>
      <c r="K175" s="20"/>
      <c r="L175" s="105">
        <f>+E175-I175+L174-(G175/Weights!$B$2)</f>
        <v>0.19753086414948484</v>
      </c>
      <c r="M175" s="105">
        <f>+F175-J175+M174-(H175/Weights!$B$4)</f>
        <v>11271.6</v>
      </c>
      <c r="N175" s="105">
        <f>+E175*Weights!$B$2</f>
        <v>0</v>
      </c>
      <c r="O175" s="105">
        <f>+F175*Weights!$B$4</f>
        <v>0</v>
      </c>
      <c r="Q175" s="135">
        <f t="shared" si="11"/>
        <v>0</v>
      </c>
    </row>
    <row r="176" spans="1:17" x14ac:dyDescent="0.3">
      <c r="A176" s="4">
        <f>+'Raw Data - Production'!A177</f>
        <v>46367</v>
      </c>
      <c r="B176" s="6">
        <f t="shared" si="9"/>
        <v>50</v>
      </c>
      <c r="C176" s="6" t="str">
        <f t="shared" si="10"/>
        <v>December</v>
      </c>
      <c r="E176" s="14">
        <f>+'Raw Data - Production'!D177+'Raw Data - Production'!E177</f>
        <v>0</v>
      </c>
      <c r="F176" s="15">
        <f>+'Raw Data - Production'!F177+'Raw Data - Production'!G177+'Raw Data - Production'!H177</f>
        <v>0</v>
      </c>
      <c r="G176" s="16">
        <f>+'Raw Data - Production'!J177+'Raw Data - Production'!K177+'Raw Data - Packing'!I177</f>
        <v>0</v>
      </c>
      <c r="H176" s="15">
        <f>+'Raw Data - Production'!L177+'Raw Data - Production'!M177+'Raw Data - Production'!N177+'Raw Data - Packing'!L177</f>
        <v>0</v>
      </c>
      <c r="I176" s="103">
        <f>SUMIF('Raw Data - Packing'!A:A,A176,'Raw Data - Packing'!D:D)</f>
        <v>0</v>
      </c>
      <c r="J176" s="15">
        <f>SUMIF('Raw Data - Packing'!A:A,A176,'Raw Data - Packing'!F:F)</f>
        <v>0</v>
      </c>
      <c r="K176" s="20"/>
      <c r="L176" s="105">
        <f>+E176-I176+L175-(G176/Weights!$B$2)</f>
        <v>0.19753086414948484</v>
      </c>
      <c r="M176" s="105">
        <f>+F176-J176+M175-(H176/Weights!$B$4)</f>
        <v>11271.6</v>
      </c>
      <c r="N176" s="105">
        <f>+E176*Weights!$B$2</f>
        <v>0</v>
      </c>
      <c r="O176" s="105">
        <f>+F176*Weights!$B$4</f>
        <v>0</v>
      </c>
      <c r="Q176" s="135">
        <f t="shared" si="11"/>
        <v>0</v>
      </c>
    </row>
    <row r="177" spans="1:17" x14ac:dyDescent="0.3">
      <c r="A177" s="4">
        <f>+'Raw Data - Production'!A178</f>
        <v>46370</v>
      </c>
      <c r="B177" s="6">
        <f t="shared" si="9"/>
        <v>51</v>
      </c>
      <c r="C177" s="6" t="str">
        <f t="shared" si="10"/>
        <v>December</v>
      </c>
      <c r="E177" s="14">
        <f>+'Raw Data - Production'!D178+'Raw Data - Production'!E178</f>
        <v>0</v>
      </c>
      <c r="F177" s="15">
        <f>+'Raw Data - Production'!F178+'Raw Data - Production'!G178+'Raw Data - Production'!H178</f>
        <v>0</v>
      </c>
      <c r="G177" s="16">
        <f>+'Raw Data - Production'!J178+'Raw Data - Production'!K178+'Raw Data - Packing'!I178</f>
        <v>0</v>
      </c>
      <c r="H177" s="15">
        <f>+'Raw Data - Production'!L178+'Raw Data - Production'!M178+'Raw Data - Production'!N178+'Raw Data - Packing'!L178</f>
        <v>0</v>
      </c>
      <c r="I177" s="103">
        <f>SUMIF('Raw Data - Packing'!A:A,A177,'Raw Data - Packing'!D:D)</f>
        <v>0</v>
      </c>
      <c r="J177" s="15">
        <f>SUMIF('Raw Data - Packing'!A:A,A177,'Raw Data - Packing'!F:F)</f>
        <v>0</v>
      </c>
      <c r="K177" s="20"/>
      <c r="L177" s="105">
        <f>+E177-I177+L176-(G177/Weights!$B$2)</f>
        <v>0.19753086414948484</v>
      </c>
      <c r="M177" s="105">
        <f>+F177-J177+M176-(H177/Weights!$B$4)</f>
        <v>11271.6</v>
      </c>
      <c r="N177" s="105">
        <f>+E177*Weights!$B$2</f>
        <v>0</v>
      </c>
      <c r="O177" s="105">
        <f>+F177*Weights!$B$4</f>
        <v>0</v>
      </c>
      <c r="Q177" s="135">
        <f t="shared" si="11"/>
        <v>0</v>
      </c>
    </row>
    <row r="178" spans="1:17" x14ac:dyDescent="0.3">
      <c r="A178" s="4">
        <f>+'Raw Data - Production'!A179</f>
        <v>46371</v>
      </c>
      <c r="B178" s="6">
        <f t="shared" ref="B178:B188" si="12">+WEEKNUM(A178)</f>
        <v>51</v>
      </c>
      <c r="C178" s="6" t="str">
        <f t="shared" si="10"/>
        <v>December</v>
      </c>
      <c r="E178" s="14">
        <f>+'Raw Data - Production'!D179+'Raw Data - Production'!E179</f>
        <v>0</v>
      </c>
      <c r="F178" s="15">
        <f>+'Raw Data - Production'!F179+'Raw Data - Production'!G179+'Raw Data - Production'!H179</f>
        <v>0</v>
      </c>
      <c r="G178" s="16">
        <f>+'Raw Data - Production'!J179+'Raw Data - Production'!K179+'Raw Data - Packing'!I179</f>
        <v>0</v>
      </c>
      <c r="H178" s="15">
        <f>+'Raw Data - Production'!L179+'Raw Data - Production'!M179+'Raw Data - Production'!N179+'Raw Data - Packing'!L179</f>
        <v>0</v>
      </c>
      <c r="I178" s="103">
        <f>SUMIF('Raw Data - Packing'!A:A,A178,'Raw Data - Packing'!D:D)</f>
        <v>0</v>
      </c>
      <c r="J178" s="15">
        <f>SUMIF('Raw Data - Packing'!A:A,A178,'Raw Data - Packing'!F:F)</f>
        <v>0</v>
      </c>
      <c r="K178" s="20"/>
      <c r="L178" s="105">
        <f>+E178-I178+L177-(G178/Weights!$B$2)</f>
        <v>0.19753086414948484</v>
      </c>
      <c r="M178" s="105">
        <f>+F178-J178+M177-(H178/Weights!$B$4)</f>
        <v>11271.6</v>
      </c>
      <c r="N178" s="105">
        <f>+E178*Weights!$B$2</f>
        <v>0</v>
      </c>
      <c r="O178" s="105">
        <f>+F178*Weights!$B$4</f>
        <v>0</v>
      </c>
      <c r="Q178" s="135">
        <f t="shared" si="11"/>
        <v>0</v>
      </c>
    </row>
    <row r="179" spans="1:17" x14ac:dyDescent="0.3">
      <c r="A179" s="4">
        <f>+'Raw Data - Production'!A180</f>
        <v>46372</v>
      </c>
      <c r="B179" s="6">
        <f t="shared" si="12"/>
        <v>51</v>
      </c>
      <c r="C179" s="6" t="str">
        <f t="shared" si="10"/>
        <v>December</v>
      </c>
      <c r="E179" s="14">
        <f>+'Raw Data - Production'!D180+'Raw Data - Production'!E180</f>
        <v>0</v>
      </c>
      <c r="F179" s="15">
        <f>+'Raw Data - Production'!F180+'Raw Data - Production'!G180+'Raw Data - Production'!H180</f>
        <v>0</v>
      </c>
      <c r="G179" s="16">
        <f>+'Raw Data - Production'!J180+'Raw Data - Production'!K180+'Raw Data - Packing'!I180</f>
        <v>0</v>
      </c>
      <c r="H179" s="15">
        <f>+'Raw Data - Production'!L180+'Raw Data - Production'!M180+'Raw Data - Production'!N180+'Raw Data - Packing'!L180</f>
        <v>0</v>
      </c>
      <c r="I179" s="103">
        <f>SUMIF('Raw Data - Packing'!A:A,A179,'Raw Data - Packing'!D:D)</f>
        <v>0</v>
      </c>
      <c r="J179" s="15">
        <f>SUMIF('Raw Data - Packing'!A:A,A179,'Raw Data - Packing'!F:F)</f>
        <v>0</v>
      </c>
      <c r="K179" s="20"/>
      <c r="L179" s="105">
        <f>+E179-I179+L178-(G179/Weights!$B$2)</f>
        <v>0.19753086414948484</v>
      </c>
      <c r="M179" s="105">
        <f>+F179-J179+M178-(H179/Weights!$B$4)</f>
        <v>11271.6</v>
      </c>
      <c r="N179" s="105">
        <f>+E179*Weights!$B$2</f>
        <v>0</v>
      </c>
      <c r="O179" s="105">
        <f>+F179*Weights!$B$4</f>
        <v>0</v>
      </c>
      <c r="Q179" s="135">
        <f t="shared" si="11"/>
        <v>0</v>
      </c>
    </row>
    <row r="180" spans="1:17" x14ac:dyDescent="0.3">
      <c r="A180" s="4">
        <f>+'Raw Data - Production'!A181</f>
        <v>46373</v>
      </c>
      <c r="B180" s="6">
        <f t="shared" si="12"/>
        <v>51</v>
      </c>
      <c r="C180" s="6" t="str">
        <f t="shared" si="10"/>
        <v>December</v>
      </c>
      <c r="E180" s="14">
        <f>+'Raw Data - Production'!D181+'Raw Data - Production'!E181</f>
        <v>0</v>
      </c>
      <c r="F180" s="15">
        <f>+'Raw Data - Production'!F181+'Raw Data - Production'!G181+'Raw Data - Production'!H181</f>
        <v>0</v>
      </c>
      <c r="G180" s="16">
        <f>+'Raw Data - Production'!J181+'Raw Data - Production'!K181+'Raw Data - Packing'!I181</f>
        <v>0</v>
      </c>
      <c r="H180" s="15">
        <f>+'Raw Data - Production'!L181+'Raw Data - Production'!M181+'Raw Data - Production'!N181+'Raw Data - Packing'!L181</f>
        <v>0</v>
      </c>
      <c r="I180" s="103">
        <f>SUMIF('Raw Data - Packing'!A:A,A180,'Raw Data - Packing'!D:D)</f>
        <v>0</v>
      </c>
      <c r="J180" s="15">
        <f>SUMIF('Raw Data - Packing'!A:A,A180,'Raw Data - Packing'!F:F)</f>
        <v>0</v>
      </c>
      <c r="K180" s="20"/>
      <c r="L180" s="105">
        <f>+E180-I180+L179-(G180/Weights!$B$2)</f>
        <v>0.19753086414948484</v>
      </c>
      <c r="M180" s="105">
        <f>+F180-J180+M179-(H180/Weights!$B$4)</f>
        <v>11271.6</v>
      </c>
      <c r="N180" s="105">
        <f>+E180*Weights!$B$2</f>
        <v>0</v>
      </c>
      <c r="O180" s="105">
        <f>+F180*Weights!$B$4</f>
        <v>0</v>
      </c>
      <c r="Q180" s="135">
        <f t="shared" si="11"/>
        <v>0</v>
      </c>
    </row>
    <row r="181" spans="1:17" x14ac:dyDescent="0.3">
      <c r="A181" s="4">
        <f>+'Raw Data - Production'!A182</f>
        <v>46374</v>
      </c>
      <c r="B181" s="6">
        <f t="shared" si="12"/>
        <v>51</v>
      </c>
      <c r="C181" s="6" t="str">
        <f t="shared" si="10"/>
        <v>December</v>
      </c>
      <c r="E181" s="14">
        <f>+'Raw Data - Production'!D182+'Raw Data - Production'!E182</f>
        <v>0</v>
      </c>
      <c r="F181" s="15">
        <f>+'Raw Data - Production'!F182+'Raw Data - Production'!G182+'Raw Data - Production'!H182</f>
        <v>0</v>
      </c>
      <c r="G181" s="16">
        <f>+'Raw Data - Production'!J182+'Raw Data - Production'!K182+'Raw Data - Packing'!I182</f>
        <v>0</v>
      </c>
      <c r="H181" s="15">
        <f>+'Raw Data - Production'!L182+'Raw Data - Production'!M182+'Raw Data - Production'!N182+'Raw Data - Packing'!L182</f>
        <v>0</v>
      </c>
      <c r="I181" s="103">
        <f>SUMIF('Raw Data - Packing'!A:A,A181,'Raw Data - Packing'!D:D)</f>
        <v>0</v>
      </c>
      <c r="J181" s="15">
        <f>SUMIF('Raw Data - Packing'!A:A,A181,'Raw Data - Packing'!F:F)</f>
        <v>0</v>
      </c>
      <c r="K181" s="20"/>
      <c r="L181" s="105">
        <f>+E181-I181+L180-(G181/Weights!$B$2)</f>
        <v>0.19753086414948484</v>
      </c>
      <c r="M181" s="105">
        <f>+F181-J181+M180-(H181/Weights!$B$4)</f>
        <v>11271.6</v>
      </c>
      <c r="N181" s="105">
        <f>+E181*Weights!$B$2</f>
        <v>0</v>
      </c>
      <c r="O181" s="105">
        <f>+F181*Weights!$B$4</f>
        <v>0</v>
      </c>
      <c r="Q181" s="135">
        <f t="shared" si="11"/>
        <v>0</v>
      </c>
    </row>
    <row r="182" spans="1:17" x14ac:dyDescent="0.3">
      <c r="A182" s="4">
        <f>+'Raw Data - Production'!A183</f>
        <v>46377</v>
      </c>
      <c r="B182" s="6">
        <f t="shared" si="12"/>
        <v>52</v>
      </c>
      <c r="C182" s="6" t="str">
        <f t="shared" si="10"/>
        <v>December</v>
      </c>
      <c r="E182" s="14">
        <f>+'Raw Data - Production'!D183+'Raw Data - Production'!E183</f>
        <v>0</v>
      </c>
      <c r="F182" s="15">
        <f>+'Raw Data - Production'!F183+'Raw Data - Production'!G183+'Raw Data - Production'!H183</f>
        <v>0</v>
      </c>
      <c r="G182" s="16">
        <f>+'Raw Data - Production'!J183+'Raw Data - Production'!K183+'Raw Data - Packing'!I183</f>
        <v>0</v>
      </c>
      <c r="H182" s="15">
        <f>+'Raw Data - Production'!L183+'Raw Data - Production'!M183+'Raw Data - Production'!N183+'Raw Data - Packing'!L183</f>
        <v>0</v>
      </c>
      <c r="I182" s="103">
        <f>SUMIF('Raw Data - Packing'!A:A,A182,'Raw Data - Packing'!D:D)</f>
        <v>0</v>
      </c>
      <c r="J182" s="15">
        <f>SUMIF('Raw Data - Packing'!A:A,A182,'Raw Data - Packing'!F:F)</f>
        <v>0</v>
      </c>
      <c r="K182" s="20"/>
      <c r="L182" s="105">
        <f>+E182-I182+L181-(G182/Weights!$B$2)</f>
        <v>0.19753086414948484</v>
      </c>
      <c r="M182" s="105">
        <f>+F182-J182+M181-(H182/Weights!$B$4)</f>
        <v>11271.6</v>
      </c>
      <c r="N182" s="105">
        <f>+E182*Weights!$B$2</f>
        <v>0</v>
      </c>
      <c r="O182" s="105">
        <f>+F182*Weights!$B$4</f>
        <v>0</v>
      </c>
      <c r="Q182" s="135">
        <f t="shared" si="11"/>
        <v>0</v>
      </c>
    </row>
    <row r="183" spans="1:17" x14ac:dyDescent="0.3">
      <c r="A183" s="4">
        <f>+'Raw Data - Production'!A184</f>
        <v>46378</v>
      </c>
      <c r="B183" s="6">
        <f t="shared" si="12"/>
        <v>52</v>
      </c>
      <c r="C183" s="6" t="str">
        <f t="shared" si="10"/>
        <v>December</v>
      </c>
      <c r="E183" s="14">
        <f>+'Raw Data - Production'!D184+'Raw Data - Production'!E184</f>
        <v>0</v>
      </c>
      <c r="F183" s="15">
        <f>+'Raw Data - Production'!F184+'Raw Data - Production'!G184+'Raw Data - Production'!H184</f>
        <v>0</v>
      </c>
      <c r="G183" s="16">
        <f>+'Raw Data - Production'!J184+'Raw Data - Production'!K184+'Raw Data - Packing'!I184</f>
        <v>0</v>
      </c>
      <c r="H183" s="15">
        <f>+'Raw Data - Production'!L184+'Raw Data - Production'!M184+'Raw Data - Production'!N184+'Raw Data - Packing'!L184</f>
        <v>0</v>
      </c>
      <c r="I183" s="103">
        <f>SUMIF('Raw Data - Packing'!A:A,A183,'Raw Data - Packing'!D:D)</f>
        <v>0</v>
      </c>
      <c r="J183" s="15">
        <f>SUMIF('Raw Data - Packing'!A:A,A183,'Raw Data - Packing'!F:F)</f>
        <v>0</v>
      </c>
      <c r="K183" s="20"/>
      <c r="L183" s="105">
        <f>+E183-I183+L182-(G183/Weights!$B$2)</f>
        <v>0.19753086414948484</v>
      </c>
      <c r="M183" s="105">
        <f>+F183-J183+M182-(H183/Weights!$B$4)</f>
        <v>11271.6</v>
      </c>
      <c r="N183" s="105">
        <f>+E183*Weights!$B$2</f>
        <v>0</v>
      </c>
      <c r="O183" s="105">
        <f>+F183*Weights!$B$4</f>
        <v>0</v>
      </c>
      <c r="Q183" s="135">
        <f t="shared" si="11"/>
        <v>0</v>
      </c>
    </row>
    <row r="184" spans="1:17" x14ac:dyDescent="0.3">
      <c r="A184" s="4">
        <f>+'Raw Data - Production'!A185</f>
        <v>46379</v>
      </c>
      <c r="B184" s="6">
        <f t="shared" si="12"/>
        <v>52</v>
      </c>
      <c r="C184" s="6" t="str">
        <f t="shared" si="10"/>
        <v>December</v>
      </c>
      <c r="E184" s="14">
        <f>+'Raw Data - Production'!D185+'Raw Data - Production'!E185</f>
        <v>0</v>
      </c>
      <c r="F184" s="15">
        <f>+'Raw Data - Production'!F185+'Raw Data - Production'!G185+'Raw Data - Production'!H185</f>
        <v>0</v>
      </c>
      <c r="G184" s="16">
        <f>+'Raw Data - Production'!J185+'Raw Data - Production'!K185+'Raw Data - Packing'!I185</f>
        <v>0</v>
      </c>
      <c r="H184" s="15">
        <f>+'Raw Data - Production'!L185+'Raw Data - Production'!M185+'Raw Data - Production'!N185+'Raw Data - Packing'!L185</f>
        <v>0</v>
      </c>
      <c r="I184" s="103">
        <f>SUMIF('Raw Data - Packing'!A:A,A184,'Raw Data - Packing'!D:D)</f>
        <v>0</v>
      </c>
      <c r="J184" s="15">
        <f>SUMIF('Raw Data - Packing'!A:A,A184,'Raw Data - Packing'!F:F)</f>
        <v>0</v>
      </c>
      <c r="K184" s="20"/>
      <c r="L184" s="105">
        <f>+E184-I184+L183-(G184/Weights!$B$2)</f>
        <v>0.19753086414948484</v>
      </c>
      <c r="M184" s="105">
        <f>+F184-J184+M183-(H184/Weights!$B$4)</f>
        <v>11271.6</v>
      </c>
      <c r="N184" s="105">
        <f>+E184*Weights!$B$2</f>
        <v>0</v>
      </c>
      <c r="O184" s="105">
        <f>+F184*Weights!$B$4</f>
        <v>0</v>
      </c>
      <c r="Q184" s="135">
        <f t="shared" si="11"/>
        <v>0</v>
      </c>
    </row>
    <row r="185" spans="1:17" x14ac:dyDescent="0.3">
      <c r="A185" s="4">
        <f>+'Raw Data - Production'!A186</f>
        <v>46381</v>
      </c>
      <c r="B185" s="6">
        <f t="shared" si="12"/>
        <v>52</v>
      </c>
      <c r="C185" s="6" t="str">
        <f t="shared" si="10"/>
        <v>December</v>
      </c>
      <c r="E185" s="14">
        <f>+'Raw Data - Production'!D186+'Raw Data - Production'!E186</f>
        <v>0</v>
      </c>
      <c r="F185" s="15">
        <f>+'Raw Data - Production'!F186+'Raw Data - Production'!G186+'Raw Data - Production'!H186</f>
        <v>0</v>
      </c>
      <c r="G185" s="16">
        <f>+'Raw Data - Production'!J186+'Raw Data - Production'!K186+'Raw Data - Packing'!I186</f>
        <v>0</v>
      </c>
      <c r="H185" s="15">
        <f>+'Raw Data - Production'!L186+'Raw Data - Production'!M186+'Raw Data - Production'!N186+'Raw Data - Packing'!L186</f>
        <v>0</v>
      </c>
      <c r="I185" s="103">
        <f>SUMIF('Raw Data - Packing'!A:A,A185,'Raw Data - Packing'!D:D)</f>
        <v>0</v>
      </c>
      <c r="J185" s="15">
        <f>SUMIF('Raw Data - Packing'!A:A,A185,'Raw Data - Packing'!F:F)</f>
        <v>0</v>
      </c>
      <c r="K185" s="20"/>
      <c r="L185" s="105">
        <f>+E185-I185+L184-(G185/Weights!$B$2)</f>
        <v>0.19753086414948484</v>
      </c>
      <c r="M185" s="105">
        <f>+F185-J185+M184-(H185/Weights!$B$4)</f>
        <v>11271.6</v>
      </c>
      <c r="N185" s="105">
        <f>+E185*Weights!$B$2</f>
        <v>0</v>
      </c>
      <c r="O185" s="105">
        <f>+F185*Weights!$B$4</f>
        <v>0</v>
      </c>
      <c r="Q185" s="135">
        <f t="shared" si="11"/>
        <v>0</v>
      </c>
    </row>
    <row r="186" spans="1:17" x14ac:dyDescent="0.3">
      <c r="A186" s="4">
        <f>+'Raw Data - Production'!A187</f>
        <v>46384</v>
      </c>
      <c r="B186" s="6">
        <f t="shared" si="12"/>
        <v>53</v>
      </c>
      <c r="C186" s="6" t="str">
        <f t="shared" si="10"/>
        <v>December</v>
      </c>
      <c r="E186" s="14">
        <f>+'Raw Data - Production'!D187+'Raw Data - Production'!E187</f>
        <v>0</v>
      </c>
      <c r="F186" s="15">
        <f>+'Raw Data - Production'!F187+'Raw Data - Production'!G187+'Raw Data - Production'!H187</f>
        <v>0</v>
      </c>
      <c r="G186" s="16">
        <f>+'Raw Data - Production'!J187+'Raw Data - Production'!K187+'Raw Data - Packing'!I187</f>
        <v>0</v>
      </c>
      <c r="H186" s="15">
        <f>+'Raw Data - Production'!L187+'Raw Data - Production'!M187+'Raw Data - Production'!N187+'Raw Data - Packing'!L187</f>
        <v>0</v>
      </c>
      <c r="I186" s="103">
        <f>SUMIF('Raw Data - Packing'!A:A,A186,'Raw Data - Packing'!D:D)</f>
        <v>0</v>
      </c>
      <c r="J186" s="15">
        <f>SUMIF('Raw Data - Packing'!A:A,A186,'Raw Data - Packing'!F:F)</f>
        <v>0</v>
      </c>
      <c r="K186" s="20"/>
      <c r="L186" s="105">
        <f>+E186-I186+L185-(G186/Weights!$B$2)</f>
        <v>0.19753086414948484</v>
      </c>
      <c r="M186" s="105">
        <f>+F186-J186+M185-(H186/Weights!$B$4)</f>
        <v>11271.6</v>
      </c>
      <c r="N186" s="105">
        <f>+E186*Weights!$B$2</f>
        <v>0</v>
      </c>
      <c r="O186" s="105">
        <f>+F186*Weights!$B$4</f>
        <v>0</v>
      </c>
      <c r="Q186" s="135">
        <f t="shared" si="11"/>
        <v>0</v>
      </c>
    </row>
    <row r="187" spans="1:17" x14ac:dyDescent="0.3">
      <c r="A187" s="4">
        <f>+'Raw Data - Production'!A188</f>
        <v>46385</v>
      </c>
      <c r="B187" s="6">
        <f t="shared" si="12"/>
        <v>53</v>
      </c>
      <c r="C187" s="6" t="str">
        <f t="shared" si="10"/>
        <v>December</v>
      </c>
      <c r="E187" s="14">
        <f>+'Raw Data - Production'!D188+'Raw Data - Production'!E188</f>
        <v>0</v>
      </c>
      <c r="F187" s="15">
        <f>+'Raw Data - Production'!F188+'Raw Data - Production'!G188+'Raw Data - Production'!H188</f>
        <v>0</v>
      </c>
      <c r="G187" s="16">
        <f>+'Raw Data - Production'!J188+'Raw Data - Production'!K188+'Raw Data - Packing'!I188</f>
        <v>0</v>
      </c>
      <c r="H187" s="15">
        <f>+'Raw Data - Production'!L188+'Raw Data - Production'!M188+'Raw Data - Production'!N188+'Raw Data - Packing'!L188</f>
        <v>0</v>
      </c>
      <c r="I187" s="103">
        <f>SUMIF('Raw Data - Packing'!A:A,A187,'Raw Data - Packing'!D:D)</f>
        <v>0</v>
      </c>
      <c r="J187" s="15">
        <f>SUMIF('Raw Data - Packing'!A:A,A187,'Raw Data - Packing'!F:F)</f>
        <v>0</v>
      </c>
      <c r="K187" s="20"/>
      <c r="L187" s="105">
        <f>+E187-I187+L186-(G187/Weights!$B$2)</f>
        <v>0.19753086414948484</v>
      </c>
      <c r="M187" s="105">
        <f>+F187-J187+M186-(H187/Weights!$B$4)</f>
        <v>11271.6</v>
      </c>
      <c r="N187" s="105">
        <f>+E187*Weights!$B$2</f>
        <v>0</v>
      </c>
      <c r="O187" s="105">
        <f>+F187*Weights!$B$4</f>
        <v>0</v>
      </c>
      <c r="Q187" s="135">
        <f t="shared" si="11"/>
        <v>0</v>
      </c>
    </row>
    <row r="188" spans="1:17" x14ac:dyDescent="0.3">
      <c r="A188" s="4">
        <f>+'Raw Data - Production'!A189</f>
        <v>0</v>
      </c>
      <c r="B188" s="6">
        <f t="shared" si="12"/>
        <v>0</v>
      </c>
      <c r="C188" s="6" t="str">
        <f t="shared" si="10"/>
        <v>January</v>
      </c>
      <c r="E188" s="14">
        <f>+'Raw Data - Production'!D189+'Raw Data - Production'!E189</f>
        <v>0</v>
      </c>
      <c r="F188" s="15">
        <f>+'Raw Data - Production'!F189+'Raw Data - Production'!G189+'Raw Data - Production'!H189</f>
        <v>0</v>
      </c>
      <c r="G188" s="16">
        <f>+'Raw Data - Production'!J189+'Raw Data - Production'!K189+'Raw Data - Packing'!I189</f>
        <v>0</v>
      </c>
      <c r="H188" s="15">
        <f>+'Raw Data - Production'!L189+'Raw Data - Production'!M189+'Raw Data - Production'!N189+'Raw Data - Packing'!L189</f>
        <v>0</v>
      </c>
      <c r="I188" s="103">
        <f>SUMIF('Raw Data - Packing'!A:A,A188,'Raw Data - Packing'!D:D)</f>
        <v>0</v>
      </c>
      <c r="J188" s="15">
        <f>SUMIF('Raw Data - Packing'!A:A,A188,'Raw Data - Packing'!F:F)</f>
        <v>0</v>
      </c>
      <c r="K188" s="20"/>
      <c r="Q188" s="135">
        <f t="shared" si="11"/>
        <v>0</v>
      </c>
    </row>
    <row r="189" spans="1:17" x14ac:dyDescent="0.3">
      <c r="A189" s="4"/>
      <c r="C189" s="6" t="str">
        <f t="shared" si="10"/>
        <v>January</v>
      </c>
      <c r="E189" s="14">
        <f>+'Raw Data - Production'!D190+'Raw Data - Production'!E190</f>
        <v>0</v>
      </c>
      <c r="F189" s="15">
        <f>+'Raw Data - Production'!F190+'Raw Data - Production'!G190+'Raw Data - Production'!H190</f>
        <v>0</v>
      </c>
      <c r="G189" s="16">
        <f>+'Raw Data - Production'!J190+'Raw Data - Production'!K190+'Raw Data - Packing'!I190</f>
        <v>0</v>
      </c>
      <c r="H189" s="15">
        <f>+'Raw Data - Production'!L190+'Raw Data - Production'!M190+'Raw Data - Production'!N190+'Raw Data - Packing'!L190</f>
        <v>0</v>
      </c>
      <c r="I189" s="103">
        <f>SUMIF('Raw Data - Packing'!A:A,A189,'Raw Data - Packing'!D:D)</f>
        <v>0</v>
      </c>
      <c r="J189" s="15">
        <f>SUMIF('Raw Data - Packing'!A:A,A189,'Raw Data - Packing'!F:F)</f>
        <v>0</v>
      </c>
      <c r="K189" s="20"/>
      <c r="Q189" s="135">
        <f t="shared" si="11"/>
        <v>0</v>
      </c>
    </row>
    <row r="190" spans="1:17" x14ac:dyDescent="0.3">
      <c r="A190" s="4"/>
      <c r="C190" s="6" t="str">
        <f t="shared" si="10"/>
        <v>January</v>
      </c>
      <c r="E190" s="14">
        <f>+'Raw Data - Production'!D191+'Raw Data - Production'!E191</f>
        <v>0</v>
      </c>
      <c r="F190" s="15">
        <f>+'Raw Data - Production'!F191+'Raw Data - Production'!G191+'Raw Data - Production'!H191</f>
        <v>0</v>
      </c>
      <c r="G190" s="16">
        <f>+'Raw Data - Production'!J191+'Raw Data - Production'!K191+'Raw Data - Packing'!I191</f>
        <v>0</v>
      </c>
      <c r="H190" s="15">
        <f>+'Raw Data - Production'!L191+'Raw Data - Production'!M191+'Raw Data - Production'!N191+'Raw Data - Packing'!L191</f>
        <v>0</v>
      </c>
      <c r="I190" s="103">
        <f>SUMIF('Raw Data - Packing'!A:A,A190,'Raw Data - Packing'!D:D)</f>
        <v>0</v>
      </c>
      <c r="J190" s="15">
        <f>SUMIF('Raw Data - Packing'!A:A,A190,'Raw Data - Packing'!F:F)</f>
        <v>0</v>
      </c>
      <c r="K190" s="20"/>
      <c r="Q190" s="135">
        <f t="shared" si="11"/>
        <v>0</v>
      </c>
    </row>
    <row r="191" spans="1:17" x14ac:dyDescent="0.3">
      <c r="A191" s="4"/>
      <c r="C191" s="6" t="str">
        <f t="shared" si="10"/>
        <v>January</v>
      </c>
      <c r="E191" s="14">
        <f>+'Raw Data - Production'!D192+'Raw Data - Production'!E192</f>
        <v>0</v>
      </c>
      <c r="F191" s="15">
        <f>+'Raw Data - Production'!F192+'Raw Data - Production'!G192+'Raw Data - Production'!H192</f>
        <v>0</v>
      </c>
      <c r="G191" s="16">
        <f>+'Raw Data - Production'!J192+'Raw Data - Production'!K192+'Raw Data - Packing'!I192</f>
        <v>0</v>
      </c>
      <c r="H191" s="15">
        <f>+'Raw Data - Production'!L192+'Raw Data - Production'!M192+'Raw Data - Production'!N192+'Raw Data - Packing'!L192</f>
        <v>0</v>
      </c>
      <c r="I191" s="103">
        <f>SUMIF('Raw Data - Packing'!A:A,A191,'Raw Data - Packing'!D:D)</f>
        <v>0</v>
      </c>
      <c r="J191" s="15">
        <f>SUMIF('Raw Data - Packing'!A:A,A191,'Raw Data - Packing'!F:F)</f>
        <v>0</v>
      </c>
      <c r="K191" s="20"/>
      <c r="Q191" s="135">
        <f t="shared" si="11"/>
        <v>0</v>
      </c>
    </row>
    <row r="192" spans="1:17" x14ac:dyDescent="0.3">
      <c r="A192" s="4"/>
      <c r="C192" s="6" t="str">
        <f t="shared" si="10"/>
        <v>January</v>
      </c>
      <c r="E192" s="14">
        <f>+'Raw Data - Production'!D193+'Raw Data - Production'!E193</f>
        <v>0</v>
      </c>
      <c r="F192" s="15">
        <f>+'Raw Data - Production'!F193+'Raw Data - Production'!G193+'Raw Data - Production'!H193</f>
        <v>0</v>
      </c>
      <c r="G192" s="16">
        <f>+'Raw Data - Production'!J193+'Raw Data - Production'!K193+'Raw Data - Packing'!I193</f>
        <v>0</v>
      </c>
      <c r="H192" s="15">
        <f>+'Raw Data - Production'!L193+'Raw Data - Production'!M193+'Raw Data - Production'!N193+'Raw Data - Packing'!L193</f>
        <v>0</v>
      </c>
      <c r="I192" s="103">
        <f>SUMIF('Raw Data - Packing'!A:A,A192,'Raw Data - Packing'!D:D)</f>
        <v>0</v>
      </c>
      <c r="J192" s="15">
        <f>SUMIF('Raw Data - Packing'!A:A,A192,'Raw Data - Packing'!F:F)</f>
        <v>0</v>
      </c>
      <c r="K192" s="20"/>
      <c r="Q192" s="135">
        <f t="shared" si="11"/>
        <v>0</v>
      </c>
    </row>
    <row r="193" spans="1:17" x14ac:dyDescent="0.3">
      <c r="A193" s="4"/>
      <c r="C193" s="6" t="str">
        <f t="shared" si="10"/>
        <v>January</v>
      </c>
      <c r="E193" s="14">
        <f>+'Raw Data - Production'!D194+'Raw Data - Production'!E194</f>
        <v>0</v>
      </c>
      <c r="F193" s="15">
        <f>+'Raw Data - Production'!F194+'Raw Data - Production'!G194+'Raw Data - Production'!H194</f>
        <v>0</v>
      </c>
      <c r="G193" s="16">
        <f>+'Raw Data - Production'!J194+'Raw Data - Production'!K194+'Raw Data - Packing'!I194</f>
        <v>0</v>
      </c>
      <c r="H193" s="15">
        <f>+'Raw Data - Production'!L194+'Raw Data - Production'!M194+'Raw Data - Production'!N194+'Raw Data - Packing'!L194</f>
        <v>0</v>
      </c>
      <c r="I193" s="103">
        <f>SUMIF('Raw Data - Packing'!A:A,A193,'Raw Data - Packing'!D:D)</f>
        <v>0</v>
      </c>
      <c r="J193" s="15">
        <f>SUMIF('Raw Data - Packing'!A:A,A193,'Raw Data - Packing'!F:F)</f>
        <v>0</v>
      </c>
      <c r="K193" s="20"/>
      <c r="Q193" s="135">
        <f t="shared" si="11"/>
        <v>0</v>
      </c>
    </row>
    <row r="194" spans="1:17" x14ac:dyDescent="0.3">
      <c r="A194" s="4"/>
      <c r="C194" s="6" t="str">
        <f t="shared" si="10"/>
        <v>January</v>
      </c>
      <c r="E194" s="14">
        <f>+'Raw Data - Production'!D195+'Raw Data - Production'!E195</f>
        <v>0</v>
      </c>
      <c r="F194" s="15">
        <f>+'Raw Data - Production'!F195+'Raw Data - Production'!G195+'Raw Data - Production'!H195</f>
        <v>0</v>
      </c>
      <c r="G194" s="16">
        <f>+'Raw Data - Production'!J195+'Raw Data - Production'!K195+'Raw Data - Packing'!I195</f>
        <v>0</v>
      </c>
      <c r="H194" s="15">
        <f>+'Raw Data - Production'!L195+'Raw Data - Production'!M195+'Raw Data - Production'!N195+'Raw Data - Packing'!L195</f>
        <v>0</v>
      </c>
      <c r="I194" s="103">
        <f>SUMIF('Raw Data - Packing'!A:A,A194,'Raw Data - Packing'!D:D)</f>
        <v>0</v>
      </c>
      <c r="J194" s="15">
        <f>SUMIF('Raw Data - Packing'!A:A,A194,'Raw Data - Packing'!F:F)</f>
        <v>0</v>
      </c>
      <c r="K194" s="20"/>
      <c r="Q194" s="135">
        <f t="shared" si="11"/>
        <v>0</v>
      </c>
    </row>
    <row r="195" spans="1:17" x14ac:dyDescent="0.3">
      <c r="A195" s="4"/>
      <c r="C195" s="6" t="str">
        <f t="shared" ref="C195:C258" si="13">+TEXT(A195,"mmmm")</f>
        <v>January</v>
      </c>
      <c r="E195" s="14">
        <f>+'Raw Data - Production'!D196+'Raw Data - Production'!E196</f>
        <v>0</v>
      </c>
      <c r="F195" s="15">
        <f>+'Raw Data - Production'!F196+'Raw Data - Production'!G196+'Raw Data - Production'!H196</f>
        <v>0</v>
      </c>
      <c r="G195" s="16">
        <f>+'Raw Data - Production'!J196+'Raw Data - Production'!K196+'Raw Data - Packing'!I196</f>
        <v>0</v>
      </c>
      <c r="H195" s="15">
        <f>+'Raw Data - Production'!L196+'Raw Data - Production'!M196+'Raw Data - Production'!N196+'Raw Data - Packing'!L196</f>
        <v>0</v>
      </c>
      <c r="I195" s="103">
        <f>SUMIF('Raw Data - Packing'!A:A,A195,'Raw Data - Packing'!D:D)</f>
        <v>0</v>
      </c>
      <c r="J195" s="15">
        <f>SUMIF('Raw Data - Packing'!A:A,A195,'Raw Data - Packing'!F:F)</f>
        <v>0</v>
      </c>
      <c r="K195" s="20"/>
      <c r="Q195" s="135">
        <f t="shared" ref="Q195:Q258" si="14">I195+J195</f>
        <v>0</v>
      </c>
    </row>
    <row r="196" spans="1:17" x14ac:dyDescent="0.3">
      <c r="A196" s="4"/>
      <c r="C196" s="6" t="str">
        <f t="shared" si="13"/>
        <v>January</v>
      </c>
      <c r="E196" s="14">
        <f>+'Raw Data - Production'!D197+'Raw Data - Production'!E197</f>
        <v>0</v>
      </c>
      <c r="F196" s="15">
        <f>+'Raw Data - Production'!F197+'Raw Data - Production'!G197+'Raw Data - Production'!H197</f>
        <v>0</v>
      </c>
      <c r="G196" s="16">
        <f>+'Raw Data - Production'!J197+'Raw Data - Production'!K197+'Raw Data - Packing'!I197</f>
        <v>0</v>
      </c>
      <c r="H196" s="15">
        <f>+'Raw Data - Production'!L197+'Raw Data - Production'!M197+'Raw Data - Production'!N197+'Raw Data - Packing'!L197</f>
        <v>0</v>
      </c>
      <c r="I196" s="103">
        <f>SUMIF('Raw Data - Packing'!A:A,A196,'Raw Data - Packing'!D:D)</f>
        <v>0</v>
      </c>
      <c r="J196" s="15">
        <f>SUMIF('Raw Data - Packing'!A:A,A196,'Raw Data - Packing'!F:F)</f>
        <v>0</v>
      </c>
      <c r="K196" s="20"/>
      <c r="Q196" s="135">
        <f t="shared" si="14"/>
        <v>0</v>
      </c>
    </row>
    <row r="197" spans="1:17" x14ac:dyDescent="0.3">
      <c r="A197" s="4"/>
      <c r="C197" s="6" t="str">
        <f t="shared" si="13"/>
        <v>January</v>
      </c>
      <c r="E197" s="14">
        <f>+'Raw Data - Production'!D198+'Raw Data - Production'!E198</f>
        <v>0</v>
      </c>
      <c r="F197" s="15">
        <f>+'Raw Data - Production'!F198+'Raw Data - Production'!G198+'Raw Data - Production'!H198</f>
        <v>0</v>
      </c>
      <c r="G197" s="16">
        <f>+'Raw Data - Production'!J198+'Raw Data - Production'!K198+'Raw Data - Packing'!I198</f>
        <v>0</v>
      </c>
      <c r="H197" s="15">
        <f>+'Raw Data - Production'!L198+'Raw Data - Production'!M198+'Raw Data - Production'!N198+'Raw Data - Packing'!L198</f>
        <v>0</v>
      </c>
      <c r="I197" s="103">
        <f>SUMIF('Raw Data - Packing'!A:A,A197,'Raw Data - Packing'!D:D)</f>
        <v>0</v>
      </c>
      <c r="J197" s="15">
        <f>SUMIF('Raw Data - Packing'!A:A,A197,'Raw Data - Packing'!F:F)</f>
        <v>0</v>
      </c>
      <c r="K197" s="20"/>
      <c r="Q197" s="135">
        <f t="shared" si="14"/>
        <v>0</v>
      </c>
    </row>
    <row r="198" spans="1:17" x14ac:dyDescent="0.3">
      <c r="A198" s="4"/>
      <c r="C198" s="6" t="str">
        <f t="shared" si="13"/>
        <v>January</v>
      </c>
      <c r="E198" s="14">
        <f>+'Raw Data - Production'!D199+'Raw Data - Production'!E199</f>
        <v>0</v>
      </c>
      <c r="F198" s="15">
        <f>+'Raw Data - Production'!F199+'Raw Data - Production'!G199+'Raw Data - Production'!H199</f>
        <v>0</v>
      </c>
      <c r="G198" s="16">
        <f>+'Raw Data - Production'!J199+'Raw Data - Production'!K199+'Raw Data - Packing'!I199</f>
        <v>0</v>
      </c>
      <c r="H198" s="15">
        <f>+'Raw Data - Production'!L199+'Raw Data - Production'!M199+'Raw Data - Production'!N199+'Raw Data - Packing'!L199</f>
        <v>0</v>
      </c>
      <c r="I198" s="103">
        <f>SUMIF('Raw Data - Packing'!A:A,A198,'Raw Data - Packing'!D:D)</f>
        <v>0</v>
      </c>
      <c r="J198" s="15">
        <f>SUMIF('Raw Data - Packing'!A:A,A198,'Raw Data - Packing'!F:F)</f>
        <v>0</v>
      </c>
      <c r="K198" s="20"/>
      <c r="Q198" s="135">
        <f t="shared" si="14"/>
        <v>0</v>
      </c>
    </row>
    <row r="199" spans="1:17" x14ac:dyDescent="0.3">
      <c r="A199" s="4"/>
      <c r="C199" s="6" t="str">
        <f t="shared" si="13"/>
        <v>January</v>
      </c>
      <c r="E199" s="14">
        <f>+'Raw Data - Production'!D200+'Raw Data - Production'!E200</f>
        <v>0</v>
      </c>
      <c r="F199" s="15">
        <f>+'Raw Data - Production'!F200+'Raw Data - Production'!G200+'Raw Data - Production'!H200</f>
        <v>0</v>
      </c>
      <c r="G199" s="16">
        <f>+'Raw Data - Production'!J200+'Raw Data - Production'!K200+'Raw Data - Packing'!I200</f>
        <v>0</v>
      </c>
      <c r="H199" s="15">
        <f>+'Raw Data - Production'!L200+'Raw Data - Production'!M200+'Raw Data - Production'!N200+'Raw Data - Packing'!L200</f>
        <v>0</v>
      </c>
      <c r="I199" s="103">
        <f>SUMIF('Raw Data - Packing'!A:A,A199,'Raw Data - Packing'!D:D)</f>
        <v>0</v>
      </c>
      <c r="J199" s="15">
        <f>SUMIF('Raw Data - Packing'!A:A,A199,'Raw Data - Packing'!F:F)</f>
        <v>0</v>
      </c>
      <c r="K199" s="20"/>
      <c r="Q199" s="135">
        <f t="shared" si="14"/>
        <v>0</v>
      </c>
    </row>
    <row r="200" spans="1:17" x14ac:dyDescent="0.3">
      <c r="A200" s="4"/>
      <c r="C200" s="6" t="str">
        <f t="shared" si="13"/>
        <v>January</v>
      </c>
      <c r="E200" s="14">
        <f>+'Raw Data - Production'!D201+'Raw Data - Production'!E201</f>
        <v>0</v>
      </c>
      <c r="F200" s="15">
        <f>+'Raw Data - Production'!F201+'Raw Data - Production'!G201+'Raw Data - Production'!H201</f>
        <v>0</v>
      </c>
      <c r="G200" s="16">
        <f>+'Raw Data - Production'!J201+'Raw Data - Production'!K201+'Raw Data - Packing'!I201</f>
        <v>0</v>
      </c>
      <c r="H200" s="15">
        <f>+'Raw Data - Production'!L201+'Raw Data - Production'!M201+'Raw Data - Production'!N201+'Raw Data - Packing'!L201</f>
        <v>0</v>
      </c>
      <c r="I200" s="103">
        <f>SUMIF('Raw Data - Packing'!A:A,A200,'Raw Data - Packing'!D:D)</f>
        <v>0</v>
      </c>
      <c r="J200" s="15">
        <f>SUMIF('Raw Data - Packing'!A:A,A200,'Raw Data - Packing'!F:F)</f>
        <v>0</v>
      </c>
      <c r="K200" s="20"/>
      <c r="Q200" s="135">
        <f t="shared" si="14"/>
        <v>0</v>
      </c>
    </row>
    <row r="201" spans="1:17" x14ac:dyDescent="0.3">
      <c r="A201" s="4"/>
      <c r="C201" s="6" t="str">
        <f t="shared" si="13"/>
        <v>January</v>
      </c>
      <c r="E201" s="14">
        <f>+'Raw Data - Production'!D202+'Raw Data - Production'!E202</f>
        <v>0</v>
      </c>
      <c r="F201" s="15">
        <f>+'Raw Data - Production'!F202+'Raw Data - Production'!G202+'Raw Data - Production'!H202</f>
        <v>0</v>
      </c>
      <c r="G201" s="16">
        <f>+'Raw Data - Production'!J202+'Raw Data - Production'!K202+'Raw Data - Packing'!I202</f>
        <v>0</v>
      </c>
      <c r="H201" s="15">
        <f>+'Raw Data - Production'!L202+'Raw Data - Production'!M202+'Raw Data - Production'!N202+'Raw Data - Packing'!L202</f>
        <v>0</v>
      </c>
      <c r="I201" s="103">
        <f>SUMIF('Raw Data - Packing'!A:A,A201,'Raw Data - Packing'!D:D)</f>
        <v>0</v>
      </c>
      <c r="J201" s="15">
        <f>SUMIF('Raw Data - Packing'!A:A,A201,'Raw Data - Packing'!F:F)</f>
        <v>0</v>
      </c>
      <c r="K201" s="20"/>
      <c r="Q201" s="135">
        <f t="shared" si="14"/>
        <v>0</v>
      </c>
    </row>
    <row r="202" spans="1:17" x14ac:dyDescent="0.3">
      <c r="A202" s="4"/>
      <c r="C202" s="6" t="str">
        <f t="shared" si="13"/>
        <v>January</v>
      </c>
      <c r="E202" s="14">
        <f>+'Raw Data - Production'!D203+'Raw Data - Production'!E203</f>
        <v>0</v>
      </c>
      <c r="F202" s="15">
        <f>+'Raw Data - Production'!F203+'Raw Data - Production'!G203+'Raw Data - Production'!H203</f>
        <v>0</v>
      </c>
      <c r="G202" s="16">
        <f>+'Raw Data - Production'!J203+'Raw Data - Production'!K203+'Raw Data - Packing'!I203</f>
        <v>0</v>
      </c>
      <c r="H202" s="15">
        <f>+'Raw Data - Production'!L203+'Raw Data - Production'!M203+'Raw Data - Production'!N203+'Raw Data - Packing'!L203</f>
        <v>0</v>
      </c>
      <c r="I202" s="103">
        <f>SUMIF('Raw Data - Packing'!A:A,A202,'Raw Data - Packing'!D:D)</f>
        <v>0</v>
      </c>
      <c r="J202" s="15">
        <f>SUMIF('Raw Data - Packing'!A:A,A202,'Raw Data - Packing'!F:F)</f>
        <v>0</v>
      </c>
      <c r="K202" s="20"/>
      <c r="Q202" s="135">
        <f t="shared" si="14"/>
        <v>0</v>
      </c>
    </row>
    <row r="203" spans="1:17" x14ac:dyDescent="0.3">
      <c r="A203" s="4"/>
      <c r="C203" s="6" t="str">
        <f t="shared" si="13"/>
        <v>January</v>
      </c>
      <c r="E203" s="14">
        <f>+'Raw Data - Production'!D204+'Raw Data - Production'!E204</f>
        <v>0</v>
      </c>
      <c r="F203" s="15">
        <f>+'Raw Data - Production'!F204+'Raw Data - Production'!G204+'Raw Data - Production'!H204</f>
        <v>0</v>
      </c>
      <c r="G203" s="16">
        <f>+'Raw Data - Production'!J204+'Raw Data - Production'!K204+'Raw Data - Packing'!I204</f>
        <v>0</v>
      </c>
      <c r="H203" s="15">
        <f>+'Raw Data - Production'!L204+'Raw Data - Production'!M204+'Raw Data - Production'!N204+'Raw Data - Packing'!L204</f>
        <v>0</v>
      </c>
      <c r="I203" s="103">
        <f>SUMIF('Raw Data - Packing'!A:A,A203,'Raw Data - Packing'!D:D)</f>
        <v>0</v>
      </c>
      <c r="J203" s="15">
        <f>SUMIF('Raw Data - Packing'!A:A,A203,'Raw Data - Packing'!F:F)</f>
        <v>0</v>
      </c>
      <c r="K203" s="20"/>
      <c r="Q203" s="135">
        <f t="shared" si="14"/>
        <v>0</v>
      </c>
    </row>
    <row r="204" spans="1:17" x14ac:dyDescent="0.3">
      <c r="C204" s="6" t="str">
        <f t="shared" si="13"/>
        <v>January</v>
      </c>
      <c r="E204" s="14">
        <f>+'Raw Data - Production'!D205+'Raw Data - Production'!E205</f>
        <v>0</v>
      </c>
      <c r="F204" s="15">
        <f>+'Raw Data - Production'!F205+'Raw Data - Production'!G205+'Raw Data - Production'!H205</f>
        <v>0</v>
      </c>
      <c r="G204" s="16">
        <f>+'Raw Data - Production'!J205+'Raw Data - Production'!K205+'Raw Data - Packing'!I205</f>
        <v>0</v>
      </c>
      <c r="H204" s="15">
        <f>+'Raw Data - Production'!L205+'Raw Data - Production'!M205+'Raw Data - Production'!N205+'Raw Data - Packing'!L205</f>
        <v>0</v>
      </c>
      <c r="I204" s="103">
        <f>SUMIF('Raw Data - Packing'!A:A,A204,'Raw Data - Packing'!D:D)</f>
        <v>0</v>
      </c>
      <c r="J204" s="15">
        <f>SUMIF('Raw Data - Packing'!A:A,A204,'Raw Data - Packing'!F:F)</f>
        <v>0</v>
      </c>
      <c r="K204" s="20"/>
      <c r="Q204" s="135">
        <f t="shared" si="14"/>
        <v>0</v>
      </c>
    </row>
    <row r="205" spans="1:17" x14ac:dyDescent="0.3">
      <c r="C205" s="6" t="str">
        <f t="shared" si="13"/>
        <v>January</v>
      </c>
      <c r="E205" s="14">
        <f>+'Raw Data - Production'!D206+'Raw Data - Production'!E206</f>
        <v>0</v>
      </c>
      <c r="F205" s="15">
        <f>+'Raw Data - Production'!F206+'Raw Data - Production'!G206+'Raw Data - Production'!H206</f>
        <v>0</v>
      </c>
      <c r="G205" s="16">
        <f>+'Raw Data - Production'!J206+'Raw Data - Production'!K206+'Raw Data - Packing'!I206</f>
        <v>0</v>
      </c>
      <c r="H205" s="15">
        <f>+'Raw Data - Production'!L206+'Raw Data - Production'!M206+'Raw Data - Production'!N206+'Raw Data - Packing'!L206</f>
        <v>0</v>
      </c>
      <c r="I205" s="103">
        <f>SUMIF('Raw Data - Packing'!A:A,A205,'Raw Data - Packing'!D:D)</f>
        <v>0</v>
      </c>
      <c r="J205" s="15">
        <f>SUMIF('Raw Data - Packing'!A:A,A205,'Raw Data - Packing'!F:F)</f>
        <v>0</v>
      </c>
      <c r="K205" s="20"/>
      <c r="Q205" s="135">
        <f t="shared" si="14"/>
        <v>0</v>
      </c>
    </row>
    <row r="206" spans="1:17" x14ac:dyDescent="0.3">
      <c r="C206" s="6" t="str">
        <f t="shared" si="13"/>
        <v>January</v>
      </c>
      <c r="E206" s="14">
        <f>+'Raw Data - Production'!D207+'Raw Data - Production'!E207</f>
        <v>0</v>
      </c>
      <c r="F206" s="15">
        <f>+'Raw Data - Production'!F207+'Raw Data - Production'!G207+'Raw Data - Production'!H207</f>
        <v>0</v>
      </c>
      <c r="G206" s="16">
        <f>+'Raw Data - Production'!J207+'Raw Data - Production'!K207+'Raw Data - Packing'!I207</f>
        <v>0</v>
      </c>
      <c r="H206" s="15">
        <f>+'Raw Data - Production'!L207+'Raw Data - Production'!M207+'Raw Data - Production'!N207+'Raw Data - Packing'!L207</f>
        <v>0</v>
      </c>
      <c r="I206" s="103">
        <f>SUMIF('Raw Data - Packing'!A:A,A206,'Raw Data - Packing'!D:D)</f>
        <v>0</v>
      </c>
      <c r="J206" s="15">
        <f>SUMIF('Raw Data - Packing'!A:A,A206,'Raw Data - Packing'!F:F)</f>
        <v>0</v>
      </c>
      <c r="K206" s="20"/>
      <c r="Q206" s="135">
        <f t="shared" si="14"/>
        <v>0</v>
      </c>
    </row>
    <row r="207" spans="1:17" x14ac:dyDescent="0.3">
      <c r="C207" s="6" t="str">
        <f t="shared" si="13"/>
        <v>January</v>
      </c>
      <c r="E207" s="14">
        <f>+'Raw Data - Production'!D208+'Raw Data - Production'!E208</f>
        <v>0</v>
      </c>
      <c r="F207" s="15">
        <f>+'Raw Data - Production'!F208+'Raw Data - Production'!G208+'Raw Data - Production'!H208</f>
        <v>0</v>
      </c>
      <c r="G207" s="16">
        <f>+'Raw Data - Production'!J208+'Raw Data - Production'!K208+'Raw Data - Packing'!I208</f>
        <v>0</v>
      </c>
      <c r="H207" s="15">
        <f>+'Raw Data - Production'!L208+'Raw Data - Production'!M208+'Raw Data - Production'!N208+'Raw Data - Packing'!L208</f>
        <v>0</v>
      </c>
      <c r="I207" s="103">
        <f>SUMIF('Raw Data - Packing'!A:A,A207,'Raw Data - Packing'!D:D)</f>
        <v>0</v>
      </c>
      <c r="J207" s="15">
        <f>SUMIF('Raw Data - Packing'!A:A,A207,'Raw Data - Packing'!F:F)</f>
        <v>0</v>
      </c>
      <c r="K207" s="20"/>
      <c r="Q207" s="135">
        <f t="shared" si="14"/>
        <v>0</v>
      </c>
    </row>
    <row r="208" spans="1:17" x14ac:dyDescent="0.3">
      <c r="C208" s="6" t="str">
        <f t="shared" si="13"/>
        <v>January</v>
      </c>
      <c r="E208" s="14">
        <f>+'Raw Data - Production'!D209+'Raw Data - Production'!E209</f>
        <v>0</v>
      </c>
      <c r="F208" s="15">
        <f>+'Raw Data - Production'!F209+'Raw Data - Production'!G209+'Raw Data - Production'!H209</f>
        <v>0</v>
      </c>
      <c r="G208" s="16">
        <f>+'Raw Data - Production'!J209+'Raw Data - Production'!K209+'Raw Data - Packing'!I209</f>
        <v>0</v>
      </c>
      <c r="H208" s="15">
        <f>+'Raw Data - Production'!L209+'Raw Data - Production'!M209+'Raw Data - Production'!N209+'Raw Data - Packing'!L209</f>
        <v>0</v>
      </c>
      <c r="I208" s="103">
        <f>SUMIF('Raw Data - Packing'!A:A,A208,'Raw Data - Packing'!D:D)</f>
        <v>0</v>
      </c>
      <c r="J208" s="15">
        <f>SUMIF('Raw Data - Packing'!A:A,A208,'Raw Data - Packing'!F:F)</f>
        <v>0</v>
      </c>
      <c r="K208" s="20"/>
      <c r="Q208" s="135">
        <f t="shared" si="14"/>
        <v>0</v>
      </c>
    </row>
    <row r="209" spans="3:17" x14ac:dyDescent="0.3">
      <c r="C209" s="6" t="str">
        <f t="shared" si="13"/>
        <v>January</v>
      </c>
      <c r="E209" s="14">
        <f>+'Raw Data - Production'!D210+'Raw Data - Production'!E210</f>
        <v>0</v>
      </c>
      <c r="F209" s="15">
        <f>+'Raw Data - Production'!F210+'Raw Data - Production'!G210+'Raw Data - Production'!H210</f>
        <v>0</v>
      </c>
      <c r="G209" s="16">
        <f>+'Raw Data - Production'!J210+'Raw Data - Production'!K210+'Raw Data - Packing'!I210</f>
        <v>0</v>
      </c>
      <c r="H209" s="15">
        <f>+'Raw Data - Production'!L210+'Raw Data - Production'!M210+'Raw Data - Production'!N210+'Raw Data - Packing'!L210</f>
        <v>0</v>
      </c>
      <c r="I209" s="103">
        <f>SUMIF('Raw Data - Packing'!A:A,A209,'Raw Data - Packing'!D:D)</f>
        <v>0</v>
      </c>
      <c r="J209" s="15">
        <f>SUMIF('Raw Data - Packing'!A:A,A209,'Raw Data - Packing'!F:F)</f>
        <v>0</v>
      </c>
      <c r="K209" s="20"/>
      <c r="Q209" s="135">
        <f t="shared" si="14"/>
        <v>0</v>
      </c>
    </row>
    <row r="210" spans="3:17" x14ac:dyDescent="0.3">
      <c r="C210" s="6" t="str">
        <f t="shared" si="13"/>
        <v>January</v>
      </c>
      <c r="E210" s="14">
        <f>+'Raw Data - Production'!D211+'Raw Data - Production'!E211</f>
        <v>0</v>
      </c>
      <c r="F210" s="15">
        <f>+'Raw Data - Production'!F211+'Raw Data - Production'!G211+'Raw Data - Production'!H211</f>
        <v>0</v>
      </c>
      <c r="G210" s="16">
        <f>+'Raw Data - Production'!J211+'Raw Data - Production'!K211+'Raw Data - Packing'!I211</f>
        <v>0</v>
      </c>
      <c r="H210" s="15">
        <f>+'Raw Data - Production'!L211+'Raw Data - Production'!M211+'Raw Data - Production'!N211+'Raw Data - Packing'!L211</f>
        <v>0</v>
      </c>
      <c r="I210" s="103">
        <f>SUMIF('Raw Data - Packing'!A:A,A210,'Raw Data - Packing'!D:D)</f>
        <v>0</v>
      </c>
      <c r="J210" s="15">
        <f>SUMIF('Raw Data - Packing'!A:A,A210,'Raw Data - Packing'!F:F)</f>
        <v>0</v>
      </c>
      <c r="K210" s="20"/>
      <c r="Q210" s="135">
        <f t="shared" si="14"/>
        <v>0</v>
      </c>
    </row>
    <row r="211" spans="3:17" x14ac:dyDescent="0.3">
      <c r="C211" s="6" t="str">
        <f t="shared" si="13"/>
        <v>January</v>
      </c>
      <c r="E211" s="14">
        <f>+'Raw Data - Production'!D212+'Raw Data - Production'!E212</f>
        <v>0</v>
      </c>
      <c r="F211" s="15">
        <f>+'Raw Data - Production'!F212+'Raw Data - Production'!G212+'Raw Data - Production'!H212</f>
        <v>0</v>
      </c>
      <c r="G211" s="16">
        <f>+'Raw Data - Production'!J212+'Raw Data - Production'!K212+'Raw Data - Packing'!I212</f>
        <v>0</v>
      </c>
      <c r="H211" s="15">
        <f>+'Raw Data - Production'!L212+'Raw Data - Production'!M212+'Raw Data - Production'!N212+'Raw Data - Packing'!L212</f>
        <v>0</v>
      </c>
      <c r="I211" s="103">
        <f>SUMIF('Raw Data - Packing'!A:A,A211,'Raw Data - Packing'!D:D)</f>
        <v>0</v>
      </c>
      <c r="J211" s="15">
        <f>SUMIF('Raw Data - Packing'!A:A,A211,'Raw Data - Packing'!F:F)</f>
        <v>0</v>
      </c>
      <c r="K211" s="20"/>
      <c r="Q211" s="135">
        <f t="shared" si="14"/>
        <v>0</v>
      </c>
    </row>
    <row r="212" spans="3:17" x14ac:dyDescent="0.3">
      <c r="C212" s="6" t="str">
        <f t="shared" si="13"/>
        <v>January</v>
      </c>
      <c r="E212" s="14">
        <f>+'Raw Data - Production'!D213+'Raw Data - Production'!E213</f>
        <v>0</v>
      </c>
      <c r="F212" s="15">
        <f>+'Raw Data - Production'!F213+'Raw Data - Production'!G213+'Raw Data - Production'!H213</f>
        <v>0</v>
      </c>
      <c r="G212" s="16">
        <f>+'Raw Data - Production'!J213+'Raw Data - Production'!K213+'Raw Data - Packing'!I213</f>
        <v>0</v>
      </c>
      <c r="H212" s="15">
        <f>+'Raw Data - Production'!L213+'Raw Data - Production'!M213+'Raw Data - Production'!N213+'Raw Data - Packing'!L213</f>
        <v>0</v>
      </c>
      <c r="I212" s="103">
        <f>SUMIF('Raw Data - Packing'!A:A,A212,'Raw Data - Packing'!D:D)</f>
        <v>0</v>
      </c>
      <c r="J212" s="15">
        <f>SUMIF('Raw Data - Packing'!A:A,A212,'Raw Data - Packing'!F:F)</f>
        <v>0</v>
      </c>
      <c r="K212" s="20"/>
      <c r="Q212" s="135">
        <f t="shared" si="14"/>
        <v>0</v>
      </c>
    </row>
    <row r="213" spans="3:17" x14ac:dyDescent="0.3">
      <c r="C213" s="6" t="str">
        <f t="shared" si="13"/>
        <v>January</v>
      </c>
      <c r="E213" s="14">
        <f>+'Raw Data - Production'!D214+'Raw Data - Production'!E214</f>
        <v>0</v>
      </c>
      <c r="F213" s="15">
        <f>+'Raw Data - Production'!F214+'Raw Data - Production'!G214+'Raw Data - Production'!H214</f>
        <v>0</v>
      </c>
      <c r="G213" s="16">
        <f>+'Raw Data - Production'!J214+'Raw Data - Production'!K214+'Raw Data - Packing'!I214</f>
        <v>0</v>
      </c>
      <c r="H213" s="15">
        <f>+'Raw Data - Production'!L214+'Raw Data - Production'!M214+'Raw Data - Production'!N214+'Raw Data - Packing'!L214</f>
        <v>0</v>
      </c>
      <c r="I213" s="103">
        <f>SUMIF('Raw Data - Packing'!A:A,A213,'Raw Data - Packing'!D:D)</f>
        <v>0</v>
      </c>
      <c r="J213" s="15">
        <f>SUMIF('Raw Data - Packing'!A:A,A213,'Raw Data - Packing'!F:F)</f>
        <v>0</v>
      </c>
      <c r="K213" s="20"/>
      <c r="Q213" s="135">
        <f t="shared" si="14"/>
        <v>0</v>
      </c>
    </row>
    <row r="214" spans="3:17" x14ac:dyDescent="0.3">
      <c r="C214" s="6" t="str">
        <f t="shared" si="13"/>
        <v>January</v>
      </c>
      <c r="E214" s="14">
        <f>+'Raw Data - Production'!D215+'Raw Data - Production'!E215</f>
        <v>0</v>
      </c>
      <c r="F214" s="15">
        <f>+'Raw Data - Production'!F215+'Raw Data - Production'!G215+'Raw Data - Production'!H215</f>
        <v>0</v>
      </c>
      <c r="G214" s="16">
        <f>+'Raw Data - Production'!J215+'Raw Data - Production'!K215+'Raw Data - Packing'!I215</f>
        <v>0</v>
      </c>
      <c r="H214" s="15">
        <f>+'Raw Data - Production'!L215+'Raw Data - Production'!M215+'Raw Data - Production'!N215+'Raw Data - Packing'!L215</f>
        <v>0</v>
      </c>
      <c r="I214" s="103">
        <f>SUMIF('Raw Data - Packing'!A:A,A214,'Raw Data - Packing'!D:D)</f>
        <v>0</v>
      </c>
      <c r="J214" s="15">
        <f>SUMIF('Raw Data - Packing'!A:A,A214,'Raw Data - Packing'!F:F)</f>
        <v>0</v>
      </c>
      <c r="K214" s="20"/>
      <c r="Q214" s="135">
        <f t="shared" si="14"/>
        <v>0</v>
      </c>
    </row>
    <row r="215" spans="3:17" x14ac:dyDescent="0.3">
      <c r="C215" s="6" t="str">
        <f t="shared" si="13"/>
        <v>January</v>
      </c>
      <c r="E215" s="14">
        <f>+'Raw Data - Production'!D216+'Raw Data - Production'!E216</f>
        <v>0</v>
      </c>
      <c r="F215" s="15">
        <f>+'Raw Data - Production'!F216+'Raw Data - Production'!G216+'Raw Data - Production'!H216</f>
        <v>0</v>
      </c>
      <c r="G215" s="16">
        <f>+'Raw Data - Production'!J216+'Raw Data - Production'!K216+'Raw Data - Packing'!I216</f>
        <v>0</v>
      </c>
      <c r="H215" s="15">
        <f>+'Raw Data - Production'!L216+'Raw Data - Production'!M216+'Raw Data - Production'!N216+'Raw Data - Packing'!L216</f>
        <v>0</v>
      </c>
      <c r="I215" s="103">
        <f>SUMIF('Raw Data - Packing'!A:A,A215,'Raw Data - Packing'!D:D)</f>
        <v>0</v>
      </c>
      <c r="J215" s="15">
        <f>SUMIF('Raw Data - Packing'!A:A,A215,'Raw Data - Packing'!F:F)</f>
        <v>0</v>
      </c>
      <c r="K215" s="20"/>
      <c r="Q215" s="135">
        <f t="shared" si="14"/>
        <v>0</v>
      </c>
    </row>
    <row r="216" spans="3:17" x14ac:dyDescent="0.3">
      <c r="C216" s="6" t="str">
        <f t="shared" si="13"/>
        <v>January</v>
      </c>
      <c r="E216" s="14">
        <f>+'Raw Data - Production'!D217+'Raw Data - Production'!E217</f>
        <v>0</v>
      </c>
      <c r="F216" s="15">
        <f>+'Raw Data - Production'!F217+'Raw Data - Production'!G217+'Raw Data - Production'!H217</f>
        <v>0</v>
      </c>
      <c r="G216" s="16">
        <f>+'Raw Data - Production'!J217+'Raw Data - Production'!K217+'Raw Data - Packing'!I217</f>
        <v>0</v>
      </c>
      <c r="H216" s="15">
        <f>+'Raw Data - Production'!L217+'Raw Data - Production'!M217+'Raw Data - Production'!N217+'Raw Data - Packing'!L217</f>
        <v>0</v>
      </c>
      <c r="I216" s="103">
        <f>SUMIF('Raw Data - Packing'!A:A,A216,'Raw Data - Packing'!D:D)</f>
        <v>0</v>
      </c>
      <c r="J216" s="15">
        <f>SUMIF('Raw Data - Packing'!A:A,A216,'Raw Data - Packing'!F:F)</f>
        <v>0</v>
      </c>
      <c r="K216" s="20"/>
      <c r="Q216" s="135">
        <f t="shared" si="14"/>
        <v>0</v>
      </c>
    </row>
    <row r="217" spans="3:17" x14ac:dyDescent="0.3">
      <c r="C217" s="6" t="str">
        <f t="shared" si="13"/>
        <v>January</v>
      </c>
      <c r="E217" s="14">
        <f>+'Raw Data - Production'!D218+'Raw Data - Production'!E218</f>
        <v>0</v>
      </c>
      <c r="F217" s="15">
        <f>+'Raw Data - Production'!F218+'Raw Data - Production'!G218+'Raw Data - Production'!H218</f>
        <v>0</v>
      </c>
      <c r="G217" s="16">
        <f>+'Raw Data - Production'!J218+'Raw Data - Production'!K218+'Raw Data - Packing'!I218</f>
        <v>0</v>
      </c>
      <c r="H217" s="15">
        <f>+'Raw Data - Production'!L218+'Raw Data - Production'!M218+'Raw Data - Production'!N218+'Raw Data - Packing'!L218</f>
        <v>0</v>
      </c>
      <c r="I217" s="103">
        <f>SUMIF('Raw Data - Packing'!A:A,A217,'Raw Data - Packing'!D:D)</f>
        <v>0</v>
      </c>
      <c r="J217" s="15">
        <f>SUMIF('Raw Data - Packing'!A:A,A217,'Raw Data - Packing'!F:F)</f>
        <v>0</v>
      </c>
      <c r="K217" s="20"/>
      <c r="Q217" s="135">
        <f t="shared" si="14"/>
        <v>0</v>
      </c>
    </row>
    <row r="218" spans="3:17" x14ac:dyDescent="0.3">
      <c r="C218" s="6" t="str">
        <f t="shared" si="13"/>
        <v>January</v>
      </c>
      <c r="E218" s="14">
        <f>+'Raw Data - Production'!D219+'Raw Data - Production'!E219</f>
        <v>0</v>
      </c>
      <c r="F218" s="15">
        <f>+'Raw Data - Production'!F219+'Raw Data - Production'!G219+'Raw Data - Production'!H219</f>
        <v>0</v>
      </c>
      <c r="G218" s="16">
        <f>+'Raw Data - Production'!J219+'Raw Data - Production'!K219+'Raw Data - Packing'!I219</f>
        <v>0</v>
      </c>
      <c r="H218" s="15">
        <f>+'Raw Data - Production'!L219+'Raw Data - Production'!M219+'Raw Data - Production'!N219+'Raw Data - Packing'!L219</f>
        <v>0</v>
      </c>
      <c r="I218" s="103">
        <f>SUMIF('Raw Data - Packing'!A:A,A218,'Raw Data - Packing'!D:D)</f>
        <v>0</v>
      </c>
      <c r="J218" s="15">
        <f>SUMIF('Raw Data - Packing'!A:A,A218,'Raw Data - Packing'!F:F)</f>
        <v>0</v>
      </c>
      <c r="K218" s="20"/>
      <c r="Q218" s="135">
        <f t="shared" si="14"/>
        <v>0</v>
      </c>
    </row>
    <row r="219" spans="3:17" x14ac:dyDescent="0.3">
      <c r="C219" s="6" t="str">
        <f t="shared" si="13"/>
        <v>January</v>
      </c>
      <c r="E219" s="14">
        <f>+'Raw Data - Production'!D220+'Raw Data - Production'!E220</f>
        <v>0</v>
      </c>
      <c r="F219" s="15">
        <f>+'Raw Data - Production'!F220+'Raw Data - Production'!G220+'Raw Data - Production'!H220</f>
        <v>0</v>
      </c>
      <c r="G219" s="16">
        <f>+'Raw Data - Production'!J220+'Raw Data - Production'!K220+'Raw Data - Packing'!I220</f>
        <v>0</v>
      </c>
      <c r="H219" s="15">
        <f>+'Raw Data - Production'!L220+'Raw Data - Production'!M220+'Raw Data - Production'!N220+'Raw Data - Packing'!L220</f>
        <v>0</v>
      </c>
      <c r="I219" s="103">
        <f>SUMIF('Raw Data - Packing'!A:A,A219,'Raw Data - Packing'!D:D)</f>
        <v>0</v>
      </c>
      <c r="J219" s="15">
        <f>SUMIF('Raw Data - Packing'!A:A,A219,'Raw Data - Packing'!F:F)</f>
        <v>0</v>
      </c>
      <c r="K219" s="20"/>
      <c r="Q219" s="135">
        <f t="shared" si="14"/>
        <v>0</v>
      </c>
    </row>
    <row r="220" spans="3:17" x14ac:dyDescent="0.3">
      <c r="C220" s="6" t="str">
        <f t="shared" si="13"/>
        <v>January</v>
      </c>
      <c r="E220" s="14">
        <f>+'Raw Data - Production'!D221+'Raw Data - Production'!E221</f>
        <v>0</v>
      </c>
      <c r="F220" s="15">
        <f>+'Raw Data - Production'!F221+'Raw Data - Production'!G221+'Raw Data - Production'!H221</f>
        <v>0</v>
      </c>
      <c r="G220" s="16">
        <f>+'Raw Data - Production'!J221+'Raw Data - Production'!K221+'Raw Data - Packing'!I221</f>
        <v>0</v>
      </c>
      <c r="H220" s="15">
        <f>+'Raw Data - Production'!L221+'Raw Data - Production'!M221+'Raw Data - Production'!N221+'Raw Data - Packing'!L221</f>
        <v>0</v>
      </c>
      <c r="I220" s="103">
        <f>SUMIF('Raw Data - Packing'!A:A,A220,'Raw Data - Packing'!D:D)</f>
        <v>0</v>
      </c>
      <c r="J220" s="15">
        <f>SUMIF('Raw Data - Packing'!A:A,A220,'Raw Data - Packing'!F:F)</f>
        <v>0</v>
      </c>
      <c r="K220" s="20"/>
      <c r="Q220" s="135">
        <f t="shared" si="14"/>
        <v>0</v>
      </c>
    </row>
    <row r="221" spans="3:17" x14ac:dyDescent="0.3">
      <c r="C221" s="6" t="str">
        <f t="shared" si="13"/>
        <v>January</v>
      </c>
      <c r="E221" s="14">
        <f>+'Raw Data - Production'!D222+'Raw Data - Production'!E222</f>
        <v>0</v>
      </c>
      <c r="F221" s="15">
        <f>+'Raw Data - Production'!F222+'Raw Data - Production'!G222+'Raw Data - Production'!H222</f>
        <v>0</v>
      </c>
      <c r="G221" s="16">
        <f>+'Raw Data - Production'!J222+'Raw Data - Production'!K222+'Raw Data - Packing'!I222</f>
        <v>0</v>
      </c>
      <c r="H221" s="15">
        <f>+'Raw Data - Production'!L222+'Raw Data - Production'!M222+'Raw Data - Production'!N222+'Raw Data - Packing'!L222</f>
        <v>0</v>
      </c>
      <c r="I221" s="103">
        <f>SUMIF('Raw Data - Packing'!A:A,A221,'Raw Data - Packing'!D:D)</f>
        <v>0</v>
      </c>
      <c r="J221" s="15">
        <f>SUMIF('Raw Data - Packing'!A:A,A221,'Raw Data - Packing'!F:F)</f>
        <v>0</v>
      </c>
      <c r="K221" s="20"/>
      <c r="Q221" s="135">
        <f t="shared" si="14"/>
        <v>0</v>
      </c>
    </row>
    <row r="222" spans="3:17" x14ac:dyDescent="0.3">
      <c r="C222" s="6" t="str">
        <f t="shared" si="13"/>
        <v>January</v>
      </c>
      <c r="E222" s="14">
        <f>+'Raw Data - Production'!D223+'Raw Data - Production'!E223</f>
        <v>0</v>
      </c>
      <c r="F222" s="15">
        <f>+'Raw Data - Production'!F223+'Raw Data - Production'!G223+'Raw Data - Production'!H223</f>
        <v>0</v>
      </c>
      <c r="G222" s="16">
        <f>+'Raw Data - Production'!J223+'Raw Data - Production'!K223+'Raw Data - Packing'!I223</f>
        <v>0</v>
      </c>
      <c r="H222" s="15">
        <f>+'Raw Data - Production'!L223+'Raw Data - Production'!M223+'Raw Data - Production'!N223+'Raw Data - Packing'!L223</f>
        <v>0</v>
      </c>
      <c r="I222" s="103">
        <f>SUMIF('Raw Data - Packing'!A:A,A222,'Raw Data - Packing'!D:D)</f>
        <v>0</v>
      </c>
      <c r="J222" s="15">
        <f>SUMIF('Raw Data - Packing'!A:A,A222,'Raw Data - Packing'!F:F)</f>
        <v>0</v>
      </c>
      <c r="K222" s="20"/>
      <c r="Q222" s="135">
        <f t="shared" si="14"/>
        <v>0</v>
      </c>
    </row>
    <row r="223" spans="3:17" x14ac:dyDescent="0.3">
      <c r="C223" s="6" t="str">
        <f t="shared" si="13"/>
        <v>January</v>
      </c>
      <c r="E223" s="14">
        <f>+'Raw Data - Production'!D224+'Raw Data - Production'!E224</f>
        <v>0</v>
      </c>
      <c r="F223" s="15">
        <f>+'Raw Data - Production'!F224+'Raw Data - Production'!G224+'Raw Data - Production'!H224</f>
        <v>0</v>
      </c>
      <c r="G223" s="16">
        <f>+'Raw Data - Production'!J224+'Raw Data - Production'!K224+'Raw Data - Packing'!I224</f>
        <v>0</v>
      </c>
      <c r="H223" s="15">
        <f>+'Raw Data - Production'!L224+'Raw Data - Production'!M224+'Raw Data - Production'!N224+'Raw Data - Packing'!L224</f>
        <v>0</v>
      </c>
      <c r="I223" s="103">
        <f>SUMIF('Raw Data - Packing'!A:A,A223,'Raw Data - Packing'!D:D)</f>
        <v>0</v>
      </c>
      <c r="J223" s="15">
        <f>SUMIF('Raw Data - Packing'!A:A,A223,'Raw Data - Packing'!F:F)</f>
        <v>0</v>
      </c>
      <c r="K223" s="20"/>
      <c r="Q223" s="135">
        <f t="shared" si="14"/>
        <v>0</v>
      </c>
    </row>
    <row r="224" spans="3:17" x14ac:dyDescent="0.3">
      <c r="C224" s="6" t="str">
        <f t="shared" si="13"/>
        <v>January</v>
      </c>
      <c r="E224" s="14">
        <f>+'Raw Data - Production'!D225+'Raw Data - Production'!E225</f>
        <v>0</v>
      </c>
      <c r="F224" s="15">
        <f>+'Raw Data - Production'!F225+'Raw Data - Production'!G225+'Raw Data - Production'!H225</f>
        <v>0</v>
      </c>
      <c r="G224" s="16">
        <f>+'Raw Data - Production'!J225+'Raw Data - Production'!K225+'Raw Data - Packing'!I225</f>
        <v>0</v>
      </c>
      <c r="H224" s="15">
        <f>+'Raw Data - Production'!L225+'Raw Data - Production'!M225+'Raw Data - Production'!N225+'Raw Data - Packing'!L225</f>
        <v>0</v>
      </c>
      <c r="I224" s="103">
        <f>SUMIF('Raw Data - Packing'!A:A,A224,'Raw Data - Packing'!D:D)</f>
        <v>0</v>
      </c>
      <c r="J224" s="15">
        <f>SUMIF('Raw Data - Packing'!A:A,A224,'Raw Data - Packing'!F:F)</f>
        <v>0</v>
      </c>
      <c r="K224" s="20"/>
      <c r="Q224" s="135">
        <f t="shared" si="14"/>
        <v>0</v>
      </c>
    </row>
    <row r="225" spans="3:17" x14ac:dyDescent="0.3">
      <c r="C225" s="6" t="str">
        <f t="shared" si="13"/>
        <v>January</v>
      </c>
      <c r="E225" s="14">
        <f>+'Raw Data - Production'!D226+'Raw Data - Production'!E226</f>
        <v>0</v>
      </c>
      <c r="F225" s="15">
        <f>+'Raw Data - Production'!F226+'Raw Data - Production'!G226+'Raw Data - Production'!H226</f>
        <v>0</v>
      </c>
      <c r="G225" s="16">
        <f>+'Raw Data - Production'!J226+'Raw Data - Production'!K226+'Raw Data - Packing'!I226</f>
        <v>0</v>
      </c>
      <c r="H225" s="15">
        <f>+'Raw Data - Production'!L226+'Raw Data - Production'!M226+'Raw Data - Production'!N226+'Raw Data - Packing'!L226</f>
        <v>0</v>
      </c>
      <c r="I225" s="103">
        <f>SUMIF('Raw Data - Packing'!A:A,A225,'Raw Data - Packing'!D:D)</f>
        <v>0</v>
      </c>
      <c r="J225" s="15">
        <f>SUMIF('Raw Data - Packing'!A:A,A225,'Raw Data - Packing'!F:F)</f>
        <v>0</v>
      </c>
      <c r="K225" s="20"/>
      <c r="Q225" s="135">
        <f t="shared" si="14"/>
        <v>0</v>
      </c>
    </row>
    <row r="226" spans="3:17" x14ac:dyDescent="0.3">
      <c r="C226" s="6" t="str">
        <f t="shared" si="13"/>
        <v>January</v>
      </c>
      <c r="E226" s="14">
        <f>+'Raw Data - Production'!D227+'Raw Data - Production'!E227</f>
        <v>0</v>
      </c>
      <c r="F226" s="15">
        <f>+'Raw Data - Production'!F227+'Raw Data - Production'!G227+'Raw Data - Production'!H227</f>
        <v>0</v>
      </c>
      <c r="G226" s="16">
        <f>+'Raw Data - Production'!J227+'Raw Data - Production'!K227+'Raw Data - Packing'!I227</f>
        <v>0</v>
      </c>
      <c r="H226" s="15">
        <f>+'Raw Data - Production'!L227+'Raw Data - Production'!M227+'Raw Data - Production'!N227+'Raw Data - Packing'!L227</f>
        <v>0</v>
      </c>
      <c r="I226" s="103">
        <f>SUMIF('Raw Data - Packing'!A:A,A226,'Raw Data - Packing'!D:D)</f>
        <v>0</v>
      </c>
      <c r="J226" s="15">
        <f>SUMIF('Raw Data - Packing'!A:A,A226,'Raw Data - Packing'!F:F)</f>
        <v>0</v>
      </c>
      <c r="K226" s="20"/>
      <c r="Q226" s="135">
        <f t="shared" si="14"/>
        <v>0</v>
      </c>
    </row>
    <row r="227" spans="3:17" x14ac:dyDescent="0.3">
      <c r="C227" s="6" t="str">
        <f t="shared" si="13"/>
        <v>January</v>
      </c>
      <c r="E227" s="14">
        <f>+'Raw Data - Production'!D228+'Raw Data - Production'!E228</f>
        <v>0</v>
      </c>
      <c r="F227" s="15">
        <f>+'Raw Data - Production'!F228+'Raw Data - Production'!G228+'Raw Data - Production'!H228</f>
        <v>0</v>
      </c>
      <c r="G227" s="16">
        <f>+'Raw Data - Production'!J228+'Raw Data - Production'!K228+'Raw Data - Packing'!I228</f>
        <v>0</v>
      </c>
      <c r="H227" s="15">
        <f>+'Raw Data - Production'!L228+'Raw Data - Production'!M228+'Raw Data - Production'!N228+'Raw Data - Packing'!L228</f>
        <v>0</v>
      </c>
      <c r="I227" s="103">
        <f>SUMIF('Raw Data - Packing'!A:A,A227,'Raw Data - Packing'!D:D)</f>
        <v>0</v>
      </c>
      <c r="J227" s="15">
        <f>SUMIF('Raw Data - Packing'!A:A,A227,'Raw Data - Packing'!F:F)</f>
        <v>0</v>
      </c>
      <c r="K227" s="20"/>
      <c r="Q227" s="135">
        <f t="shared" si="14"/>
        <v>0</v>
      </c>
    </row>
    <row r="228" spans="3:17" x14ac:dyDescent="0.3">
      <c r="C228" s="6" t="str">
        <f t="shared" si="13"/>
        <v>January</v>
      </c>
      <c r="E228" s="14">
        <f>+'Raw Data - Production'!D229+'Raw Data - Production'!E229</f>
        <v>0</v>
      </c>
      <c r="F228" s="15">
        <f>+'Raw Data - Production'!F229+'Raw Data - Production'!G229+'Raw Data - Production'!H229</f>
        <v>0</v>
      </c>
      <c r="G228" s="16">
        <f>+'Raw Data - Production'!J229+'Raw Data - Production'!K229+'Raw Data - Packing'!I229</f>
        <v>0</v>
      </c>
      <c r="H228" s="15">
        <f>+'Raw Data - Production'!L229+'Raw Data - Production'!M229+'Raw Data - Production'!N229+'Raw Data - Packing'!L229</f>
        <v>0</v>
      </c>
      <c r="I228" s="103">
        <f>SUMIF('Raw Data - Packing'!A:A,A228,'Raw Data - Packing'!D:D)</f>
        <v>0</v>
      </c>
      <c r="J228" s="15">
        <f>SUMIF('Raw Data - Packing'!A:A,A228,'Raw Data - Packing'!F:F)</f>
        <v>0</v>
      </c>
      <c r="K228" s="20"/>
      <c r="Q228" s="135">
        <f t="shared" si="14"/>
        <v>0</v>
      </c>
    </row>
    <row r="229" spans="3:17" x14ac:dyDescent="0.3">
      <c r="C229" s="6" t="str">
        <f t="shared" si="13"/>
        <v>January</v>
      </c>
      <c r="E229" s="14">
        <f>+'Raw Data - Production'!D230+'Raw Data - Production'!E230</f>
        <v>0</v>
      </c>
      <c r="F229" s="15">
        <f>+'Raw Data - Production'!F230+'Raw Data - Production'!G230+'Raw Data - Production'!H230</f>
        <v>0</v>
      </c>
      <c r="G229" s="16">
        <f>+'Raw Data - Production'!J230+'Raw Data - Production'!K230+'Raw Data - Packing'!I230</f>
        <v>0</v>
      </c>
      <c r="H229" s="15">
        <f>+'Raw Data - Production'!L230+'Raw Data - Production'!M230+'Raw Data - Production'!N230+'Raw Data - Packing'!L230</f>
        <v>0</v>
      </c>
      <c r="I229" s="103">
        <f>SUMIF('Raw Data - Packing'!A:A,A229,'Raw Data - Packing'!D:D)</f>
        <v>0</v>
      </c>
      <c r="J229" s="15">
        <f>SUMIF('Raw Data - Packing'!A:A,A229,'Raw Data - Packing'!F:F)</f>
        <v>0</v>
      </c>
      <c r="K229" s="20"/>
      <c r="Q229" s="135">
        <f t="shared" si="14"/>
        <v>0</v>
      </c>
    </row>
    <row r="230" spans="3:17" x14ac:dyDescent="0.3">
      <c r="C230" s="6" t="str">
        <f t="shared" si="13"/>
        <v>January</v>
      </c>
      <c r="E230" s="14">
        <f>+'Raw Data - Production'!D231+'Raw Data - Production'!E231</f>
        <v>0</v>
      </c>
      <c r="F230" s="15">
        <f>+'Raw Data - Production'!F231+'Raw Data - Production'!G231+'Raw Data - Production'!H231</f>
        <v>0</v>
      </c>
      <c r="G230" s="16">
        <f>+'Raw Data - Production'!J231+'Raw Data - Production'!K231+'Raw Data - Packing'!I231</f>
        <v>0</v>
      </c>
      <c r="H230" s="15">
        <f>+'Raw Data - Production'!L231+'Raw Data - Production'!M231+'Raw Data - Production'!N231+'Raw Data - Packing'!L231</f>
        <v>0</v>
      </c>
      <c r="I230" s="103">
        <f>SUMIF('Raw Data - Packing'!A:A,A230,'Raw Data - Packing'!D:D)</f>
        <v>0</v>
      </c>
      <c r="J230" s="15">
        <f>SUMIF('Raw Data - Packing'!A:A,A230,'Raw Data - Packing'!F:F)</f>
        <v>0</v>
      </c>
      <c r="K230" s="20"/>
      <c r="Q230" s="135">
        <f t="shared" si="14"/>
        <v>0</v>
      </c>
    </row>
    <row r="231" spans="3:17" x14ac:dyDescent="0.3">
      <c r="C231" s="6" t="str">
        <f t="shared" si="13"/>
        <v>January</v>
      </c>
      <c r="E231" s="14">
        <f>+'Raw Data - Production'!D232+'Raw Data - Production'!E232</f>
        <v>0</v>
      </c>
      <c r="F231" s="15">
        <f>+'Raw Data - Production'!F232+'Raw Data - Production'!G232+'Raw Data - Production'!H232</f>
        <v>0</v>
      </c>
      <c r="G231" s="16">
        <f>+'Raw Data - Production'!J232+'Raw Data - Production'!K232+'Raw Data - Packing'!I232</f>
        <v>0</v>
      </c>
      <c r="H231" s="15">
        <f>+'Raw Data - Production'!L232+'Raw Data - Production'!M232+'Raw Data - Production'!N232+'Raw Data - Packing'!L232</f>
        <v>0</v>
      </c>
      <c r="I231" s="103">
        <f>SUMIF('Raw Data - Packing'!A:A,A231,'Raw Data - Packing'!D:D)</f>
        <v>0</v>
      </c>
      <c r="J231" s="15">
        <f>SUMIF('Raw Data - Packing'!A:A,A231,'Raw Data - Packing'!F:F)</f>
        <v>0</v>
      </c>
      <c r="K231" s="20"/>
      <c r="Q231" s="135">
        <f t="shared" si="14"/>
        <v>0</v>
      </c>
    </row>
    <row r="232" spans="3:17" x14ac:dyDescent="0.3">
      <c r="C232" s="6" t="str">
        <f t="shared" si="13"/>
        <v>January</v>
      </c>
      <c r="E232" s="14">
        <f>+'Raw Data - Production'!D233+'Raw Data - Production'!E233</f>
        <v>0</v>
      </c>
      <c r="F232" s="15">
        <f>+'Raw Data - Production'!F233+'Raw Data - Production'!G233+'Raw Data - Production'!H233</f>
        <v>0</v>
      </c>
      <c r="G232" s="16">
        <f>+'Raw Data - Production'!J233+'Raw Data - Production'!K233+'Raw Data - Packing'!I233</f>
        <v>0</v>
      </c>
      <c r="H232" s="15">
        <f>+'Raw Data - Production'!L233+'Raw Data - Production'!M233+'Raw Data - Production'!N233+'Raw Data - Packing'!L233</f>
        <v>0</v>
      </c>
      <c r="I232" s="103">
        <f>SUMIF('Raw Data - Packing'!A:A,A232,'Raw Data - Packing'!D:D)</f>
        <v>0</v>
      </c>
      <c r="J232" s="15">
        <f>SUMIF('Raw Data - Packing'!A:A,A232,'Raw Data - Packing'!F:F)</f>
        <v>0</v>
      </c>
      <c r="K232" s="20"/>
      <c r="Q232" s="135">
        <f t="shared" si="14"/>
        <v>0</v>
      </c>
    </row>
    <row r="233" spans="3:17" x14ac:dyDescent="0.3">
      <c r="C233" s="6" t="str">
        <f t="shared" si="13"/>
        <v>January</v>
      </c>
      <c r="E233" s="14">
        <f>+'Raw Data - Production'!D234+'Raw Data - Production'!E234</f>
        <v>0</v>
      </c>
      <c r="F233" s="15">
        <f>+'Raw Data - Production'!F234+'Raw Data - Production'!G234+'Raw Data - Production'!H234</f>
        <v>0</v>
      </c>
      <c r="G233" s="16">
        <f>+'Raw Data - Production'!J234+'Raw Data - Production'!K234+'Raw Data - Packing'!I234</f>
        <v>0</v>
      </c>
      <c r="H233" s="15">
        <f>+'Raw Data - Production'!L234+'Raw Data - Production'!M234+'Raw Data - Production'!N234+'Raw Data - Packing'!L234</f>
        <v>0</v>
      </c>
      <c r="I233" s="103">
        <f>SUMIF('Raw Data - Packing'!A:A,A233,'Raw Data - Packing'!D:D)</f>
        <v>0</v>
      </c>
      <c r="J233" s="15">
        <f>SUMIF('Raw Data - Packing'!A:A,A233,'Raw Data - Packing'!F:F)</f>
        <v>0</v>
      </c>
      <c r="K233" s="20"/>
      <c r="Q233" s="135">
        <f t="shared" si="14"/>
        <v>0</v>
      </c>
    </row>
    <row r="234" spans="3:17" x14ac:dyDescent="0.3">
      <c r="C234" s="6" t="str">
        <f t="shared" si="13"/>
        <v>January</v>
      </c>
      <c r="E234" s="14">
        <f>+'Raw Data - Production'!D235+'Raw Data - Production'!E235</f>
        <v>0</v>
      </c>
      <c r="F234" s="15">
        <f>+'Raw Data - Production'!F235+'Raw Data - Production'!G235+'Raw Data - Production'!H235</f>
        <v>0</v>
      </c>
      <c r="G234" s="16">
        <f>+'Raw Data - Production'!J235+'Raw Data - Production'!K235+'Raw Data - Packing'!I235</f>
        <v>0</v>
      </c>
      <c r="H234" s="15">
        <f>+'Raw Data - Production'!L235+'Raw Data - Production'!M235+'Raw Data - Production'!N235+'Raw Data - Packing'!L235</f>
        <v>0</v>
      </c>
      <c r="I234" s="103">
        <f>SUMIF('Raw Data - Packing'!A:A,A234,'Raw Data - Packing'!D:D)</f>
        <v>0</v>
      </c>
      <c r="J234" s="15">
        <f>SUMIF('Raw Data - Packing'!A:A,A234,'Raw Data - Packing'!F:F)</f>
        <v>0</v>
      </c>
      <c r="K234" s="20"/>
      <c r="Q234" s="135">
        <f t="shared" si="14"/>
        <v>0</v>
      </c>
    </row>
    <row r="235" spans="3:17" x14ac:dyDescent="0.3">
      <c r="C235" s="6" t="str">
        <f t="shared" si="13"/>
        <v>January</v>
      </c>
      <c r="E235" s="14">
        <f>+'Raw Data - Production'!D236+'Raw Data - Production'!E236</f>
        <v>0</v>
      </c>
      <c r="F235" s="15">
        <f>+'Raw Data - Production'!F236+'Raw Data - Production'!G236+'Raw Data - Production'!H236</f>
        <v>0</v>
      </c>
      <c r="G235" s="16">
        <f>+'Raw Data - Production'!J236+'Raw Data - Production'!K236+'Raw Data - Packing'!I236</f>
        <v>0</v>
      </c>
      <c r="H235" s="15">
        <f>+'Raw Data - Production'!L236+'Raw Data - Production'!M236+'Raw Data - Production'!N236+'Raw Data - Packing'!L236</f>
        <v>0</v>
      </c>
      <c r="I235" s="103">
        <f>SUMIF('Raw Data - Packing'!A:A,A235,'Raw Data - Packing'!D:D)</f>
        <v>0</v>
      </c>
      <c r="J235" s="15">
        <f>SUMIF('Raw Data - Packing'!A:A,A235,'Raw Data - Packing'!F:F)</f>
        <v>0</v>
      </c>
      <c r="K235" s="20"/>
      <c r="Q235" s="135">
        <f t="shared" si="14"/>
        <v>0</v>
      </c>
    </row>
    <row r="236" spans="3:17" x14ac:dyDescent="0.3">
      <c r="C236" s="6" t="str">
        <f t="shared" si="13"/>
        <v>January</v>
      </c>
      <c r="E236" s="14">
        <f>+'Raw Data - Production'!D237+'Raw Data - Production'!E237</f>
        <v>0</v>
      </c>
      <c r="F236" s="15">
        <f>+'Raw Data - Production'!F237+'Raw Data - Production'!G237+'Raw Data - Production'!H237</f>
        <v>0</v>
      </c>
      <c r="G236" s="16">
        <f>+'Raw Data - Production'!J237+'Raw Data - Production'!K237+'Raw Data - Packing'!I237</f>
        <v>0</v>
      </c>
      <c r="H236" s="15">
        <f>+'Raw Data - Production'!L237+'Raw Data - Production'!M237+'Raw Data - Production'!N237+'Raw Data - Packing'!L237</f>
        <v>0</v>
      </c>
      <c r="I236" s="103">
        <f>SUMIF('Raw Data - Packing'!A:A,A236,'Raw Data - Packing'!D:D)</f>
        <v>0</v>
      </c>
      <c r="J236" s="15">
        <f>SUMIF('Raw Data - Packing'!A:A,A236,'Raw Data - Packing'!F:F)</f>
        <v>0</v>
      </c>
      <c r="K236" s="20"/>
      <c r="Q236" s="135">
        <f t="shared" si="14"/>
        <v>0</v>
      </c>
    </row>
    <row r="237" spans="3:17" x14ac:dyDescent="0.3">
      <c r="C237" s="6" t="str">
        <f t="shared" si="13"/>
        <v>January</v>
      </c>
      <c r="E237" s="14">
        <f>+'Raw Data - Production'!D238+'Raw Data - Production'!E238</f>
        <v>0</v>
      </c>
      <c r="F237" s="15">
        <f>+'Raw Data - Production'!F238+'Raw Data - Production'!G238+'Raw Data - Production'!H238</f>
        <v>0</v>
      </c>
      <c r="G237" s="16">
        <f>+'Raw Data - Production'!J238+'Raw Data - Production'!K238+'Raw Data - Packing'!I238</f>
        <v>0</v>
      </c>
      <c r="H237" s="15">
        <f>+'Raw Data - Production'!L238+'Raw Data - Production'!M238+'Raw Data - Production'!N238+'Raw Data - Packing'!L238</f>
        <v>0</v>
      </c>
      <c r="I237" s="103">
        <f>SUMIF('Raw Data - Packing'!A:A,A237,'Raw Data - Packing'!D:D)</f>
        <v>0</v>
      </c>
      <c r="J237" s="15">
        <f>SUMIF('Raw Data - Packing'!A:A,A237,'Raw Data - Packing'!F:F)</f>
        <v>0</v>
      </c>
      <c r="K237" s="20"/>
      <c r="Q237" s="135">
        <f t="shared" si="14"/>
        <v>0</v>
      </c>
    </row>
    <row r="238" spans="3:17" x14ac:dyDescent="0.3">
      <c r="C238" s="6" t="str">
        <f t="shared" si="13"/>
        <v>January</v>
      </c>
      <c r="E238" s="14">
        <f>+'Raw Data - Production'!D239+'Raw Data - Production'!E239</f>
        <v>0</v>
      </c>
      <c r="F238" s="15">
        <f>+'Raw Data - Production'!F239+'Raw Data - Production'!G239+'Raw Data - Production'!H239</f>
        <v>0</v>
      </c>
      <c r="G238" s="16">
        <f>+'Raw Data - Production'!J239+'Raw Data - Production'!K239+'Raw Data - Packing'!I239</f>
        <v>0</v>
      </c>
      <c r="H238" s="15">
        <f>+'Raw Data - Production'!L239+'Raw Data - Production'!M239+'Raw Data - Production'!N239+'Raw Data - Packing'!L239</f>
        <v>0</v>
      </c>
      <c r="I238" s="103">
        <f>SUMIF('Raw Data - Packing'!A:A,A238,'Raw Data - Packing'!D:D)</f>
        <v>0</v>
      </c>
      <c r="J238" s="15">
        <f>SUMIF('Raw Data - Packing'!A:A,A238,'Raw Data - Packing'!F:F)</f>
        <v>0</v>
      </c>
      <c r="K238" s="20"/>
      <c r="Q238" s="135">
        <f t="shared" si="14"/>
        <v>0</v>
      </c>
    </row>
    <row r="239" spans="3:17" x14ac:dyDescent="0.3">
      <c r="C239" s="6" t="str">
        <f t="shared" si="13"/>
        <v>January</v>
      </c>
      <c r="E239" s="14">
        <f>+'Raw Data - Production'!D240+'Raw Data - Production'!E240</f>
        <v>0</v>
      </c>
      <c r="F239" s="15">
        <f>+'Raw Data - Production'!F240+'Raw Data - Production'!G240+'Raw Data - Production'!H240</f>
        <v>0</v>
      </c>
      <c r="G239" s="16">
        <f>+'Raw Data - Production'!J240+'Raw Data - Production'!K240+'Raw Data - Packing'!I240</f>
        <v>0</v>
      </c>
      <c r="H239" s="15">
        <f>+'Raw Data - Production'!L240+'Raw Data - Production'!M240+'Raw Data - Production'!N240+'Raw Data - Packing'!L240</f>
        <v>0</v>
      </c>
      <c r="I239" s="103">
        <f>SUMIF('Raw Data - Packing'!A:A,A239,'Raw Data - Packing'!D:D)</f>
        <v>0</v>
      </c>
      <c r="J239" s="15">
        <f>SUMIF('Raw Data - Packing'!A:A,A239,'Raw Data - Packing'!F:F)</f>
        <v>0</v>
      </c>
      <c r="K239" s="20"/>
      <c r="Q239" s="135">
        <f t="shared" si="14"/>
        <v>0</v>
      </c>
    </row>
    <row r="240" spans="3:17" x14ac:dyDescent="0.3">
      <c r="C240" s="6" t="str">
        <f t="shared" si="13"/>
        <v>January</v>
      </c>
      <c r="E240" s="14">
        <f>+'Raw Data - Production'!D241+'Raw Data - Production'!E241</f>
        <v>0</v>
      </c>
      <c r="F240" s="15">
        <f>+'Raw Data - Production'!F241+'Raw Data - Production'!G241+'Raw Data - Production'!H241</f>
        <v>0</v>
      </c>
      <c r="G240" s="16">
        <f>+'Raw Data - Production'!J241+'Raw Data - Production'!K241+'Raw Data - Packing'!I241</f>
        <v>0</v>
      </c>
      <c r="H240" s="15">
        <f>+'Raw Data - Production'!L241+'Raw Data - Production'!M241+'Raw Data - Production'!N241+'Raw Data - Packing'!L241</f>
        <v>0</v>
      </c>
      <c r="I240" s="103">
        <f>SUMIF('Raw Data - Packing'!A:A,A240,'Raw Data - Packing'!D:D)</f>
        <v>0</v>
      </c>
      <c r="J240" s="15">
        <f>SUMIF('Raw Data - Packing'!A:A,A240,'Raw Data - Packing'!F:F)</f>
        <v>0</v>
      </c>
      <c r="K240" s="20"/>
      <c r="Q240" s="135">
        <f t="shared" si="14"/>
        <v>0</v>
      </c>
    </row>
    <row r="241" spans="3:17" x14ac:dyDescent="0.3">
      <c r="C241" s="6" t="str">
        <f t="shared" si="13"/>
        <v>January</v>
      </c>
      <c r="E241" s="14">
        <f>+'Raw Data - Production'!D242+'Raw Data - Production'!E242</f>
        <v>0</v>
      </c>
      <c r="F241" s="15">
        <f>+'Raw Data - Production'!F242+'Raw Data - Production'!G242+'Raw Data - Production'!H242</f>
        <v>0</v>
      </c>
      <c r="G241" s="16">
        <f>+'Raw Data - Production'!J242+'Raw Data - Production'!K242+'Raw Data - Packing'!I242</f>
        <v>0</v>
      </c>
      <c r="H241" s="15">
        <f>+'Raw Data - Production'!L242+'Raw Data - Production'!M242+'Raw Data - Production'!N242+'Raw Data - Packing'!L242</f>
        <v>0</v>
      </c>
      <c r="I241" s="103">
        <f>SUMIF('Raw Data - Packing'!A:A,A241,'Raw Data - Packing'!D:D)</f>
        <v>0</v>
      </c>
      <c r="J241" s="15">
        <f>SUMIF('Raw Data - Packing'!A:A,A241,'Raw Data - Packing'!F:F)</f>
        <v>0</v>
      </c>
      <c r="K241" s="20"/>
      <c r="Q241" s="135">
        <f t="shared" si="14"/>
        <v>0</v>
      </c>
    </row>
    <row r="242" spans="3:17" x14ac:dyDescent="0.3">
      <c r="C242" s="6" t="str">
        <f t="shared" si="13"/>
        <v>January</v>
      </c>
      <c r="E242" s="14">
        <f>+'Raw Data - Production'!D243+'Raw Data - Production'!E243</f>
        <v>0</v>
      </c>
      <c r="F242" s="15">
        <f>+'Raw Data - Production'!F243+'Raw Data - Production'!G243+'Raw Data - Production'!H243</f>
        <v>0</v>
      </c>
      <c r="G242" s="16">
        <f>+'Raw Data - Production'!J243+'Raw Data - Production'!K243+'Raw Data - Packing'!I243</f>
        <v>0</v>
      </c>
      <c r="H242" s="15">
        <f>+'Raw Data - Production'!L243+'Raw Data - Production'!M243+'Raw Data - Production'!N243+'Raw Data - Packing'!L243</f>
        <v>0</v>
      </c>
      <c r="I242" s="103">
        <f>SUMIF('Raw Data - Packing'!A:A,A242,'Raw Data - Packing'!D:D)</f>
        <v>0</v>
      </c>
      <c r="J242" s="15">
        <f>SUMIF('Raw Data - Packing'!A:A,A242,'Raw Data - Packing'!F:F)</f>
        <v>0</v>
      </c>
      <c r="K242" s="20"/>
      <c r="Q242" s="135">
        <f t="shared" si="14"/>
        <v>0</v>
      </c>
    </row>
    <row r="243" spans="3:17" x14ac:dyDescent="0.3">
      <c r="C243" s="6" t="str">
        <f t="shared" si="13"/>
        <v>January</v>
      </c>
      <c r="E243" s="14">
        <f>+'Raw Data - Production'!D244+'Raw Data - Production'!E244</f>
        <v>0</v>
      </c>
      <c r="F243" s="15">
        <f>+'Raw Data - Production'!F244+'Raw Data - Production'!G244+'Raw Data - Production'!H244</f>
        <v>0</v>
      </c>
      <c r="G243" s="16">
        <f>+'Raw Data - Production'!J244+'Raw Data - Production'!K244+'Raw Data - Packing'!I244</f>
        <v>0</v>
      </c>
      <c r="H243" s="15">
        <f>+'Raw Data - Production'!L244+'Raw Data - Production'!M244+'Raw Data - Production'!N244+'Raw Data - Packing'!L244</f>
        <v>0</v>
      </c>
      <c r="I243" s="103">
        <f>SUMIF('Raw Data - Packing'!A:A,A243,'Raw Data - Packing'!D:D)</f>
        <v>0</v>
      </c>
      <c r="J243" s="15">
        <f>SUMIF('Raw Data - Packing'!A:A,A243,'Raw Data - Packing'!F:F)</f>
        <v>0</v>
      </c>
      <c r="K243" s="20"/>
      <c r="Q243" s="135">
        <f t="shared" si="14"/>
        <v>0</v>
      </c>
    </row>
    <row r="244" spans="3:17" x14ac:dyDescent="0.3">
      <c r="C244" s="6" t="str">
        <f t="shared" si="13"/>
        <v>January</v>
      </c>
      <c r="E244" s="14">
        <f>+'Raw Data - Production'!D245+'Raw Data - Production'!E245</f>
        <v>0</v>
      </c>
      <c r="F244" s="15">
        <f>+'Raw Data - Production'!F245+'Raw Data - Production'!G245+'Raw Data - Production'!H245</f>
        <v>0</v>
      </c>
      <c r="G244" s="16">
        <f>+'Raw Data - Production'!J245+'Raw Data - Production'!K245+'Raw Data - Packing'!I245</f>
        <v>0</v>
      </c>
      <c r="H244" s="15">
        <f>+'Raw Data - Production'!L245+'Raw Data - Production'!M245+'Raw Data - Production'!N245+'Raw Data - Packing'!L245</f>
        <v>0</v>
      </c>
      <c r="I244" s="103">
        <f>SUMIF('Raw Data - Packing'!A:A,A244,'Raw Data - Packing'!D:D)</f>
        <v>0</v>
      </c>
      <c r="J244" s="15">
        <f>SUMIF('Raw Data - Packing'!A:A,A244,'Raw Data - Packing'!F:F)</f>
        <v>0</v>
      </c>
      <c r="K244" s="20"/>
      <c r="Q244" s="135">
        <f t="shared" si="14"/>
        <v>0</v>
      </c>
    </row>
    <row r="245" spans="3:17" x14ac:dyDescent="0.3">
      <c r="C245" s="6" t="str">
        <f t="shared" si="13"/>
        <v>January</v>
      </c>
      <c r="E245" s="14">
        <f>+'Raw Data - Production'!D246+'Raw Data - Production'!E246</f>
        <v>0</v>
      </c>
      <c r="F245" s="15">
        <f>+'Raw Data - Production'!F246+'Raw Data - Production'!G246+'Raw Data - Production'!H246</f>
        <v>0</v>
      </c>
      <c r="G245" s="16">
        <f>+'Raw Data - Production'!J246+'Raw Data - Production'!K246+'Raw Data - Packing'!I246</f>
        <v>0</v>
      </c>
      <c r="H245" s="15">
        <f>+'Raw Data - Production'!L246+'Raw Data - Production'!M246+'Raw Data - Production'!N246+'Raw Data - Packing'!L246</f>
        <v>0</v>
      </c>
      <c r="I245" s="103">
        <f>SUMIF('Raw Data - Packing'!A:A,A245,'Raw Data - Packing'!D:D)</f>
        <v>0</v>
      </c>
      <c r="J245" s="15">
        <f>SUMIF('Raw Data - Packing'!A:A,A245,'Raw Data - Packing'!F:F)</f>
        <v>0</v>
      </c>
      <c r="K245" s="20"/>
      <c r="Q245" s="135">
        <f t="shared" si="14"/>
        <v>0</v>
      </c>
    </row>
    <row r="246" spans="3:17" x14ac:dyDescent="0.3">
      <c r="C246" s="6" t="str">
        <f t="shared" si="13"/>
        <v>January</v>
      </c>
      <c r="E246" s="14">
        <f>+'Raw Data - Production'!D247+'Raw Data - Production'!E247</f>
        <v>0</v>
      </c>
      <c r="F246" s="15">
        <f>+'Raw Data - Production'!F247+'Raw Data - Production'!G247+'Raw Data - Production'!H247</f>
        <v>0</v>
      </c>
      <c r="G246" s="16">
        <f>+'Raw Data - Production'!J247+'Raw Data - Production'!K247+'Raw Data - Packing'!I247</f>
        <v>0</v>
      </c>
      <c r="H246" s="15">
        <f>+'Raw Data - Production'!L247+'Raw Data - Production'!M247+'Raw Data - Production'!N247+'Raw Data - Packing'!L247</f>
        <v>0</v>
      </c>
      <c r="I246" s="103">
        <f>SUMIF('Raw Data - Packing'!A:A,A246,'Raw Data - Packing'!D:D)</f>
        <v>0</v>
      </c>
      <c r="J246" s="15">
        <f>SUMIF('Raw Data - Packing'!A:A,A246,'Raw Data - Packing'!F:F)</f>
        <v>0</v>
      </c>
      <c r="K246" s="20"/>
      <c r="Q246" s="135">
        <f t="shared" si="14"/>
        <v>0</v>
      </c>
    </row>
    <row r="247" spans="3:17" x14ac:dyDescent="0.3">
      <c r="C247" s="6" t="str">
        <f t="shared" si="13"/>
        <v>January</v>
      </c>
      <c r="E247" s="14">
        <f>+'Raw Data - Production'!D247+'Raw Data - Production'!E247</f>
        <v>0</v>
      </c>
      <c r="F247" s="15">
        <f>+'Raw Data - Production'!G247+'Raw Data - Production'!F247+'Raw Data - Production'!H247</f>
        <v>0</v>
      </c>
      <c r="G247" s="16">
        <f>+'Raw Data - Production'!J248+'Raw Data - Production'!K248+'Raw Data - Packing'!I248</f>
        <v>0</v>
      </c>
      <c r="H247" s="15">
        <f>+'Raw Data - Production'!L248+'Raw Data - Production'!M248+'Raw Data - Production'!N248+'Raw Data - Packing'!L248</f>
        <v>0</v>
      </c>
      <c r="I247" s="103">
        <f>SUMIF('Raw Data - Packing'!A:A,A247,'Raw Data - Packing'!D:D)</f>
        <v>0</v>
      </c>
      <c r="J247" s="15">
        <f>SUMIF('Raw Data - Packing'!A:A,A247,'Raw Data - Packing'!F:F)</f>
        <v>0</v>
      </c>
      <c r="K247" s="20"/>
      <c r="Q247" s="135">
        <f t="shared" si="14"/>
        <v>0</v>
      </c>
    </row>
    <row r="248" spans="3:17" x14ac:dyDescent="0.3">
      <c r="C248" s="6" t="str">
        <f t="shared" si="13"/>
        <v>January</v>
      </c>
      <c r="E248" s="14">
        <f>+'Raw Data - Production'!D248+'Raw Data - Production'!E248</f>
        <v>0</v>
      </c>
      <c r="F248" s="15">
        <f>+'Raw Data - Production'!G248+'Raw Data - Production'!F248+'Raw Data - Production'!H248</f>
        <v>0</v>
      </c>
      <c r="G248" s="16">
        <f>+'Raw Data - Production'!J249+'Raw Data - Production'!K249+'Raw Data - Packing'!I249</f>
        <v>0</v>
      </c>
      <c r="H248" s="15">
        <f>+'Raw Data - Production'!L249+'Raw Data - Production'!M249+'Raw Data - Production'!N249+'Raw Data - Packing'!L249</f>
        <v>0</v>
      </c>
      <c r="I248" s="103">
        <f>SUMIF('Raw Data - Packing'!A:A,A248,'Raw Data - Packing'!D:D)</f>
        <v>0</v>
      </c>
      <c r="J248" s="15">
        <f>SUMIF('Raw Data - Packing'!A:A,A248,'Raw Data - Packing'!F:F)</f>
        <v>0</v>
      </c>
      <c r="K248" s="20"/>
      <c r="Q248" s="135">
        <f t="shared" si="14"/>
        <v>0</v>
      </c>
    </row>
    <row r="249" spans="3:17" x14ac:dyDescent="0.3">
      <c r="C249" s="6" t="str">
        <f t="shared" si="13"/>
        <v>January</v>
      </c>
      <c r="E249" s="14">
        <f>+'Raw Data - Production'!D249+'Raw Data - Production'!E249</f>
        <v>0</v>
      </c>
      <c r="F249" s="15">
        <f>+'Raw Data - Production'!G249+'Raw Data - Production'!F249+'Raw Data - Production'!H249</f>
        <v>0</v>
      </c>
      <c r="G249" s="16">
        <f>+'Raw Data - Production'!J250+'Raw Data - Production'!K250+'Raw Data - Packing'!I250</f>
        <v>0</v>
      </c>
      <c r="H249" s="15">
        <f>+'Raw Data - Production'!L250+'Raw Data - Production'!M250+'Raw Data - Production'!N250+'Raw Data - Packing'!L250</f>
        <v>0</v>
      </c>
      <c r="I249" s="103">
        <f>SUMIF('Raw Data - Packing'!A:A,A249,'Raw Data - Packing'!D:D)</f>
        <v>0</v>
      </c>
      <c r="J249" s="15">
        <f>SUMIF('Raw Data - Packing'!A:A,A249,'Raw Data - Packing'!F:F)</f>
        <v>0</v>
      </c>
      <c r="K249" s="20"/>
      <c r="Q249" s="135">
        <f t="shared" si="14"/>
        <v>0</v>
      </c>
    </row>
    <row r="250" spans="3:17" x14ac:dyDescent="0.3">
      <c r="C250" s="6" t="str">
        <f t="shared" si="13"/>
        <v>January</v>
      </c>
      <c r="E250" s="14">
        <f>+'Raw Data - Production'!D250+'Raw Data - Production'!E250</f>
        <v>0</v>
      </c>
      <c r="F250" s="15">
        <f>+'Raw Data - Production'!G250+'Raw Data - Production'!F250+'Raw Data - Production'!H250</f>
        <v>0</v>
      </c>
      <c r="G250" s="16">
        <f>+'Raw Data - Production'!J251+'Raw Data - Production'!K251+'Raw Data - Packing'!I251</f>
        <v>0</v>
      </c>
      <c r="H250" s="15">
        <f>+'Raw Data - Production'!L251+'Raw Data - Production'!M251+'Raw Data - Production'!N251+'Raw Data - Packing'!L251</f>
        <v>0</v>
      </c>
      <c r="I250" s="103">
        <f>SUMIF('Raw Data - Packing'!A:A,A250,'Raw Data - Packing'!D:D)</f>
        <v>0</v>
      </c>
      <c r="J250" s="15">
        <f>SUMIF('Raw Data - Packing'!A:A,A250,'Raw Data - Packing'!F:F)</f>
        <v>0</v>
      </c>
      <c r="K250" s="20"/>
      <c r="Q250" s="135">
        <f t="shared" si="14"/>
        <v>0</v>
      </c>
    </row>
    <row r="251" spans="3:17" x14ac:dyDescent="0.3">
      <c r="C251" s="6" t="str">
        <f t="shared" si="13"/>
        <v>January</v>
      </c>
      <c r="E251" s="14">
        <f>+'Raw Data - Production'!D251+'Raw Data - Production'!E251</f>
        <v>0</v>
      </c>
      <c r="F251" s="15">
        <f>+'Raw Data - Production'!G251+'Raw Data - Production'!F251+'Raw Data - Production'!H251</f>
        <v>0</v>
      </c>
      <c r="G251" s="16">
        <f>+'Raw Data - Production'!J252+'Raw Data - Production'!K252+'Raw Data - Packing'!I252</f>
        <v>0</v>
      </c>
      <c r="H251" s="15">
        <f>+'Raw Data - Production'!L252+'Raw Data - Production'!M252+'Raw Data - Production'!N252+'Raw Data - Packing'!L252</f>
        <v>0</v>
      </c>
      <c r="I251" s="103">
        <f>SUMIF('Raw Data - Packing'!A:A,A251,'Raw Data - Packing'!D:D)</f>
        <v>0</v>
      </c>
      <c r="J251" s="15">
        <f>SUMIF('Raw Data - Packing'!A:A,A251,'Raw Data - Packing'!F:F)</f>
        <v>0</v>
      </c>
      <c r="K251" s="20"/>
      <c r="Q251" s="135">
        <f t="shared" si="14"/>
        <v>0</v>
      </c>
    </row>
    <row r="252" spans="3:17" x14ac:dyDescent="0.3">
      <c r="C252" s="6" t="str">
        <f t="shared" si="13"/>
        <v>January</v>
      </c>
      <c r="E252" s="14">
        <f>+'Raw Data - Production'!D252+'Raw Data - Production'!E252</f>
        <v>0</v>
      </c>
      <c r="F252" s="15">
        <f>+'Raw Data - Production'!G252+'Raw Data - Production'!F252+'Raw Data - Production'!H252</f>
        <v>0</v>
      </c>
      <c r="G252" s="16">
        <f>+'Raw Data - Production'!J253+'Raw Data - Production'!K253+'Raw Data - Packing'!I253</f>
        <v>0</v>
      </c>
      <c r="H252" s="15">
        <f>+'Raw Data - Production'!L253+'Raw Data - Production'!M253+'Raw Data - Production'!N253+'Raw Data - Packing'!L253</f>
        <v>0</v>
      </c>
      <c r="I252" s="103">
        <f>SUMIF('Raw Data - Packing'!A:A,A252,'Raw Data - Packing'!D:D)</f>
        <v>0</v>
      </c>
      <c r="J252" s="15">
        <f>SUMIF('Raw Data - Packing'!A:A,A252,'Raw Data - Packing'!F:F)</f>
        <v>0</v>
      </c>
      <c r="K252" s="20"/>
      <c r="Q252" s="135">
        <f t="shared" si="14"/>
        <v>0</v>
      </c>
    </row>
    <row r="253" spans="3:17" x14ac:dyDescent="0.3">
      <c r="C253" s="6" t="str">
        <f t="shared" si="13"/>
        <v>January</v>
      </c>
      <c r="E253" s="14">
        <f>+'Raw Data - Production'!D253+'Raw Data - Production'!E253</f>
        <v>0</v>
      </c>
      <c r="F253" s="15">
        <f>+'Raw Data - Production'!G253+'Raw Data - Production'!F253+'Raw Data - Production'!H253</f>
        <v>0</v>
      </c>
      <c r="G253" s="16">
        <f>+'Raw Data - Production'!J254+'Raw Data - Production'!K254+'Raw Data - Packing'!I254</f>
        <v>0</v>
      </c>
      <c r="H253" s="15">
        <f>+'Raw Data - Production'!L254+'Raw Data - Production'!M254+'Raw Data - Production'!N254+'Raw Data - Packing'!L254</f>
        <v>0</v>
      </c>
      <c r="I253" s="103">
        <f>SUMIF('Raw Data - Packing'!A:A,A253,'Raw Data - Packing'!D:D)</f>
        <v>0</v>
      </c>
      <c r="J253" s="15">
        <f>SUMIF('Raw Data - Packing'!A:A,A253,'Raw Data - Packing'!F:F)</f>
        <v>0</v>
      </c>
      <c r="K253" s="20"/>
      <c r="Q253" s="135">
        <f t="shared" si="14"/>
        <v>0</v>
      </c>
    </row>
    <row r="254" spans="3:17" x14ac:dyDescent="0.3">
      <c r="C254" s="6" t="str">
        <f t="shared" si="13"/>
        <v>January</v>
      </c>
      <c r="E254" s="14">
        <f>+'Raw Data - Production'!D254+'Raw Data - Production'!E254</f>
        <v>0</v>
      </c>
      <c r="F254" s="15">
        <f>+'Raw Data - Production'!G254+'Raw Data - Production'!F254+'Raw Data - Production'!H254</f>
        <v>0</v>
      </c>
      <c r="G254" s="16">
        <f>+'Raw Data - Production'!J255+'Raw Data - Production'!K255+'Raw Data - Packing'!I255</f>
        <v>0</v>
      </c>
      <c r="H254" s="15">
        <f>+'Raw Data - Production'!L255+'Raw Data - Production'!M255+'Raw Data - Production'!N255+'Raw Data - Packing'!L255</f>
        <v>0</v>
      </c>
      <c r="I254" s="103">
        <f>SUMIF('Raw Data - Packing'!A:A,A254,'Raw Data - Packing'!D:D)</f>
        <v>0</v>
      </c>
      <c r="J254" s="15">
        <f>SUMIF('Raw Data - Packing'!A:A,A254,'Raw Data - Packing'!F:F)</f>
        <v>0</v>
      </c>
      <c r="K254" s="20"/>
      <c r="Q254" s="135">
        <f t="shared" si="14"/>
        <v>0</v>
      </c>
    </row>
    <row r="255" spans="3:17" x14ac:dyDescent="0.3">
      <c r="C255" s="6" t="str">
        <f t="shared" si="13"/>
        <v>January</v>
      </c>
      <c r="E255" s="14">
        <f>+'Raw Data - Production'!D255+'Raw Data - Production'!E255</f>
        <v>0</v>
      </c>
      <c r="F255" s="15">
        <f>+'Raw Data - Production'!G255+'Raw Data - Production'!F255+'Raw Data - Production'!H255</f>
        <v>0</v>
      </c>
      <c r="G255" s="16">
        <f>+'Raw Data - Production'!J256+'Raw Data - Production'!K256+'Raw Data - Packing'!I256</f>
        <v>0</v>
      </c>
      <c r="H255" s="15">
        <f>+'Raw Data - Production'!L256+'Raw Data - Production'!M256+'Raw Data - Production'!N256+'Raw Data - Packing'!L256</f>
        <v>0</v>
      </c>
      <c r="I255" s="103">
        <f>SUMIF('Raw Data - Packing'!A:A,A255,'Raw Data - Packing'!D:D)</f>
        <v>0</v>
      </c>
      <c r="J255" s="15">
        <f>SUMIF('Raw Data - Packing'!A:A,A255,'Raw Data - Packing'!F:F)</f>
        <v>0</v>
      </c>
      <c r="K255" s="20"/>
      <c r="Q255" s="135">
        <f t="shared" si="14"/>
        <v>0</v>
      </c>
    </row>
    <row r="256" spans="3:17" x14ac:dyDescent="0.3">
      <c r="C256" s="6" t="str">
        <f t="shared" si="13"/>
        <v>January</v>
      </c>
      <c r="E256" s="14">
        <f>+'Raw Data - Production'!D256+'Raw Data - Production'!E256</f>
        <v>0</v>
      </c>
      <c r="F256" s="15">
        <f>+'Raw Data - Production'!G256+'Raw Data - Production'!F256+'Raw Data - Production'!H256</f>
        <v>0</v>
      </c>
      <c r="G256" s="16">
        <f>+'Raw Data - Production'!J257+'Raw Data - Production'!K257+'Raw Data - Packing'!I257</f>
        <v>0</v>
      </c>
      <c r="H256" s="15">
        <f>+'Raw Data - Production'!L257+'Raw Data - Production'!M257+'Raw Data - Production'!N257+'Raw Data - Packing'!L257</f>
        <v>0</v>
      </c>
      <c r="I256" s="103">
        <f>SUMIF('Raw Data - Packing'!A:A,A256,'Raw Data - Packing'!D:D)</f>
        <v>0</v>
      </c>
      <c r="J256" s="15">
        <f>SUMIF('Raw Data - Packing'!A:A,A256,'Raw Data - Packing'!F:F)</f>
        <v>0</v>
      </c>
      <c r="K256" s="20"/>
      <c r="Q256" s="135">
        <f t="shared" si="14"/>
        <v>0</v>
      </c>
    </row>
    <row r="257" spans="3:17" x14ac:dyDescent="0.3">
      <c r="C257" s="6" t="str">
        <f t="shared" si="13"/>
        <v>January</v>
      </c>
      <c r="E257" s="14">
        <f>+'Raw Data - Production'!D257+'Raw Data - Production'!E257</f>
        <v>0</v>
      </c>
      <c r="F257" s="15">
        <f>+'Raw Data - Production'!G257+'Raw Data - Production'!F257+'Raw Data - Production'!H257</f>
        <v>0</v>
      </c>
      <c r="G257" s="16">
        <f>+'Raw Data - Production'!J258+'Raw Data - Production'!K258+'Raw Data - Packing'!I258</f>
        <v>0</v>
      </c>
      <c r="H257" s="15">
        <f>+'Raw Data - Production'!L258+'Raw Data - Production'!M258+'Raw Data - Production'!N258+'Raw Data - Packing'!L258</f>
        <v>0</v>
      </c>
      <c r="I257" s="103">
        <f>SUMIF('Raw Data - Packing'!A:A,A257,'Raw Data - Packing'!D:D)</f>
        <v>0</v>
      </c>
      <c r="J257" s="15">
        <f>SUMIF('Raw Data - Packing'!A:A,A257,'Raw Data - Packing'!F:F)</f>
        <v>0</v>
      </c>
      <c r="K257" s="20"/>
      <c r="Q257" s="135">
        <f t="shared" si="14"/>
        <v>0</v>
      </c>
    </row>
    <row r="258" spans="3:17" x14ac:dyDescent="0.3">
      <c r="C258" s="6" t="str">
        <f t="shared" si="13"/>
        <v>January</v>
      </c>
      <c r="E258" s="14">
        <f>+'Raw Data - Production'!D258+'Raw Data - Production'!E258</f>
        <v>0</v>
      </c>
      <c r="F258" s="15">
        <f>+'Raw Data - Production'!G258+'Raw Data - Production'!F258+'Raw Data - Production'!H258</f>
        <v>0</v>
      </c>
      <c r="G258" s="16">
        <f>+'Raw Data - Production'!J259+'Raw Data - Production'!K259+'Raw Data - Packing'!I259</f>
        <v>0</v>
      </c>
      <c r="H258" s="15">
        <f>+'Raw Data - Production'!L259+'Raw Data - Production'!M259+'Raw Data - Production'!N259+'Raw Data - Packing'!L259</f>
        <v>0</v>
      </c>
      <c r="I258" s="103">
        <f>SUMIF('Raw Data - Packing'!A:A,A258,'Raw Data - Packing'!D:D)</f>
        <v>0</v>
      </c>
      <c r="J258" s="15">
        <f>SUMIF('Raw Data - Packing'!A:A,A258,'Raw Data - Packing'!F:F)</f>
        <v>0</v>
      </c>
      <c r="K258" s="20"/>
      <c r="Q258" s="135">
        <f t="shared" si="14"/>
        <v>0</v>
      </c>
    </row>
  </sheetData>
  <autoFilter ref="A1:S258" xr:uid="{652CA3F2-20EC-44AB-8E20-8DE941664A60}"/>
  <pageMargins left="0.7" right="0.7" top="0.75" bottom="0.75" header="0.3" footer="0.3"/>
  <pageSetup paperSize="256" orientation="portrait" horizontalDpi="203" verticalDpi="203"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65893-0936-4659-9A1F-048E1250F79A}">
  <sheetPr>
    <tabColor rgb="FFFFFF00"/>
  </sheetPr>
  <dimension ref="A1:AA194"/>
  <sheetViews>
    <sheetView zoomScaleNormal="100" workbookViewId="0">
      <pane xSplit="1" ySplit="2" topLeftCell="D69" activePane="bottomRight" state="frozen"/>
      <selection pane="topRight" activeCell="B1" sqref="B1"/>
      <selection pane="bottomLeft" activeCell="A3" sqref="A3"/>
      <selection pane="bottomRight" activeCell="L82" sqref="L82"/>
    </sheetView>
  </sheetViews>
  <sheetFormatPr defaultRowHeight="14.4" x14ac:dyDescent="0.3"/>
  <cols>
    <col min="1" max="1" width="10.109375" bestFit="1" customWidth="1"/>
    <col min="2" max="2" width="7.109375" bestFit="1" customWidth="1"/>
    <col min="3" max="3" width="7.109375" customWidth="1"/>
    <col min="4" max="4" width="10.109375" style="11" bestFit="1" customWidth="1"/>
    <col min="5" max="5" width="7.5546875" style="11" bestFit="1" customWidth="1"/>
    <col min="6" max="6" width="8.88671875" style="11" bestFit="1" customWidth="1"/>
    <col min="7" max="7" width="9.33203125" style="11" bestFit="1" customWidth="1"/>
    <col min="8" max="8" width="8.88671875" style="11" bestFit="1" customWidth="1"/>
    <col min="9" max="9" width="2.88671875" style="11" customWidth="1"/>
    <col min="10" max="12" width="8.6640625" style="11"/>
    <col min="13" max="13" width="8.88671875" style="11" bestFit="1" customWidth="1"/>
    <col min="14" max="14" width="8.6640625" style="11"/>
    <col min="26" max="27" width="10.109375" style="11" bestFit="1" customWidth="1"/>
  </cols>
  <sheetData>
    <row r="1" spans="1:27" x14ac:dyDescent="0.3">
      <c r="D1" s="138" t="s">
        <v>53</v>
      </c>
      <c r="E1" s="138"/>
      <c r="F1" s="138"/>
      <c r="G1" s="138"/>
      <c r="H1" s="138"/>
      <c r="I1"/>
      <c r="J1" s="138" t="s">
        <v>54</v>
      </c>
      <c r="K1" s="138"/>
      <c r="L1" s="138"/>
      <c r="M1" s="138"/>
      <c r="N1" s="138"/>
      <c r="P1" s="138" t="s">
        <v>55</v>
      </c>
      <c r="Q1" s="138"/>
      <c r="R1" s="138"/>
      <c r="S1" s="138"/>
      <c r="T1" s="138"/>
      <c r="U1" s="138"/>
      <c r="V1" s="138"/>
      <c r="W1" s="138"/>
      <c r="X1" s="138"/>
      <c r="Z1" s="139" t="s">
        <v>56</v>
      </c>
      <c r="AA1" s="139"/>
    </row>
    <row r="2" spans="1:27" x14ac:dyDescent="0.3">
      <c r="A2" s="3" t="s">
        <v>39</v>
      </c>
      <c r="B2" s="3" t="s">
        <v>23</v>
      </c>
      <c r="C2" s="3" t="s">
        <v>0</v>
      </c>
      <c r="D2" s="3" t="s">
        <v>57</v>
      </c>
      <c r="E2" s="3" t="s">
        <v>58</v>
      </c>
      <c r="F2" s="3" t="s">
        <v>59</v>
      </c>
      <c r="G2" s="3" t="s">
        <v>60</v>
      </c>
      <c r="H2" s="3" t="s">
        <v>61</v>
      </c>
      <c r="I2"/>
      <c r="J2" s="3" t="s">
        <v>57</v>
      </c>
      <c r="K2" s="3" t="s">
        <v>58</v>
      </c>
      <c r="L2" s="3" t="s">
        <v>59</v>
      </c>
      <c r="M2" s="3" t="s">
        <v>60</v>
      </c>
      <c r="N2" s="3" t="s">
        <v>61</v>
      </c>
      <c r="P2" s="3" t="s">
        <v>57</v>
      </c>
      <c r="Q2" s="3" t="s">
        <v>58</v>
      </c>
      <c r="R2" s="3" t="s">
        <v>59</v>
      </c>
      <c r="S2" s="3" t="s">
        <v>60</v>
      </c>
      <c r="T2" s="3" t="s">
        <v>61</v>
      </c>
      <c r="U2" s="3" t="s">
        <v>62</v>
      </c>
      <c r="V2" s="3" t="s">
        <v>63</v>
      </c>
      <c r="W2" s="3" t="s">
        <v>64</v>
      </c>
      <c r="X2" s="3" t="s">
        <v>65</v>
      </c>
      <c r="Z2" s="17" t="s">
        <v>66</v>
      </c>
      <c r="AA2" s="17" t="s">
        <v>67</v>
      </c>
    </row>
    <row r="3" spans="1:27" x14ac:dyDescent="0.3">
      <c r="A3" s="2">
        <v>46111</v>
      </c>
      <c r="B3">
        <f t="shared" ref="B3:B30" si="0">+WEEKNUM(A3)</f>
        <v>14</v>
      </c>
      <c r="C3" t="str">
        <f>+TEXT(A3,"mmmm")</f>
        <v>March</v>
      </c>
      <c r="D3" s="11">
        <f>581*30</f>
        <v>17430</v>
      </c>
      <c r="E3" s="11">
        <f>+D3</f>
        <v>17430</v>
      </c>
      <c r="R3" s="11"/>
      <c r="S3" s="11"/>
      <c r="T3" s="3"/>
      <c r="U3" s="3"/>
      <c r="V3" s="3"/>
      <c r="W3" s="3"/>
      <c r="X3" s="3"/>
      <c r="Z3" s="11">
        <f>226800/4</f>
        <v>56700</v>
      </c>
      <c r="AA3" s="11">
        <v>0</v>
      </c>
    </row>
    <row r="4" spans="1:27" x14ac:dyDescent="0.3">
      <c r="A4" s="2">
        <v>46112</v>
      </c>
      <c r="B4">
        <f t="shared" si="0"/>
        <v>14</v>
      </c>
      <c r="C4" t="str">
        <f t="shared" ref="C4:C67" si="1">+TEXT(A4,"mmmm")</f>
        <v>March</v>
      </c>
      <c r="D4" s="11">
        <f>558*30</f>
        <v>16740</v>
      </c>
      <c r="E4" s="11">
        <f t="shared" ref="E4:E30" si="2">+D4</f>
        <v>16740</v>
      </c>
      <c r="R4" s="11"/>
      <c r="S4" s="11"/>
      <c r="T4" s="3"/>
      <c r="U4" s="3"/>
      <c r="V4" s="3"/>
      <c r="W4" s="3"/>
      <c r="X4" s="3"/>
      <c r="Z4" s="11">
        <f t="shared" ref="Z4:Z22" si="3">226800/4</f>
        <v>56700</v>
      </c>
      <c r="AA4" s="11">
        <v>0</v>
      </c>
    </row>
    <row r="5" spans="1:27" x14ac:dyDescent="0.3">
      <c r="A5" s="2">
        <v>46113</v>
      </c>
      <c r="B5">
        <f t="shared" si="0"/>
        <v>14</v>
      </c>
      <c r="C5" t="str">
        <f t="shared" si="1"/>
        <v>April</v>
      </c>
      <c r="D5" s="11">
        <f>877*30</f>
        <v>26310</v>
      </c>
      <c r="E5" s="11">
        <f t="shared" si="2"/>
        <v>26310</v>
      </c>
      <c r="R5" s="11"/>
      <c r="S5" s="11"/>
      <c r="T5" s="3"/>
      <c r="U5" s="3"/>
      <c r="V5" s="3"/>
      <c r="W5" s="3"/>
      <c r="X5" s="3"/>
      <c r="Z5" s="11">
        <f t="shared" si="3"/>
        <v>56700</v>
      </c>
      <c r="AA5" s="11">
        <v>0</v>
      </c>
    </row>
    <row r="6" spans="1:27" x14ac:dyDescent="0.3">
      <c r="A6" s="2">
        <v>46114</v>
      </c>
      <c r="B6">
        <f t="shared" si="0"/>
        <v>14</v>
      </c>
      <c r="C6" t="str">
        <f t="shared" si="1"/>
        <v>April</v>
      </c>
      <c r="D6" s="11">
        <f>568*30</f>
        <v>17040</v>
      </c>
      <c r="E6" s="11">
        <f t="shared" si="2"/>
        <v>17040</v>
      </c>
      <c r="R6" s="11"/>
      <c r="S6" s="11"/>
      <c r="T6" s="3"/>
      <c r="U6" s="3"/>
      <c r="V6" s="3"/>
      <c r="W6" s="3"/>
      <c r="X6" s="3"/>
      <c r="Z6" s="11">
        <f t="shared" si="3"/>
        <v>56700</v>
      </c>
      <c r="AA6" s="11">
        <v>0</v>
      </c>
    </row>
    <row r="7" spans="1:27" x14ac:dyDescent="0.3">
      <c r="A7" s="2">
        <v>46118</v>
      </c>
      <c r="B7">
        <f t="shared" si="0"/>
        <v>15</v>
      </c>
      <c r="C7" t="str">
        <f t="shared" si="1"/>
        <v>April</v>
      </c>
      <c r="D7" s="11">
        <f>537*30</f>
        <v>16110</v>
      </c>
      <c r="E7" s="11">
        <f t="shared" si="2"/>
        <v>16110</v>
      </c>
      <c r="R7" s="11"/>
      <c r="S7" s="11"/>
      <c r="T7" s="3"/>
      <c r="U7" s="3"/>
      <c r="V7" s="3"/>
      <c r="W7" s="3"/>
      <c r="X7" s="3"/>
      <c r="Z7" s="11">
        <f t="shared" si="3"/>
        <v>56700</v>
      </c>
      <c r="AA7" s="11">
        <f>181440/4</f>
        <v>45360</v>
      </c>
    </row>
    <row r="8" spans="1:27" x14ac:dyDescent="0.3">
      <c r="A8" s="2">
        <v>46119</v>
      </c>
      <c r="B8">
        <f t="shared" si="0"/>
        <v>15</v>
      </c>
      <c r="C8" t="str">
        <f t="shared" si="1"/>
        <v>April</v>
      </c>
      <c r="D8" s="11">
        <f>773*30</f>
        <v>23190</v>
      </c>
      <c r="E8" s="11">
        <f t="shared" si="2"/>
        <v>23190</v>
      </c>
      <c r="R8" s="11"/>
      <c r="S8" s="11"/>
      <c r="T8" s="3"/>
      <c r="U8" s="3"/>
      <c r="V8" s="3"/>
      <c r="W8" s="3"/>
      <c r="X8" s="3"/>
      <c r="Z8" s="11">
        <f t="shared" si="3"/>
        <v>56700</v>
      </c>
      <c r="AA8" s="11">
        <f t="shared" ref="AA8:AA22" si="4">181440/4</f>
        <v>45360</v>
      </c>
    </row>
    <row r="9" spans="1:27" x14ac:dyDescent="0.3">
      <c r="A9" s="2">
        <v>46120</v>
      </c>
      <c r="B9">
        <f t="shared" si="0"/>
        <v>15</v>
      </c>
      <c r="C9" t="str">
        <f t="shared" si="1"/>
        <v>April</v>
      </c>
      <c r="D9" s="11">
        <f>787*30</f>
        <v>23610</v>
      </c>
      <c r="E9" s="11">
        <f t="shared" si="2"/>
        <v>23610</v>
      </c>
      <c r="R9" s="11"/>
      <c r="S9" s="11"/>
      <c r="T9" s="3"/>
      <c r="U9" s="3"/>
      <c r="V9" s="3"/>
      <c r="W9" s="3"/>
      <c r="X9" s="3"/>
      <c r="Z9" s="11">
        <f t="shared" si="3"/>
        <v>56700</v>
      </c>
      <c r="AA9" s="11">
        <f t="shared" si="4"/>
        <v>45360</v>
      </c>
    </row>
    <row r="10" spans="1:27" x14ac:dyDescent="0.3">
      <c r="A10" s="2">
        <v>46121</v>
      </c>
      <c r="B10">
        <f t="shared" si="0"/>
        <v>15</v>
      </c>
      <c r="C10" t="str">
        <f t="shared" si="1"/>
        <v>April</v>
      </c>
      <c r="D10" s="11">
        <f>767*30</f>
        <v>23010</v>
      </c>
      <c r="E10" s="11">
        <f t="shared" si="2"/>
        <v>23010</v>
      </c>
      <c r="R10" s="11"/>
      <c r="S10" s="11"/>
      <c r="T10" s="3"/>
      <c r="U10" s="3"/>
      <c r="V10" s="3"/>
      <c r="W10" s="3"/>
      <c r="X10" s="3"/>
      <c r="Z10" s="11">
        <f t="shared" si="3"/>
        <v>56700</v>
      </c>
      <c r="AA10" s="11">
        <f t="shared" si="4"/>
        <v>45360</v>
      </c>
    </row>
    <row r="11" spans="1:27" x14ac:dyDescent="0.3">
      <c r="A11" s="2">
        <v>46125</v>
      </c>
      <c r="B11">
        <f t="shared" si="0"/>
        <v>16</v>
      </c>
      <c r="C11" t="str">
        <f t="shared" si="1"/>
        <v>April</v>
      </c>
      <c r="D11" s="11">
        <f>704*30</f>
        <v>21120</v>
      </c>
      <c r="E11" s="11">
        <f t="shared" si="2"/>
        <v>21120</v>
      </c>
      <c r="R11" s="11"/>
      <c r="S11" s="11"/>
      <c r="T11" s="3"/>
      <c r="U11" s="3"/>
      <c r="V11" s="3"/>
      <c r="W11" s="3"/>
      <c r="X11" s="3"/>
      <c r="Z11" s="11">
        <f t="shared" si="3"/>
        <v>56700</v>
      </c>
      <c r="AA11" s="11">
        <f t="shared" si="4"/>
        <v>45360</v>
      </c>
    </row>
    <row r="12" spans="1:27" x14ac:dyDescent="0.3">
      <c r="A12" s="2">
        <v>46126</v>
      </c>
      <c r="B12">
        <f t="shared" si="0"/>
        <v>16</v>
      </c>
      <c r="C12" t="str">
        <f t="shared" si="1"/>
        <v>April</v>
      </c>
      <c r="D12" s="11">
        <f>966*30</f>
        <v>28980</v>
      </c>
      <c r="E12" s="11">
        <f t="shared" si="2"/>
        <v>28980</v>
      </c>
      <c r="J12" s="11">
        <v>95</v>
      </c>
      <c r="K12" s="11">
        <v>95</v>
      </c>
      <c r="R12" s="11"/>
      <c r="S12" s="11"/>
      <c r="T12" s="3"/>
      <c r="U12" s="3"/>
      <c r="V12" s="3"/>
      <c r="W12" s="3"/>
      <c r="X12" s="3"/>
      <c r="Z12" s="11">
        <f t="shared" si="3"/>
        <v>56700</v>
      </c>
      <c r="AA12" s="11">
        <f t="shared" si="4"/>
        <v>45360</v>
      </c>
    </row>
    <row r="13" spans="1:27" x14ac:dyDescent="0.3">
      <c r="A13" s="2">
        <v>46127</v>
      </c>
      <c r="B13">
        <f t="shared" si="0"/>
        <v>16</v>
      </c>
      <c r="C13" t="str">
        <f t="shared" si="1"/>
        <v>April</v>
      </c>
      <c r="D13" s="11">
        <f>916*30</f>
        <v>27480</v>
      </c>
      <c r="E13" s="11">
        <f t="shared" si="2"/>
        <v>27480</v>
      </c>
      <c r="J13" s="11">
        <v>758</v>
      </c>
      <c r="K13" s="11">
        <v>758</v>
      </c>
      <c r="R13" s="11"/>
      <c r="S13" s="11"/>
      <c r="T13" s="3"/>
      <c r="U13" s="3"/>
      <c r="V13" s="3"/>
      <c r="W13" s="3"/>
      <c r="X13" s="3"/>
      <c r="Z13" s="11">
        <f t="shared" si="3"/>
        <v>56700</v>
      </c>
      <c r="AA13" s="11">
        <f t="shared" si="4"/>
        <v>45360</v>
      </c>
    </row>
    <row r="14" spans="1:27" x14ac:dyDescent="0.3">
      <c r="A14" s="2">
        <v>46128</v>
      </c>
      <c r="B14">
        <f t="shared" si="0"/>
        <v>16</v>
      </c>
      <c r="C14" t="str">
        <f t="shared" si="1"/>
        <v>April</v>
      </c>
      <c r="D14" s="11">
        <f>580*30</f>
        <v>17400</v>
      </c>
      <c r="E14" s="11">
        <f t="shared" si="2"/>
        <v>17400</v>
      </c>
      <c r="R14" s="11"/>
      <c r="S14" s="11"/>
      <c r="T14" s="3"/>
      <c r="U14" s="3"/>
      <c r="V14" s="3"/>
      <c r="W14" s="3"/>
      <c r="X14" s="3"/>
      <c r="Z14" s="11">
        <f t="shared" si="3"/>
        <v>56700</v>
      </c>
      <c r="AA14" s="11">
        <f t="shared" si="4"/>
        <v>45360</v>
      </c>
    </row>
    <row r="15" spans="1:27" x14ac:dyDescent="0.3">
      <c r="A15" s="2">
        <v>46132</v>
      </c>
      <c r="B15">
        <f t="shared" si="0"/>
        <v>17</v>
      </c>
      <c r="C15" t="str">
        <f t="shared" si="1"/>
        <v>April</v>
      </c>
      <c r="D15" s="11">
        <f>938*30</f>
        <v>28140</v>
      </c>
      <c r="E15" s="11">
        <f t="shared" si="2"/>
        <v>28140</v>
      </c>
      <c r="J15" s="11">
        <v>169</v>
      </c>
      <c r="K15" s="11">
        <f>+J15</f>
        <v>169</v>
      </c>
      <c r="R15" s="11"/>
      <c r="S15" s="11"/>
      <c r="T15" s="3"/>
      <c r="U15" s="3"/>
      <c r="V15" s="3"/>
      <c r="W15" s="3"/>
      <c r="X15" s="3"/>
      <c r="Z15" s="11">
        <f t="shared" si="3"/>
        <v>56700</v>
      </c>
      <c r="AA15" s="11">
        <f t="shared" si="4"/>
        <v>45360</v>
      </c>
    </row>
    <row r="16" spans="1:27" x14ac:dyDescent="0.3">
      <c r="A16" s="2">
        <v>46133</v>
      </c>
      <c r="B16">
        <f t="shared" si="0"/>
        <v>17</v>
      </c>
      <c r="C16" t="str">
        <f t="shared" si="1"/>
        <v>April</v>
      </c>
      <c r="D16" s="11">
        <f>878*30</f>
        <v>26340</v>
      </c>
      <c r="E16" s="11">
        <f t="shared" si="2"/>
        <v>26340</v>
      </c>
      <c r="J16" s="11">
        <v>89.5</v>
      </c>
      <c r="K16" s="11">
        <f>+J16</f>
        <v>89.5</v>
      </c>
      <c r="R16" s="11"/>
      <c r="S16" s="11"/>
      <c r="T16" s="3"/>
      <c r="U16" s="3"/>
      <c r="V16" s="3"/>
      <c r="W16" s="3"/>
      <c r="X16" s="3"/>
      <c r="Z16" s="11">
        <f t="shared" si="3"/>
        <v>56700</v>
      </c>
      <c r="AA16" s="11">
        <f t="shared" si="4"/>
        <v>45360</v>
      </c>
    </row>
    <row r="17" spans="1:27" x14ac:dyDescent="0.3">
      <c r="A17" s="2">
        <v>46134</v>
      </c>
      <c r="B17">
        <f t="shared" si="0"/>
        <v>17</v>
      </c>
      <c r="C17" t="str">
        <f t="shared" si="1"/>
        <v>April</v>
      </c>
      <c r="D17" s="11">
        <f>1128*30</f>
        <v>33840</v>
      </c>
      <c r="E17" s="11">
        <f t="shared" si="2"/>
        <v>33840</v>
      </c>
      <c r="J17" s="11">
        <v>154</v>
      </c>
      <c r="K17" s="11">
        <v>154</v>
      </c>
      <c r="R17" s="11"/>
      <c r="S17" s="11"/>
      <c r="T17" s="3"/>
      <c r="U17" s="3"/>
      <c r="V17" s="3"/>
      <c r="W17" s="3"/>
      <c r="X17" s="3"/>
      <c r="Z17" s="11">
        <f t="shared" si="3"/>
        <v>56700</v>
      </c>
      <c r="AA17" s="11">
        <f t="shared" si="4"/>
        <v>45360</v>
      </c>
    </row>
    <row r="18" spans="1:27" x14ac:dyDescent="0.3">
      <c r="A18" s="2">
        <v>46135</v>
      </c>
      <c r="B18">
        <f t="shared" si="0"/>
        <v>17</v>
      </c>
      <c r="C18" t="str">
        <f t="shared" si="1"/>
        <v>April</v>
      </c>
      <c r="D18" s="11">
        <f>1170*30</f>
        <v>35100</v>
      </c>
      <c r="E18" s="11">
        <f t="shared" si="2"/>
        <v>35100</v>
      </c>
      <c r="R18" s="11"/>
      <c r="S18" s="11"/>
      <c r="T18" s="3"/>
      <c r="U18" s="3"/>
      <c r="V18" s="3"/>
      <c r="W18" s="3"/>
      <c r="X18" s="3"/>
      <c r="Z18" s="11">
        <f t="shared" si="3"/>
        <v>56700</v>
      </c>
      <c r="AA18" s="11">
        <f t="shared" si="4"/>
        <v>45360</v>
      </c>
    </row>
    <row r="19" spans="1:27" x14ac:dyDescent="0.3">
      <c r="A19" s="2">
        <v>46139</v>
      </c>
      <c r="B19">
        <f t="shared" si="0"/>
        <v>18</v>
      </c>
      <c r="C19" t="str">
        <f t="shared" si="1"/>
        <v>April</v>
      </c>
      <c r="D19" s="11">
        <f>1108*30</f>
        <v>33240</v>
      </c>
      <c r="E19" s="11">
        <f t="shared" si="2"/>
        <v>33240</v>
      </c>
      <c r="J19" s="11">
        <v>163</v>
      </c>
      <c r="K19" s="11">
        <v>163</v>
      </c>
      <c r="R19" s="11"/>
      <c r="S19" s="11"/>
      <c r="T19" s="3"/>
      <c r="U19" s="3"/>
      <c r="V19" s="3"/>
      <c r="W19" s="3"/>
      <c r="X19" s="3"/>
      <c r="Z19" s="11">
        <f t="shared" si="3"/>
        <v>56700</v>
      </c>
      <c r="AA19" s="11">
        <f t="shared" si="4"/>
        <v>45360</v>
      </c>
    </row>
    <row r="20" spans="1:27" x14ac:dyDescent="0.3">
      <c r="A20" s="2">
        <v>46140</v>
      </c>
      <c r="B20">
        <f t="shared" si="0"/>
        <v>18</v>
      </c>
      <c r="C20" t="str">
        <f t="shared" si="1"/>
        <v>April</v>
      </c>
      <c r="D20" s="11">
        <f>1119*30</f>
        <v>33570</v>
      </c>
      <c r="E20" s="11">
        <f t="shared" si="2"/>
        <v>33570</v>
      </c>
      <c r="R20" s="11"/>
      <c r="S20" s="11"/>
      <c r="T20" s="3"/>
      <c r="U20" s="3"/>
      <c r="V20" s="3"/>
      <c r="W20" s="3"/>
      <c r="X20" s="3"/>
      <c r="Z20" s="11">
        <f t="shared" si="3"/>
        <v>56700</v>
      </c>
      <c r="AA20" s="11">
        <f t="shared" si="4"/>
        <v>45360</v>
      </c>
    </row>
    <row r="21" spans="1:27" x14ac:dyDescent="0.3">
      <c r="A21" s="2">
        <v>46141</v>
      </c>
      <c r="B21">
        <f t="shared" si="0"/>
        <v>18</v>
      </c>
      <c r="C21" t="str">
        <f t="shared" si="1"/>
        <v>April</v>
      </c>
      <c r="D21" s="11">
        <f>1266*30</f>
        <v>37980</v>
      </c>
      <c r="E21" s="11">
        <f t="shared" si="2"/>
        <v>37980</v>
      </c>
      <c r="J21" s="11">
        <f>538.5/2</f>
        <v>269.25</v>
      </c>
      <c r="K21" s="11">
        <f>+J21</f>
        <v>269.25</v>
      </c>
      <c r="R21" s="11"/>
      <c r="S21" s="11"/>
      <c r="T21" s="3"/>
      <c r="U21" s="3"/>
      <c r="V21" s="3"/>
      <c r="W21" s="3"/>
      <c r="X21" s="3"/>
      <c r="Z21" s="11">
        <f t="shared" si="3"/>
        <v>56700</v>
      </c>
      <c r="AA21" s="11">
        <f t="shared" si="4"/>
        <v>45360</v>
      </c>
    </row>
    <row r="22" spans="1:27" x14ac:dyDescent="0.3">
      <c r="A22" s="2">
        <v>46142</v>
      </c>
      <c r="B22">
        <f t="shared" si="0"/>
        <v>18</v>
      </c>
      <c r="C22" t="str">
        <f t="shared" si="1"/>
        <v>April</v>
      </c>
      <c r="D22" s="11">
        <f>1504.5*30</f>
        <v>45135</v>
      </c>
      <c r="E22" s="11">
        <f t="shared" si="2"/>
        <v>45135</v>
      </c>
      <c r="J22" s="11">
        <v>180</v>
      </c>
      <c r="K22" s="11">
        <v>180</v>
      </c>
      <c r="R22" s="11"/>
      <c r="S22" s="11"/>
      <c r="T22" s="3"/>
      <c r="U22" s="3"/>
      <c r="V22" s="3"/>
      <c r="W22" s="3"/>
      <c r="X22" s="3"/>
      <c r="Z22" s="11">
        <f t="shared" si="3"/>
        <v>56700</v>
      </c>
      <c r="AA22" s="11">
        <f t="shared" si="4"/>
        <v>45360</v>
      </c>
    </row>
    <row r="23" spans="1:27" x14ac:dyDescent="0.3">
      <c r="A23" s="2">
        <v>46146</v>
      </c>
      <c r="B23">
        <f t="shared" si="0"/>
        <v>19</v>
      </c>
      <c r="C23" t="str">
        <f t="shared" si="1"/>
        <v>May</v>
      </c>
      <c r="D23" s="11">
        <v>0</v>
      </c>
      <c r="E23" s="11">
        <f t="shared" si="2"/>
        <v>0</v>
      </c>
      <c r="J23" s="11">
        <v>491</v>
      </c>
      <c r="K23" s="11">
        <f>+J23</f>
        <v>491</v>
      </c>
      <c r="R23" s="11"/>
      <c r="S23" s="11"/>
      <c r="T23" s="3"/>
      <c r="U23" s="3"/>
      <c r="V23" s="3"/>
      <c r="W23" s="3"/>
      <c r="X23" s="3"/>
      <c r="Z23" s="11">
        <f>288000/4</f>
        <v>72000</v>
      </c>
      <c r="AA23" s="11">
        <f>33120/4</f>
        <v>8280</v>
      </c>
    </row>
    <row r="24" spans="1:27" x14ac:dyDescent="0.3">
      <c r="A24" s="2">
        <v>46147</v>
      </c>
      <c r="B24">
        <f t="shared" si="0"/>
        <v>19</v>
      </c>
      <c r="C24" t="str">
        <f t="shared" si="1"/>
        <v>May</v>
      </c>
      <c r="D24" s="11">
        <f>50400/2</f>
        <v>25200</v>
      </c>
      <c r="E24" s="11">
        <f t="shared" si="2"/>
        <v>25200</v>
      </c>
      <c r="J24" s="11">
        <v>140</v>
      </c>
      <c r="K24" s="11">
        <v>140</v>
      </c>
      <c r="R24" s="11"/>
      <c r="S24" s="11"/>
      <c r="T24" s="3"/>
      <c r="U24" s="3"/>
      <c r="V24" s="3"/>
      <c r="W24" s="3"/>
      <c r="X24" s="3"/>
      <c r="Z24" s="11">
        <f>288000/4</f>
        <v>72000</v>
      </c>
      <c r="AA24" s="11">
        <f>33120/4</f>
        <v>8280</v>
      </c>
    </row>
    <row r="25" spans="1:27" x14ac:dyDescent="0.3">
      <c r="A25" s="2">
        <v>46148</v>
      </c>
      <c r="B25">
        <f t="shared" si="0"/>
        <v>19</v>
      </c>
      <c r="C25" t="str">
        <f t="shared" si="1"/>
        <v>May</v>
      </c>
      <c r="D25" s="11">
        <f>72000/2</f>
        <v>36000</v>
      </c>
      <c r="E25" s="11">
        <f t="shared" si="2"/>
        <v>36000</v>
      </c>
      <c r="J25" s="11">
        <v>13</v>
      </c>
      <c r="K25" s="11">
        <v>13</v>
      </c>
      <c r="R25" s="11"/>
      <c r="S25" s="11"/>
      <c r="T25" s="3"/>
      <c r="U25" s="3"/>
      <c r="V25" s="3"/>
      <c r="W25" s="3"/>
      <c r="X25" s="3"/>
      <c r="Z25" s="11">
        <f>288000/4</f>
        <v>72000</v>
      </c>
      <c r="AA25" s="11">
        <f>33120/4</f>
        <v>8280</v>
      </c>
    </row>
    <row r="26" spans="1:27" x14ac:dyDescent="0.3">
      <c r="A26" s="2">
        <v>46149</v>
      </c>
      <c r="B26">
        <f t="shared" si="0"/>
        <v>19</v>
      </c>
      <c r="C26" t="str">
        <f t="shared" si="1"/>
        <v>May</v>
      </c>
      <c r="D26" s="11">
        <f>103600/2</f>
        <v>51800</v>
      </c>
      <c r="E26" s="11">
        <f t="shared" si="2"/>
        <v>51800</v>
      </c>
      <c r="J26" s="11">
        <v>160</v>
      </c>
      <c r="K26" s="11">
        <v>160</v>
      </c>
      <c r="M26" s="11">
        <v>30</v>
      </c>
      <c r="R26" s="11"/>
      <c r="S26" s="11"/>
      <c r="T26" s="3"/>
      <c r="U26" s="3"/>
      <c r="V26" s="3"/>
      <c r="W26" s="3"/>
      <c r="X26" s="3"/>
      <c r="Z26" s="11">
        <f>288000/4</f>
        <v>72000</v>
      </c>
      <c r="AA26" s="11">
        <f>33120/4</f>
        <v>8280</v>
      </c>
    </row>
    <row r="27" spans="1:27" x14ac:dyDescent="0.3">
      <c r="A27" s="2">
        <v>46153</v>
      </c>
      <c r="B27">
        <f t="shared" si="0"/>
        <v>20</v>
      </c>
      <c r="C27" t="str">
        <f t="shared" si="1"/>
        <v>May</v>
      </c>
      <c r="D27" s="11">
        <f>48960/2</f>
        <v>24480</v>
      </c>
      <c r="E27" s="11">
        <f t="shared" si="2"/>
        <v>24480</v>
      </c>
      <c r="J27" s="11">
        <v>45</v>
      </c>
      <c r="K27" s="11">
        <v>45</v>
      </c>
      <c r="R27" s="11"/>
      <c r="S27" s="11"/>
      <c r="T27" s="3"/>
      <c r="U27" s="3"/>
      <c r="V27" s="3"/>
      <c r="W27" s="3"/>
      <c r="X27" s="3"/>
      <c r="Z27" s="11">
        <f>360000/4</f>
        <v>90000</v>
      </c>
      <c r="AA27" s="11">
        <f t="shared" ref="AA27:AA34" si="5">34560/4</f>
        <v>8640</v>
      </c>
    </row>
    <row r="28" spans="1:27" x14ac:dyDescent="0.3">
      <c r="A28" s="2">
        <v>46154</v>
      </c>
      <c r="B28">
        <f t="shared" si="0"/>
        <v>20</v>
      </c>
      <c r="C28" t="str">
        <f t="shared" si="1"/>
        <v>May</v>
      </c>
      <c r="D28" s="11">
        <f>64320/2</f>
        <v>32160</v>
      </c>
      <c r="E28" s="11">
        <f t="shared" si="2"/>
        <v>32160</v>
      </c>
      <c r="G28" s="11">
        <v>3800</v>
      </c>
      <c r="J28" s="11">
        <v>75</v>
      </c>
      <c r="K28" s="11">
        <v>75</v>
      </c>
      <c r="M28" s="11">
        <v>50</v>
      </c>
      <c r="R28" s="11"/>
      <c r="S28" s="11"/>
      <c r="T28" s="3"/>
      <c r="U28" s="3"/>
      <c r="V28" s="3"/>
      <c r="W28" s="3"/>
      <c r="X28" s="3"/>
      <c r="Z28" s="11">
        <f t="shared" ref="Z28:Z34" si="6">360000/4</f>
        <v>90000</v>
      </c>
      <c r="AA28" s="11">
        <f t="shared" si="5"/>
        <v>8640</v>
      </c>
    </row>
    <row r="29" spans="1:27" x14ac:dyDescent="0.3">
      <c r="A29" s="2">
        <v>46155</v>
      </c>
      <c r="B29">
        <f t="shared" si="0"/>
        <v>20</v>
      </c>
      <c r="C29" t="str">
        <f t="shared" si="1"/>
        <v>May</v>
      </c>
      <c r="D29" s="11">
        <f>68700/2</f>
        <v>34350</v>
      </c>
      <c r="E29" s="11">
        <f t="shared" si="2"/>
        <v>34350</v>
      </c>
      <c r="G29" s="11">
        <v>13650</v>
      </c>
      <c r="J29" s="11">
        <v>130</v>
      </c>
      <c r="K29" s="11">
        <v>130</v>
      </c>
      <c r="M29" s="11">
        <v>66</v>
      </c>
      <c r="R29" s="11"/>
      <c r="S29" s="11"/>
      <c r="T29" s="3"/>
      <c r="U29" s="3"/>
      <c r="V29" s="3"/>
      <c r="W29" s="3"/>
      <c r="X29" s="3"/>
      <c r="Z29" s="11">
        <f t="shared" si="6"/>
        <v>90000</v>
      </c>
      <c r="AA29" s="11">
        <f t="shared" si="5"/>
        <v>8640</v>
      </c>
    </row>
    <row r="30" spans="1:27" x14ac:dyDescent="0.3">
      <c r="A30" s="2">
        <v>46156</v>
      </c>
      <c r="B30">
        <f t="shared" si="0"/>
        <v>20</v>
      </c>
      <c r="C30" t="str">
        <f t="shared" si="1"/>
        <v>May</v>
      </c>
      <c r="D30" s="11">
        <f>65260/2</f>
        <v>32630</v>
      </c>
      <c r="E30" s="11">
        <f t="shared" si="2"/>
        <v>32630</v>
      </c>
      <c r="J30" s="11">
        <v>352</v>
      </c>
      <c r="K30" s="11">
        <v>352</v>
      </c>
      <c r="R30" s="11"/>
      <c r="S30" s="11"/>
      <c r="T30" s="3"/>
      <c r="U30" s="3"/>
      <c r="V30" s="3"/>
      <c r="W30" s="3"/>
      <c r="X30" s="3"/>
      <c r="Z30" s="11">
        <f t="shared" si="6"/>
        <v>90000</v>
      </c>
      <c r="AA30" s="11">
        <f t="shared" si="5"/>
        <v>8640</v>
      </c>
    </row>
    <row r="31" spans="1:27" x14ac:dyDescent="0.3">
      <c r="A31" s="2">
        <v>46160</v>
      </c>
      <c r="B31">
        <f t="shared" ref="B31:B92" si="7">+WEEKNUM(A31)</f>
        <v>21</v>
      </c>
      <c r="C31" t="str">
        <f t="shared" si="1"/>
        <v>May</v>
      </c>
      <c r="D31" s="11">
        <f>22*15*96</f>
        <v>31680</v>
      </c>
      <c r="E31" s="11">
        <f>21*15*96</f>
        <v>30240</v>
      </c>
      <c r="G31" s="11">
        <f>21*13*35</f>
        <v>9555</v>
      </c>
      <c r="J31" s="11">
        <v>70</v>
      </c>
      <c r="K31" s="11">
        <v>90</v>
      </c>
      <c r="M31" s="11">
        <v>152</v>
      </c>
      <c r="Z31" s="11">
        <f t="shared" si="6"/>
        <v>90000</v>
      </c>
      <c r="AA31" s="11">
        <f t="shared" si="5"/>
        <v>8640</v>
      </c>
    </row>
    <row r="32" spans="1:27" x14ac:dyDescent="0.3">
      <c r="A32" s="2">
        <f>WORKDAY.INTL(A31,1,,'Don''t Change'!$A$2:$A$6)</f>
        <v>46161</v>
      </c>
      <c r="B32">
        <f t="shared" si="7"/>
        <v>21</v>
      </c>
      <c r="C32" t="str">
        <f t="shared" si="1"/>
        <v>May</v>
      </c>
      <c r="D32" s="11">
        <f>29*15*96+26*96+14*96</f>
        <v>45600</v>
      </c>
      <c r="E32" s="11">
        <f>15*15*96+12*96</f>
        <v>22752</v>
      </c>
      <c r="G32" s="11">
        <f>15*13*35</f>
        <v>6825</v>
      </c>
      <c r="J32" s="11">
        <v>50</v>
      </c>
      <c r="K32" s="11">
        <v>30</v>
      </c>
      <c r="P32">
        <f>24+23</f>
        <v>47</v>
      </c>
      <c r="Q32">
        <f>28+38</f>
        <v>66</v>
      </c>
      <c r="S32">
        <v>15</v>
      </c>
      <c r="Z32" s="11">
        <f t="shared" si="6"/>
        <v>90000</v>
      </c>
      <c r="AA32" s="11">
        <f t="shared" si="5"/>
        <v>8640</v>
      </c>
    </row>
    <row r="33" spans="1:27" x14ac:dyDescent="0.3">
      <c r="A33" s="2">
        <f>WORKDAY.INTL(A32,1,,'Don''t Change'!$A$2:$A$6)</f>
        <v>46162</v>
      </c>
      <c r="B33">
        <f t="shared" si="7"/>
        <v>21</v>
      </c>
      <c r="C33" t="str">
        <f t="shared" si="1"/>
        <v>May</v>
      </c>
      <c r="D33" s="11">
        <f>28*15*96+13*96+5*96</f>
        <v>42048</v>
      </c>
      <c r="E33" s="11">
        <f>17*15*96</f>
        <v>24480</v>
      </c>
      <c r="G33" s="11">
        <f>13*13*35+30*35+14*12*35+14.5*12*35</f>
        <v>18935</v>
      </c>
      <c r="J33" s="11">
        <v>50</v>
      </c>
      <c r="K33" s="11">
        <v>30</v>
      </c>
      <c r="M33" s="11">
        <f>138+128+30</f>
        <v>296</v>
      </c>
      <c r="P33">
        <v>42</v>
      </c>
      <c r="Q33">
        <v>42</v>
      </c>
      <c r="Z33" s="11">
        <f t="shared" si="6"/>
        <v>90000</v>
      </c>
      <c r="AA33" s="11">
        <f t="shared" si="5"/>
        <v>8640</v>
      </c>
    </row>
    <row r="34" spans="1:27" x14ac:dyDescent="0.3">
      <c r="A34" s="2">
        <f>WORKDAY.INTL(A33,1,,'Don''t Change'!$A$2:$A$6)</f>
        <v>46163</v>
      </c>
      <c r="B34">
        <f t="shared" si="7"/>
        <v>21</v>
      </c>
      <c r="C34" t="str">
        <f t="shared" si="1"/>
        <v>May</v>
      </c>
      <c r="D34" s="11">
        <f>26*15*96+4*15*72</f>
        <v>41760</v>
      </c>
      <c r="E34" s="11">
        <f>6*15*96+12*72</f>
        <v>9504</v>
      </c>
      <c r="F34" s="11">
        <f>14*35+30*35</f>
        <v>1540</v>
      </c>
      <c r="G34" s="11">
        <f>3*14*35+11*15*35+20*35</f>
        <v>7945</v>
      </c>
      <c r="L34" s="11">
        <v>90</v>
      </c>
      <c r="M34" s="11">
        <v>504</v>
      </c>
      <c r="P34">
        <v>75</v>
      </c>
      <c r="S34">
        <v>18</v>
      </c>
      <c r="Z34" s="11">
        <f t="shared" si="6"/>
        <v>90000</v>
      </c>
      <c r="AA34" s="11">
        <f t="shared" si="5"/>
        <v>8640</v>
      </c>
    </row>
    <row r="35" spans="1:27" x14ac:dyDescent="0.3">
      <c r="A35" s="2">
        <f>WORKDAY.INTL(A34,1,,'Don''t Change'!$A$2:$A$6)</f>
        <v>46164</v>
      </c>
      <c r="B35">
        <f t="shared" si="7"/>
        <v>21</v>
      </c>
      <c r="C35" t="str">
        <f t="shared" si="1"/>
        <v>May</v>
      </c>
    </row>
    <row r="36" spans="1:27" x14ac:dyDescent="0.3">
      <c r="A36" s="2">
        <f>WORKDAY.INTL(A35,1,,'Don''t Change'!$A$2:$A$6)</f>
        <v>46168</v>
      </c>
      <c r="B36">
        <f t="shared" si="7"/>
        <v>22</v>
      </c>
      <c r="C36" t="str">
        <f t="shared" si="1"/>
        <v>May</v>
      </c>
      <c r="D36" s="11">
        <f>22*15*96+30*72+26*72</f>
        <v>35712</v>
      </c>
      <c r="E36" s="11">
        <f>22*15*96+6*96</f>
        <v>32256</v>
      </c>
      <c r="J36" s="11">
        <v>80</v>
      </c>
      <c r="K36" s="11">
        <v>160</v>
      </c>
      <c r="Z36" s="11">
        <f>360000/4</f>
        <v>90000</v>
      </c>
      <c r="AA36" s="11">
        <f>44800/4</f>
        <v>11200</v>
      </c>
    </row>
    <row r="37" spans="1:27" x14ac:dyDescent="0.3">
      <c r="A37" s="2">
        <f>WORKDAY.INTL(A36,1,,'Don''t Change'!$A$2:$A$6)</f>
        <v>46169</v>
      </c>
      <c r="B37">
        <f t="shared" si="7"/>
        <v>22</v>
      </c>
      <c r="C37" t="str">
        <f t="shared" si="1"/>
        <v>May</v>
      </c>
      <c r="Z37" s="11">
        <f>360000/4</f>
        <v>90000</v>
      </c>
      <c r="AA37" s="11">
        <f>44800/4</f>
        <v>11200</v>
      </c>
    </row>
    <row r="38" spans="1:27" x14ac:dyDescent="0.3">
      <c r="A38" s="2">
        <f>WORKDAY.INTL(A37,1,,'Don''t Change'!$A$2:$A$6)</f>
        <v>46170</v>
      </c>
      <c r="B38">
        <f t="shared" si="7"/>
        <v>22</v>
      </c>
      <c r="C38" t="str">
        <f t="shared" si="1"/>
        <v>May</v>
      </c>
      <c r="G38" s="11">
        <f>21*14*35+10*35</f>
        <v>10640</v>
      </c>
      <c r="H38" s="11">
        <v>9922</v>
      </c>
      <c r="M38" s="11">
        <v>122</v>
      </c>
      <c r="N38" s="11">
        <v>146</v>
      </c>
      <c r="Z38" s="11">
        <f>360000/4</f>
        <v>90000</v>
      </c>
      <c r="AA38" s="11">
        <f>44800/4</f>
        <v>11200</v>
      </c>
    </row>
    <row r="39" spans="1:27" x14ac:dyDescent="0.3">
      <c r="A39" s="2">
        <f>WORKDAY.INTL(A38,1,,'Don''t Change'!$A$2:$A$6)</f>
        <v>46171</v>
      </c>
      <c r="B39">
        <f t="shared" si="7"/>
        <v>22</v>
      </c>
      <c r="C39" t="str">
        <f t="shared" si="1"/>
        <v>May</v>
      </c>
      <c r="D39" s="11">
        <f>22*15*96+12*96</f>
        <v>32832</v>
      </c>
      <c r="E39" s="11">
        <f>22*15*96</f>
        <v>31680</v>
      </c>
      <c r="J39" s="11">
        <v>40</v>
      </c>
      <c r="K39" s="11">
        <v>40</v>
      </c>
      <c r="Z39" s="11">
        <f>360000/4</f>
        <v>90000</v>
      </c>
      <c r="AA39" s="11">
        <f>44800/4</f>
        <v>11200</v>
      </c>
    </row>
    <row r="40" spans="1:27" x14ac:dyDescent="0.3">
      <c r="A40" s="2">
        <f>WORKDAY.INTL(A39,1,,'Don''t Change'!$A$2:$A$6)</f>
        <v>46174</v>
      </c>
      <c r="B40">
        <f t="shared" si="7"/>
        <v>23</v>
      </c>
      <c r="C40" t="str">
        <f t="shared" si="1"/>
        <v>June</v>
      </c>
      <c r="D40" s="11">
        <v>27360</v>
      </c>
      <c r="E40" s="11">
        <v>48960</v>
      </c>
      <c r="J40" s="11">
        <v>46</v>
      </c>
      <c r="K40" s="11">
        <v>280</v>
      </c>
      <c r="Z40" s="11">
        <v>70000</v>
      </c>
      <c r="AA40" s="11">
        <v>15000</v>
      </c>
    </row>
    <row r="41" spans="1:27" x14ac:dyDescent="0.3">
      <c r="A41" s="2">
        <f>WORKDAY.INTL(A40,1,,'Don''t Change'!$A$2:$A$6)</f>
        <v>46175</v>
      </c>
      <c r="B41">
        <f t="shared" si="7"/>
        <v>23</v>
      </c>
      <c r="C41" t="str">
        <f t="shared" si="1"/>
        <v>June</v>
      </c>
      <c r="D41" s="11">
        <v>44640</v>
      </c>
      <c r="E41" s="11">
        <v>44640</v>
      </c>
      <c r="J41" s="11">
        <v>96</v>
      </c>
      <c r="K41" s="11">
        <v>72</v>
      </c>
      <c r="Z41" s="11">
        <v>70000</v>
      </c>
      <c r="AA41" s="11">
        <v>15000</v>
      </c>
    </row>
    <row r="42" spans="1:27" x14ac:dyDescent="0.3">
      <c r="A42" s="2">
        <f>WORKDAY.INTL(A41,1,,'Don''t Change'!$A$2:$A$6)</f>
        <v>46176</v>
      </c>
      <c r="B42">
        <f t="shared" si="7"/>
        <v>23</v>
      </c>
      <c r="C42" t="str">
        <f t="shared" si="1"/>
        <v>June</v>
      </c>
      <c r="D42" s="11">
        <v>17280</v>
      </c>
      <c r="E42" s="11">
        <f>21*15*96+6*96+7*15*72</f>
        <v>38376</v>
      </c>
      <c r="J42" s="11">
        <v>121</v>
      </c>
      <c r="K42" s="11">
        <v>45</v>
      </c>
      <c r="M42" s="11">
        <v>60</v>
      </c>
      <c r="Z42" s="11">
        <v>70000</v>
      </c>
      <c r="AA42" s="11">
        <v>15000</v>
      </c>
    </row>
    <row r="43" spans="1:27" x14ac:dyDescent="0.3">
      <c r="A43" s="2">
        <f>WORKDAY.INTL(A42,1,,'Don''t Change'!$A$2:$A$6)</f>
        <v>46177</v>
      </c>
      <c r="B43">
        <f t="shared" si="7"/>
        <v>23</v>
      </c>
      <c r="C43" t="str">
        <f t="shared" si="1"/>
        <v>June</v>
      </c>
      <c r="D43" s="11">
        <f>7*15*96+14*96+15*72</f>
        <v>12504</v>
      </c>
      <c r="E43" s="11">
        <f>22*15*96+15*72+11*96</f>
        <v>33816</v>
      </c>
      <c r="G43" s="11">
        <f>15*16*35+13*35+15*35</f>
        <v>9380</v>
      </c>
      <c r="J43" s="11">
        <v>36</v>
      </c>
      <c r="K43" s="11">
        <v>37</v>
      </c>
      <c r="M43" s="11">
        <f>38+18+32+44</f>
        <v>132</v>
      </c>
      <c r="Z43" s="11">
        <v>90000</v>
      </c>
      <c r="AA43" s="11">
        <v>15000</v>
      </c>
    </row>
    <row r="44" spans="1:27" x14ac:dyDescent="0.3">
      <c r="A44" s="2">
        <f>WORKDAY.INTL(A43,1,,'Don''t Change'!$A$2:$A$6)</f>
        <v>46178</v>
      </c>
      <c r="B44">
        <f t="shared" si="7"/>
        <v>23</v>
      </c>
      <c r="C44" t="str">
        <f t="shared" si="1"/>
        <v>June</v>
      </c>
    </row>
    <row r="45" spans="1:27" x14ac:dyDescent="0.3">
      <c r="A45" s="2">
        <f>WORKDAY.INTL(A44,1,,'Don''t Change'!$A$2:$A$6)</f>
        <v>46181</v>
      </c>
      <c r="B45">
        <f t="shared" si="7"/>
        <v>24</v>
      </c>
      <c r="C45" t="str">
        <f t="shared" si="1"/>
        <v>June</v>
      </c>
    </row>
    <row r="46" spans="1:27" x14ac:dyDescent="0.3">
      <c r="A46" s="2">
        <f>WORKDAY.INTL(A45,1,,'Don''t Change'!$A$2:$A$6)</f>
        <v>46182</v>
      </c>
      <c r="B46">
        <f t="shared" si="7"/>
        <v>24</v>
      </c>
      <c r="C46" t="str">
        <f t="shared" si="1"/>
        <v>June</v>
      </c>
      <c r="D46" s="11">
        <v>49168</v>
      </c>
      <c r="E46" s="11">
        <v>34352</v>
      </c>
      <c r="G46" s="11">
        <v>7315</v>
      </c>
      <c r="J46" s="11">
        <v>229</v>
      </c>
      <c r="K46" s="11">
        <v>203</v>
      </c>
      <c r="M46" s="11">
        <v>32</v>
      </c>
    </row>
    <row r="47" spans="1:27" x14ac:dyDescent="0.3">
      <c r="A47" s="2">
        <f>WORKDAY.INTL(A46,1,,'Don''t Change'!$A$2:$A$6)</f>
        <v>46183</v>
      </c>
      <c r="B47">
        <f t="shared" si="7"/>
        <v>24</v>
      </c>
      <c r="C47" t="str">
        <f t="shared" si="1"/>
        <v>June</v>
      </c>
      <c r="D47" s="11">
        <f>18720+25200</f>
        <v>43920</v>
      </c>
      <c r="G47" s="11">
        <v>10500</v>
      </c>
      <c r="J47" s="11">
        <f>62+36</f>
        <v>98</v>
      </c>
      <c r="M47" s="11">
        <v>62</v>
      </c>
    </row>
    <row r="48" spans="1:27" x14ac:dyDescent="0.3">
      <c r="A48" s="2">
        <f>WORKDAY.INTL(A47,1,,'Don''t Change'!$A$2:$A$6)</f>
        <v>46184</v>
      </c>
      <c r="B48">
        <f t="shared" si="7"/>
        <v>24</v>
      </c>
      <c r="C48" t="str">
        <f t="shared" si="1"/>
        <v>June</v>
      </c>
      <c r="D48" s="121">
        <v>61488</v>
      </c>
      <c r="E48" s="121">
        <v>2765</v>
      </c>
      <c r="G48" s="11">
        <v>9975</v>
      </c>
      <c r="J48" s="11">
        <v>101</v>
      </c>
      <c r="K48" s="11">
        <v>31</v>
      </c>
      <c r="M48" s="11">
        <v>122</v>
      </c>
    </row>
    <row r="49" spans="1:13" x14ac:dyDescent="0.3">
      <c r="A49" s="2">
        <f>WORKDAY.INTL(A48,1,,'Don''t Change'!$A$2:$A$6)</f>
        <v>46185</v>
      </c>
      <c r="B49">
        <f t="shared" si="7"/>
        <v>24</v>
      </c>
      <c r="C49" t="str">
        <f t="shared" si="1"/>
        <v>June</v>
      </c>
    </row>
    <row r="50" spans="1:13" x14ac:dyDescent="0.3">
      <c r="A50" s="2">
        <f>WORKDAY.INTL(A49,1,,'Don''t Change'!$A$2:$A$6)</f>
        <v>46188</v>
      </c>
      <c r="B50">
        <f t="shared" si="7"/>
        <v>25</v>
      </c>
      <c r="C50" t="str">
        <f t="shared" si="1"/>
        <v>June</v>
      </c>
      <c r="D50" s="11">
        <f>23*15*96</f>
        <v>33120</v>
      </c>
      <c r="J50" s="11">
        <v>68</v>
      </c>
    </row>
    <row r="51" spans="1:13" x14ac:dyDescent="0.3">
      <c r="A51" s="2">
        <f>WORKDAY.INTL(A50,1,,'Don''t Change'!$A$2:$A$6)</f>
        <v>46189</v>
      </c>
      <c r="B51">
        <f t="shared" si="7"/>
        <v>25</v>
      </c>
      <c r="C51" t="str">
        <f t="shared" si="1"/>
        <v>June</v>
      </c>
      <c r="D51" s="11">
        <f>24*96*15</f>
        <v>34560</v>
      </c>
      <c r="E51" s="11">
        <f>23*15*96</f>
        <v>33120</v>
      </c>
      <c r="J51" s="11">
        <v>48</v>
      </c>
      <c r="K51" s="11">
        <v>61</v>
      </c>
    </row>
    <row r="52" spans="1:13" x14ac:dyDescent="0.3">
      <c r="A52" s="2">
        <f>WORKDAY.INTL(A51,1,,'Don''t Change'!$A$2:$A$6)</f>
        <v>46190</v>
      </c>
      <c r="B52">
        <f t="shared" si="7"/>
        <v>25</v>
      </c>
      <c r="C52" t="str">
        <f t="shared" si="1"/>
        <v>June</v>
      </c>
      <c r="D52" s="11">
        <f>17*15*96+38.5*96</f>
        <v>28176</v>
      </c>
      <c r="E52" s="11">
        <f>18*15*96+7.5*96</f>
        <v>26640</v>
      </c>
      <c r="G52" s="11">
        <f>40*35</f>
        <v>1400</v>
      </c>
      <c r="J52" s="11">
        <f>18+5</f>
        <v>23</v>
      </c>
      <c r="K52" s="11">
        <v>206</v>
      </c>
      <c r="M52" s="11">
        <v>14</v>
      </c>
    </row>
    <row r="53" spans="1:13" x14ac:dyDescent="0.3">
      <c r="A53" s="2">
        <f>WORKDAY.INTL(A52,1,,'Don''t Change'!$A$2:$A$6)</f>
        <v>46191</v>
      </c>
      <c r="B53">
        <f t="shared" si="7"/>
        <v>25</v>
      </c>
      <c r="C53" t="str">
        <f t="shared" si="1"/>
        <v>June</v>
      </c>
      <c r="D53" s="11">
        <f>20*15*96+11.5*96</f>
        <v>29904</v>
      </c>
      <c r="E53" s="11">
        <f>22*15*96+8*96</f>
        <v>32448</v>
      </c>
      <c r="G53" s="11">
        <f>12*15*35</f>
        <v>6300</v>
      </c>
      <c r="J53" s="11">
        <v>50</v>
      </c>
      <c r="K53" s="11">
        <v>84</v>
      </c>
      <c r="M53" s="11">
        <v>23</v>
      </c>
    </row>
    <row r="54" spans="1:13" x14ac:dyDescent="0.3">
      <c r="A54" s="2">
        <f>WORKDAY.INTL(A53,1,,'Don''t Change'!$A$2:$A$6)</f>
        <v>46192</v>
      </c>
      <c r="B54">
        <f t="shared" si="7"/>
        <v>25</v>
      </c>
      <c r="C54" t="str">
        <f t="shared" si="1"/>
        <v>June</v>
      </c>
    </row>
    <row r="55" spans="1:13" x14ac:dyDescent="0.3">
      <c r="A55" s="2">
        <f>WORKDAY.INTL(A54,1,,'Don''t Change'!$A$2:$A$6)</f>
        <v>46195</v>
      </c>
      <c r="B55">
        <f t="shared" si="7"/>
        <v>26</v>
      </c>
      <c r="C55" t="str">
        <f t="shared" si="1"/>
        <v>June</v>
      </c>
      <c r="D55" s="11">
        <f>24*15*96+14.5*96-492</f>
        <v>35460</v>
      </c>
      <c r="E55" s="11">
        <f>25*15*96+10*96</f>
        <v>36960</v>
      </c>
      <c r="G55" s="11">
        <f>8313</f>
        <v>8313</v>
      </c>
      <c r="J55" s="11">
        <v>55</v>
      </c>
      <c r="K55" s="11">
        <v>82</v>
      </c>
      <c r="M55" s="11">
        <v>279</v>
      </c>
    </row>
    <row r="56" spans="1:13" x14ac:dyDescent="0.3">
      <c r="A56" s="2">
        <f>WORKDAY.INTL(A55,1,,'Don''t Change'!$A$2:$A$6)</f>
        <v>46196</v>
      </c>
      <c r="B56">
        <f t="shared" si="7"/>
        <v>26</v>
      </c>
      <c r="C56" t="str">
        <f t="shared" si="1"/>
        <v>June</v>
      </c>
      <c r="D56" s="11">
        <f>32*15*96</f>
        <v>46080</v>
      </c>
      <c r="E56" s="11">
        <v>13015</v>
      </c>
      <c r="G56" s="11">
        <f>18*15*35</f>
        <v>9450</v>
      </c>
      <c r="J56" s="11">
        <v>60</v>
      </c>
      <c r="K56" s="11">
        <v>122</v>
      </c>
      <c r="M56" s="11">
        <v>474</v>
      </c>
    </row>
    <row r="57" spans="1:13" x14ac:dyDescent="0.3">
      <c r="A57" s="2">
        <f>WORKDAY.INTL(A56,1,,'Don''t Change'!$A$2:$A$6)</f>
        <v>46197</v>
      </c>
      <c r="B57">
        <f t="shared" si="7"/>
        <v>26</v>
      </c>
      <c r="C57" t="str">
        <f t="shared" si="1"/>
        <v>June</v>
      </c>
      <c r="D57" s="11">
        <f>20*15*96</f>
        <v>28800</v>
      </c>
      <c r="E57" s="11">
        <f>34*15*96+9*96</f>
        <v>49824</v>
      </c>
      <c r="F57" s="11">
        <f>29*15*35+9*35</f>
        <v>15540</v>
      </c>
      <c r="J57" s="11">
        <v>43</v>
      </c>
      <c r="K57" s="11">
        <v>79</v>
      </c>
      <c r="L57" s="11">
        <f>408+106</f>
        <v>514</v>
      </c>
    </row>
    <row r="58" spans="1:13" x14ac:dyDescent="0.3">
      <c r="A58" s="2">
        <f>WORKDAY.INTL(A57,1,,'Don''t Change'!$A$2:$A$6)</f>
        <v>46198</v>
      </c>
      <c r="B58">
        <f t="shared" si="7"/>
        <v>26</v>
      </c>
      <c r="C58" t="str">
        <f t="shared" si="1"/>
        <v>June</v>
      </c>
      <c r="D58" s="11">
        <f>33*15*96+16*96</f>
        <v>49056</v>
      </c>
      <c r="E58" s="11">
        <f>33*15*96+26*6</f>
        <v>47676</v>
      </c>
      <c r="F58" s="11">
        <f>7*15*35+8*35+16*35</f>
        <v>4515</v>
      </c>
      <c r="J58" s="11">
        <v>150</v>
      </c>
      <c r="K58" s="11">
        <v>63</v>
      </c>
      <c r="L58" s="11">
        <v>278</v>
      </c>
    </row>
    <row r="59" spans="1:13" x14ac:dyDescent="0.3">
      <c r="A59" s="2">
        <f>WORKDAY.INTL(A58,1,,'Don''t Change'!$A$2:$A$6)</f>
        <v>46199</v>
      </c>
      <c r="B59">
        <f t="shared" si="7"/>
        <v>26</v>
      </c>
      <c r="C59" t="str">
        <f t="shared" si="1"/>
        <v>June</v>
      </c>
    </row>
    <row r="60" spans="1:13" x14ac:dyDescent="0.3">
      <c r="A60" s="2">
        <f>WORKDAY.INTL(A59,1,,'Don''t Change'!$A$2:$A$6)</f>
        <v>46202</v>
      </c>
      <c r="B60">
        <f t="shared" si="7"/>
        <v>27</v>
      </c>
      <c r="C60" t="str">
        <f t="shared" si="1"/>
        <v>June</v>
      </c>
      <c r="D60" s="11">
        <f>29*15*96+12*96</f>
        <v>42912</v>
      </c>
      <c r="E60" s="11">
        <f>25*15*96+11*96</f>
        <v>37056</v>
      </c>
      <c r="F60" s="11">
        <f>14*15*35+7*35</f>
        <v>7595</v>
      </c>
      <c r="G60" s="11">
        <f>12*15*35</f>
        <v>6300</v>
      </c>
      <c r="J60" s="11">
        <f>74+183</f>
        <v>257</v>
      </c>
      <c r="K60" s="11">
        <v>172</v>
      </c>
      <c r="L60" s="11">
        <v>120</v>
      </c>
      <c r="M60" s="11">
        <v>46</v>
      </c>
    </row>
    <row r="61" spans="1:13" x14ac:dyDescent="0.3">
      <c r="A61" s="2">
        <f>WORKDAY.INTL(A60,1,,'Don''t Change'!$A$2:$A$6)</f>
        <v>46203</v>
      </c>
      <c r="B61">
        <f t="shared" si="7"/>
        <v>27</v>
      </c>
      <c r="C61" t="str">
        <f t="shared" si="1"/>
        <v>June</v>
      </c>
      <c r="D61" s="11">
        <f>21*15*96+11*96</f>
        <v>31296</v>
      </c>
      <c r="E61" s="11">
        <f>35*15*96+5*6</f>
        <v>50430</v>
      </c>
      <c r="F61" s="11">
        <f>70*35</f>
        <v>2450</v>
      </c>
      <c r="G61" s="11">
        <f>25*15*35+70</f>
        <v>13195</v>
      </c>
      <c r="J61" s="11">
        <v>198</v>
      </c>
      <c r="K61" s="11">
        <v>80</v>
      </c>
      <c r="L61" s="11">
        <v>100</v>
      </c>
      <c r="M61" s="11">
        <f>684-288</f>
        <v>396</v>
      </c>
    </row>
    <row r="62" spans="1:13" x14ac:dyDescent="0.3">
      <c r="A62" s="2">
        <f>WORKDAY.INTL(A61,1,,'Don''t Change'!$A$2:$A$6)</f>
        <v>46204</v>
      </c>
      <c r="B62">
        <f t="shared" si="7"/>
        <v>27</v>
      </c>
      <c r="C62" t="str">
        <f t="shared" si="1"/>
        <v>July</v>
      </c>
      <c r="D62" s="11">
        <f>25*15*96</f>
        <v>36000</v>
      </c>
      <c r="E62" s="11">
        <f>25*15*96</f>
        <v>36000</v>
      </c>
      <c r="G62" s="11">
        <f>25*15*35+8*35</f>
        <v>13405</v>
      </c>
      <c r="J62" s="11">
        <f>45+10+34</f>
        <v>89</v>
      </c>
      <c r="K62" s="11">
        <v>96</v>
      </c>
      <c r="M62" s="11">
        <f>88+96</f>
        <v>184</v>
      </c>
    </row>
    <row r="63" spans="1:13" x14ac:dyDescent="0.3">
      <c r="A63" s="2">
        <v>46205</v>
      </c>
      <c r="B63">
        <f t="shared" si="7"/>
        <v>27</v>
      </c>
      <c r="C63" t="str">
        <f t="shared" si="1"/>
        <v>July</v>
      </c>
      <c r="D63" s="11">
        <f>32*15*96+10*96</f>
        <v>47040</v>
      </c>
      <c r="E63" s="11">
        <f>33*15*96+16*96</f>
        <v>49056</v>
      </c>
      <c r="F63" s="11">
        <f>25*15*35</f>
        <v>13125</v>
      </c>
      <c r="G63" s="11">
        <f>25*15*35+9*35</f>
        <v>13440</v>
      </c>
      <c r="J63" s="11">
        <v>238</v>
      </c>
      <c r="K63" s="11">
        <v>122</v>
      </c>
      <c r="L63" s="11">
        <v>56</v>
      </c>
      <c r="M63" s="11">
        <v>56</v>
      </c>
    </row>
    <row r="64" spans="1:13" x14ac:dyDescent="0.3">
      <c r="A64" s="2">
        <f>WORKDAY.INTL(A63,1,,'Don''t Change'!$A$2:$A$6)</f>
        <v>46206</v>
      </c>
      <c r="B64">
        <f t="shared" si="7"/>
        <v>27</v>
      </c>
      <c r="C64" t="str">
        <f t="shared" si="1"/>
        <v>July</v>
      </c>
    </row>
    <row r="65" spans="1:14" x14ac:dyDescent="0.3">
      <c r="A65" s="2">
        <f>WORKDAY.INTL(A64,1,,'Don''t Change'!$A$2:$A$6)</f>
        <v>46209</v>
      </c>
      <c r="B65">
        <f t="shared" si="7"/>
        <v>28</v>
      </c>
      <c r="C65" t="str">
        <f t="shared" si="1"/>
        <v>July</v>
      </c>
      <c r="D65" s="11">
        <f>24*15*96</f>
        <v>34560</v>
      </c>
      <c r="E65" s="11">
        <f>14*15*96+10*96</f>
        <v>21120</v>
      </c>
      <c r="F65" s="11">
        <f>39*35</f>
        <v>1365</v>
      </c>
      <c r="H65" s="11">
        <f>9*15*35</f>
        <v>4725</v>
      </c>
      <c r="J65" s="11">
        <f>308-140+1086-192.02</f>
        <v>1061.98</v>
      </c>
      <c r="K65" s="11">
        <v>172</v>
      </c>
      <c r="L65" s="11">
        <f>44+184</f>
        <v>228</v>
      </c>
      <c r="N65" s="11">
        <f>42</f>
        <v>42</v>
      </c>
    </row>
    <row r="66" spans="1:14" x14ac:dyDescent="0.3">
      <c r="A66" s="2">
        <f>WORKDAY.INTL(A65,1,,'Don''t Change'!$A$2:$A$6)</f>
        <v>46210</v>
      </c>
      <c r="B66">
        <f t="shared" si="7"/>
        <v>28</v>
      </c>
      <c r="C66" t="str">
        <f t="shared" si="1"/>
        <v>July</v>
      </c>
      <c r="D66" s="11">
        <v>44064</v>
      </c>
      <c r="E66" s="11">
        <v>41760</v>
      </c>
      <c r="F66" s="11">
        <f>21*15*35+9*35</f>
        <v>11340</v>
      </c>
      <c r="H66" s="11">
        <f>23*15*35</f>
        <v>12075</v>
      </c>
      <c r="J66" s="11">
        <v>222</v>
      </c>
      <c r="K66" s="11">
        <v>204</v>
      </c>
      <c r="L66" s="11">
        <v>71</v>
      </c>
      <c r="N66" s="11">
        <v>150</v>
      </c>
    </row>
    <row r="67" spans="1:14" x14ac:dyDescent="0.3">
      <c r="A67" s="2">
        <f>WORKDAY.INTL(A66,1,,'Don''t Change'!$A$2:$A$6)</f>
        <v>46211</v>
      </c>
      <c r="B67">
        <f t="shared" si="7"/>
        <v>28</v>
      </c>
      <c r="C67" t="str">
        <f t="shared" si="1"/>
        <v>July</v>
      </c>
      <c r="D67" s="11">
        <f>31*15*96</f>
        <v>44640</v>
      </c>
      <c r="E67" s="11">
        <f>12*15*96+3.5*96</f>
        <v>17616</v>
      </c>
      <c r="F67" s="11">
        <f>20*15*35+2*35+14</f>
        <v>10584</v>
      </c>
      <c r="H67" s="11">
        <f>19*15*35+10*35</f>
        <v>10325</v>
      </c>
      <c r="J67" s="11">
        <f>28+62</f>
        <v>90</v>
      </c>
      <c r="K67" s="11">
        <v>146</v>
      </c>
      <c r="L67" s="11">
        <v>84</v>
      </c>
      <c r="N67" s="11">
        <f>22+58</f>
        <v>80</v>
      </c>
    </row>
    <row r="68" spans="1:14" x14ac:dyDescent="0.3">
      <c r="A68" s="2">
        <f>WORKDAY.INTL(A67,1,,'Don''t Change'!$A$2:$A$6)</f>
        <v>46212</v>
      </c>
      <c r="B68">
        <f t="shared" si="7"/>
        <v>28</v>
      </c>
      <c r="C68" t="str">
        <f t="shared" ref="C68:C131" si="8">+TEXT(A68,"mmmm")</f>
        <v>July</v>
      </c>
      <c r="D68" s="11">
        <f>26*15*96+6*96</f>
        <v>38016</v>
      </c>
      <c r="E68" s="11">
        <f>20*15*96</f>
        <v>28800</v>
      </c>
      <c r="F68" s="11">
        <f>29*15*35+11*35</f>
        <v>15610</v>
      </c>
      <c r="H68" s="11">
        <f>30*15*35+10*35</f>
        <v>16100</v>
      </c>
      <c r="J68" s="11">
        <v>192</v>
      </c>
      <c r="K68" s="11">
        <v>150</v>
      </c>
      <c r="L68" s="11">
        <f>109+52</f>
        <v>161</v>
      </c>
      <c r="N68" s="11">
        <v>50</v>
      </c>
    </row>
    <row r="69" spans="1:14" x14ac:dyDescent="0.3">
      <c r="A69" s="2">
        <f>WORKDAY.INTL(A68,1,,'Don''t Change'!$A$2:$A$6)</f>
        <v>46213</v>
      </c>
      <c r="B69">
        <f t="shared" si="7"/>
        <v>28</v>
      </c>
      <c r="C69" t="str">
        <f t="shared" si="8"/>
        <v>July</v>
      </c>
    </row>
    <row r="70" spans="1:14" x14ac:dyDescent="0.3">
      <c r="A70" s="2">
        <f>WORKDAY.INTL(A69,1,,'Don''t Change'!$A$2:$A$6)</f>
        <v>46216</v>
      </c>
      <c r="B70">
        <f t="shared" si="7"/>
        <v>29</v>
      </c>
      <c r="C70" t="str">
        <f t="shared" si="8"/>
        <v>July</v>
      </c>
    </row>
    <row r="71" spans="1:14" x14ac:dyDescent="0.3">
      <c r="A71" s="2">
        <f>WORKDAY.INTL(A70,1,,'Don''t Change'!$A$2:$A$6)</f>
        <v>46217</v>
      </c>
      <c r="B71">
        <f t="shared" si="7"/>
        <v>29</v>
      </c>
      <c r="C71" t="str">
        <f t="shared" si="8"/>
        <v>July</v>
      </c>
    </row>
    <row r="72" spans="1:14" x14ac:dyDescent="0.3">
      <c r="A72" s="2">
        <f>WORKDAY.INTL(A71,1,,'Don''t Change'!$A$2:$A$6)</f>
        <v>46218</v>
      </c>
      <c r="B72">
        <f t="shared" si="7"/>
        <v>29</v>
      </c>
      <c r="C72" t="str">
        <f t="shared" si="8"/>
        <v>July</v>
      </c>
    </row>
    <row r="73" spans="1:14" x14ac:dyDescent="0.3">
      <c r="A73" s="2">
        <f>WORKDAY.INTL(A72,1,,'Don''t Change'!$A$2:$A$6)</f>
        <v>46219</v>
      </c>
      <c r="B73">
        <f t="shared" si="7"/>
        <v>29</v>
      </c>
      <c r="C73" t="str">
        <f t="shared" si="8"/>
        <v>July</v>
      </c>
    </row>
    <row r="74" spans="1:14" x14ac:dyDescent="0.3">
      <c r="A74" s="2">
        <f>WORKDAY.INTL(A73,1,,'Don''t Change'!$A$2:$A$6)</f>
        <v>46220</v>
      </c>
      <c r="B74">
        <f t="shared" si="7"/>
        <v>29</v>
      </c>
      <c r="C74" t="str">
        <f t="shared" si="8"/>
        <v>July</v>
      </c>
    </row>
    <row r="75" spans="1:14" x14ac:dyDescent="0.3">
      <c r="A75" s="2">
        <f>WORKDAY.INTL(A74,1,,'Don''t Change'!$A$2:$A$6)</f>
        <v>46223</v>
      </c>
      <c r="B75">
        <f t="shared" si="7"/>
        <v>30</v>
      </c>
      <c r="C75" t="str">
        <f t="shared" si="8"/>
        <v>July</v>
      </c>
      <c r="D75" s="11">
        <f>18*15*96+3*96</f>
        <v>26208</v>
      </c>
      <c r="E75" s="11">
        <f>18*15*96+7*96</f>
        <v>26592</v>
      </c>
      <c r="J75" s="11">
        <f>82+12</f>
        <v>94</v>
      </c>
      <c r="K75" s="11">
        <f>94+12</f>
        <v>106</v>
      </c>
    </row>
    <row r="76" spans="1:14" x14ac:dyDescent="0.3">
      <c r="A76" s="2">
        <f>WORKDAY.INTL(A75,1,,'Don''t Change'!$A$2:$A$6)</f>
        <v>46224</v>
      </c>
      <c r="B76">
        <f t="shared" si="7"/>
        <v>30</v>
      </c>
      <c r="C76" t="str">
        <f t="shared" si="8"/>
        <v>July</v>
      </c>
      <c r="D76" s="11">
        <f>34*15*96+2*96</f>
        <v>49152</v>
      </c>
      <c r="E76" s="11">
        <f>22*15*96+10*96+11*96</f>
        <v>33696</v>
      </c>
      <c r="F76" s="11">
        <f>29*15*35+5*35</f>
        <v>15400</v>
      </c>
      <c r="H76" s="11">
        <f>27*15*35+2*35</f>
        <v>14245</v>
      </c>
      <c r="J76" s="11">
        <f>121+26</f>
        <v>147</v>
      </c>
      <c r="K76" s="11">
        <f>104+26</f>
        <v>130</v>
      </c>
      <c r="L76" s="11">
        <v>322</v>
      </c>
      <c r="N76" s="11">
        <f>64+84</f>
        <v>148</v>
      </c>
    </row>
    <row r="77" spans="1:14" x14ac:dyDescent="0.3">
      <c r="A77" s="2">
        <f>WORKDAY.INTL(A76,1,,'Don''t Change'!$A$2:$A$6)</f>
        <v>46225</v>
      </c>
      <c r="B77">
        <f t="shared" si="7"/>
        <v>30</v>
      </c>
      <c r="C77" t="str">
        <f t="shared" si="8"/>
        <v>July</v>
      </c>
      <c r="D77" s="11">
        <f>7*15*96+14.5*96+20*15*96+12*96</f>
        <v>41424</v>
      </c>
      <c r="E77" s="11">
        <f>5*15*96+13*96+16*15*96+4*96</f>
        <v>31872</v>
      </c>
      <c r="F77" s="11">
        <f>21*15*35+10*35</f>
        <v>11375</v>
      </c>
      <c r="H77" s="11">
        <f>23*15*35+7.5*35+2.5*35</f>
        <v>12425</v>
      </c>
      <c r="J77" s="11">
        <f>54+100+218</f>
        <v>372</v>
      </c>
      <c r="K77" s="11">
        <f>50+88</f>
        <v>138</v>
      </c>
      <c r="L77" s="11">
        <f>78+195</f>
        <v>273</v>
      </c>
      <c r="N77" s="11">
        <f>44+195</f>
        <v>239</v>
      </c>
    </row>
    <row r="78" spans="1:14" x14ac:dyDescent="0.3">
      <c r="A78" s="2">
        <f>WORKDAY.INTL(A77,1,,'Don''t Change'!$A$2:$A$6)</f>
        <v>46226</v>
      </c>
      <c r="B78">
        <f t="shared" si="7"/>
        <v>30</v>
      </c>
      <c r="C78" t="str">
        <f t="shared" si="8"/>
        <v>July</v>
      </c>
      <c r="D78" s="11">
        <f>28*15*96+4*96</f>
        <v>40704</v>
      </c>
      <c r="E78" s="11">
        <f>24*15*96</f>
        <v>34560</v>
      </c>
      <c r="F78" s="11">
        <f>20*15*35+3.5*35</f>
        <v>10622.5</v>
      </c>
      <c r="H78" s="11">
        <f>20*15*35+12*35</f>
        <v>10920</v>
      </c>
      <c r="J78" s="11">
        <f>131+34</f>
        <v>165</v>
      </c>
      <c r="K78" s="11">
        <f>174+34</f>
        <v>208</v>
      </c>
      <c r="L78" s="11">
        <v>97</v>
      </c>
      <c r="N78" s="11">
        <v>80</v>
      </c>
    </row>
    <row r="79" spans="1:14" x14ac:dyDescent="0.3">
      <c r="A79" s="2">
        <f>WORKDAY.INTL(A78,1,,'Don''t Change'!$A$2:$A$6)</f>
        <v>46227</v>
      </c>
      <c r="B79">
        <f t="shared" si="7"/>
        <v>30</v>
      </c>
      <c r="C79" t="str">
        <f t="shared" si="8"/>
        <v>July</v>
      </c>
    </row>
    <row r="80" spans="1:14" x14ac:dyDescent="0.3">
      <c r="A80" s="2">
        <f>WORKDAY.INTL(A79,1,,'Don''t Change'!$A$2:$A$6)</f>
        <v>46230</v>
      </c>
      <c r="B80">
        <f t="shared" si="7"/>
        <v>31</v>
      </c>
      <c r="C80" t="str">
        <f t="shared" si="8"/>
        <v>July</v>
      </c>
      <c r="D80" s="11">
        <f>23*15*96+3*96</f>
        <v>33408</v>
      </c>
      <c r="E80" s="11">
        <f>16*15*96</f>
        <v>23040</v>
      </c>
      <c r="F80" s="11">
        <f>33*15*35+14.5*35</f>
        <v>17832.5</v>
      </c>
      <c r="H80" s="11">
        <f>14*15*35+210</f>
        <v>7560</v>
      </c>
      <c r="J80" s="11">
        <v>212</v>
      </c>
      <c r="K80" s="11">
        <v>212</v>
      </c>
      <c r="L80" s="11">
        <v>75</v>
      </c>
      <c r="N80" s="11">
        <v>108</v>
      </c>
    </row>
    <row r="81" spans="1:14" x14ac:dyDescent="0.3">
      <c r="A81" s="2">
        <f>WORKDAY.INTL(A80,1,,'Don''t Change'!$A$2:$A$6)</f>
        <v>46231</v>
      </c>
      <c r="B81">
        <f t="shared" si="7"/>
        <v>31</v>
      </c>
      <c r="C81" t="str">
        <f t="shared" si="8"/>
        <v>July</v>
      </c>
      <c r="D81" s="11">
        <v>23760</v>
      </c>
      <c r="E81" s="11">
        <v>25128</v>
      </c>
      <c r="F81" s="11">
        <v>15172</v>
      </c>
      <c r="H81" s="11">
        <v>14490</v>
      </c>
      <c r="J81" s="11">
        <v>0</v>
      </c>
      <c r="K81" s="11">
        <v>0</v>
      </c>
      <c r="L81" s="11">
        <v>46</v>
      </c>
      <c r="N81" s="11">
        <v>66</v>
      </c>
    </row>
    <row r="82" spans="1:14" x14ac:dyDescent="0.3">
      <c r="A82" s="2">
        <f>WORKDAY.INTL(A81,1,,'Don''t Change'!$A$2:$A$6)</f>
        <v>46232</v>
      </c>
      <c r="B82">
        <f t="shared" si="7"/>
        <v>31</v>
      </c>
      <c r="C82" t="str">
        <f t="shared" si="8"/>
        <v>July</v>
      </c>
      <c r="D82" s="11">
        <f>14*1440+8*96</f>
        <v>20928</v>
      </c>
      <c r="E82" s="11">
        <f>27*1440+12*96</f>
        <v>40032</v>
      </c>
      <c r="F82" s="11">
        <f>32*15*35+6*35</f>
        <v>17010</v>
      </c>
      <c r="H82" s="11">
        <f>33*15*35+5.5*35</f>
        <v>17517.5</v>
      </c>
      <c r="J82" s="11">
        <f>84+74</f>
        <v>158</v>
      </c>
      <c r="K82" s="11">
        <v>212.85</v>
      </c>
      <c r="L82" s="11">
        <f>435+210</f>
        <v>645</v>
      </c>
      <c r="N82" s="11">
        <f>435+54</f>
        <v>489</v>
      </c>
    </row>
    <row r="83" spans="1:14" x14ac:dyDescent="0.3">
      <c r="A83" s="2">
        <f>WORKDAY.INTL(A82,1,,'Don''t Change'!$A$2:$A$6)</f>
        <v>46233</v>
      </c>
      <c r="B83">
        <f t="shared" si="7"/>
        <v>31</v>
      </c>
      <c r="C83" t="str">
        <f t="shared" si="8"/>
        <v>July</v>
      </c>
    </row>
    <row r="84" spans="1:14" x14ac:dyDescent="0.3">
      <c r="A84" s="2">
        <f>WORKDAY.INTL(A83,1,,'Don''t Change'!$A$2:$A$6)</f>
        <v>46234</v>
      </c>
      <c r="B84">
        <f t="shared" si="7"/>
        <v>31</v>
      </c>
      <c r="C84" t="str">
        <f t="shared" si="8"/>
        <v>July</v>
      </c>
    </row>
    <row r="85" spans="1:14" x14ac:dyDescent="0.3">
      <c r="A85" s="2">
        <f>WORKDAY.INTL(A84,1,,'Don''t Change'!$A$2:$A$6)</f>
        <v>46237</v>
      </c>
      <c r="B85">
        <f t="shared" si="7"/>
        <v>32</v>
      </c>
      <c r="C85" t="str">
        <f t="shared" si="8"/>
        <v>August</v>
      </c>
    </row>
    <row r="86" spans="1:14" x14ac:dyDescent="0.3">
      <c r="A86" s="2">
        <f>WORKDAY.INTL(A85,1,,'Don''t Change'!$A$2:$A$6)</f>
        <v>46238</v>
      </c>
      <c r="B86">
        <f t="shared" si="7"/>
        <v>32</v>
      </c>
      <c r="C86" t="str">
        <f t="shared" si="8"/>
        <v>August</v>
      </c>
    </row>
    <row r="87" spans="1:14" x14ac:dyDescent="0.3">
      <c r="A87" s="2">
        <f>WORKDAY.INTL(A86,1,,'Don''t Change'!$A$2:$A$6)</f>
        <v>46239</v>
      </c>
      <c r="B87">
        <f t="shared" si="7"/>
        <v>32</v>
      </c>
      <c r="C87" t="str">
        <f t="shared" si="8"/>
        <v>August</v>
      </c>
    </row>
    <row r="88" spans="1:14" x14ac:dyDescent="0.3">
      <c r="A88" s="2">
        <f>WORKDAY.INTL(A87,1,,'Don''t Change'!$A$2:$A$6)</f>
        <v>46240</v>
      </c>
      <c r="B88">
        <f t="shared" si="7"/>
        <v>32</v>
      </c>
      <c r="C88" t="str">
        <f t="shared" si="8"/>
        <v>August</v>
      </c>
    </row>
    <row r="89" spans="1:14" x14ac:dyDescent="0.3">
      <c r="A89" s="2">
        <f>WORKDAY.INTL(A88,1,,'Don''t Change'!$A$2:$A$6)</f>
        <v>46241</v>
      </c>
      <c r="B89">
        <f t="shared" si="7"/>
        <v>32</v>
      </c>
      <c r="C89" t="str">
        <f t="shared" si="8"/>
        <v>August</v>
      </c>
    </row>
    <row r="90" spans="1:14" x14ac:dyDescent="0.3">
      <c r="A90" s="2">
        <f>WORKDAY.INTL(A89,1,,'Don''t Change'!$A$2:$A$6)</f>
        <v>46244</v>
      </c>
      <c r="B90">
        <f t="shared" si="7"/>
        <v>33</v>
      </c>
      <c r="C90" t="str">
        <f t="shared" si="8"/>
        <v>August</v>
      </c>
    </row>
    <row r="91" spans="1:14" x14ac:dyDescent="0.3">
      <c r="A91" s="2">
        <f>WORKDAY.INTL(A90,1,,'Don''t Change'!$A$2:$A$6)</f>
        <v>46245</v>
      </c>
      <c r="B91">
        <f t="shared" si="7"/>
        <v>33</v>
      </c>
      <c r="C91" t="str">
        <f t="shared" si="8"/>
        <v>August</v>
      </c>
    </row>
    <row r="92" spans="1:14" x14ac:dyDescent="0.3">
      <c r="A92" s="2">
        <f>WORKDAY.INTL(A91,1,,'Don''t Change'!$A$2:$A$6)</f>
        <v>46246</v>
      </c>
      <c r="B92">
        <f t="shared" si="7"/>
        <v>33</v>
      </c>
      <c r="C92" t="str">
        <f t="shared" si="8"/>
        <v>August</v>
      </c>
    </row>
    <row r="93" spans="1:14" x14ac:dyDescent="0.3">
      <c r="A93" s="2">
        <f>WORKDAY.INTL(A92,1,,'Don''t Change'!$A$2:$A$6)</f>
        <v>46247</v>
      </c>
      <c r="B93">
        <f t="shared" ref="B93:B156" si="9">+WEEKNUM(A93)</f>
        <v>33</v>
      </c>
      <c r="C93" t="str">
        <f t="shared" si="8"/>
        <v>August</v>
      </c>
    </row>
    <row r="94" spans="1:14" x14ac:dyDescent="0.3">
      <c r="A94" s="2">
        <f>WORKDAY.INTL(A93,1,,'Don''t Change'!$A$2:$A$6)</f>
        <v>46248</v>
      </c>
      <c r="B94">
        <f t="shared" si="9"/>
        <v>33</v>
      </c>
      <c r="C94" t="str">
        <f t="shared" si="8"/>
        <v>August</v>
      </c>
    </row>
    <row r="95" spans="1:14" x14ac:dyDescent="0.3">
      <c r="A95" s="2">
        <f>WORKDAY.INTL(A94,1,,'Don''t Change'!$A$2:$A$6)</f>
        <v>46251</v>
      </c>
      <c r="B95">
        <f t="shared" si="9"/>
        <v>34</v>
      </c>
      <c r="C95" t="str">
        <f t="shared" si="8"/>
        <v>August</v>
      </c>
    </row>
    <row r="96" spans="1:14" x14ac:dyDescent="0.3">
      <c r="A96" s="2">
        <f>WORKDAY.INTL(A95,1,,'Don''t Change'!$A$2:$A$6)</f>
        <v>46252</v>
      </c>
      <c r="B96">
        <f t="shared" si="9"/>
        <v>34</v>
      </c>
      <c r="C96" t="str">
        <f t="shared" si="8"/>
        <v>August</v>
      </c>
    </row>
    <row r="97" spans="1:3" x14ac:dyDescent="0.3">
      <c r="A97" s="2">
        <f>WORKDAY.INTL(A96,1,,'Don''t Change'!$A$2:$A$6)</f>
        <v>46253</v>
      </c>
      <c r="B97">
        <f t="shared" si="9"/>
        <v>34</v>
      </c>
      <c r="C97" t="str">
        <f t="shared" si="8"/>
        <v>August</v>
      </c>
    </row>
    <row r="98" spans="1:3" x14ac:dyDescent="0.3">
      <c r="A98" s="2">
        <f>WORKDAY.INTL(A97,1,,'Don''t Change'!$A$2:$A$6)</f>
        <v>46254</v>
      </c>
      <c r="B98">
        <f t="shared" si="9"/>
        <v>34</v>
      </c>
      <c r="C98" t="str">
        <f t="shared" si="8"/>
        <v>August</v>
      </c>
    </row>
    <row r="99" spans="1:3" x14ac:dyDescent="0.3">
      <c r="A99" s="2">
        <f>WORKDAY.INTL(A98,1,,'Don''t Change'!$A$2:$A$6)</f>
        <v>46255</v>
      </c>
      <c r="B99">
        <f t="shared" si="9"/>
        <v>34</v>
      </c>
      <c r="C99" t="str">
        <f t="shared" si="8"/>
        <v>August</v>
      </c>
    </row>
    <row r="100" spans="1:3" x14ac:dyDescent="0.3">
      <c r="A100" s="2">
        <f>WORKDAY.INTL(A99,1,,'Don''t Change'!$A$2:$A$6)</f>
        <v>46258</v>
      </c>
      <c r="B100">
        <f t="shared" si="9"/>
        <v>35</v>
      </c>
      <c r="C100" t="str">
        <f t="shared" si="8"/>
        <v>August</v>
      </c>
    </row>
    <row r="101" spans="1:3" x14ac:dyDescent="0.3">
      <c r="A101" s="2">
        <f>WORKDAY.INTL(A100,1,,'Don''t Change'!$A$2:$A$6)</f>
        <v>46259</v>
      </c>
      <c r="B101">
        <f t="shared" si="9"/>
        <v>35</v>
      </c>
      <c r="C101" t="str">
        <f t="shared" si="8"/>
        <v>August</v>
      </c>
    </row>
    <row r="102" spans="1:3" x14ac:dyDescent="0.3">
      <c r="A102" s="2">
        <f>WORKDAY.INTL(A101,1,,'Don''t Change'!$A$2:$A$6)</f>
        <v>46260</v>
      </c>
      <c r="B102">
        <f t="shared" si="9"/>
        <v>35</v>
      </c>
      <c r="C102" t="str">
        <f t="shared" si="8"/>
        <v>August</v>
      </c>
    </row>
    <row r="103" spans="1:3" x14ac:dyDescent="0.3">
      <c r="A103" s="2">
        <f>WORKDAY.INTL(A102,1,,'Don''t Change'!$A$2:$A$6)</f>
        <v>46261</v>
      </c>
      <c r="B103">
        <f t="shared" si="9"/>
        <v>35</v>
      </c>
      <c r="C103" t="str">
        <f t="shared" si="8"/>
        <v>August</v>
      </c>
    </row>
    <row r="104" spans="1:3" x14ac:dyDescent="0.3">
      <c r="A104" s="2">
        <f>WORKDAY.INTL(A103,1,,'Don''t Change'!$A$2:$A$6)</f>
        <v>46262</v>
      </c>
      <c r="B104">
        <f t="shared" si="9"/>
        <v>35</v>
      </c>
      <c r="C104" t="str">
        <f t="shared" si="8"/>
        <v>August</v>
      </c>
    </row>
    <row r="105" spans="1:3" x14ac:dyDescent="0.3">
      <c r="A105" s="2">
        <f>WORKDAY.INTL(A104,1,,'Don''t Change'!$A$2:$A$6)</f>
        <v>46265</v>
      </c>
      <c r="B105">
        <f t="shared" si="9"/>
        <v>36</v>
      </c>
      <c r="C105" t="str">
        <f t="shared" si="8"/>
        <v>August</v>
      </c>
    </row>
    <row r="106" spans="1:3" x14ac:dyDescent="0.3">
      <c r="A106" s="2">
        <f>WORKDAY.INTL(A105,1,,'Don''t Change'!$A$2:$A$6)</f>
        <v>46266</v>
      </c>
      <c r="B106">
        <f t="shared" si="9"/>
        <v>36</v>
      </c>
      <c r="C106" t="str">
        <f t="shared" si="8"/>
        <v>September</v>
      </c>
    </row>
    <row r="107" spans="1:3" x14ac:dyDescent="0.3">
      <c r="A107" s="2">
        <f>WORKDAY.INTL(A106,1,,'Don''t Change'!$A$2:$A$6)</f>
        <v>46267</v>
      </c>
      <c r="B107">
        <f t="shared" si="9"/>
        <v>36</v>
      </c>
      <c r="C107" t="str">
        <f t="shared" si="8"/>
        <v>September</v>
      </c>
    </row>
    <row r="108" spans="1:3" x14ac:dyDescent="0.3">
      <c r="A108" s="2">
        <f>WORKDAY.INTL(A107,1,,'Don''t Change'!$A$2:$A$6)</f>
        <v>46268</v>
      </c>
      <c r="B108">
        <f t="shared" si="9"/>
        <v>36</v>
      </c>
      <c r="C108" t="str">
        <f t="shared" si="8"/>
        <v>September</v>
      </c>
    </row>
    <row r="109" spans="1:3" x14ac:dyDescent="0.3">
      <c r="A109" s="2">
        <f>WORKDAY.INTL(A108,1,,'Don''t Change'!$A$2:$A$6)</f>
        <v>46269</v>
      </c>
      <c r="B109">
        <f t="shared" si="9"/>
        <v>36</v>
      </c>
      <c r="C109" t="str">
        <f t="shared" si="8"/>
        <v>September</v>
      </c>
    </row>
    <row r="110" spans="1:3" x14ac:dyDescent="0.3">
      <c r="A110" s="2">
        <f>WORKDAY.INTL(A109,1,,'Don''t Change'!$A$2:$A$6)</f>
        <v>46273</v>
      </c>
      <c r="B110">
        <f t="shared" si="9"/>
        <v>37</v>
      </c>
      <c r="C110" t="str">
        <f t="shared" si="8"/>
        <v>September</v>
      </c>
    </row>
    <row r="111" spans="1:3" x14ac:dyDescent="0.3">
      <c r="A111" s="2">
        <f>WORKDAY.INTL(A110,1,,'Don''t Change'!$A$2:$A$6)</f>
        <v>46274</v>
      </c>
      <c r="B111">
        <f t="shared" si="9"/>
        <v>37</v>
      </c>
      <c r="C111" t="str">
        <f t="shared" si="8"/>
        <v>September</v>
      </c>
    </row>
    <row r="112" spans="1:3" x14ac:dyDescent="0.3">
      <c r="A112" s="2">
        <f>WORKDAY.INTL(A111,1,,'Don''t Change'!$A$2:$A$6)</f>
        <v>46275</v>
      </c>
      <c r="B112">
        <f t="shared" si="9"/>
        <v>37</v>
      </c>
      <c r="C112" t="str">
        <f t="shared" si="8"/>
        <v>September</v>
      </c>
    </row>
    <row r="113" spans="1:3" x14ac:dyDescent="0.3">
      <c r="A113" s="2">
        <f>WORKDAY.INTL(A112,1,,'Don''t Change'!$A$2:$A$6)</f>
        <v>46276</v>
      </c>
      <c r="B113">
        <f t="shared" si="9"/>
        <v>37</v>
      </c>
      <c r="C113" t="str">
        <f t="shared" si="8"/>
        <v>September</v>
      </c>
    </row>
    <row r="114" spans="1:3" x14ac:dyDescent="0.3">
      <c r="A114" s="2">
        <f>WORKDAY.INTL(A113,1,,'Don''t Change'!$A$2:$A$6)</f>
        <v>46279</v>
      </c>
      <c r="B114">
        <f t="shared" si="9"/>
        <v>38</v>
      </c>
      <c r="C114" t="str">
        <f t="shared" si="8"/>
        <v>September</v>
      </c>
    </row>
    <row r="115" spans="1:3" x14ac:dyDescent="0.3">
      <c r="A115" s="2">
        <f>WORKDAY.INTL(A114,1,,'Don''t Change'!$A$2:$A$6)</f>
        <v>46280</v>
      </c>
      <c r="B115">
        <f t="shared" si="9"/>
        <v>38</v>
      </c>
      <c r="C115" t="str">
        <f t="shared" si="8"/>
        <v>September</v>
      </c>
    </row>
    <row r="116" spans="1:3" x14ac:dyDescent="0.3">
      <c r="A116" s="2">
        <f>WORKDAY.INTL(A115,1,,'Don''t Change'!$A$2:$A$6)</f>
        <v>46281</v>
      </c>
      <c r="B116">
        <f t="shared" si="9"/>
        <v>38</v>
      </c>
      <c r="C116" t="str">
        <f t="shared" si="8"/>
        <v>September</v>
      </c>
    </row>
    <row r="117" spans="1:3" x14ac:dyDescent="0.3">
      <c r="A117" s="2">
        <f>WORKDAY.INTL(A116,1,,'Don''t Change'!$A$2:$A$6)</f>
        <v>46282</v>
      </c>
      <c r="B117">
        <f t="shared" si="9"/>
        <v>38</v>
      </c>
      <c r="C117" t="str">
        <f t="shared" si="8"/>
        <v>September</v>
      </c>
    </row>
    <row r="118" spans="1:3" x14ac:dyDescent="0.3">
      <c r="A118" s="2">
        <f>WORKDAY.INTL(A117,1,,'Don''t Change'!$A$2:$A$6)</f>
        <v>46283</v>
      </c>
      <c r="B118">
        <f t="shared" si="9"/>
        <v>38</v>
      </c>
      <c r="C118" t="str">
        <f t="shared" si="8"/>
        <v>September</v>
      </c>
    </row>
    <row r="119" spans="1:3" x14ac:dyDescent="0.3">
      <c r="A119" s="2">
        <f>WORKDAY.INTL(A118,1,,'Don''t Change'!$A$2:$A$6)</f>
        <v>46286</v>
      </c>
      <c r="B119">
        <f t="shared" si="9"/>
        <v>39</v>
      </c>
      <c r="C119" t="str">
        <f t="shared" si="8"/>
        <v>September</v>
      </c>
    </row>
    <row r="120" spans="1:3" x14ac:dyDescent="0.3">
      <c r="A120" s="2">
        <f>WORKDAY.INTL(A119,1,,'Don''t Change'!$A$2:$A$6)</f>
        <v>46287</v>
      </c>
      <c r="B120">
        <f t="shared" si="9"/>
        <v>39</v>
      </c>
      <c r="C120" t="str">
        <f t="shared" si="8"/>
        <v>September</v>
      </c>
    </row>
    <row r="121" spans="1:3" x14ac:dyDescent="0.3">
      <c r="A121" s="2">
        <f>WORKDAY.INTL(A120,1,,'Don''t Change'!$A$2:$A$6)</f>
        <v>46288</v>
      </c>
      <c r="B121">
        <f t="shared" si="9"/>
        <v>39</v>
      </c>
      <c r="C121" t="str">
        <f t="shared" si="8"/>
        <v>September</v>
      </c>
    </row>
    <row r="122" spans="1:3" x14ac:dyDescent="0.3">
      <c r="A122" s="2">
        <f>WORKDAY.INTL(A121,1,,'Don''t Change'!$A$2:$A$6)</f>
        <v>46289</v>
      </c>
      <c r="B122">
        <f t="shared" si="9"/>
        <v>39</v>
      </c>
      <c r="C122" t="str">
        <f t="shared" si="8"/>
        <v>September</v>
      </c>
    </row>
    <row r="123" spans="1:3" x14ac:dyDescent="0.3">
      <c r="A123" s="2">
        <f>WORKDAY.INTL(A122,1,,'Don''t Change'!$A$2:$A$6)</f>
        <v>46290</v>
      </c>
      <c r="B123">
        <f t="shared" si="9"/>
        <v>39</v>
      </c>
      <c r="C123" t="str">
        <f t="shared" si="8"/>
        <v>September</v>
      </c>
    </row>
    <row r="124" spans="1:3" x14ac:dyDescent="0.3">
      <c r="A124" s="2">
        <f>WORKDAY.INTL(A123,1,,'Don''t Change'!$A$2:$A$6)</f>
        <v>46293</v>
      </c>
      <c r="B124">
        <f t="shared" si="9"/>
        <v>40</v>
      </c>
      <c r="C124" t="str">
        <f t="shared" si="8"/>
        <v>September</v>
      </c>
    </row>
    <row r="125" spans="1:3" x14ac:dyDescent="0.3">
      <c r="A125" s="2">
        <f>WORKDAY.INTL(A124,1,,'Don''t Change'!$A$2:$A$6)</f>
        <v>46294</v>
      </c>
      <c r="B125">
        <f t="shared" si="9"/>
        <v>40</v>
      </c>
      <c r="C125" t="str">
        <f t="shared" si="8"/>
        <v>September</v>
      </c>
    </row>
    <row r="126" spans="1:3" x14ac:dyDescent="0.3">
      <c r="A126" s="2">
        <f>WORKDAY.INTL(A125,1,,'Don''t Change'!$A$2:$A$6)</f>
        <v>46295</v>
      </c>
      <c r="B126">
        <f t="shared" si="9"/>
        <v>40</v>
      </c>
      <c r="C126" t="str">
        <f t="shared" si="8"/>
        <v>September</v>
      </c>
    </row>
    <row r="127" spans="1:3" x14ac:dyDescent="0.3">
      <c r="A127" s="2">
        <f>WORKDAY.INTL(A126,1,,'Don''t Change'!$A$2:$A$6)</f>
        <v>46296</v>
      </c>
      <c r="B127">
        <f t="shared" si="9"/>
        <v>40</v>
      </c>
      <c r="C127" t="str">
        <f t="shared" si="8"/>
        <v>October</v>
      </c>
    </row>
    <row r="128" spans="1:3" x14ac:dyDescent="0.3">
      <c r="A128" s="2">
        <f>WORKDAY.INTL(A127,1,,'Don''t Change'!$A$2:$A$6)</f>
        <v>46297</v>
      </c>
      <c r="B128">
        <f t="shared" si="9"/>
        <v>40</v>
      </c>
      <c r="C128" t="str">
        <f t="shared" si="8"/>
        <v>October</v>
      </c>
    </row>
    <row r="129" spans="1:3" x14ac:dyDescent="0.3">
      <c r="A129" s="2">
        <f>WORKDAY.INTL(A128,1,,'Don''t Change'!$A$2:$A$6)</f>
        <v>46300</v>
      </c>
      <c r="B129">
        <f t="shared" si="9"/>
        <v>41</v>
      </c>
      <c r="C129" t="str">
        <f t="shared" si="8"/>
        <v>October</v>
      </c>
    </row>
    <row r="130" spans="1:3" x14ac:dyDescent="0.3">
      <c r="A130" s="2">
        <f>WORKDAY.INTL(A129,1,,'Don''t Change'!$A$2:$A$6)</f>
        <v>46301</v>
      </c>
      <c r="B130">
        <f t="shared" si="9"/>
        <v>41</v>
      </c>
      <c r="C130" t="str">
        <f t="shared" si="8"/>
        <v>October</v>
      </c>
    </row>
    <row r="131" spans="1:3" x14ac:dyDescent="0.3">
      <c r="A131" s="2">
        <f>WORKDAY.INTL(A130,1,,'Don''t Change'!$A$2:$A$6)</f>
        <v>46302</v>
      </c>
      <c r="B131">
        <f t="shared" si="9"/>
        <v>41</v>
      </c>
      <c r="C131" t="str">
        <f t="shared" si="8"/>
        <v>October</v>
      </c>
    </row>
    <row r="132" spans="1:3" x14ac:dyDescent="0.3">
      <c r="A132" s="2">
        <f>WORKDAY.INTL(A131,1,,'Don''t Change'!$A$2:$A$6)</f>
        <v>46303</v>
      </c>
      <c r="B132">
        <f t="shared" si="9"/>
        <v>41</v>
      </c>
      <c r="C132" t="str">
        <f t="shared" ref="C132:C188" si="10">+TEXT(A132,"mmmm")</f>
        <v>October</v>
      </c>
    </row>
    <row r="133" spans="1:3" x14ac:dyDescent="0.3">
      <c r="A133" s="2">
        <f>WORKDAY.INTL(A132,1,,'Don''t Change'!$A$2:$A$6)</f>
        <v>46304</v>
      </c>
      <c r="B133">
        <f t="shared" si="9"/>
        <v>41</v>
      </c>
      <c r="C133" t="str">
        <f t="shared" si="10"/>
        <v>October</v>
      </c>
    </row>
    <row r="134" spans="1:3" x14ac:dyDescent="0.3">
      <c r="A134" s="2">
        <f>WORKDAY.INTL(A133,1,,'Don''t Change'!$A$2:$A$6)</f>
        <v>46307</v>
      </c>
      <c r="B134">
        <f t="shared" si="9"/>
        <v>42</v>
      </c>
      <c r="C134" t="str">
        <f t="shared" si="10"/>
        <v>October</v>
      </c>
    </row>
    <row r="135" spans="1:3" x14ac:dyDescent="0.3">
      <c r="A135" s="2">
        <f>WORKDAY.INTL(A134,1,,'Don''t Change'!$A$2:$A$6)</f>
        <v>46308</v>
      </c>
      <c r="B135">
        <f t="shared" si="9"/>
        <v>42</v>
      </c>
      <c r="C135" t="str">
        <f t="shared" si="10"/>
        <v>October</v>
      </c>
    </row>
    <row r="136" spans="1:3" x14ac:dyDescent="0.3">
      <c r="A136" s="2">
        <f>WORKDAY.INTL(A135,1,,'Don''t Change'!$A$2:$A$6)</f>
        <v>46309</v>
      </c>
      <c r="B136">
        <f t="shared" si="9"/>
        <v>42</v>
      </c>
      <c r="C136" t="str">
        <f t="shared" si="10"/>
        <v>October</v>
      </c>
    </row>
    <row r="137" spans="1:3" x14ac:dyDescent="0.3">
      <c r="A137" s="2">
        <f>WORKDAY.INTL(A136,1,,'Don''t Change'!$A$2:$A$6)</f>
        <v>46310</v>
      </c>
      <c r="B137">
        <f t="shared" si="9"/>
        <v>42</v>
      </c>
      <c r="C137" t="str">
        <f t="shared" si="10"/>
        <v>October</v>
      </c>
    </row>
    <row r="138" spans="1:3" x14ac:dyDescent="0.3">
      <c r="A138" s="2">
        <f>WORKDAY.INTL(A137,1,,'Don''t Change'!$A$2:$A$6)</f>
        <v>46311</v>
      </c>
      <c r="B138">
        <f t="shared" si="9"/>
        <v>42</v>
      </c>
      <c r="C138" t="str">
        <f t="shared" si="10"/>
        <v>October</v>
      </c>
    </row>
    <row r="139" spans="1:3" x14ac:dyDescent="0.3">
      <c r="A139" s="2">
        <f>WORKDAY.INTL(A138,1,,'Don''t Change'!$A$2:$A$6)</f>
        <v>46314</v>
      </c>
      <c r="B139">
        <f t="shared" si="9"/>
        <v>43</v>
      </c>
      <c r="C139" t="str">
        <f t="shared" si="10"/>
        <v>October</v>
      </c>
    </row>
    <row r="140" spans="1:3" x14ac:dyDescent="0.3">
      <c r="A140" s="2">
        <f>WORKDAY.INTL(A139,1,,'Don''t Change'!$A$2:$A$6)</f>
        <v>46315</v>
      </c>
      <c r="B140">
        <f t="shared" si="9"/>
        <v>43</v>
      </c>
      <c r="C140" t="str">
        <f t="shared" si="10"/>
        <v>October</v>
      </c>
    </row>
    <row r="141" spans="1:3" x14ac:dyDescent="0.3">
      <c r="A141" s="2">
        <f>WORKDAY.INTL(A140,1,,'Don''t Change'!$A$2:$A$6)</f>
        <v>46316</v>
      </c>
      <c r="B141">
        <f t="shared" si="9"/>
        <v>43</v>
      </c>
      <c r="C141" t="str">
        <f t="shared" si="10"/>
        <v>October</v>
      </c>
    </row>
    <row r="142" spans="1:3" x14ac:dyDescent="0.3">
      <c r="A142" s="2">
        <f>WORKDAY.INTL(A141,1,,'Don''t Change'!$A$2:$A$6)</f>
        <v>46317</v>
      </c>
      <c r="B142">
        <f t="shared" si="9"/>
        <v>43</v>
      </c>
      <c r="C142" t="str">
        <f t="shared" si="10"/>
        <v>October</v>
      </c>
    </row>
    <row r="143" spans="1:3" x14ac:dyDescent="0.3">
      <c r="A143" s="2">
        <f>WORKDAY.INTL(A142,1,,'Don''t Change'!$A$2:$A$6)</f>
        <v>46318</v>
      </c>
      <c r="B143">
        <f t="shared" si="9"/>
        <v>43</v>
      </c>
      <c r="C143" t="str">
        <f t="shared" si="10"/>
        <v>October</v>
      </c>
    </row>
    <row r="144" spans="1:3" x14ac:dyDescent="0.3">
      <c r="A144" s="2">
        <f>WORKDAY.INTL(A143,1,,'Don''t Change'!$A$2:$A$6)</f>
        <v>46321</v>
      </c>
      <c r="B144">
        <f t="shared" si="9"/>
        <v>44</v>
      </c>
      <c r="C144" t="str">
        <f t="shared" si="10"/>
        <v>October</v>
      </c>
    </row>
    <row r="145" spans="1:3" x14ac:dyDescent="0.3">
      <c r="A145" s="2">
        <f>WORKDAY.INTL(A144,1,,'Don''t Change'!$A$2:$A$6)</f>
        <v>46322</v>
      </c>
      <c r="B145">
        <f t="shared" si="9"/>
        <v>44</v>
      </c>
      <c r="C145" t="str">
        <f t="shared" si="10"/>
        <v>October</v>
      </c>
    </row>
    <row r="146" spans="1:3" x14ac:dyDescent="0.3">
      <c r="A146" s="2">
        <f>WORKDAY.INTL(A145,1,,'Don''t Change'!$A$2:$A$6)</f>
        <v>46323</v>
      </c>
      <c r="B146">
        <f t="shared" si="9"/>
        <v>44</v>
      </c>
      <c r="C146" t="str">
        <f t="shared" si="10"/>
        <v>October</v>
      </c>
    </row>
    <row r="147" spans="1:3" x14ac:dyDescent="0.3">
      <c r="A147" s="2">
        <f>WORKDAY.INTL(A146,1,,'Don''t Change'!$A$2:$A$6)</f>
        <v>46324</v>
      </c>
      <c r="B147">
        <f t="shared" si="9"/>
        <v>44</v>
      </c>
      <c r="C147" t="str">
        <f t="shared" si="10"/>
        <v>October</v>
      </c>
    </row>
    <row r="148" spans="1:3" x14ac:dyDescent="0.3">
      <c r="A148" s="2">
        <f>WORKDAY.INTL(A147,1,,'Don''t Change'!$A$2:$A$6)</f>
        <v>46325</v>
      </c>
      <c r="B148">
        <f t="shared" si="9"/>
        <v>44</v>
      </c>
      <c r="C148" t="str">
        <f t="shared" si="10"/>
        <v>October</v>
      </c>
    </row>
    <row r="149" spans="1:3" x14ac:dyDescent="0.3">
      <c r="A149" s="2">
        <f>WORKDAY.INTL(A148,1,,'Don''t Change'!$A$2:$A$6)</f>
        <v>46328</v>
      </c>
      <c r="B149">
        <f t="shared" si="9"/>
        <v>45</v>
      </c>
      <c r="C149" t="str">
        <f t="shared" si="10"/>
        <v>November</v>
      </c>
    </row>
    <row r="150" spans="1:3" x14ac:dyDescent="0.3">
      <c r="A150" s="2">
        <f>WORKDAY.INTL(A149,1,,'Don''t Change'!$A$2:$A$6)</f>
        <v>46329</v>
      </c>
      <c r="B150">
        <f t="shared" si="9"/>
        <v>45</v>
      </c>
      <c r="C150" t="str">
        <f t="shared" si="10"/>
        <v>November</v>
      </c>
    </row>
    <row r="151" spans="1:3" x14ac:dyDescent="0.3">
      <c r="A151" s="2">
        <f>WORKDAY.INTL(A150,1,,'Don''t Change'!$A$2:$A$6)</f>
        <v>46330</v>
      </c>
      <c r="B151">
        <f t="shared" si="9"/>
        <v>45</v>
      </c>
      <c r="C151" t="str">
        <f t="shared" si="10"/>
        <v>November</v>
      </c>
    </row>
    <row r="152" spans="1:3" x14ac:dyDescent="0.3">
      <c r="A152" s="2">
        <f>WORKDAY.INTL(A151,1,,'Don''t Change'!$A$2:$A$6)</f>
        <v>46331</v>
      </c>
      <c r="B152">
        <f t="shared" si="9"/>
        <v>45</v>
      </c>
      <c r="C152" t="str">
        <f t="shared" si="10"/>
        <v>November</v>
      </c>
    </row>
    <row r="153" spans="1:3" x14ac:dyDescent="0.3">
      <c r="A153" s="2">
        <f>WORKDAY.INTL(A152,1,,'Don''t Change'!$A$2:$A$6)</f>
        <v>46332</v>
      </c>
      <c r="B153">
        <f t="shared" si="9"/>
        <v>45</v>
      </c>
      <c r="C153" t="str">
        <f t="shared" si="10"/>
        <v>November</v>
      </c>
    </row>
    <row r="154" spans="1:3" x14ac:dyDescent="0.3">
      <c r="A154" s="2">
        <f>WORKDAY.INTL(A153,1,,'Don''t Change'!$A$2:$A$6)</f>
        <v>46335</v>
      </c>
      <c r="B154">
        <f t="shared" si="9"/>
        <v>46</v>
      </c>
      <c r="C154" t="str">
        <f t="shared" si="10"/>
        <v>November</v>
      </c>
    </row>
    <row r="155" spans="1:3" x14ac:dyDescent="0.3">
      <c r="A155" s="2">
        <f>WORKDAY.INTL(A154,1,,'Don''t Change'!$A$2:$A$6)</f>
        <v>46336</v>
      </c>
      <c r="B155">
        <f t="shared" si="9"/>
        <v>46</v>
      </c>
      <c r="C155" t="str">
        <f t="shared" si="10"/>
        <v>November</v>
      </c>
    </row>
    <row r="156" spans="1:3" x14ac:dyDescent="0.3">
      <c r="A156" s="2">
        <f>WORKDAY.INTL(A155,1,,'Don''t Change'!$A$2:$A$6)</f>
        <v>46337</v>
      </c>
      <c r="B156">
        <f t="shared" si="9"/>
        <v>46</v>
      </c>
      <c r="C156" t="str">
        <f t="shared" si="10"/>
        <v>November</v>
      </c>
    </row>
    <row r="157" spans="1:3" x14ac:dyDescent="0.3">
      <c r="A157" s="2">
        <f>WORKDAY.INTL(A156,1,,'Don''t Change'!$A$2:$A$6)</f>
        <v>46338</v>
      </c>
      <c r="B157">
        <f t="shared" ref="B157:B188" si="11">+WEEKNUM(A157)</f>
        <v>46</v>
      </c>
      <c r="C157" t="str">
        <f t="shared" si="10"/>
        <v>November</v>
      </c>
    </row>
    <row r="158" spans="1:3" x14ac:dyDescent="0.3">
      <c r="A158" s="2">
        <f>WORKDAY.INTL(A157,1,,'Don''t Change'!$A$2:$A$6)</f>
        <v>46339</v>
      </c>
      <c r="B158">
        <f t="shared" si="11"/>
        <v>46</v>
      </c>
      <c r="C158" t="str">
        <f t="shared" si="10"/>
        <v>November</v>
      </c>
    </row>
    <row r="159" spans="1:3" x14ac:dyDescent="0.3">
      <c r="A159" s="2">
        <f>WORKDAY.INTL(A158,1,,'Don''t Change'!$A$2:$A$6)</f>
        <v>46342</v>
      </c>
      <c r="B159">
        <f t="shared" si="11"/>
        <v>47</v>
      </c>
      <c r="C159" t="str">
        <f t="shared" si="10"/>
        <v>November</v>
      </c>
    </row>
    <row r="160" spans="1:3" x14ac:dyDescent="0.3">
      <c r="A160" s="2">
        <f>WORKDAY.INTL(A159,1,,'Don''t Change'!$A$2:$A$6)</f>
        <v>46343</v>
      </c>
      <c r="B160">
        <f t="shared" si="11"/>
        <v>47</v>
      </c>
      <c r="C160" t="str">
        <f t="shared" si="10"/>
        <v>November</v>
      </c>
    </row>
    <row r="161" spans="1:3" x14ac:dyDescent="0.3">
      <c r="A161" s="2">
        <f>WORKDAY.INTL(A160,1,,'Don''t Change'!$A$2:$A$6)</f>
        <v>46344</v>
      </c>
      <c r="B161">
        <f t="shared" si="11"/>
        <v>47</v>
      </c>
      <c r="C161" t="str">
        <f t="shared" si="10"/>
        <v>November</v>
      </c>
    </row>
    <row r="162" spans="1:3" x14ac:dyDescent="0.3">
      <c r="A162" s="2">
        <f>WORKDAY.INTL(A161,1,,'Don''t Change'!$A$2:$A$6)</f>
        <v>46345</v>
      </c>
      <c r="B162">
        <f t="shared" si="11"/>
        <v>47</v>
      </c>
      <c r="C162" t="str">
        <f t="shared" si="10"/>
        <v>November</v>
      </c>
    </row>
    <row r="163" spans="1:3" x14ac:dyDescent="0.3">
      <c r="A163" s="2">
        <f>WORKDAY.INTL(A162,1,,'Don''t Change'!$A$2:$A$6)</f>
        <v>46346</v>
      </c>
      <c r="B163">
        <f t="shared" si="11"/>
        <v>47</v>
      </c>
      <c r="C163" t="str">
        <f t="shared" si="10"/>
        <v>November</v>
      </c>
    </row>
    <row r="164" spans="1:3" x14ac:dyDescent="0.3">
      <c r="A164" s="2">
        <f>WORKDAY.INTL(A163,1,,'Don''t Change'!$A$2:$A$6)</f>
        <v>46349</v>
      </c>
      <c r="B164">
        <f t="shared" si="11"/>
        <v>48</v>
      </c>
      <c r="C164" t="str">
        <f t="shared" si="10"/>
        <v>November</v>
      </c>
    </row>
    <row r="165" spans="1:3" x14ac:dyDescent="0.3">
      <c r="A165" s="2">
        <f>WORKDAY.INTL(A164,1,,'Don''t Change'!$A$2:$A$6)</f>
        <v>46350</v>
      </c>
      <c r="B165">
        <f t="shared" si="11"/>
        <v>48</v>
      </c>
      <c r="C165" t="str">
        <f t="shared" si="10"/>
        <v>November</v>
      </c>
    </row>
    <row r="166" spans="1:3" x14ac:dyDescent="0.3">
      <c r="A166" s="2">
        <f>WORKDAY.INTL(A165,1,,'Don''t Change'!$A$2:$A$6)</f>
        <v>46351</v>
      </c>
      <c r="B166">
        <f t="shared" si="11"/>
        <v>48</v>
      </c>
      <c r="C166" t="str">
        <f t="shared" si="10"/>
        <v>November</v>
      </c>
    </row>
    <row r="167" spans="1:3" x14ac:dyDescent="0.3">
      <c r="A167" s="2">
        <f>WORKDAY.INTL(A166,1,,'Don''t Change'!$A$2:$A$6)</f>
        <v>46353</v>
      </c>
      <c r="B167">
        <f t="shared" si="11"/>
        <v>48</v>
      </c>
      <c r="C167" t="str">
        <f t="shared" si="10"/>
        <v>November</v>
      </c>
    </row>
    <row r="168" spans="1:3" x14ac:dyDescent="0.3">
      <c r="A168" s="2">
        <f>WORKDAY.INTL(A167,1,,'Don''t Change'!$A$2:$A$6)</f>
        <v>46356</v>
      </c>
      <c r="B168">
        <f t="shared" si="11"/>
        <v>49</v>
      </c>
      <c r="C168" t="str">
        <f t="shared" si="10"/>
        <v>November</v>
      </c>
    </row>
    <row r="169" spans="1:3" x14ac:dyDescent="0.3">
      <c r="A169" s="2">
        <f>WORKDAY.INTL(A168,1,,'Don''t Change'!$A$2:$A$6)</f>
        <v>46357</v>
      </c>
      <c r="B169">
        <f t="shared" si="11"/>
        <v>49</v>
      </c>
      <c r="C169" t="str">
        <f t="shared" si="10"/>
        <v>December</v>
      </c>
    </row>
    <row r="170" spans="1:3" x14ac:dyDescent="0.3">
      <c r="A170" s="2">
        <f>WORKDAY.INTL(A169,1,,'Don''t Change'!$A$2:$A$6)</f>
        <v>46358</v>
      </c>
      <c r="B170">
        <f t="shared" si="11"/>
        <v>49</v>
      </c>
      <c r="C170" t="str">
        <f t="shared" si="10"/>
        <v>December</v>
      </c>
    </row>
    <row r="171" spans="1:3" x14ac:dyDescent="0.3">
      <c r="A171" s="2">
        <f>WORKDAY.INTL(A170,1,,'Don''t Change'!$A$2:$A$6)</f>
        <v>46359</v>
      </c>
      <c r="B171">
        <f t="shared" si="11"/>
        <v>49</v>
      </c>
      <c r="C171" t="str">
        <f t="shared" si="10"/>
        <v>December</v>
      </c>
    </row>
    <row r="172" spans="1:3" x14ac:dyDescent="0.3">
      <c r="A172" s="2">
        <f>WORKDAY.INTL(A171,1,,'Don''t Change'!$A$2:$A$6)</f>
        <v>46360</v>
      </c>
      <c r="B172">
        <f t="shared" si="11"/>
        <v>49</v>
      </c>
      <c r="C172" t="str">
        <f t="shared" si="10"/>
        <v>December</v>
      </c>
    </row>
    <row r="173" spans="1:3" x14ac:dyDescent="0.3">
      <c r="A173" s="2">
        <f>WORKDAY.INTL(A172,1,,'Don''t Change'!$A$2:$A$6)</f>
        <v>46363</v>
      </c>
      <c r="B173">
        <f t="shared" si="11"/>
        <v>50</v>
      </c>
      <c r="C173" t="str">
        <f t="shared" si="10"/>
        <v>December</v>
      </c>
    </row>
    <row r="174" spans="1:3" x14ac:dyDescent="0.3">
      <c r="A174" s="2">
        <f>WORKDAY.INTL(A173,1,,'Don''t Change'!$A$2:$A$6)</f>
        <v>46364</v>
      </c>
      <c r="B174">
        <f t="shared" si="11"/>
        <v>50</v>
      </c>
      <c r="C174" t="str">
        <f t="shared" si="10"/>
        <v>December</v>
      </c>
    </row>
    <row r="175" spans="1:3" x14ac:dyDescent="0.3">
      <c r="A175" s="2">
        <f>WORKDAY.INTL(A174,1,,'Don''t Change'!$A$2:$A$6)</f>
        <v>46365</v>
      </c>
      <c r="B175">
        <f t="shared" si="11"/>
        <v>50</v>
      </c>
      <c r="C175" t="str">
        <f t="shared" si="10"/>
        <v>December</v>
      </c>
    </row>
    <row r="176" spans="1:3" x14ac:dyDescent="0.3">
      <c r="A176" s="2">
        <f>WORKDAY.INTL(A175,1,,'Don''t Change'!$A$2:$A$6)</f>
        <v>46366</v>
      </c>
      <c r="B176">
        <f t="shared" si="11"/>
        <v>50</v>
      </c>
      <c r="C176" t="str">
        <f t="shared" si="10"/>
        <v>December</v>
      </c>
    </row>
    <row r="177" spans="1:3" x14ac:dyDescent="0.3">
      <c r="A177" s="2">
        <f>WORKDAY.INTL(A176,1,,'Don''t Change'!$A$2:$A$6)</f>
        <v>46367</v>
      </c>
      <c r="B177">
        <f t="shared" si="11"/>
        <v>50</v>
      </c>
      <c r="C177" t="str">
        <f t="shared" si="10"/>
        <v>December</v>
      </c>
    </row>
    <row r="178" spans="1:3" x14ac:dyDescent="0.3">
      <c r="A178" s="2">
        <f>WORKDAY.INTL(A177,1,,'Don''t Change'!$A$2:$A$6)</f>
        <v>46370</v>
      </c>
      <c r="B178">
        <f t="shared" si="11"/>
        <v>51</v>
      </c>
      <c r="C178" t="str">
        <f t="shared" si="10"/>
        <v>December</v>
      </c>
    </row>
    <row r="179" spans="1:3" x14ac:dyDescent="0.3">
      <c r="A179" s="2">
        <f>WORKDAY.INTL(A178,1,,'Don''t Change'!$A$2:$A$6)</f>
        <v>46371</v>
      </c>
      <c r="B179">
        <f t="shared" si="11"/>
        <v>51</v>
      </c>
      <c r="C179" t="str">
        <f t="shared" si="10"/>
        <v>December</v>
      </c>
    </row>
    <row r="180" spans="1:3" x14ac:dyDescent="0.3">
      <c r="A180" s="2">
        <f>WORKDAY.INTL(A179,1,,'Don''t Change'!$A$2:$A$6)</f>
        <v>46372</v>
      </c>
      <c r="B180">
        <f t="shared" si="11"/>
        <v>51</v>
      </c>
      <c r="C180" t="str">
        <f t="shared" si="10"/>
        <v>December</v>
      </c>
    </row>
    <row r="181" spans="1:3" x14ac:dyDescent="0.3">
      <c r="A181" s="2">
        <f>WORKDAY.INTL(A180,1,,'Don''t Change'!$A$2:$A$6)</f>
        <v>46373</v>
      </c>
      <c r="B181">
        <f t="shared" si="11"/>
        <v>51</v>
      </c>
      <c r="C181" t="str">
        <f t="shared" si="10"/>
        <v>December</v>
      </c>
    </row>
    <row r="182" spans="1:3" x14ac:dyDescent="0.3">
      <c r="A182" s="2">
        <f>WORKDAY.INTL(A181,1,,'Don''t Change'!$A$2:$A$6)</f>
        <v>46374</v>
      </c>
      <c r="B182">
        <f t="shared" si="11"/>
        <v>51</v>
      </c>
      <c r="C182" t="str">
        <f t="shared" si="10"/>
        <v>December</v>
      </c>
    </row>
    <row r="183" spans="1:3" x14ac:dyDescent="0.3">
      <c r="A183" s="2">
        <f>WORKDAY.INTL(A182,1,,'Don''t Change'!$A$2:$A$6)</f>
        <v>46377</v>
      </c>
      <c r="B183">
        <f t="shared" si="11"/>
        <v>52</v>
      </c>
      <c r="C183" t="str">
        <f t="shared" si="10"/>
        <v>December</v>
      </c>
    </row>
    <row r="184" spans="1:3" x14ac:dyDescent="0.3">
      <c r="A184" s="2">
        <f>WORKDAY.INTL(A183,1,,'Don''t Change'!$A$2:$A$6)</f>
        <v>46378</v>
      </c>
      <c r="B184">
        <f t="shared" si="11"/>
        <v>52</v>
      </c>
      <c r="C184" t="str">
        <f t="shared" si="10"/>
        <v>December</v>
      </c>
    </row>
    <row r="185" spans="1:3" x14ac:dyDescent="0.3">
      <c r="A185" s="2">
        <f>WORKDAY.INTL(A184,1,,'Don''t Change'!$A$2:$A$6)</f>
        <v>46379</v>
      </c>
      <c r="B185">
        <f t="shared" si="11"/>
        <v>52</v>
      </c>
      <c r="C185" t="str">
        <f t="shared" si="10"/>
        <v>December</v>
      </c>
    </row>
    <row r="186" spans="1:3" x14ac:dyDescent="0.3">
      <c r="A186" s="2">
        <f>WORKDAY.INTL(A185,1,,'Don''t Change'!$A$2:$A$6)</f>
        <v>46381</v>
      </c>
      <c r="B186">
        <f t="shared" si="11"/>
        <v>52</v>
      </c>
      <c r="C186" t="str">
        <f t="shared" si="10"/>
        <v>December</v>
      </c>
    </row>
    <row r="187" spans="1:3" x14ac:dyDescent="0.3">
      <c r="A187" s="2">
        <f>WORKDAY.INTL(A186,1,,'Don''t Change'!$A$2:$A$6)</f>
        <v>46384</v>
      </c>
      <c r="B187">
        <f t="shared" si="11"/>
        <v>53</v>
      </c>
      <c r="C187" t="str">
        <f t="shared" si="10"/>
        <v>December</v>
      </c>
    </row>
    <row r="188" spans="1:3" x14ac:dyDescent="0.3">
      <c r="A188" s="2">
        <f>WORKDAY.INTL(A187,1,,'Don''t Change'!$A$2:$A$6)</f>
        <v>46385</v>
      </c>
      <c r="B188">
        <f t="shared" si="11"/>
        <v>53</v>
      </c>
      <c r="C188" t="str">
        <f t="shared" si="10"/>
        <v>December</v>
      </c>
    </row>
    <row r="189" spans="1:3" x14ac:dyDescent="0.3">
      <c r="A189" s="2"/>
    </row>
    <row r="190" spans="1:3" x14ac:dyDescent="0.3">
      <c r="A190" s="2"/>
    </row>
    <row r="191" spans="1:3" x14ac:dyDescent="0.3">
      <c r="A191" s="2"/>
    </row>
    <row r="192" spans="1:3" x14ac:dyDescent="0.3">
      <c r="A192" s="2"/>
    </row>
    <row r="193" spans="1:1" x14ac:dyDescent="0.3">
      <c r="A193" s="2"/>
    </row>
    <row r="194" spans="1:1" x14ac:dyDescent="0.3">
      <c r="A194" s="2"/>
    </row>
  </sheetData>
  <mergeCells count="4">
    <mergeCell ref="D1:H1"/>
    <mergeCell ref="J1:N1"/>
    <mergeCell ref="P1:X1"/>
    <mergeCell ref="Z1:AA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14EDAA-49EF-40E2-BBD1-6B97367ABCCD}">
  <sheetPr>
    <tabColor rgb="FFFFFF00"/>
  </sheetPr>
  <dimension ref="A1:R195"/>
  <sheetViews>
    <sheetView workbookViewId="0">
      <pane xSplit="1" ySplit="1" topLeftCell="D62" activePane="bottomRight" state="frozen"/>
      <selection pane="topRight" activeCell="B1" sqref="B1"/>
      <selection pane="bottomLeft" activeCell="A2" sqref="A2"/>
      <selection pane="bottomRight" activeCell="F84" sqref="F84"/>
    </sheetView>
  </sheetViews>
  <sheetFormatPr defaultRowHeight="14.4" x14ac:dyDescent="0.3"/>
  <cols>
    <col min="1" max="1" width="10.109375" bestFit="1" customWidth="1"/>
    <col min="2" max="2" width="7.109375" bestFit="1" customWidth="1"/>
    <col min="3" max="3" width="7.109375" customWidth="1"/>
    <col min="4" max="4" width="11.33203125" style="11" bestFit="1" customWidth="1"/>
    <col min="5" max="5" width="2.6640625" style="11" customWidth="1"/>
    <col min="6" max="6" width="12" style="11" bestFit="1" customWidth="1"/>
    <col min="7" max="7" width="2.6640625" style="11" customWidth="1"/>
    <col min="8" max="8" width="2.88671875" style="11" customWidth="1"/>
    <col min="9" max="10" width="8.6640625" style="11"/>
    <col min="12" max="14" width="8.6640625" style="11"/>
  </cols>
  <sheetData>
    <row r="1" spans="1:16" x14ac:dyDescent="0.3">
      <c r="D1" s="22" t="s">
        <v>68</v>
      </c>
      <c r="E1" s="12"/>
      <c r="F1" s="10" t="s">
        <v>69</v>
      </c>
      <c r="G1" s="12"/>
      <c r="H1"/>
      <c r="I1" s="138" t="s">
        <v>70</v>
      </c>
      <c r="J1" s="138"/>
      <c r="L1" s="138" t="s">
        <v>71</v>
      </c>
      <c r="M1" s="138"/>
      <c r="N1" s="10"/>
      <c r="O1" s="138" t="s">
        <v>72</v>
      </c>
      <c r="P1" s="138"/>
    </row>
    <row r="2" spans="1:16" x14ac:dyDescent="0.3">
      <c r="A2" s="3" t="s">
        <v>39</v>
      </c>
      <c r="B2" s="3" t="s">
        <v>23</v>
      </c>
      <c r="C2" s="3" t="s">
        <v>0</v>
      </c>
      <c r="D2" s="3"/>
      <c r="E2" s="3"/>
      <c r="F2" s="3"/>
      <c r="G2" s="3"/>
      <c r="H2"/>
      <c r="I2" s="3" t="s">
        <v>64</v>
      </c>
      <c r="J2" s="3" t="s">
        <v>65</v>
      </c>
      <c r="L2" s="3" t="s">
        <v>64</v>
      </c>
      <c r="M2" s="3" t="s">
        <v>65</v>
      </c>
      <c r="N2" s="3"/>
      <c r="O2" s="3" t="s">
        <v>64</v>
      </c>
      <c r="P2" s="3" t="s">
        <v>65</v>
      </c>
    </row>
    <row r="3" spans="1:16" x14ac:dyDescent="0.3">
      <c r="A3" s="2">
        <v>46111</v>
      </c>
      <c r="B3">
        <f t="shared" ref="B3:B66" si="0">+WEEKNUM(A3)</f>
        <v>14</v>
      </c>
      <c r="C3" t="str">
        <f>+TEXT(A3,"mmmm")</f>
        <v>March</v>
      </c>
      <c r="D3" s="11">
        <v>34860</v>
      </c>
      <c r="F3" s="11">
        <v>0</v>
      </c>
      <c r="O3" s="3"/>
      <c r="P3" s="3"/>
    </row>
    <row r="4" spans="1:16" x14ac:dyDescent="0.3">
      <c r="A4" s="2">
        <v>46112</v>
      </c>
      <c r="B4">
        <f t="shared" si="0"/>
        <v>14</v>
      </c>
      <c r="C4" t="str">
        <f t="shared" ref="C4:C67" si="1">+TEXT(A4,"mmmm")</f>
        <v>March</v>
      </c>
      <c r="D4" s="11">
        <v>33480</v>
      </c>
      <c r="F4" s="11">
        <v>0</v>
      </c>
      <c r="O4" s="3"/>
      <c r="P4" s="3"/>
    </row>
    <row r="5" spans="1:16" x14ac:dyDescent="0.3">
      <c r="A5" s="2">
        <v>46113</v>
      </c>
      <c r="B5">
        <f t="shared" si="0"/>
        <v>14</v>
      </c>
      <c r="C5" t="str">
        <f t="shared" si="1"/>
        <v>April</v>
      </c>
      <c r="D5" s="11">
        <v>52620</v>
      </c>
      <c r="F5" s="11">
        <v>0</v>
      </c>
      <c r="O5" s="3"/>
      <c r="P5" s="3"/>
    </row>
    <row r="6" spans="1:16" x14ac:dyDescent="0.3">
      <c r="A6" s="2">
        <v>46114</v>
      </c>
      <c r="B6">
        <f t="shared" si="0"/>
        <v>14</v>
      </c>
      <c r="C6" t="str">
        <f t="shared" si="1"/>
        <v>April</v>
      </c>
      <c r="D6" s="11">
        <v>34080</v>
      </c>
      <c r="F6" s="11">
        <v>0</v>
      </c>
      <c r="O6" s="3"/>
      <c r="P6" s="3"/>
    </row>
    <row r="7" spans="1:16" x14ac:dyDescent="0.3">
      <c r="A7" s="2">
        <v>46118</v>
      </c>
      <c r="B7">
        <f t="shared" si="0"/>
        <v>15</v>
      </c>
      <c r="C7" t="str">
        <f t="shared" si="1"/>
        <v>April</v>
      </c>
      <c r="D7" s="11">
        <v>32220</v>
      </c>
      <c r="F7" s="11">
        <v>0</v>
      </c>
      <c r="O7" s="3"/>
      <c r="P7" s="3"/>
    </row>
    <row r="8" spans="1:16" x14ac:dyDescent="0.3">
      <c r="A8" s="2">
        <v>46119</v>
      </c>
      <c r="B8">
        <f t="shared" si="0"/>
        <v>15</v>
      </c>
      <c r="C8" t="str">
        <f t="shared" si="1"/>
        <v>April</v>
      </c>
      <c r="D8" s="11">
        <v>46380</v>
      </c>
      <c r="F8" s="11">
        <v>0</v>
      </c>
      <c r="O8" s="3"/>
      <c r="P8" s="3"/>
    </row>
    <row r="9" spans="1:16" x14ac:dyDescent="0.3">
      <c r="A9" s="2">
        <v>46120</v>
      </c>
      <c r="B9">
        <f t="shared" si="0"/>
        <v>15</v>
      </c>
      <c r="C9" t="str">
        <f t="shared" si="1"/>
        <v>April</v>
      </c>
      <c r="D9" s="11">
        <v>47220</v>
      </c>
      <c r="F9" s="11">
        <v>0</v>
      </c>
      <c r="O9" s="3"/>
      <c r="P9" s="3"/>
    </row>
    <row r="10" spans="1:16" x14ac:dyDescent="0.3">
      <c r="A10" s="2">
        <v>46121</v>
      </c>
      <c r="B10">
        <f t="shared" si="0"/>
        <v>15</v>
      </c>
      <c r="C10" t="str">
        <f t="shared" si="1"/>
        <v>April</v>
      </c>
      <c r="D10" s="11">
        <v>46020</v>
      </c>
      <c r="F10" s="11">
        <v>0</v>
      </c>
      <c r="O10" s="3"/>
      <c r="P10" s="3"/>
    </row>
    <row r="11" spans="1:16" x14ac:dyDescent="0.3">
      <c r="A11" s="2">
        <v>46125</v>
      </c>
      <c r="B11">
        <f t="shared" si="0"/>
        <v>16</v>
      </c>
      <c r="C11" t="str">
        <f t="shared" si="1"/>
        <v>April</v>
      </c>
      <c r="D11" s="11">
        <v>42240</v>
      </c>
      <c r="F11" s="11">
        <v>0</v>
      </c>
      <c r="O11" s="3"/>
      <c r="P11" s="3"/>
    </row>
    <row r="12" spans="1:16" x14ac:dyDescent="0.3">
      <c r="A12" s="2">
        <v>46126</v>
      </c>
      <c r="B12">
        <f t="shared" si="0"/>
        <v>16</v>
      </c>
      <c r="C12" t="str">
        <f t="shared" si="1"/>
        <v>April</v>
      </c>
      <c r="D12" s="11">
        <v>57960</v>
      </c>
      <c r="F12" s="11">
        <v>0</v>
      </c>
      <c r="O12" s="3"/>
      <c r="P12" s="3"/>
    </row>
    <row r="13" spans="1:16" x14ac:dyDescent="0.3">
      <c r="A13" s="2">
        <v>46127</v>
      </c>
      <c r="B13">
        <f t="shared" si="0"/>
        <v>16</v>
      </c>
      <c r="C13" t="str">
        <f t="shared" si="1"/>
        <v>April</v>
      </c>
      <c r="D13" s="11">
        <v>54960</v>
      </c>
      <c r="F13" s="11">
        <v>0</v>
      </c>
      <c r="O13" s="3"/>
      <c r="P13" s="3"/>
    </row>
    <row r="14" spans="1:16" x14ac:dyDescent="0.3">
      <c r="A14" s="2">
        <v>46128</v>
      </c>
      <c r="B14">
        <f t="shared" si="0"/>
        <v>16</v>
      </c>
      <c r="C14" t="str">
        <f t="shared" si="1"/>
        <v>April</v>
      </c>
      <c r="D14" s="11">
        <v>34800</v>
      </c>
      <c r="F14" s="11">
        <v>0</v>
      </c>
      <c r="O14" s="3"/>
      <c r="P14" s="3"/>
    </row>
    <row r="15" spans="1:16" x14ac:dyDescent="0.3">
      <c r="A15" s="2">
        <v>46132</v>
      </c>
      <c r="B15">
        <f t="shared" si="0"/>
        <v>17</v>
      </c>
      <c r="C15" t="str">
        <f t="shared" si="1"/>
        <v>April</v>
      </c>
      <c r="D15" s="11">
        <v>56280</v>
      </c>
      <c r="F15" s="11">
        <v>0</v>
      </c>
      <c r="O15" s="3"/>
      <c r="P15" s="3"/>
    </row>
    <row r="16" spans="1:16" x14ac:dyDescent="0.3">
      <c r="A16" s="2">
        <v>46133</v>
      </c>
      <c r="B16">
        <f t="shared" si="0"/>
        <v>17</v>
      </c>
      <c r="C16" t="str">
        <f t="shared" si="1"/>
        <v>April</v>
      </c>
      <c r="D16" s="11">
        <v>52680</v>
      </c>
      <c r="F16" s="11">
        <v>0</v>
      </c>
      <c r="O16" s="3"/>
      <c r="P16" s="3"/>
    </row>
    <row r="17" spans="1:16" x14ac:dyDescent="0.3">
      <c r="A17" s="2">
        <v>46134</v>
      </c>
      <c r="B17">
        <f t="shared" si="0"/>
        <v>17</v>
      </c>
      <c r="C17" t="str">
        <f t="shared" si="1"/>
        <v>April</v>
      </c>
      <c r="D17" s="11">
        <v>67680</v>
      </c>
      <c r="F17" s="11">
        <v>0</v>
      </c>
      <c r="O17" s="3"/>
      <c r="P17" s="3"/>
    </row>
    <row r="18" spans="1:16" x14ac:dyDescent="0.3">
      <c r="A18" s="2">
        <v>46135</v>
      </c>
      <c r="B18">
        <f t="shared" si="0"/>
        <v>17</v>
      </c>
      <c r="C18" t="str">
        <f t="shared" si="1"/>
        <v>April</v>
      </c>
      <c r="D18" s="11">
        <v>70200</v>
      </c>
      <c r="F18" s="11">
        <v>0</v>
      </c>
      <c r="O18" s="3"/>
      <c r="P18" s="3"/>
    </row>
    <row r="19" spans="1:16" x14ac:dyDescent="0.3">
      <c r="A19" s="2">
        <v>46139</v>
      </c>
      <c r="B19">
        <f t="shared" si="0"/>
        <v>18</v>
      </c>
      <c r="C19" t="str">
        <f t="shared" si="1"/>
        <v>April</v>
      </c>
      <c r="D19" s="11">
        <v>66480</v>
      </c>
      <c r="F19" s="11">
        <v>0</v>
      </c>
      <c r="O19" s="3"/>
      <c r="P19" s="3"/>
    </row>
    <row r="20" spans="1:16" x14ac:dyDescent="0.3">
      <c r="A20" s="2">
        <v>46140</v>
      </c>
      <c r="B20">
        <f t="shared" si="0"/>
        <v>18</v>
      </c>
      <c r="C20" t="str">
        <f t="shared" si="1"/>
        <v>April</v>
      </c>
      <c r="D20" s="11">
        <v>0</v>
      </c>
      <c r="F20" s="11">
        <v>0</v>
      </c>
      <c r="O20" s="3"/>
      <c r="P20" s="3"/>
    </row>
    <row r="21" spans="1:16" x14ac:dyDescent="0.3">
      <c r="A21" s="2">
        <v>46141</v>
      </c>
      <c r="B21">
        <f t="shared" si="0"/>
        <v>18</v>
      </c>
      <c r="C21" t="str">
        <f t="shared" si="1"/>
        <v>April</v>
      </c>
      <c r="D21" s="11">
        <v>75960</v>
      </c>
      <c r="F21" s="11">
        <v>0</v>
      </c>
      <c r="O21" s="3"/>
      <c r="P21" s="3"/>
    </row>
    <row r="22" spans="1:16" x14ac:dyDescent="0.3">
      <c r="A22" s="2">
        <v>46142</v>
      </c>
      <c r="B22">
        <f t="shared" si="0"/>
        <v>18</v>
      </c>
      <c r="C22" t="str">
        <f t="shared" si="1"/>
        <v>April</v>
      </c>
      <c r="D22" s="11">
        <v>90270</v>
      </c>
      <c r="F22" s="11">
        <v>0</v>
      </c>
      <c r="O22" s="3"/>
      <c r="P22" s="3"/>
    </row>
    <row r="23" spans="1:16" x14ac:dyDescent="0.3">
      <c r="A23" s="2">
        <v>46146</v>
      </c>
      <c r="B23">
        <f t="shared" si="0"/>
        <v>19</v>
      </c>
      <c r="C23" t="str">
        <f t="shared" si="1"/>
        <v>May</v>
      </c>
      <c r="D23" s="11">
        <v>52920</v>
      </c>
      <c r="F23" s="11">
        <v>0</v>
      </c>
      <c r="O23" s="3"/>
      <c r="P23" s="3"/>
    </row>
    <row r="24" spans="1:16" x14ac:dyDescent="0.3">
      <c r="A24" s="2">
        <v>46147</v>
      </c>
      <c r="B24">
        <f t="shared" si="0"/>
        <v>19</v>
      </c>
      <c r="C24" t="str">
        <f t="shared" si="1"/>
        <v>May</v>
      </c>
      <c r="D24" s="11">
        <v>108840</v>
      </c>
      <c r="F24" s="11">
        <v>0</v>
      </c>
      <c r="O24" s="3"/>
      <c r="P24" s="3"/>
    </row>
    <row r="25" spans="1:16" x14ac:dyDescent="0.3">
      <c r="A25" s="2">
        <v>46148</v>
      </c>
      <c r="B25">
        <f t="shared" si="0"/>
        <v>19</v>
      </c>
      <c r="C25" t="str">
        <f t="shared" si="1"/>
        <v>May</v>
      </c>
      <c r="D25" s="11">
        <v>73740</v>
      </c>
      <c r="F25" s="11">
        <v>0</v>
      </c>
      <c r="O25" s="3"/>
      <c r="P25" s="3"/>
    </row>
    <row r="26" spans="1:16" x14ac:dyDescent="0.3">
      <c r="A26" s="2">
        <v>46149</v>
      </c>
      <c r="B26">
        <f t="shared" si="0"/>
        <v>19</v>
      </c>
      <c r="C26" t="str">
        <f t="shared" si="1"/>
        <v>May</v>
      </c>
      <c r="D26" s="11">
        <v>0</v>
      </c>
      <c r="F26" s="11">
        <v>0</v>
      </c>
      <c r="O26" s="3"/>
      <c r="P26" s="3"/>
    </row>
    <row r="27" spans="1:16" x14ac:dyDescent="0.3">
      <c r="A27" s="2">
        <v>46153</v>
      </c>
      <c r="B27">
        <f t="shared" si="0"/>
        <v>20</v>
      </c>
      <c r="C27" t="str">
        <f t="shared" si="1"/>
        <v>May</v>
      </c>
      <c r="D27" s="11">
        <v>33060</v>
      </c>
      <c r="F27" s="11">
        <v>0</v>
      </c>
      <c r="O27" s="3"/>
      <c r="P27" s="3"/>
    </row>
    <row r="28" spans="1:16" x14ac:dyDescent="0.3">
      <c r="A28" s="2">
        <v>46154</v>
      </c>
      <c r="B28">
        <f t="shared" si="0"/>
        <v>20</v>
      </c>
      <c r="C28" t="str">
        <f t="shared" si="1"/>
        <v>May</v>
      </c>
      <c r="D28" s="11">
        <v>64320</v>
      </c>
      <c r="F28" s="11">
        <v>0</v>
      </c>
      <c r="O28" s="3"/>
      <c r="P28" s="3"/>
    </row>
    <row r="29" spans="1:16" x14ac:dyDescent="0.3">
      <c r="A29" s="2">
        <v>46155</v>
      </c>
      <c r="B29">
        <f t="shared" si="0"/>
        <v>20</v>
      </c>
      <c r="C29" t="str">
        <f t="shared" si="1"/>
        <v>May</v>
      </c>
      <c r="D29" s="11">
        <v>68700</v>
      </c>
      <c r="F29" s="11">
        <v>0</v>
      </c>
      <c r="O29" s="3"/>
      <c r="P29" s="3"/>
    </row>
    <row r="30" spans="1:16" x14ac:dyDescent="0.3">
      <c r="A30" s="2">
        <v>46156</v>
      </c>
      <c r="B30">
        <f t="shared" si="0"/>
        <v>20</v>
      </c>
      <c r="C30" t="str">
        <f t="shared" si="1"/>
        <v>May</v>
      </c>
      <c r="D30" s="11">
        <v>63240</v>
      </c>
      <c r="F30" s="11">
        <v>0</v>
      </c>
      <c r="O30" s="3"/>
      <c r="P30" s="3"/>
    </row>
    <row r="31" spans="1:16" x14ac:dyDescent="0.3">
      <c r="A31" s="2">
        <v>46160</v>
      </c>
      <c r="B31">
        <f t="shared" si="0"/>
        <v>21</v>
      </c>
      <c r="C31" t="str">
        <f t="shared" si="1"/>
        <v>May</v>
      </c>
      <c r="D31" s="11">
        <v>66480</v>
      </c>
      <c r="F31" s="11">
        <v>4320</v>
      </c>
    </row>
    <row r="32" spans="1:16" x14ac:dyDescent="0.3">
      <c r="A32" s="2">
        <f>WORKDAY.INTL(A31,1,,'Don''t Change'!$A$2:$A$6)</f>
        <v>46161</v>
      </c>
      <c r="B32">
        <f t="shared" si="0"/>
        <v>21</v>
      </c>
      <c r="C32" t="str">
        <f t="shared" si="1"/>
        <v>May</v>
      </c>
      <c r="D32" s="11">
        <v>30780</v>
      </c>
      <c r="F32" s="11">
        <v>0</v>
      </c>
    </row>
    <row r="33" spans="1:9" x14ac:dyDescent="0.3">
      <c r="A33" s="2">
        <f>WORKDAY.INTL(A32,1,,'Don''t Change'!$A$2:$A$6)</f>
        <v>46162</v>
      </c>
      <c r="B33">
        <f t="shared" si="0"/>
        <v>21</v>
      </c>
      <c r="C33" t="str">
        <f t="shared" si="1"/>
        <v>May</v>
      </c>
      <c r="D33" s="11">
        <v>49200</v>
      </c>
      <c r="F33" s="11">
        <v>8640</v>
      </c>
    </row>
    <row r="34" spans="1:9" x14ac:dyDescent="0.3">
      <c r="A34" s="2">
        <f>WORKDAY.INTL(A33,1,,'Don''t Change'!$A$2:$A$6)</f>
        <v>46163</v>
      </c>
      <c r="B34">
        <f t="shared" si="0"/>
        <v>21</v>
      </c>
      <c r="C34" t="str">
        <f t="shared" si="1"/>
        <v>May</v>
      </c>
      <c r="D34" s="11">
        <v>10380</v>
      </c>
      <c r="F34" s="11">
        <v>13664</v>
      </c>
    </row>
    <row r="35" spans="1:9" x14ac:dyDescent="0.3">
      <c r="A35" s="2">
        <f>WORKDAY.INTL(A34,1,,'Don''t Change'!$A$2:$A$6)</f>
        <v>46164</v>
      </c>
      <c r="B35">
        <f t="shared" si="0"/>
        <v>21</v>
      </c>
      <c r="C35" t="str">
        <f t="shared" si="1"/>
        <v>May</v>
      </c>
      <c r="D35" s="11">
        <v>0</v>
      </c>
      <c r="F35" s="11">
        <v>0</v>
      </c>
    </row>
    <row r="36" spans="1:9" x14ac:dyDescent="0.3">
      <c r="A36" s="2">
        <f>WORKDAY.INTL(A35,1,,'Don''t Change'!$A$2:$A$6)</f>
        <v>46168</v>
      </c>
      <c r="B36">
        <f t="shared" si="0"/>
        <v>22</v>
      </c>
      <c r="C36" t="str">
        <f t="shared" si="1"/>
        <v>May</v>
      </c>
      <c r="D36" s="11">
        <v>43980</v>
      </c>
      <c r="F36" s="11">
        <v>2112</v>
      </c>
    </row>
    <row r="37" spans="1:9" x14ac:dyDescent="0.3">
      <c r="A37" s="2">
        <f>WORKDAY.INTL(A36,1,,'Don''t Change'!$A$2:$A$6)</f>
        <v>46169</v>
      </c>
      <c r="B37">
        <f t="shared" si="0"/>
        <v>22</v>
      </c>
      <c r="C37" t="str">
        <f t="shared" si="1"/>
        <v>May</v>
      </c>
      <c r="D37" s="11">
        <v>37800</v>
      </c>
      <c r="F37" s="11">
        <v>0</v>
      </c>
    </row>
    <row r="38" spans="1:9" x14ac:dyDescent="0.3">
      <c r="A38" s="2">
        <f>WORKDAY.INTL(A37,1,,'Don''t Change'!$A$2:$A$6)</f>
        <v>46170</v>
      </c>
      <c r="B38">
        <f t="shared" si="0"/>
        <v>22</v>
      </c>
      <c r="C38" t="str">
        <f t="shared" si="1"/>
        <v>May</v>
      </c>
      <c r="D38" s="11">
        <v>63480</v>
      </c>
      <c r="F38" s="11">
        <v>2656</v>
      </c>
      <c r="I38" s="11">
        <v>250</v>
      </c>
    </row>
    <row r="39" spans="1:9" x14ac:dyDescent="0.3">
      <c r="A39" s="2">
        <f>WORKDAY.INTL(A38,1,,'Don''t Change'!$A$2:$A$6)</f>
        <v>46171</v>
      </c>
      <c r="B39">
        <f t="shared" si="0"/>
        <v>22</v>
      </c>
      <c r="C39" t="str">
        <f t="shared" si="1"/>
        <v>May</v>
      </c>
      <c r="D39" s="11">
        <v>34080</v>
      </c>
      <c r="F39" s="11">
        <v>3760</v>
      </c>
    </row>
    <row r="40" spans="1:9" x14ac:dyDescent="0.3">
      <c r="A40" s="2">
        <f>WORKDAY.INTL(A39,1,,'Don''t Change'!$A$2:$A$6)</f>
        <v>46174</v>
      </c>
      <c r="B40">
        <f t="shared" si="0"/>
        <v>23</v>
      </c>
      <c r="C40" t="str">
        <f t="shared" si="1"/>
        <v>June</v>
      </c>
      <c r="D40" s="11">
        <v>96000</v>
      </c>
      <c r="F40" s="11">
        <f>13*32</f>
        <v>416</v>
      </c>
    </row>
    <row r="41" spans="1:9" x14ac:dyDescent="0.3">
      <c r="A41" s="2">
        <f>WORKDAY.INTL(A40,1,,'Don''t Change'!$A$2:$A$6)</f>
        <v>46175</v>
      </c>
      <c r="B41">
        <f t="shared" si="0"/>
        <v>23</v>
      </c>
      <c r="C41" t="str">
        <f t="shared" si="1"/>
        <v>June</v>
      </c>
      <c r="D41" s="11">
        <f>909*60</f>
        <v>54540</v>
      </c>
      <c r="F41" s="11">
        <v>12100</v>
      </c>
    </row>
    <row r="42" spans="1:9" x14ac:dyDescent="0.3">
      <c r="A42" s="2">
        <f>WORKDAY.INTL(A41,1,,'Don''t Change'!$A$2:$A$6)</f>
        <v>46176</v>
      </c>
      <c r="B42">
        <f t="shared" si="0"/>
        <v>23</v>
      </c>
      <c r="C42" t="str">
        <f t="shared" si="1"/>
        <v>June</v>
      </c>
      <c r="D42" s="11">
        <f>792*60</f>
        <v>47520</v>
      </c>
      <c r="F42" s="11">
        <f>73*50</f>
        <v>3650</v>
      </c>
    </row>
    <row r="43" spans="1:9" x14ac:dyDescent="0.3">
      <c r="A43" s="2">
        <f>WORKDAY.INTL(A42,1,,'Don''t Change'!$A$2:$A$6)</f>
        <v>46177</v>
      </c>
      <c r="B43">
        <f t="shared" si="0"/>
        <v>23</v>
      </c>
      <c r="C43" t="str">
        <f t="shared" si="1"/>
        <v>June</v>
      </c>
      <c r="D43" s="11">
        <f>630*60</f>
        <v>37800</v>
      </c>
      <c r="F43" s="11">
        <v>0</v>
      </c>
    </row>
    <row r="44" spans="1:9" x14ac:dyDescent="0.3">
      <c r="A44" s="2">
        <f>WORKDAY.INTL(A43,1,,'Don''t Change'!$A$2:$A$6)</f>
        <v>46178</v>
      </c>
      <c r="B44">
        <f t="shared" si="0"/>
        <v>23</v>
      </c>
      <c r="C44" t="str">
        <f t="shared" si="1"/>
        <v>June</v>
      </c>
      <c r="D44" s="11">
        <f>1032*60</f>
        <v>61920</v>
      </c>
      <c r="F44" s="11">
        <v>0</v>
      </c>
    </row>
    <row r="45" spans="1:9" x14ac:dyDescent="0.3">
      <c r="A45" s="2">
        <f>WORKDAY.INTL(A44,1,,'Don''t Change'!$A$2:$A$6)</f>
        <v>46181</v>
      </c>
      <c r="B45">
        <f t="shared" si="0"/>
        <v>24</v>
      </c>
      <c r="C45" t="str">
        <f t="shared" si="1"/>
        <v>June</v>
      </c>
      <c r="D45" s="11">
        <f>1260*60+63*60+66*60</f>
        <v>83340</v>
      </c>
      <c r="F45" s="11">
        <v>0</v>
      </c>
      <c r="I45" s="11">
        <v>121</v>
      </c>
    </row>
    <row r="46" spans="1:9" x14ac:dyDescent="0.3">
      <c r="A46" s="2">
        <f>WORKDAY.INTL(A45,1,,'Don''t Change'!$A$2:$A$6)</f>
        <v>46182</v>
      </c>
      <c r="B46">
        <f t="shared" si="0"/>
        <v>24</v>
      </c>
      <c r="C46" t="str">
        <f t="shared" si="1"/>
        <v>June</v>
      </c>
      <c r="D46" s="11">
        <f>6*126*60+122*60</f>
        <v>52680</v>
      </c>
      <c r="F46" s="11">
        <v>0</v>
      </c>
    </row>
    <row r="47" spans="1:9" x14ac:dyDescent="0.3">
      <c r="A47" s="2">
        <f>WORKDAY.INTL(A46,1,,'Don''t Change'!$A$2:$A$6)</f>
        <v>46183</v>
      </c>
      <c r="B47">
        <f t="shared" si="0"/>
        <v>24</v>
      </c>
      <c r="C47" t="str">
        <f t="shared" si="1"/>
        <v>June</v>
      </c>
      <c r="D47" s="11">
        <v>50280</v>
      </c>
      <c r="F47" s="11">
        <v>0</v>
      </c>
    </row>
    <row r="48" spans="1:9" x14ac:dyDescent="0.3">
      <c r="A48" s="2">
        <f>WORKDAY.INTL(A47,1,,'Don''t Change'!$A$2:$A$6)</f>
        <v>46184</v>
      </c>
      <c r="B48">
        <f t="shared" si="0"/>
        <v>24</v>
      </c>
      <c r="C48" t="str">
        <f t="shared" si="1"/>
        <v>June</v>
      </c>
      <c r="D48" s="11">
        <f>196*60</f>
        <v>11760</v>
      </c>
      <c r="F48" s="11">
        <f>434*32</f>
        <v>13888</v>
      </c>
    </row>
    <row r="49" spans="1:12" x14ac:dyDescent="0.3">
      <c r="A49" s="2">
        <f>WORKDAY.INTL(A48,1,,'Don''t Change'!$A$2:$A$6)</f>
        <v>46185</v>
      </c>
      <c r="B49">
        <f t="shared" si="0"/>
        <v>24</v>
      </c>
      <c r="C49" t="str">
        <f t="shared" si="1"/>
        <v>June</v>
      </c>
      <c r="D49" s="11">
        <v>0</v>
      </c>
      <c r="F49" s="11">
        <v>0</v>
      </c>
    </row>
    <row r="50" spans="1:12" x14ac:dyDescent="0.3">
      <c r="A50" s="2">
        <f>WORKDAY.INTL(A49,1,,'Don''t Change'!$A$2:$A$6)</f>
        <v>46188</v>
      </c>
      <c r="B50">
        <f t="shared" si="0"/>
        <v>25</v>
      </c>
      <c r="C50" t="str">
        <f t="shared" si="1"/>
        <v>June</v>
      </c>
      <c r="D50" s="11">
        <v>29100</v>
      </c>
      <c r="F50" s="11">
        <v>12514</v>
      </c>
    </row>
    <row r="51" spans="1:12" x14ac:dyDescent="0.3">
      <c r="A51" s="2">
        <f>WORKDAY.INTL(A50,1,,'Don''t Change'!$A$2:$A$6)</f>
        <v>46189</v>
      </c>
      <c r="B51">
        <f t="shared" si="0"/>
        <v>25</v>
      </c>
      <c r="C51" t="str">
        <f t="shared" si="1"/>
        <v>June</v>
      </c>
      <c r="D51" s="11">
        <f>1765*60</f>
        <v>105900</v>
      </c>
      <c r="F51" s="11">
        <v>0</v>
      </c>
    </row>
    <row r="52" spans="1:12" x14ac:dyDescent="0.3">
      <c r="A52" s="2">
        <f>WORKDAY.INTL(A51,1,,'Don''t Change'!$A$2:$A$6)</f>
        <v>46190</v>
      </c>
      <c r="B52">
        <f t="shared" si="0"/>
        <v>25</v>
      </c>
      <c r="C52" t="str">
        <f t="shared" si="1"/>
        <v>June</v>
      </c>
      <c r="D52" s="11">
        <f>1058*60+4*126*60</f>
        <v>93720</v>
      </c>
      <c r="F52" s="11">
        <f>41*32</f>
        <v>1312</v>
      </c>
    </row>
    <row r="53" spans="1:12" x14ac:dyDescent="0.3">
      <c r="A53" s="2">
        <f>WORKDAY.INTL(A52,1,,'Don''t Change'!$A$2:$A$6)</f>
        <v>46191</v>
      </c>
      <c r="B53">
        <f t="shared" si="0"/>
        <v>25</v>
      </c>
      <c r="C53" t="str">
        <f t="shared" si="1"/>
        <v>June</v>
      </c>
      <c r="D53" s="11">
        <v>62352</v>
      </c>
      <c r="F53" s="11">
        <f>338*32</f>
        <v>10816</v>
      </c>
    </row>
    <row r="54" spans="1:12" x14ac:dyDescent="0.3">
      <c r="A54" s="2">
        <f>WORKDAY.INTL(A53,1,,'Don''t Change'!$A$2:$A$6)</f>
        <v>46192</v>
      </c>
      <c r="B54">
        <f t="shared" si="0"/>
        <v>25</v>
      </c>
      <c r="C54" t="str">
        <f t="shared" si="1"/>
        <v>June</v>
      </c>
      <c r="D54" s="11">
        <v>0</v>
      </c>
      <c r="F54" s="11">
        <f>120*32</f>
        <v>3840</v>
      </c>
    </row>
    <row r="55" spans="1:12" x14ac:dyDescent="0.3">
      <c r="A55" s="2">
        <f>WORKDAY.INTL(A54,1,,'Don''t Change'!$A$2:$A$6)</f>
        <v>46195</v>
      </c>
      <c r="B55">
        <f t="shared" si="0"/>
        <v>26</v>
      </c>
      <c r="C55" t="str">
        <f t="shared" si="1"/>
        <v>June</v>
      </c>
      <c r="D55" s="11">
        <f>1207*60</f>
        <v>72420</v>
      </c>
      <c r="F55" s="11">
        <f>185*32</f>
        <v>5920</v>
      </c>
    </row>
    <row r="56" spans="1:12" x14ac:dyDescent="0.3">
      <c r="A56" s="2">
        <f>WORKDAY.INTL(A55,1,,'Don''t Change'!$A$2:$A$6)</f>
        <v>46196</v>
      </c>
      <c r="B56">
        <f t="shared" si="0"/>
        <v>26</v>
      </c>
      <c r="C56" t="str">
        <f t="shared" si="1"/>
        <v>June</v>
      </c>
      <c r="D56" s="11">
        <f>+(7*126+64)*60</f>
        <v>56760</v>
      </c>
      <c r="F56" s="11">
        <f>241*32</f>
        <v>7712</v>
      </c>
      <c r="I56" s="11">
        <v>161</v>
      </c>
      <c r="L56" s="11">
        <v>52</v>
      </c>
    </row>
    <row r="57" spans="1:12" x14ac:dyDescent="0.3">
      <c r="A57" s="2">
        <f>WORKDAY.INTL(A56,1,,'Don''t Change'!$A$2:$A$6)</f>
        <v>46197</v>
      </c>
      <c r="B57">
        <f t="shared" si="0"/>
        <v>26</v>
      </c>
      <c r="C57" t="str">
        <f t="shared" si="1"/>
        <v>June</v>
      </c>
      <c r="D57" s="11">
        <f>1289*60</f>
        <v>77340</v>
      </c>
      <c r="F57" s="11">
        <f>391*32</f>
        <v>12512</v>
      </c>
    </row>
    <row r="58" spans="1:12" x14ac:dyDescent="0.3">
      <c r="A58" s="2">
        <f>WORKDAY.INTL(A57,1,,'Don''t Change'!$A$2:$A$6)</f>
        <v>46198</v>
      </c>
      <c r="B58">
        <f t="shared" si="0"/>
        <v>26</v>
      </c>
      <c r="C58" t="str">
        <f t="shared" si="1"/>
        <v>June</v>
      </c>
      <c r="D58" s="11">
        <f>1616*60</f>
        <v>96960</v>
      </c>
      <c r="F58" s="11">
        <f>60*32</f>
        <v>1920</v>
      </c>
    </row>
    <row r="59" spans="1:12" x14ac:dyDescent="0.3">
      <c r="A59" s="2">
        <f>WORKDAY.INTL(A58,1,,'Don''t Change'!$A$2:$A$6)</f>
        <v>46199</v>
      </c>
      <c r="B59">
        <f t="shared" si="0"/>
        <v>26</v>
      </c>
      <c r="C59" t="str">
        <f t="shared" si="1"/>
        <v>June</v>
      </c>
      <c r="D59" s="11">
        <v>0</v>
      </c>
      <c r="F59" s="11">
        <v>0</v>
      </c>
    </row>
    <row r="60" spans="1:12" x14ac:dyDescent="0.3">
      <c r="A60" s="2">
        <f>WORKDAY.INTL(A59,1,,'Don''t Change'!$A$2:$A$6)</f>
        <v>46202</v>
      </c>
      <c r="B60">
        <f t="shared" si="0"/>
        <v>27</v>
      </c>
      <c r="C60" t="str">
        <f t="shared" si="1"/>
        <v>June</v>
      </c>
      <c r="D60" s="11">
        <f>1008*60</f>
        <v>60480</v>
      </c>
      <c r="F60" s="11">
        <f>447*32</f>
        <v>14304</v>
      </c>
    </row>
    <row r="61" spans="1:12" x14ac:dyDescent="0.3">
      <c r="A61" s="2">
        <f>WORKDAY.INTL(A60,1,,'Don''t Change'!$A$2:$A$6)</f>
        <v>46203</v>
      </c>
      <c r="B61">
        <f t="shared" si="0"/>
        <v>27</v>
      </c>
      <c r="C61" t="str">
        <f t="shared" si="1"/>
        <v>June</v>
      </c>
      <c r="D61" s="11">
        <f>1513*60</f>
        <v>90780</v>
      </c>
      <c r="F61" s="11">
        <f>472*32</f>
        <v>15104</v>
      </c>
      <c r="I61" s="11">
        <v>80</v>
      </c>
      <c r="L61" s="11">
        <v>95</v>
      </c>
    </row>
    <row r="62" spans="1:12" x14ac:dyDescent="0.3">
      <c r="A62" s="2">
        <f>WORKDAY.INTL(A61,1,,'Don''t Change'!$A$2:$A$6)</f>
        <v>46204</v>
      </c>
      <c r="B62">
        <f t="shared" si="0"/>
        <v>27</v>
      </c>
      <c r="C62" t="str">
        <f t="shared" si="1"/>
        <v>July</v>
      </c>
      <c r="D62" s="11">
        <f>1134*60</f>
        <v>68040</v>
      </c>
      <c r="F62" s="11">
        <f>356*32</f>
        <v>11392</v>
      </c>
    </row>
    <row r="63" spans="1:12" x14ac:dyDescent="0.3">
      <c r="A63" s="2">
        <v>46205</v>
      </c>
      <c r="B63">
        <f t="shared" si="0"/>
        <v>27</v>
      </c>
      <c r="C63" t="str">
        <f t="shared" si="1"/>
        <v>July</v>
      </c>
      <c r="D63" s="11">
        <f>1501*60</f>
        <v>90060</v>
      </c>
      <c r="F63" s="11">
        <f>547*32</f>
        <v>17504</v>
      </c>
    </row>
    <row r="64" spans="1:12" x14ac:dyDescent="0.3">
      <c r="A64" s="2">
        <f>WORKDAY.INTL(A63,1,,'Don''t Change'!$A$2:$A$6)</f>
        <v>46206</v>
      </c>
      <c r="B64">
        <f t="shared" si="0"/>
        <v>27</v>
      </c>
      <c r="C64" t="str">
        <f t="shared" si="1"/>
        <v>July</v>
      </c>
      <c r="D64" s="11">
        <v>0</v>
      </c>
      <c r="F64" s="11">
        <v>0</v>
      </c>
    </row>
    <row r="65" spans="1:18" x14ac:dyDescent="0.3">
      <c r="A65" s="2">
        <f>WORKDAY.INTL(A64,1,,'Don''t Change'!$A$2:$A$6)</f>
        <v>46209</v>
      </c>
      <c r="B65">
        <f t="shared" si="0"/>
        <v>28</v>
      </c>
      <c r="C65" t="str">
        <f t="shared" si="1"/>
        <v>July</v>
      </c>
      <c r="D65" s="11">
        <f>743*60</f>
        <v>44580</v>
      </c>
      <c r="F65" s="11">
        <f>242*35</f>
        <v>8470</v>
      </c>
    </row>
    <row r="66" spans="1:18" x14ac:dyDescent="0.3">
      <c r="A66" s="2">
        <f>WORKDAY.INTL(A65,1,,'Don''t Change'!$A$2:$A$6)</f>
        <v>46210</v>
      </c>
      <c r="B66">
        <f t="shared" si="0"/>
        <v>28</v>
      </c>
      <c r="C66" t="str">
        <f t="shared" si="1"/>
        <v>July</v>
      </c>
      <c r="D66" s="11">
        <f>1260*60</f>
        <v>75600</v>
      </c>
      <c r="F66" s="11">
        <f>270*32</f>
        <v>8640</v>
      </c>
    </row>
    <row r="67" spans="1:18" x14ac:dyDescent="0.3">
      <c r="A67" s="2">
        <f>WORKDAY.INTL(A66,1,,'Don''t Change'!$A$2:$A$6)</f>
        <v>46211</v>
      </c>
      <c r="B67">
        <f t="shared" ref="B67:B130" si="2">+WEEKNUM(A67)</f>
        <v>28</v>
      </c>
      <c r="C67" t="str">
        <f t="shared" si="1"/>
        <v>July</v>
      </c>
      <c r="D67" s="11">
        <f>508*60</f>
        <v>30480</v>
      </c>
      <c r="F67" s="11">
        <f>(135+45+108)*32</f>
        <v>9216</v>
      </c>
      <c r="I67" s="11">
        <v>310</v>
      </c>
      <c r="L67" s="11">
        <f>68+24+156+48</f>
        <v>296</v>
      </c>
    </row>
    <row r="68" spans="1:18" x14ac:dyDescent="0.3">
      <c r="A68" s="2">
        <f>WORKDAY.INTL(A67,1,,'Don''t Change'!$A$2:$A$6)</f>
        <v>46212</v>
      </c>
      <c r="B68">
        <f t="shared" si="2"/>
        <v>28</v>
      </c>
      <c r="C68" t="str">
        <f t="shared" ref="C68:C131" si="3">+TEXT(A68,"mmmm")</f>
        <v>July</v>
      </c>
      <c r="F68" s="11">
        <f>765*35</f>
        <v>26775</v>
      </c>
    </row>
    <row r="69" spans="1:18" x14ac:dyDescent="0.3">
      <c r="A69" s="2">
        <f>WORKDAY.INTL(A68,1,,'Don''t Change'!$A$2:$A$6)</f>
        <v>46213</v>
      </c>
      <c r="B69">
        <f t="shared" si="2"/>
        <v>28</v>
      </c>
      <c r="C69" t="str">
        <f t="shared" si="3"/>
        <v>July</v>
      </c>
      <c r="D69" s="11">
        <v>0</v>
      </c>
      <c r="F69" s="11">
        <v>0</v>
      </c>
    </row>
    <row r="70" spans="1:18" x14ac:dyDescent="0.3">
      <c r="A70" s="2">
        <f>WORKDAY.INTL(A69,1,,'Don''t Change'!$A$2:$A$6)</f>
        <v>46216</v>
      </c>
      <c r="B70">
        <f t="shared" si="2"/>
        <v>29</v>
      </c>
      <c r="C70" t="str">
        <f t="shared" si="3"/>
        <v>July</v>
      </c>
      <c r="D70" s="11">
        <f>370*225</f>
        <v>83250</v>
      </c>
      <c r="F70" s="11">
        <v>10080</v>
      </c>
    </row>
    <row r="71" spans="1:18" x14ac:dyDescent="0.3">
      <c r="A71" s="2">
        <f>WORKDAY.INTL(A70,1,,'Don''t Change'!$A$2:$A$6)</f>
        <v>46217</v>
      </c>
      <c r="B71">
        <f t="shared" si="2"/>
        <v>29</v>
      </c>
      <c r="C71" t="str">
        <f t="shared" si="3"/>
        <v>July</v>
      </c>
      <c r="D71" s="11">
        <v>0</v>
      </c>
      <c r="F71" s="11">
        <v>0</v>
      </c>
    </row>
    <row r="72" spans="1:18" x14ac:dyDescent="0.3">
      <c r="A72" s="2">
        <f>WORKDAY.INTL(A71,1,,'Don''t Change'!$A$2:$A$6)</f>
        <v>46218</v>
      </c>
      <c r="B72">
        <f t="shared" si="2"/>
        <v>29</v>
      </c>
      <c r="C72" t="str">
        <f t="shared" si="3"/>
        <v>July</v>
      </c>
      <c r="D72" s="11">
        <v>0</v>
      </c>
      <c r="F72" s="11">
        <v>0</v>
      </c>
    </row>
    <row r="73" spans="1:18" x14ac:dyDescent="0.3">
      <c r="A73" s="2">
        <f>WORKDAY.INTL(A72,1,,'Don''t Change'!$A$2:$A$6)</f>
        <v>46219</v>
      </c>
      <c r="B73">
        <f t="shared" si="2"/>
        <v>29</v>
      </c>
      <c r="C73" t="str">
        <f t="shared" si="3"/>
        <v>July</v>
      </c>
      <c r="D73" s="11">
        <v>0</v>
      </c>
      <c r="F73" s="11">
        <f>176*35</f>
        <v>6160</v>
      </c>
    </row>
    <row r="74" spans="1:18" x14ac:dyDescent="0.3">
      <c r="A74" s="2">
        <f>WORKDAY.INTL(A73,1,,'Don''t Change'!$A$2:$A$6)</f>
        <v>46220</v>
      </c>
      <c r="B74">
        <f t="shared" si="2"/>
        <v>29</v>
      </c>
      <c r="C74" t="str">
        <f t="shared" si="3"/>
        <v>July</v>
      </c>
      <c r="D74" s="11">
        <v>0</v>
      </c>
      <c r="F74" s="11">
        <v>0</v>
      </c>
    </row>
    <row r="75" spans="1:18" x14ac:dyDescent="0.3">
      <c r="A75" s="2">
        <f>WORKDAY.INTL(A74,1,,'Don''t Change'!$A$2:$A$6)</f>
        <v>46223</v>
      </c>
      <c r="B75">
        <f t="shared" si="2"/>
        <v>30</v>
      </c>
      <c r="C75" t="str">
        <f t="shared" si="3"/>
        <v>July</v>
      </c>
      <c r="D75" s="11">
        <v>0</v>
      </c>
      <c r="F75" s="11">
        <v>0</v>
      </c>
    </row>
    <row r="76" spans="1:18" x14ac:dyDescent="0.3">
      <c r="A76" s="2">
        <f>WORKDAY.INTL(A75,1,,'Don''t Change'!$A$2:$A$6)</f>
        <v>46224</v>
      </c>
      <c r="B76">
        <f t="shared" si="2"/>
        <v>30</v>
      </c>
      <c r="C76" t="str">
        <f t="shared" si="3"/>
        <v>July</v>
      </c>
      <c r="D76" s="11">
        <v>0</v>
      </c>
      <c r="F76" s="11">
        <v>21440</v>
      </c>
      <c r="L76" s="11">
        <v>100</v>
      </c>
    </row>
    <row r="77" spans="1:18" x14ac:dyDescent="0.3">
      <c r="A77" s="2">
        <f>WORKDAY.INTL(A76,1,,'Don''t Change'!$A$2:$A$6)</f>
        <v>46225</v>
      </c>
      <c r="B77">
        <f t="shared" si="2"/>
        <v>30</v>
      </c>
      <c r="C77" t="str">
        <f t="shared" si="3"/>
        <v>July</v>
      </c>
      <c r="D77" s="11">
        <f>630*60</f>
        <v>37800</v>
      </c>
      <c r="F77" s="11">
        <f>1022*32</f>
        <v>32704</v>
      </c>
    </row>
    <row r="78" spans="1:18" x14ac:dyDescent="0.3">
      <c r="A78" s="2">
        <f>WORKDAY.INTL(A77,1,,'Don''t Change'!$A$2:$A$6)</f>
        <v>46226</v>
      </c>
      <c r="B78">
        <f t="shared" si="2"/>
        <v>30</v>
      </c>
      <c r="C78" t="str">
        <f t="shared" si="3"/>
        <v>July</v>
      </c>
      <c r="D78" s="11">
        <f>1008*60</f>
        <v>60480</v>
      </c>
      <c r="F78" s="11">
        <f>759*32</f>
        <v>24288</v>
      </c>
      <c r="L78" s="11">
        <v>396</v>
      </c>
    </row>
    <row r="79" spans="1:18" x14ac:dyDescent="0.3">
      <c r="A79" s="2">
        <f>WORKDAY.INTL(A78,1,,'Don''t Change'!$A$2:$A$6)</f>
        <v>46227</v>
      </c>
      <c r="B79">
        <f t="shared" si="2"/>
        <v>30</v>
      </c>
      <c r="C79" t="str">
        <f t="shared" si="3"/>
        <v>July</v>
      </c>
      <c r="D79" s="11">
        <f>526*60+247*225</f>
        <v>87135</v>
      </c>
      <c r="F79" s="11">
        <f>59*32</f>
        <v>1888</v>
      </c>
      <c r="I79" s="11">
        <v>147</v>
      </c>
      <c r="R79">
        <f>880*60</f>
        <v>52800</v>
      </c>
    </row>
    <row r="80" spans="1:18" x14ac:dyDescent="0.3">
      <c r="A80" s="2">
        <f>WORKDAY.INTL(A79,1,,'Don''t Change'!$A$2:$A$6)</f>
        <v>46230</v>
      </c>
      <c r="B80">
        <f t="shared" si="2"/>
        <v>31</v>
      </c>
      <c r="C80" t="str">
        <f t="shared" si="3"/>
        <v>July</v>
      </c>
      <c r="D80" s="11">
        <f>29*60+(126*5)*60+102*225</f>
        <v>62490</v>
      </c>
      <c r="F80" s="11">
        <f>606*32</f>
        <v>19392</v>
      </c>
    </row>
    <row r="81" spans="1:12" x14ac:dyDescent="0.3">
      <c r="A81" s="2">
        <f>WORKDAY.INTL(A80,1,,'Don''t Change'!$A$2:$A$6)</f>
        <v>46231</v>
      </c>
      <c r="B81">
        <f t="shared" si="2"/>
        <v>31</v>
      </c>
      <c r="C81" t="str">
        <f t="shared" si="3"/>
        <v>July</v>
      </c>
      <c r="D81" s="11">
        <f>231*225+880*60</f>
        <v>104775</v>
      </c>
      <c r="F81" s="11">
        <f>842*32</f>
        <v>26944</v>
      </c>
      <c r="I81" s="11">
        <v>198</v>
      </c>
      <c r="L81" s="11">
        <v>42</v>
      </c>
    </row>
    <row r="82" spans="1:12" x14ac:dyDescent="0.3">
      <c r="A82" s="2">
        <f>WORKDAY.INTL(A81,1,,'Don''t Change'!$A$2:$A$6)</f>
        <v>46232</v>
      </c>
      <c r="B82">
        <f t="shared" si="2"/>
        <v>31</v>
      </c>
      <c r="C82" t="str">
        <f t="shared" si="3"/>
        <v>July</v>
      </c>
      <c r="D82" s="11">
        <f>972*60</f>
        <v>58320</v>
      </c>
      <c r="F82" s="11">
        <f>705*32</f>
        <v>22560</v>
      </c>
    </row>
    <row r="83" spans="1:12" x14ac:dyDescent="0.3">
      <c r="A83" s="2">
        <f>WORKDAY.INTL(A82,1,,'Don''t Change'!$A$2:$A$6)</f>
        <v>46233</v>
      </c>
      <c r="B83">
        <f t="shared" si="2"/>
        <v>31</v>
      </c>
      <c r="C83" t="str">
        <f t="shared" si="3"/>
        <v>July</v>
      </c>
      <c r="D83" s="11">
        <v>0</v>
      </c>
      <c r="F83" s="11">
        <v>0</v>
      </c>
    </row>
    <row r="84" spans="1:12" x14ac:dyDescent="0.3">
      <c r="A84" s="2">
        <f>WORKDAY.INTL(A83,1,,'Don''t Change'!$A$2:$A$6)</f>
        <v>46234</v>
      </c>
      <c r="B84">
        <f t="shared" si="2"/>
        <v>31</v>
      </c>
      <c r="C84" t="str">
        <f t="shared" si="3"/>
        <v>July</v>
      </c>
      <c r="D84" s="11">
        <v>0</v>
      </c>
      <c r="F84" s="11">
        <v>0</v>
      </c>
    </row>
    <row r="85" spans="1:12" x14ac:dyDescent="0.3">
      <c r="A85" s="2">
        <f>WORKDAY.INTL(A84,1,,'Don''t Change'!$A$2:$A$6)</f>
        <v>46237</v>
      </c>
      <c r="B85">
        <f t="shared" si="2"/>
        <v>32</v>
      </c>
      <c r="C85" t="str">
        <f t="shared" si="3"/>
        <v>August</v>
      </c>
      <c r="D85" s="11">
        <v>0</v>
      </c>
      <c r="F85" s="11">
        <v>0</v>
      </c>
    </row>
    <row r="86" spans="1:12" x14ac:dyDescent="0.3">
      <c r="A86" s="2">
        <f>WORKDAY.INTL(A85,1,,'Don''t Change'!$A$2:$A$6)</f>
        <v>46238</v>
      </c>
      <c r="B86">
        <f t="shared" si="2"/>
        <v>32</v>
      </c>
      <c r="C86" t="str">
        <f t="shared" si="3"/>
        <v>August</v>
      </c>
      <c r="D86" s="11">
        <v>0</v>
      </c>
      <c r="F86" s="11">
        <v>0</v>
      </c>
    </row>
    <row r="87" spans="1:12" x14ac:dyDescent="0.3">
      <c r="A87" s="2">
        <f>WORKDAY.INTL(A86,1,,'Don''t Change'!$A$2:$A$6)</f>
        <v>46239</v>
      </c>
      <c r="B87">
        <f t="shared" si="2"/>
        <v>32</v>
      </c>
      <c r="C87" t="str">
        <f t="shared" si="3"/>
        <v>August</v>
      </c>
      <c r="D87" s="11">
        <v>0</v>
      </c>
      <c r="F87" s="11">
        <v>0</v>
      </c>
    </row>
    <row r="88" spans="1:12" x14ac:dyDescent="0.3">
      <c r="A88" s="2">
        <f>WORKDAY.INTL(A87,1,,'Don''t Change'!$A$2:$A$6)</f>
        <v>46240</v>
      </c>
      <c r="B88">
        <f t="shared" si="2"/>
        <v>32</v>
      </c>
      <c r="C88" t="str">
        <f t="shared" si="3"/>
        <v>August</v>
      </c>
      <c r="D88" s="11">
        <v>0</v>
      </c>
      <c r="F88" s="11">
        <v>0</v>
      </c>
    </row>
    <row r="89" spans="1:12" x14ac:dyDescent="0.3">
      <c r="A89" s="2">
        <f>WORKDAY.INTL(A88,1,,'Don''t Change'!$A$2:$A$6)</f>
        <v>46241</v>
      </c>
      <c r="B89">
        <f t="shared" si="2"/>
        <v>32</v>
      </c>
      <c r="C89" t="str">
        <f t="shared" si="3"/>
        <v>August</v>
      </c>
      <c r="D89" s="11">
        <v>0</v>
      </c>
      <c r="F89" s="11">
        <v>0</v>
      </c>
    </row>
    <row r="90" spans="1:12" x14ac:dyDescent="0.3">
      <c r="A90" s="2">
        <f>WORKDAY.INTL(A89,1,,'Don''t Change'!$A$2:$A$6)</f>
        <v>46244</v>
      </c>
      <c r="B90">
        <f t="shared" si="2"/>
        <v>33</v>
      </c>
      <c r="C90" t="str">
        <f t="shared" si="3"/>
        <v>August</v>
      </c>
      <c r="D90" s="11">
        <v>0</v>
      </c>
      <c r="F90" s="11">
        <v>0</v>
      </c>
    </row>
    <row r="91" spans="1:12" x14ac:dyDescent="0.3">
      <c r="A91" s="2">
        <f>WORKDAY.INTL(A90,1,,'Don''t Change'!$A$2:$A$6)</f>
        <v>46245</v>
      </c>
      <c r="B91">
        <f t="shared" si="2"/>
        <v>33</v>
      </c>
      <c r="C91" t="str">
        <f t="shared" si="3"/>
        <v>August</v>
      </c>
      <c r="D91" s="11">
        <v>0</v>
      </c>
      <c r="F91" s="11">
        <v>0</v>
      </c>
    </row>
    <row r="92" spans="1:12" x14ac:dyDescent="0.3">
      <c r="A92" s="2">
        <f>WORKDAY.INTL(A91,1,,'Don''t Change'!$A$2:$A$6)</f>
        <v>46246</v>
      </c>
      <c r="B92">
        <f t="shared" si="2"/>
        <v>33</v>
      </c>
      <c r="C92" t="str">
        <f t="shared" si="3"/>
        <v>August</v>
      </c>
      <c r="D92" s="11">
        <v>0</v>
      </c>
      <c r="F92" s="11">
        <v>0</v>
      </c>
    </row>
    <row r="93" spans="1:12" x14ac:dyDescent="0.3">
      <c r="A93" s="2">
        <f>WORKDAY.INTL(A92,1,,'Don''t Change'!$A$2:$A$6)</f>
        <v>46247</v>
      </c>
      <c r="B93">
        <f t="shared" si="2"/>
        <v>33</v>
      </c>
      <c r="C93" t="str">
        <f t="shared" si="3"/>
        <v>August</v>
      </c>
      <c r="D93" s="11">
        <v>0</v>
      </c>
      <c r="F93" s="11">
        <v>0</v>
      </c>
    </row>
    <row r="94" spans="1:12" x14ac:dyDescent="0.3">
      <c r="A94" s="2">
        <f>WORKDAY.INTL(A93,1,,'Don''t Change'!$A$2:$A$6)</f>
        <v>46248</v>
      </c>
      <c r="B94">
        <f t="shared" si="2"/>
        <v>33</v>
      </c>
      <c r="C94" t="str">
        <f t="shared" si="3"/>
        <v>August</v>
      </c>
      <c r="D94" s="11">
        <v>0</v>
      </c>
      <c r="F94" s="11">
        <v>0</v>
      </c>
    </row>
    <row r="95" spans="1:12" x14ac:dyDescent="0.3">
      <c r="A95" s="2">
        <f>WORKDAY.INTL(A94,1,,'Don''t Change'!$A$2:$A$6)</f>
        <v>46251</v>
      </c>
      <c r="B95">
        <f t="shared" si="2"/>
        <v>34</v>
      </c>
      <c r="C95" t="str">
        <f t="shared" si="3"/>
        <v>August</v>
      </c>
      <c r="D95" s="11">
        <v>0</v>
      </c>
      <c r="F95" s="11">
        <v>0</v>
      </c>
    </row>
    <row r="96" spans="1:12" x14ac:dyDescent="0.3">
      <c r="A96" s="2">
        <f>WORKDAY.INTL(A95,1,,'Don''t Change'!$A$2:$A$6)</f>
        <v>46252</v>
      </c>
      <c r="B96">
        <f t="shared" si="2"/>
        <v>34</v>
      </c>
      <c r="C96" t="str">
        <f t="shared" si="3"/>
        <v>August</v>
      </c>
      <c r="D96" s="11">
        <v>0</v>
      </c>
      <c r="F96" s="11">
        <v>0</v>
      </c>
    </row>
    <row r="97" spans="1:6" x14ac:dyDescent="0.3">
      <c r="A97" s="2">
        <f>WORKDAY.INTL(A96,1,,'Don''t Change'!$A$2:$A$6)</f>
        <v>46253</v>
      </c>
      <c r="B97">
        <f t="shared" si="2"/>
        <v>34</v>
      </c>
      <c r="C97" t="str">
        <f t="shared" si="3"/>
        <v>August</v>
      </c>
      <c r="D97" s="11">
        <v>0</v>
      </c>
      <c r="F97" s="11">
        <v>0</v>
      </c>
    </row>
    <row r="98" spans="1:6" x14ac:dyDescent="0.3">
      <c r="A98" s="2">
        <f>WORKDAY.INTL(A97,1,,'Don''t Change'!$A$2:$A$6)</f>
        <v>46254</v>
      </c>
      <c r="B98">
        <f t="shared" si="2"/>
        <v>34</v>
      </c>
      <c r="C98" t="str">
        <f t="shared" si="3"/>
        <v>August</v>
      </c>
      <c r="D98" s="11">
        <v>0</v>
      </c>
      <c r="F98" s="11">
        <v>0</v>
      </c>
    </row>
    <row r="99" spans="1:6" x14ac:dyDescent="0.3">
      <c r="A99" s="2">
        <f>WORKDAY.INTL(A98,1,,'Don''t Change'!$A$2:$A$6)</f>
        <v>46255</v>
      </c>
      <c r="B99">
        <f t="shared" si="2"/>
        <v>34</v>
      </c>
      <c r="C99" t="str">
        <f t="shared" si="3"/>
        <v>August</v>
      </c>
      <c r="D99" s="11">
        <v>0</v>
      </c>
      <c r="F99" s="11">
        <v>0</v>
      </c>
    </row>
    <row r="100" spans="1:6" x14ac:dyDescent="0.3">
      <c r="A100" s="2">
        <f>WORKDAY.INTL(A99,1,,'Don''t Change'!$A$2:$A$6)</f>
        <v>46258</v>
      </c>
      <c r="B100">
        <f t="shared" si="2"/>
        <v>35</v>
      </c>
      <c r="C100" t="str">
        <f t="shared" si="3"/>
        <v>August</v>
      </c>
      <c r="D100" s="11">
        <v>0</v>
      </c>
      <c r="F100" s="11">
        <v>0</v>
      </c>
    </row>
    <row r="101" spans="1:6" x14ac:dyDescent="0.3">
      <c r="A101" s="2">
        <f>WORKDAY.INTL(A100,1,,'Don''t Change'!$A$2:$A$6)</f>
        <v>46259</v>
      </c>
      <c r="B101">
        <f t="shared" si="2"/>
        <v>35</v>
      </c>
      <c r="C101" t="str">
        <f t="shared" si="3"/>
        <v>August</v>
      </c>
      <c r="D101" s="11">
        <v>0</v>
      </c>
      <c r="F101" s="11">
        <v>0</v>
      </c>
    </row>
    <row r="102" spans="1:6" x14ac:dyDescent="0.3">
      <c r="A102" s="2">
        <f>WORKDAY.INTL(A101,1,,'Don''t Change'!$A$2:$A$6)</f>
        <v>46260</v>
      </c>
      <c r="B102">
        <f t="shared" si="2"/>
        <v>35</v>
      </c>
      <c r="C102" t="str">
        <f t="shared" si="3"/>
        <v>August</v>
      </c>
      <c r="D102" s="11">
        <v>0</v>
      </c>
      <c r="F102" s="11">
        <v>0</v>
      </c>
    </row>
    <row r="103" spans="1:6" x14ac:dyDescent="0.3">
      <c r="A103" s="2">
        <f>WORKDAY.INTL(A102,1,,'Don''t Change'!$A$2:$A$6)</f>
        <v>46261</v>
      </c>
      <c r="B103">
        <f t="shared" si="2"/>
        <v>35</v>
      </c>
      <c r="C103" t="str">
        <f t="shared" si="3"/>
        <v>August</v>
      </c>
      <c r="D103" s="11">
        <v>0</v>
      </c>
      <c r="F103" s="11">
        <v>0</v>
      </c>
    </row>
    <row r="104" spans="1:6" x14ac:dyDescent="0.3">
      <c r="A104" s="2">
        <f>WORKDAY.INTL(A103,1,,'Don''t Change'!$A$2:$A$6)</f>
        <v>46262</v>
      </c>
      <c r="B104">
        <f t="shared" si="2"/>
        <v>35</v>
      </c>
      <c r="C104" t="str">
        <f t="shared" si="3"/>
        <v>August</v>
      </c>
      <c r="D104" s="11">
        <v>0</v>
      </c>
      <c r="F104" s="11">
        <v>0</v>
      </c>
    </row>
    <row r="105" spans="1:6" x14ac:dyDescent="0.3">
      <c r="A105" s="2">
        <f>WORKDAY.INTL(A104,1,,'Don''t Change'!$A$2:$A$6)</f>
        <v>46265</v>
      </c>
      <c r="B105">
        <f t="shared" si="2"/>
        <v>36</v>
      </c>
      <c r="C105" t="str">
        <f t="shared" si="3"/>
        <v>August</v>
      </c>
      <c r="D105" s="11">
        <v>0</v>
      </c>
      <c r="F105" s="11">
        <v>0</v>
      </c>
    </row>
    <row r="106" spans="1:6" x14ac:dyDescent="0.3">
      <c r="A106" s="2">
        <f>WORKDAY.INTL(A105,1,,'Don''t Change'!$A$2:$A$6)</f>
        <v>46266</v>
      </c>
      <c r="B106">
        <f t="shared" si="2"/>
        <v>36</v>
      </c>
      <c r="C106" t="str">
        <f t="shared" si="3"/>
        <v>September</v>
      </c>
      <c r="D106" s="11">
        <v>0</v>
      </c>
      <c r="F106" s="11">
        <v>0</v>
      </c>
    </row>
    <row r="107" spans="1:6" x14ac:dyDescent="0.3">
      <c r="A107" s="2">
        <f>WORKDAY.INTL(A106,1,,'Don''t Change'!$A$2:$A$6)</f>
        <v>46267</v>
      </c>
      <c r="B107">
        <f t="shared" si="2"/>
        <v>36</v>
      </c>
      <c r="C107" t="str">
        <f t="shared" si="3"/>
        <v>September</v>
      </c>
      <c r="D107" s="11">
        <v>0</v>
      </c>
      <c r="F107" s="11">
        <v>0</v>
      </c>
    </row>
    <row r="108" spans="1:6" x14ac:dyDescent="0.3">
      <c r="A108" s="2">
        <f>WORKDAY.INTL(A107,1,,'Don''t Change'!$A$2:$A$6)</f>
        <v>46268</v>
      </c>
      <c r="B108">
        <f t="shared" si="2"/>
        <v>36</v>
      </c>
      <c r="C108" t="str">
        <f t="shared" si="3"/>
        <v>September</v>
      </c>
      <c r="D108" s="11">
        <v>0</v>
      </c>
      <c r="F108" s="11">
        <v>0</v>
      </c>
    </row>
    <row r="109" spans="1:6" x14ac:dyDescent="0.3">
      <c r="A109" s="2">
        <f>WORKDAY.INTL(A108,1,,'Don''t Change'!$A$2:$A$6)</f>
        <v>46269</v>
      </c>
      <c r="B109">
        <f t="shared" si="2"/>
        <v>36</v>
      </c>
      <c r="C109" t="str">
        <f t="shared" si="3"/>
        <v>September</v>
      </c>
      <c r="D109" s="11">
        <v>0</v>
      </c>
      <c r="F109" s="11">
        <v>0</v>
      </c>
    </row>
    <row r="110" spans="1:6" x14ac:dyDescent="0.3">
      <c r="A110" s="2">
        <f>WORKDAY.INTL(A109,1,,'Don''t Change'!$A$2:$A$6)</f>
        <v>46273</v>
      </c>
      <c r="B110">
        <f t="shared" si="2"/>
        <v>37</v>
      </c>
      <c r="C110" t="str">
        <f t="shared" si="3"/>
        <v>September</v>
      </c>
      <c r="D110" s="11">
        <v>0</v>
      </c>
      <c r="F110" s="11">
        <v>0</v>
      </c>
    </row>
    <row r="111" spans="1:6" x14ac:dyDescent="0.3">
      <c r="A111" s="2">
        <f>WORKDAY.INTL(A110,1,,'Don''t Change'!$A$2:$A$6)</f>
        <v>46274</v>
      </c>
      <c r="B111">
        <f t="shared" si="2"/>
        <v>37</v>
      </c>
      <c r="C111" t="str">
        <f t="shared" si="3"/>
        <v>September</v>
      </c>
      <c r="D111" s="11">
        <v>0</v>
      </c>
      <c r="F111" s="11">
        <v>0</v>
      </c>
    </row>
    <row r="112" spans="1:6" x14ac:dyDescent="0.3">
      <c r="A112" s="2">
        <f>WORKDAY.INTL(A111,1,,'Don''t Change'!$A$2:$A$6)</f>
        <v>46275</v>
      </c>
      <c r="B112">
        <f t="shared" si="2"/>
        <v>37</v>
      </c>
      <c r="C112" t="str">
        <f t="shared" si="3"/>
        <v>September</v>
      </c>
      <c r="D112" s="11">
        <v>0</v>
      </c>
      <c r="F112" s="11">
        <v>0</v>
      </c>
    </row>
    <row r="113" spans="1:6" x14ac:dyDescent="0.3">
      <c r="A113" s="2">
        <f>WORKDAY.INTL(A112,1,,'Don''t Change'!$A$2:$A$6)</f>
        <v>46276</v>
      </c>
      <c r="B113">
        <f t="shared" si="2"/>
        <v>37</v>
      </c>
      <c r="C113" t="str">
        <f t="shared" si="3"/>
        <v>September</v>
      </c>
      <c r="D113" s="11">
        <v>0</v>
      </c>
      <c r="F113" s="11">
        <v>0</v>
      </c>
    </row>
    <row r="114" spans="1:6" x14ac:dyDescent="0.3">
      <c r="A114" s="2">
        <f>WORKDAY.INTL(A113,1,,'Don''t Change'!$A$2:$A$6)</f>
        <v>46279</v>
      </c>
      <c r="B114">
        <f t="shared" si="2"/>
        <v>38</v>
      </c>
      <c r="C114" t="str">
        <f t="shared" si="3"/>
        <v>September</v>
      </c>
      <c r="D114" s="11">
        <v>0</v>
      </c>
      <c r="F114" s="11">
        <v>0</v>
      </c>
    </row>
    <row r="115" spans="1:6" x14ac:dyDescent="0.3">
      <c r="A115" s="2">
        <f>WORKDAY.INTL(A114,1,,'Don''t Change'!$A$2:$A$6)</f>
        <v>46280</v>
      </c>
      <c r="B115">
        <f t="shared" si="2"/>
        <v>38</v>
      </c>
      <c r="C115" t="str">
        <f t="shared" si="3"/>
        <v>September</v>
      </c>
      <c r="D115" s="11">
        <v>0</v>
      </c>
      <c r="F115" s="11">
        <v>0</v>
      </c>
    </row>
    <row r="116" spans="1:6" x14ac:dyDescent="0.3">
      <c r="A116" s="2">
        <f>WORKDAY.INTL(A115,1,,'Don''t Change'!$A$2:$A$6)</f>
        <v>46281</v>
      </c>
      <c r="B116">
        <f t="shared" si="2"/>
        <v>38</v>
      </c>
      <c r="C116" t="str">
        <f t="shared" si="3"/>
        <v>September</v>
      </c>
      <c r="D116" s="11">
        <v>0</v>
      </c>
      <c r="F116" s="11">
        <v>0</v>
      </c>
    </row>
    <row r="117" spans="1:6" x14ac:dyDescent="0.3">
      <c r="A117" s="2">
        <f>WORKDAY.INTL(A116,1,,'Don''t Change'!$A$2:$A$6)</f>
        <v>46282</v>
      </c>
      <c r="B117">
        <f t="shared" si="2"/>
        <v>38</v>
      </c>
      <c r="C117" t="str">
        <f t="shared" si="3"/>
        <v>September</v>
      </c>
      <c r="D117" s="11">
        <v>0</v>
      </c>
      <c r="F117" s="11">
        <v>0</v>
      </c>
    </row>
    <row r="118" spans="1:6" x14ac:dyDescent="0.3">
      <c r="A118" s="2">
        <f>WORKDAY.INTL(A117,1,,'Don''t Change'!$A$2:$A$6)</f>
        <v>46283</v>
      </c>
      <c r="B118">
        <f t="shared" si="2"/>
        <v>38</v>
      </c>
      <c r="C118" t="str">
        <f t="shared" si="3"/>
        <v>September</v>
      </c>
      <c r="D118" s="11">
        <v>0</v>
      </c>
      <c r="F118" s="11">
        <v>0</v>
      </c>
    </row>
    <row r="119" spans="1:6" x14ac:dyDescent="0.3">
      <c r="A119" s="2">
        <f>WORKDAY.INTL(A118,1,,'Don''t Change'!$A$2:$A$6)</f>
        <v>46286</v>
      </c>
      <c r="B119">
        <f t="shared" si="2"/>
        <v>39</v>
      </c>
      <c r="C119" t="str">
        <f t="shared" si="3"/>
        <v>September</v>
      </c>
      <c r="D119" s="11">
        <v>0</v>
      </c>
      <c r="F119" s="11">
        <v>0</v>
      </c>
    </row>
    <row r="120" spans="1:6" x14ac:dyDescent="0.3">
      <c r="A120" s="2">
        <f>WORKDAY.INTL(A119,1,,'Don''t Change'!$A$2:$A$6)</f>
        <v>46287</v>
      </c>
      <c r="B120">
        <f t="shared" si="2"/>
        <v>39</v>
      </c>
      <c r="C120" t="str">
        <f t="shared" si="3"/>
        <v>September</v>
      </c>
      <c r="D120" s="11">
        <v>0</v>
      </c>
      <c r="F120" s="11">
        <v>0</v>
      </c>
    </row>
    <row r="121" spans="1:6" x14ac:dyDescent="0.3">
      <c r="A121" s="2">
        <f>WORKDAY.INTL(A120,1,,'Don''t Change'!$A$2:$A$6)</f>
        <v>46288</v>
      </c>
      <c r="B121">
        <f t="shared" si="2"/>
        <v>39</v>
      </c>
      <c r="C121" t="str">
        <f t="shared" si="3"/>
        <v>September</v>
      </c>
      <c r="D121" s="11">
        <v>0</v>
      </c>
      <c r="F121" s="11">
        <v>0</v>
      </c>
    </row>
    <row r="122" spans="1:6" x14ac:dyDescent="0.3">
      <c r="A122" s="2">
        <f>WORKDAY.INTL(A121,1,,'Don''t Change'!$A$2:$A$6)</f>
        <v>46289</v>
      </c>
      <c r="B122">
        <f t="shared" si="2"/>
        <v>39</v>
      </c>
      <c r="C122" t="str">
        <f t="shared" si="3"/>
        <v>September</v>
      </c>
      <c r="D122" s="11">
        <v>0</v>
      </c>
      <c r="F122" s="11">
        <v>0</v>
      </c>
    </row>
    <row r="123" spans="1:6" x14ac:dyDescent="0.3">
      <c r="A123" s="2">
        <f>WORKDAY.INTL(A122,1,,'Don''t Change'!$A$2:$A$6)</f>
        <v>46290</v>
      </c>
      <c r="B123">
        <f t="shared" si="2"/>
        <v>39</v>
      </c>
      <c r="C123" t="str">
        <f t="shared" si="3"/>
        <v>September</v>
      </c>
      <c r="D123" s="11">
        <v>0</v>
      </c>
      <c r="F123" s="11">
        <v>0</v>
      </c>
    </row>
    <row r="124" spans="1:6" x14ac:dyDescent="0.3">
      <c r="A124" s="2">
        <f>WORKDAY.INTL(A123,1,,'Don''t Change'!$A$2:$A$6)</f>
        <v>46293</v>
      </c>
      <c r="B124">
        <f t="shared" si="2"/>
        <v>40</v>
      </c>
      <c r="C124" t="str">
        <f t="shared" si="3"/>
        <v>September</v>
      </c>
      <c r="D124" s="11">
        <v>0</v>
      </c>
      <c r="F124" s="11">
        <v>0</v>
      </c>
    </row>
    <row r="125" spans="1:6" x14ac:dyDescent="0.3">
      <c r="A125" s="2">
        <f>WORKDAY.INTL(A124,1,,'Don''t Change'!$A$2:$A$6)</f>
        <v>46294</v>
      </c>
      <c r="B125">
        <f t="shared" si="2"/>
        <v>40</v>
      </c>
      <c r="C125" t="str">
        <f t="shared" si="3"/>
        <v>September</v>
      </c>
      <c r="D125" s="11">
        <v>0</v>
      </c>
      <c r="F125" s="11">
        <v>0</v>
      </c>
    </row>
    <row r="126" spans="1:6" x14ac:dyDescent="0.3">
      <c r="A126" s="2">
        <f>WORKDAY.INTL(A125,1,,'Don''t Change'!$A$2:$A$6)</f>
        <v>46295</v>
      </c>
      <c r="B126">
        <f t="shared" si="2"/>
        <v>40</v>
      </c>
      <c r="C126" t="str">
        <f t="shared" si="3"/>
        <v>September</v>
      </c>
      <c r="D126" s="11">
        <v>0</v>
      </c>
      <c r="F126" s="11">
        <v>0</v>
      </c>
    </row>
    <row r="127" spans="1:6" x14ac:dyDescent="0.3">
      <c r="A127" s="2">
        <f>WORKDAY.INTL(A126,1,,'Don''t Change'!$A$2:$A$6)</f>
        <v>46296</v>
      </c>
      <c r="B127">
        <f t="shared" si="2"/>
        <v>40</v>
      </c>
      <c r="C127" t="str">
        <f t="shared" si="3"/>
        <v>October</v>
      </c>
      <c r="D127" s="11">
        <v>0</v>
      </c>
      <c r="F127" s="11">
        <v>0</v>
      </c>
    </row>
    <row r="128" spans="1:6" x14ac:dyDescent="0.3">
      <c r="A128" s="2">
        <f>WORKDAY.INTL(A127,1,,'Don''t Change'!$A$2:$A$6)</f>
        <v>46297</v>
      </c>
      <c r="B128">
        <f t="shared" si="2"/>
        <v>40</v>
      </c>
      <c r="C128" t="str">
        <f t="shared" si="3"/>
        <v>October</v>
      </c>
      <c r="D128" s="11">
        <v>0</v>
      </c>
      <c r="F128" s="11">
        <v>0</v>
      </c>
    </row>
    <row r="129" spans="1:6" x14ac:dyDescent="0.3">
      <c r="A129" s="2">
        <f>WORKDAY.INTL(A128,1,,'Don''t Change'!$A$2:$A$6)</f>
        <v>46300</v>
      </c>
      <c r="B129">
        <f t="shared" si="2"/>
        <v>41</v>
      </c>
      <c r="C129" t="str">
        <f t="shared" si="3"/>
        <v>October</v>
      </c>
      <c r="D129" s="11">
        <v>0</v>
      </c>
      <c r="F129" s="11">
        <v>0</v>
      </c>
    </row>
    <row r="130" spans="1:6" x14ac:dyDescent="0.3">
      <c r="A130" s="2">
        <f>WORKDAY.INTL(A129,1,,'Don''t Change'!$A$2:$A$6)</f>
        <v>46301</v>
      </c>
      <c r="B130">
        <f t="shared" si="2"/>
        <v>41</v>
      </c>
      <c r="C130" t="str">
        <f t="shared" si="3"/>
        <v>October</v>
      </c>
      <c r="D130" s="11">
        <v>0</v>
      </c>
      <c r="F130" s="11">
        <v>0</v>
      </c>
    </row>
    <row r="131" spans="1:6" x14ac:dyDescent="0.3">
      <c r="A131" s="2">
        <f>WORKDAY.INTL(A130,1,,'Don''t Change'!$A$2:$A$6)</f>
        <v>46302</v>
      </c>
      <c r="B131">
        <f t="shared" ref="B131:B189" si="4">+WEEKNUM(A131)</f>
        <v>41</v>
      </c>
      <c r="C131" t="str">
        <f t="shared" si="3"/>
        <v>October</v>
      </c>
      <c r="D131" s="11">
        <v>0</v>
      </c>
      <c r="F131" s="11">
        <v>0</v>
      </c>
    </row>
    <row r="132" spans="1:6" x14ac:dyDescent="0.3">
      <c r="A132" s="2">
        <f>WORKDAY.INTL(A131,1,,'Don''t Change'!$A$2:$A$6)</f>
        <v>46303</v>
      </c>
      <c r="B132">
        <f t="shared" si="4"/>
        <v>41</v>
      </c>
      <c r="C132" t="str">
        <f t="shared" ref="C132:C189" si="5">+TEXT(A132,"mmmm")</f>
        <v>October</v>
      </c>
      <c r="D132" s="11">
        <v>0</v>
      </c>
      <c r="F132" s="11">
        <v>0</v>
      </c>
    </row>
    <row r="133" spans="1:6" x14ac:dyDescent="0.3">
      <c r="A133" s="2">
        <f>WORKDAY.INTL(A132,1,,'Don''t Change'!$A$2:$A$6)</f>
        <v>46304</v>
      </c>
      <c r="B133">
        <f t="shared" si="4"/>
        <v>41</v>
      </c>
      <c r="C133" t="str">
        <f t="shared" si="5"/>
        <v>October</v>
      </c>
      <c r="D133" s="11">
        <v>0</v>
      </c>
      <c r="F133" s="11">
        <v>0</v>
      </c>
    </row>
    <row r="134" spans="1:6" x14ac:dyDescent="0.3">
      <c r="A134" s="2">
        <f>WORKDAY.INTL(A133,1,,'Don''t Change'!$A$2:$A$6)</f>
        <v>46307</v>
      </c>
      <c r="B134">
        <f t="shared" si="4"/>
        <v>42</v>
      </c>
      <c r="C134" t="str">
        <f t="shared" si="5"/>
        <v>October</v>
      </c>
      <c r="D134" s="11">
        <v>0</v>
      </c>
      <c r="F134" s="11">
        <v>0</v>
      </c>
    </row>
    <row r="135" spans="1:6" x14ac:dyDescent="0.3">
      <c r="A135" s="2">
        <f>WORKDAY.INTL(A134,1,,'Don''t Change'!$A$2:$A$6)</f>
        <v>46308</v>
      </c>
      <c r="B135">
        <f t="shared" si="4"/>
        <v>42</v>
      </c>
      <c r="C135" t="str">
        <f t="shared" si="5"/>
        <v>October</v>
      </c>
      <c r="D135" s="11">
        <v>0</v>
      </c>
      <c r="F135" s="11">
        <v>0</v>
      </c>
    </row>
    <row r="136" spans="1:6" x14ac:dyDescent="0.3">
      <c r="A136" s="2">
        <f>WORKDAY.INTL(A135,1,,'Don''t Change'!$A$2:$A$6)</f>
        <v>46309</v>
      </c>
      <c r="B136">
        <f t="shared" si="4"/>
        <v>42</v>
      </c>
      <c r="C136" t="str">
        <f t="shared" si="5"/>
        <v>October</v>
      </c>
      <c r="D136" s="11">
        <v>0</v>
      </c>
      <c r="F136" s="11">
        <v>0</v>
      </c>
    </row>
    <row r="137" spans="1:6" x14ac:dyDescent="0.3">
      <c r="A137" s="2">
        <f>WORKDAY.INTL(A136,1,,'Don''t Change'!$A$2:$A$6)</f>
        <v>46310</v>
      </c>
      <c r="B137">
        <f t="shared" si="4"/>
        <v>42</v>
      </c>
      <c r="C137" t="str">
        <f t="shared" si="5"/>
        <v>October</v>
      </c>
      <c r="D137" s="11">
        <v>0</v>
      </c>
      <c r="F137" s="11">
        <v>0</v>
      </c>
    </row>
    <row r="138" spans="1:6" x14ac:dyDescent="0.3">
      <c r="A138" s="2">
        <f>WORKDAY.INTL(A137,1,,'Don''t Change'!$A$2:$A$6)</f>
        <v>46311</v>
      </c>
      <c r="B138">
        <f t="shared" si="4"/>
        <v>42</v>
      </c>
      <c r="C138" t="str">
        <f t="shared" si="5"/>
        <v>October</v>
      </c>
      <c r="D138" s="11">
        <v>0</v>
      </c>
      <c r="F138" s="11">
        <v>0</v>
      </c>
    </row>
    <row r="139" spans="1:6" x14ac:dyDescent="0.3">
      <c r="A139" s="2">
        <f>WORKDAY.INTL(A138,1,,'Don''t Change'!$A$2:$A$6)</f>
        <v>46314</v>
      </c>
      <c r="B139">
        <f t="shared" si="4"/>
        <v>43</v>
      </c>
      <c r="C139" t="str">
        <f t="shared" si="5"/>
        <v>October</v>
      </c>
      <c r="D139" s="11">
        <v>0</v>
      </c>
      <c r="F139" s="11">
        <v>0</v>
      </c>
    </row>
    <row r="140" spans="1:6" x14ac:dyDescent="0.3">
      <c r="A140" s="2">
        <f>WORKDAY.INTL(A139,1,,'Don''t Change'!$A$2:$A$6)</f>
        <v>46315</v>
      </c>
      <c r="B140">
        <f t="shared" si="4"/>
        <v>43</v>
      </c>
      <c r="C140" t="str">
        <f t="shared" si="5"/>
        <v>October</v>
      </c>
      <c r="D140" s="11">
        <v>0</v>
      </c>
      <c r="F140" s="11">
        <v>0</v>
      </c>
    </row>
    <row r="141" spans="1:6" x14ac:dyDescent="0.3">
      <c r="A141" s="2">
        <f>WORKDAY.INTL(A140,1,,'Don''t Change'!$A$2:$A$6)</f>
        <v>46316</v>
      </c>
      <c r="B141">
        <f t="shared" si="4"/>
        <v>43</v>
      </c>
      <c r="C141" t="str">
        <f t="shared" si="5"/>
        <v>October</v>
      </c>
      <c r="D141" s="11">
        <v>0</v>
      </c>
      <c r="F141" s="11">
        <v>0</v>
      </c>
    </row>
    <row r="142" spans="1:6" x14ac:dyDescent="0.3">
      <c r="A142" s="2">
        <f>WORKDAY.INTL(A141,1,,'Don''t Change'!$A$2:$A$6)</f>
        <v>46317</v>
      </c>
      <c r="B142">
        <f t="shared" si="4"/>
        <v>43</v>
      </c>
      <c r="C142" t="str">
        <f t="shared" si="5"/>
        <v>October</v>
      </c>
      <c r="D142" s="11">
        <v>0</v>
      </c>
      <c r="F142" s="11">
        <v>0</v>
      </c>
    </row>
    <row r="143" spans="1:6" x14ac:dyDescent="0.3">
      <c r="A143" s="2">
        <f>WORKDAY.INTL(A142,1,,'Don''t Change'!$A$2:$A$6)</f>
        <v>46318</v>
      </c>
      <c r="B143">
        <f t="shared" si="4"/>
        <v>43</v>
      </c>
      <c r="C143" t="str">
        <f t="shared" si="5"/>
        <v>October</v>
      </c>
      <c r="D143" s="11">
        <v>0</v>
      </c>
      <c r="F143" s="11">
        <v>0</v>
      </c>
    </row>
    <row r="144" spans="1:6" x14ac:dyDescent="0.3">
      <c r="A144" s="2">
        <f>WORKDAY.INTL(A143,1,,'Don''t Change'!$A$2:$A$6)</f>
        <v>46321</v>
      </c>
      <c r="B144">
        <f t="shared" si="4"/>
        <v>44</v>
      </c>
      <c r="C144" t="str">
        <f t="shared" si="5"/>
        <v>October</v>
      </c>
      <c r="D144" s="11">
        <v>0</v>
      </c>
      <c r="F144" s="11">
        <v>0</v>
      </c>
    </row>
    <row r="145" spans="1:6" x14ac:dyDescent="0.3">
      <c r="A145" s="2">
        <f>WORKDAY.INTL(A144,1,,'Don''t Change'!$A$2:$A$6)</f>
        <v>46322</v>
      </c>
      <c r="B145">
        <f t="shared" si="4"/>
        <v>44</v>
      </c>
      <c r="C145" t="str">
        <f t="shared" si="5"/>
        <v>October</v>
      </c>
      <c r="D145" s="11">
        <v>0</v>
      </c>
      <c r="F145" s="11">
        <v>0</v>
      </c>
    </row>
    <row r="146" spans="1:6" x14ac:dyDescent="0.3">
      <c r="A146" s="2">
        <f>WORKDAY.INTL(A145,1,,'Don''t Change'!$A$2:$A$6)</f>
        <v>46323</v>
      </c>
      <c r="B146">
        <f t="shared" si="4"/>
        <v>44</v>
      </c>
      <c r="C146" t="str">
        <f t="shared" si="5"/>
        <v>October</v>
      </c>
      <c r="D146" s="11">
        <v>0</v>
      </c>
      <c r="F146" s="11">
        <v>0</v>
      </c>
    </row>
    <row r="147" spans="1:6" x14ac:dyDescent="0.3">
      <c r="A147" s="2">
        <f>WORKDAY.INTL(A146,1,,'Don''t Change'!$A$2:$A$6)</f>
        <v>46324</v>
      </c>
      <c r="B147">
        <f t="shared" si="4"/>
        <v>44</v>
      </c>
      <c r="C147" t="str">
        <f t="shared" si="5"/>
        <v>October</v>
      </c>
      <c r="D147" s="11">
        <v>0</v>
      </c>
      <c r="F147" s="11">
        <v>0</v>
      </c>
    </row>
    <row r="148" spans="1:6" x14ac:dyDescent="0.3">
      <c r="A148" s="2">
        <f>WORKDAY.INTL(A147,1,,'Don''t Change'!$A$2:$A$6)</f>
        <v>46325</v>
      </c>
      <c r="B148">
        <f t="shared" si="4"/>
        <v>44</v>
      </c>
      <c r="C148" t="str">
        <f t="shared" si="5"/>
        <v>October</v>
      </c>
      <c r="D148" s="11">
        <v>0</v>
      </c>
      <c r="F148" s="11">
        <v>0</v>
      </c>
    </row>
    <row r="149" spans="1:6" x14ac:dyDescent="0.3">
      <c r="A149" s="2">
        <f>WORKDAY.INTL(A148,1,,'Don''t Change'!$A$2:$A$6)</f>
        <v>46328</v>
      </c>
      <c r="B149">
        <f t="shared" si="4"/>
        <v>45</v>
      </c>
      <c r="C149" t="str">
        <f t="shared" si="5"/>
        <v>November</v>
      </c>
      <c r="D149" s="11">
        <v>0</v>
      </c>
      <c r="F149" s="11">
        <v>0</v>
      </c>
    </row>
    <row r="150" spans="1:6" x14ac:dyDescent="0.3">
      <c r="A150" s="2">
        <f>WORKDAY.INTL(A149,1,,'Don''t Change'!$A$2:$A$6)</f>
        <v>46329</v>
      </c>
      <c r="B150">
        <f t="shared" si="4"/>
        <v>45</v>
      </c>
      <c r="C150" t="str">
        <f t="shared" si="5"/>
        <v>November</v>
      </c>
      <c r="D150" s="11">
        <v>0</v>
      </c>
      <c r="F150" s="11">
        <v>0</v>
      </c>
    </row>
    <row r="151" spans="1:6" x14ac:dyDescent="0.3">
      <c r="A151" s="2">
        <f>WORKDAY.INTL(A150,1,,'Don''t Change'!$A$2:$A$6)</f>
        <v>46330</v>
      </c>
      <c r="B151">
        <f t="shared" si="4"/>
        <v>45</v>
      </c>
      <c r="C151" t="str">
        <f t="shared" si="5"/>
        <v>November</v>
      </c>
      <c r="D151" s="11">
        <v>0</v>
      </c>
      <c r="F151" s="11">
        <v>0</v>
      </c>
    </row>
    <row r="152" spans="1:6" x14ac:dyDescent="0.3">
      <c r="A152" s="2">
        <f>WORKDAY.INTL(A151,1,,'Don''t Change'!$A$2:$A$6)</f>
        <v>46331</v>
      </c>
      <c r="B152">
        <f t="shared" si="4"/>
        <v>45</v>
      </c>
      <c r="C152" t="str">
        <f t="shared" si="5"/>
        <v>November</v>
      </c>
      <c r="D152" s="11">
        <v>0</v>
      </c>
      <c r="F152" s="11">
        <v>0</v>
      </c>
    </row>
    <row r="153" spans="1:6" x14ac:dyDescent="0.3">
      <c r="A153" s="2">
        <f>WORKDAY.INTL(A152,1,,'Don''t Change'!$A$2:$A$6)</f>
        <v>46332</v>
      </c>
      <c r="B153">
        <f t="shared" si="4"/>
        <v>45</v>
      </c>
      <c r="C153" t="str">
        <f t="shared" si="5"/>
        <v>November</v>
      </c>
      <c r="D153" s="11">
        <v>0</v>
      </c>
      <c r="F153" s="11">
        <v>0</v>
      </c>
    </row>
    <row r="154" spans="1:6" x14ac:dyDescent="0.3">
      <c r="A154" s="2">
        <f>WORKDAY.INTL(A153,1,,'Don''t Change'!$A$2:$A$6)</f>
        <v>46335</v>
      </c>
      <c r="B154">
        <f t="shared" si="4"/>
        <v>46</v>
      </c>
      <c r="C154" t="str">
        <f t="shared" si="5"/>
        <v>November</v>
      </c>
      <c r="D154" s="11">
        <v>0</v>
      </c>
      <c r="F154" s="11">
        <v>0</v>
      </c>
    </row>
    <row r="155" spans="1:6" x14ac:dyDescent="0.3">
      <c r="A155" s="2">
        <f>WORKDAY.INTL(A154,1,,'Don''t Change'!$A$2:$A$6)</f>
        <v>46336</v>
      </c>
      <c r="B155">
        <f t="shared" si="4"/>
        <v>46</v>
      </c>
      <c r="C155" t="str">
        <f t="shared" si="5"/>
        <v>November</v>
      </c>
      <c r="D155" s="11">
        <v>0</v>
      </c>
      <c r="F155" s="11">
        <v>0</v>
      </c>
    </row>
    <row r="156" spans="1:6" x14ac:dyDescent="0.3">
      <c r="A156" s="2">
        <f>WORKDAY.INTL(A155,1,,'Don''t Change'!$A$2:$A$6)</f>
        <v>46337</v>
      </c>
      <c r="B156">
        <f t="shared" si="4"/>
        <v>46</v>
      </c>
      <c r="C156" t="str">
        <f t="shared" si="5"/>
        <v>November</v>
      </c>
      <c r="D156" s="11">
        <v>0</v>
      </c>
      <c r="F156" s="11">
        <v>0</v>
      </c>
    </row>
    <row r="157" spans="1:6" x14ac:dyDescent="0.3">
      <c r="A157" s="2">
        <f>WORKDAY.INTL(A156,1,,'Don''t Change'!$A$2:$A$6)</f>
        <v>46338</v>
      </c>
      <c r="B157">
        <f t="shared" si="4"/>
        <v>46</v>
      </c>
      <c r="C157" t="str">
        <f t="shared" si="5"/>
        <v>November</v>
      </c>
      <c r="D157" s="11">
        <v>0</v>
      </c>
      <c r="F157" s="11">
        <v>0</v>
      </c>
    </row>
    <row r="158" spans="1:6" x14ac:dyDescent="0.3">
      <c r="A158" s="2">
        <f>WORKDAY.INTL(A157,1,,'Don''t Change'!$A$2:$A$6)</f>
        <v>46339</v>
      </c>
      <c r="B158">
        <f t="shared" si="4"/>
        <v>46</v>
      </c>
      <c r="C158" t="str">
        <f t="shared" si="5"/>
        <v>November</v>
      </c>
      <c r="D158" s="11">
        <v>0</v>
      </c>
      <c r="F158" s="11">
        <v>0</v>
      </c>
    </row>
    <row r="159" spans="1:6" x14ac:dyDescent="0.3">
      <c r="A159" s="2">
        <f>WORKDAY.INTL(A158,1,,'Don''t Change'!$A$2:$A$6)</f>
        <v>46342</v>
      </c>
      <c r="B159">
        <f t="shared" si="4"/>
        <v>47</v>
      </c>
      <c r="C159" t="str">
        <f t="shared" si="5"/>
        <v>November</v>
      </c>
      <c r="D159" s="11">
        <v>0</v>
      </c>
      <c r="F159" s="11">
        <v>0</v>
      </c>
    </row>
    <row r="160" spans="1:6" x14ac:dyDescent="0.3">
      <c r="A160" s="2">
        <f>WORKDAY.INTL(A159,1,,'Don''t Change'!$A$2:$A$6)</f>
        <v>46343</v>
      </c>
      <c r="B160">
        <f t="shared" si="4"/>
        <v>47</v>
      </c>
      <c r="C160" t="str">
        <f t="shared" si="5"/>
        <v>November</v>
      </c>
      <c r="D160" s="11">
        <v>0</v>
      </c>
      <c r="F160" s="11">
        <v>0</v>
      </c>
    </row>
    <row r="161" spans="1:6" x14ac:dyDescent="0.3">
      <c r="A161" s="2">
        <f>WORKDAY.INTL(A160,1,,'Don''t Change'!$A$2:$A$6)</f>
        <v>46344</v>
      </c>
      <c r="B161">
        <f t="shared" si="4"/>
        <v>47</v>
      </c>
      <c r="C161" t="str">
        <f t="shared" si="5"/>
        <v>November</v>
      </c>
      <c r="D161" s="11">
        <v>0</v>
      </c>
      <c r="F161" s="11">
        <v>0</v>
      </c>
    </row>
    <row r="162" spans="1:6" x14ac:dyDescent="0.3">
      <c r="A162" s="2">
        <f>WORKDAY.INTL(A161,1,,'Don''t Change'!$A$2:$A$6)</f>
        <v>46345</v>
      </c>
      <c r="B162">
        <f t="shared" si="4"/>
        <v>47</v>
      </c>
      <c r="C162" t="str">
        <f t="shared" si="5"/>
        <v>November</v>
      </c>
      <c r="D162" s="11">
        <v>0</v>
      </c>
      <c r="F162" s="11">
        <v>0</v>
      </c>
    </row>
    <row r="163" spans="1:6" x14ac:dyDescent="0.3">
      <c r="A163" s="2">
        <f>WORKDAY.INTL(A162,1,,'Don''t Change'!$A$2:$A$6)</f>
        <v>46346</v>
      </c>
      <c r="B163">
        <f t="shared" si="4"/>
        <v>47</v>
      </c>
      <c r="C163" t="str">
        <f t="shared" si="5"/>
        <v>November</v>
      </c>
      <c r="D163" s="11">
        <v>0</v>
      </c>
      <c r="F163" s="11">
        <v>0</v>
      </c>
    </row>
    <row r="164" spans="1:6" x14ac:dyDescent="0.3">
      <c r="A164" s="2">
        <f>WORKDAY.INTL(A163,1,,'Don''t Change'!$A$2:$A$6)</f>
        <v>46349</v>
      </c>
      <c r="B164">
        <f t="shared" si="4"/>
        <v>48</v>
      </c>
      <c r="C164" t="str">
        <f t="shared" si="5"/>
        <v>November</v>
      </c>
      <c r="D164" s="11">
        <v>0</v>
      </c>
      <c r="F164" s="11">
        <v>0</v>
      </c>
    </row>
    <row r="165" spans="1:6" x14ac:dyDescent="0.3">
      <c r="A165" s="2">
        <f>WORKDAY.INTL(A164,1,,'Don''t Change'!$A$2:$A$6)</f>
        <v>46350</v>
      </c>
      <c r="B165">
        <f t="shared" si="4"/>
        <v>48</v>
      </c>
      <c r="C165" t="str">
        <f t="shared" si="5"/>
        <v>November</v>
      </c>
      <c r="D165" s="11">
        <v>0</v>
      </c>
      <c r="F165" s="11">
        <v>0</v>
      </c>
    </row>
    <row r="166" spans="1:6" x14ac:dyDescent="0.3">
      <c r="A166" s="2">
        <f>WORKDAY.INTL(A165,1,,'Don''t Change'!$A$2:$A$6)</f>
        <v>46351</v>
      </c>
      <c r="B166">
        <f t="shared" si="4"/>
        <v>48</v>
      </c>
      <c r="C166" t="str">
        <f t="shared" si="5"/>
        <v>November</v>
      </c>
      <c r="D166" s="11">
        <v>0</v>
      </c>
      <c r="F166" s="11">
        <v>0</v>
      </c>
    </row>
    <row r="167" spans="1:6" x14ac:dyDescent="0.3">
      <c r="A167" s="2">
        <f>WORKDAY.INTL(A166,1,,'Don''t Change'!$A$2:$A$6)</f>
        <v>46353</v>
      </c>
      <c r="B167">
        <f t="shared" si="4"/>
        <v>48</v>
      </c>
      <c r="C167" t="str">
        <f t="shared" si="5"/>
        <v>November</v>
      </c>
      <c r="D167" s="11">
        <v>0</v>
      </c>
      <c r="F167" s="11">
        <v>0</v>
      </c>
    </row>
    <row r="168" spans="1:6" x14ac:dyDescent="0.3">
      <c r="A168" s="2">
        <f>WORKDAY.INTL(A167,1,,'Don''t Change'!$A$2:$A$6)</f>
        <v>46356</v>
      </c>
      <c r="B168">
        <f t="shared" si="4"/>
        <v>49</v>
      </c>
      <c r="C168" t="str">
        <f t="shared" si="5"/>
        <v>November</v>
      </c>
      <c r="D168" s="11">
        <v>0</v>
      </c>
      <c r="F168" s="11">
        <v>0</v>
      </c>
    </row>
    <row r="169" spans="1:6" x14ac:dyDescent="0.3">
      <c r="A169" s="2">
        <f>WORKDAY.INTL(A168,1,,'Don''t Change'!$A$2:$A$6)</f>
        <v>46357</v>
      </c>
      <c r="B169">
        <f t="shared" si="4"/>
        <v>49</v>
      </c>
      <c r="C169" t="str">
        <f t="shared" si="5"/>
        <v>December</v>
      </c>
      <c r="D169" s="11">
        <v>0</v>
      </c>
      <c r="F169" s="11">
        <v>0</v>
      </c>
    </row>
    <row r="170" spans="1:6" x14ac:dyDescent="0.3">
      <c r="A170" s="2">
        <f>WORKDAY.INTL(A169,1,,'Don''t Change'!$A$2:$A$6)</f>
        <v>46358</v>
      </c>
      <c r="B170">
        <f t="shared" si="4"/>
        <v>49</v>
      </c>
      <c r="C170" t="str">
        <f t="shared" si="5"/>
        <v>December</v>
      </c>
      <c r="D170" s="11">
        <v>0</v>
      </c>
      <c r="F170" s="11">
        <v>0</v>
      </c>
    </row>
    <row r="171" spans="1:6" x14ac:dyDescent="0.3">
      <c r="A171" s="2">
        <f>WORKDAY.INTL(A170,1,,'Don''t Change'!$A$2:$A$6)</f>
        <v>46359</v>
      </c>
      <c r="B171">
        <f t="shared" si="4"/>
        <v>49</v>
      </c>
      <c r="C171" t="str">
        <f t="shared" si="5"/>
        <v>December</v>
      </c>
      <c r="D171" s="11">
        <v>0</v>
      </c>
      <c r="F171" s="11">
        <v>0</v>
      </c>
    </row>
    <row r="172" spans="1:6" x14ac:dyDescent="0.3">
      <c r="A172" s="2">
        <f>WORKDAY.INTL(A171,1,,'Don''t Change'!$A$2:$A$6)</f>
        <v>46360</v>
      </c>
      <c r="B172">
        <f t="shared" si="4"/>
        <v>49</v>
      </c>
      <c r="C172" t="str">
        <f t="shared" si="5"/>
        <v>December</v>
      </c>
      <c r="D172" s="11">
        <v>0</v>
      </c>
      <c r="F172" s="11">
        <v>0</v>
      </c>
    </row>
    <row r="173" spans="1:6" x14ac:dyDescent="0.3">
      <c r="A173" s="2">
        <f>WORKDAY.INTL(A172,1,,'Don''t Change'!$A$2:$A$6)</f>
        <v>46363</v>
      </c>
      <c r="B173">
        <f t="shared" si="4"/>
        <v>50</v>
      </c>
      <c r="C173" t="str">
        <f t="shared" si="5"/>
        <v>December</v>
      </c>
      <c r="D173" s="11">
        <v>0</v>
      </c>
      <c r="F173" s="11">
        <v>0</v>
      </c>
    </row>
    <row r="174" spans="1:6" x14ac:dyDescent="0.3">
      <c r="A174" s="2">
        <f>WORKDAY.INTL(A173,1,,'Don''t Change'!$A$2:$A$6)</f>
        <v>46364</v>
      </c>
      <c r="B174">
        <f t="shared" si="4"/>
        <v>50</v>
      </c>
      <c r="C174" t="str">
        <f t="shared" si="5"/>
        <v>December</v>
      </c>
      <c r="D174" s="11">
        <v>0</v>
      </c>
      <c r="F174" s="11">
        <v>0</v>
      </c>
    </row>
    <row r="175" spans="1:6" x14ac:dyDescent="0.3">
      <c r="A175" s="2">
        <f>WORKDAY.INTL(A174,1,,'Don''t Change'!$A$2:$A$6)</f>
        <v>46365</v>
      </c>
      <c r="B175">
        <f t="shared" si="4"/>
        <v>50</v>
      </c>
      <c r="C175" t="str">
        <f t="shared" si="5"/>
        <v>December</v>
      </c>
      <c r="D175" s="11">
        <v>0</v>
      </c>
      <c r="F175" s="11">
        <v>0</v>
      </c>
    </row>
    <row r="176" spans="1:6" x14ac:dyDescent="0.3">
      <c r="A176" s="2">
        <f>WORKDAY.INTL(A175,1,,'Don''t Change'!$A$2:$A$6)</f>
        <v>46366</v>
      </c>
      <c r="B176">
        <f t="shared" si="4"/>
        <v>50</v>
      </c>
      <c r="C176" t="str">
        <f t="shared" si="5"/>
        <v>December</v>
      </c>
      <c r="D176" s="11">
        <v>0</v>
      </c>
      <c r="F176" s="11">
        <v>0</v>
      </c>
    </row>
    <row r="177" spans="1:6" x14ac:dyDescent="0.3">
      <c r="A177" s="2">
        <f>WORKDAY.INTL(A176,1,,'Don''t Change'!$A$2:$A$6)</f>
        <v>46367</v>
      </c>
      <c r="B177">
        <f t="shared" si="4"/>
        <v>50</v>
      </c>
      <c r="C177" t="str">
        <f t="shared" si="5"/>
        <v>December</v>
      </c>
      <c r="D177" s="11">
        <v>0</v>
      </c>
      <c r="F177" s="11">
        <v>0</v>
      </c>
    </row>
    <row r="178" spans="1:6" x14ac:dyDescent="0.3">
      <c r="A178" s="2">
        <f>WORKDAY.INTL(A177,1,,'Don''t Change'!$A$2:$A$6)</f>
        <v>46370</v>
      </c>
      <c r="B178">
        <f t="shared" si="4"/>
        <v>51</v>
      </c>
      <c r="C178" t="str">
        <f t="shared" si="5"/>
        <v>December</v>
      </c>
      <c r="D178" s="11">
        <v>0</v>
      </c>
      <c r="F178" s="11">
        <v>0</v>
      </c>
    </row>
    <row r="179" spans="1:6" x14ac:dyDescent="0.3">
      <c r="A179" s="2">
        <f>WORKDAY.INTL(A178,1,,'Don''t Change'!$A$2:$A$6)</f>
        <v>46371</v>
      </c>
      <c r="B179">
        <f t="shared" si="4"/>
        <v>51</v>
      </c>
      <c r="C179" t="str">
        <f t="shared" si="5"/>
        <v>December</v>
      </c>
      <c r="D179" s="11">
        <v>0</v>
      </c>
      <c r="F179" s="11">
        <v>0</v>
      </c>
    </row>
    <row r="180" spans="1:6" x14ac:dyDescent="0.3">
      <c r="A180" s="2">
        <f>WORKDAY.INTL(A179,1,,'Don''t Change'!$A$2:$A$6)</f>
        <v>46372</v>
      </c>
      <c r="B180">
        <f t="shared" si="4"/>
        <v>51</v>
      </c>
      <c r="C180" t="str">
        <f t="shared" si="5"/>
        <v>December</v>
      </c>
      <c r="D180" s="11">
        <v>0</v>
      </c>
      <c r="F180" s="11">
        <v>0</v>
      </c>
    </row>
    <row r="181" spans="1:6" x14ac:dyDescent="0.3">
      <c r="A181" s="2">
        <f>WORKDAY.INTL(A180,1,,'Don''t Change'!$A$2:$A$6)</f>
        <v>46373</v>
      </c>
      <c r="B181">
        <f t="shared" si="4"/>
        <v>51</v>
      </c>
      <c r="C181" t="str">
        <f t="shared" si="5"/>
        <v>December</v>
      </c>
      <c r="D181" s="11">
        <v>0</v>
      </c>
      <c r="F181" s="11">
        <v>0</v>
      </c>
    </row>
    <row r="182" spans="1:6" x14ac:dyDescent="0.3">
      <c r="A182" s="2">
        <f>WORKDAY.INTL(A181,1,,'Don''t Change'!$A$2:$A$6)</f>
        <v>46374</v>
      </c>
      <c r="B182">
        <f t="shared" si="4"/>
        <v>51</v>
      </c>
      <c r="C182" t="str">
        <f t="shared" si="5"/>
        <v>December</v>
      </c>
      <c r="D182" s="11">
        <v>0</v>
      </c>
      <c r="F182" s="11">
        <v>0</v>
      </c>
    </row>
    <row r="183" spans="1:6" x14ac:dyDescent="0.3">
      <c r="A183" s="2">
        <f>WORKDAY.INTL(A182,1,,'Don''t Change'!$A$2:$A$6)</f>
        <v>46377</v>
      </c>
      <c r="B183">
        <f t="shared" si="4"/>
        <v>52</v>
      </c>
      <c r="C183" t="str">
        <f t="shared" si="5"/>
        <v>December</v>
      </c>
      <c r="D183" s="11">
        <v>0</v>
      </c>
      <c r="F183" s="11">
        <v>0</v>
      </c>
    </row>
    <row r="184" spans="1:6" x14ac:dyDescent="0.3">
      <c r="A184" s="2">
        <f>WORKDAY.INTL(A183,1,,'Don''t Change'!$A$2:$A$6)</f>
        <v>46378</v>
      </c>
      <c r="B184">
        <f t="shared" si="4"/>
        <v>52</v>
      </c>
      <c r="C184" t="str">
        <f t="shared" si="5"/>
        <v>December</v>
      </c>
      <c r="D184" s="11">
        <v>0</v>
      </c>
      <c r="F184" s="11">
        <v>0</v>
      </c>
    </row>
    <row r="185" spans="1:6" x14ac:dyDescent="0.3">
      <c r="A185" s="2">
        <f>WORKDAY.INTL(A184,1,,'Don''t Change'!$A$2:$A$6)</f>
        <v>46379</v>
      </c>
      <c r="B185">
        <f t="shared" si="4"/>
        <v>52</v>
      </c>
      <c r="C185" t="str">
        <f t="shared" si="5"/>
        <v>December</v>
      </c>
      <c r="D185" s="11">
        <v>0</v>
      </c>
      <c r="F185" s="11">
        <v>0</v>
      </c>
    </row>
    <row r="186" spans="1:6" x14ac:dyDescent="0.3">
      <c r="A186" s="2">
        <f>WORKDAY.INTL(A185,1,,'Don''t Change'!$A$2:$A$6)</f>
        <v>46381</v>
      </c>
      <c r="B186">
        <f t="shared" si="4"/>
        <v>52</v>
      </c>
      <c r="C186" t="str">
        <f t="shared" si="5"/>
        <v>December</v>
      </c>
      <c r="D186" s="11">
        <v>0</v>
      </c>
      <c r="F186" s="11">
        <v>0</v>
      </c>
    </row>
    <row r="187" spans="1:6" x14ac:dyDescent="0.3">
      <c r="A187" s="2">
        <f>WORKDAY.INTL(A186,1,,'Don''t Change'!$A$2:$A$6)</f>
        <v>46384</v>
      </c>
      <c r="B187">
        <f t="shared" si="4"/>
        <v>53</v>
      </c>
      <c r="C187" t="str">
        <f t="shared" si="5"/>
        <v>December</v>
      </c>
      <c r="D187" s="11">
        <v>0</v>
      </c>
      <c r="F187" s="11">
        <v>0</v>
      </c>
    </row>
    <row r="188" spans="1:6" x14ac:dyDescent="0.3">
      <c r="A188" s="2">
        <f>WORKDAY.INTL(A187,1,,'Don''t Change'!$A$2:$A$6)</f>
        <v>46385</v>
      </c>
      <c r="B188">
        <f t="shared" si="4"/>
        <v>53</v>
      </c>
      <c r="C188" t="str">
        <f t="shared" si="5"/>
        <v>December</v>
      </c>
      <c r="D188" s="11">
        <v>0</v>
      </c>
      <c r="F188" s="11">
        <v>0</v>
      </c>
    </row>
    <row r="189" spans="1:6" x14ac:dyDescent="0.3">
      <c r="A189" s="2">
        <f>WORKDAY.INTL(A188,1,,'Don''t Change'!$A$2:$A$6)</f>
        <v>46386</v>
      </c>
      <c r="B189">
        <f t="shared" si="4"/>
        <v>53</v>
      </c>
      <c r="C189" t="str">
        <f t="shared" si="5"/>
        <v>December</v>
      </c>
      <c r="D189" s="11">
        <v>0</v>
      </c>
      <c r="F189" s="11">
        <v>0</v>
      </c>
    </row>
    <row r="190" spans="1:6" x14ac:dyDescent="0.3">
      <c r="A190" s="2"/>
    </row>
    <row r="191" spans="1:6" x14ac:dyDescent="0.3">
      <c r="A191" s="2"/>
    </row>
    <row r="192" spans="1:6" x14ac:dyDescent="0.3">
      <c r="A192" s="2"/>
    </row>
    <row r="193" spans="1:1" x14ac:dyDescent="0.3">
      <c r="A193" s="2"/>
    </row>
    <row r="194" spans="1:1" x14ac:dyDescent="0.3">
      <c r="A194" s="2"/>
    </row>
    <row r="195" spans="1:1" x14ac:dyDescent="0.3">
      <c r="A195" s="2"/>
    </row>
  </sheetData>
  <mergeCells count="3">
    <mergeCell ref="I1:J1"/>
    <mergeCell ref="O1:P1"/>
    <mergeCell ref="L1:M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7BBBD-3447-4711-AE5D-F60FB721B5D3}">
  <sheetPr>
    <tabColor rgb="FFFFC000"/>
  </sheetPr>
  <dimension ref="A1:AW163"/>
  <sheetViews>
    <sheetView workbookViewId="0">
      <pane xSplit="14" ySplit="18" topLeftCell="O52" activePane="bottomRight" state="frozen"/>
      <selection pane="topRight" activeCell="K10" sqref="K10"/>
      <selection pane="bottomLeft" activeCell="K10" sqref="K10"/>
      <selection pane="bottomRight" activeCell="C53" sqref="C53"/>
    </sheetView>
  </sheetViews>
  <sheetFormatPr defaultRowHeight="14.4" x14ac:dyDescent="0.3"/>
  <cols>
    <col min="1" max="1" width="10.109375" bestFit="1" customWidth="1"/>
    <col min="13" max="13" width="10.109375" bestFit="1" customWidth="1"/>
    <col min="25" max="25" width="10.109375" bestFit="1" customWidth="1"/>
    <col min="26" max="26" width="10.109375" style="11" customWidth="1"/>
    <col min="27" max="27" width="11.44140625" style="11" bestFit="1" customWidth="1"/>
    <col min="39" max="39" width="10.109375" bestFit="1" customWidth="1"/>
  </cols>
  <sheetData>
    <row r="1" spans="1:49" x14ac:dyDescent="0.3">
      <c r="C1" s="140" t="s">
        <v>73</v>
      </c>
      <c r="D1" s="140"/>
      <c r="E1" s="140"/>
      <c r="F1" s="140"/>
      <c r="G1" s="140"/>
      <c r="H1" s="140"/>
      <c r="I1" s="140"/>
      <c r="J1" s="140"/>
      <c r="K1" s="140"/>
      <c r="O1" s="140" t="s">
        <v>74</v>
      </c>
      <c r="P1" s="140"/>
      <c r="Q1" s="140"/>
      <c r="R1" s="140"/>
      <c r="S1" s="140"/>
      <c r="T1" s="140"/>
      <c r="U1" s="140"/>
      <c r="V1" s="140"/>
      <c r="W1" s="140"/>
      <c r="Y1" s="3" t="s">
        <v>75</v>
      </c>
      <c r="Z1" s="11">
        <v>80</v>
      </c>
      <c r="AA1" s="11">
        <v>55</v>
      </c>
      <c r="AC1" s="140" t="s">
        <v>76</v>
      </c>
      <c r="AD1" s="140"/>
      <c r="AE1" s="140"/>
      <c r="AF1" s="140"/>
      <c r="AG1" s="140"/>
      <c r="AH1" s="140"/>
      <c r="AI1" s="140"/>
      <c r="AJ1" s="140"/>
      <c r="AK1" s="140"/>
      <c r="AO1" s="140" t="s">
        <v>77</v>
      </c>
      <c r="AP1" s="140"/>
      <c r="AQ1" s="140"/>
      <c r="AR1" s="140"/>
      <c r="AS1" s="140"/>
      <c r="AT1" s="140"/>
      <c r="AU1" s="140"/>
      <c r="AV1" s="140"/>
      <c r="AW1" s="140"/>
    </row>
    <row r="2" spans="1:49" x14ac:dyDescent="0.3">
      <c r="A2" s="3" t="s">
        <v>39</v>
      </c>
      <c r="B2" s="3" t="s">
        <v>21</v>
      </c>
      <c r="C2" s="3" t="s">
        <v>57</v>
      </c>
      <c r="D2" s="3" t="s">
        <v>58</v>
      </c>
      <c r="E2" s="3" t="s">
        <v>59</v>
      </c>
      <c r="F2" s="3" t="s">
        <v>60</v>
      </c>
      <c r="G2" s="3" t="s">
        <v>61</v>
      </c>
      <c r="H2" s="3" t="s">
        <v>62</v>
      </c>
      <c r="I2" s="3" t="s">
        <v>63</v>
      </c>
      <c r="J2" s="3" t="s">
        <v>64</v>
      </c>
      <c r="K2" s="3" t="s">
        <v>65</v>
      </c>
      <c r="M2" s="3" t="s">
        <v>39</v>
      </c>
      <c r="N2" s="3" t="s">
        <v>21</v>
      </c>
      <c r="O2" s="3" t="s">
        <v>57</v>
      </c>
      <c r="P2" s="3" t="s">
        <v>58</v>
      </c>
      <c r="Q2" s="3" t="s">
        <v>59</v>
      </c>
      <c r="R2" s="3" t="s">
        <v>60</v>
      </c>
      <c r="S2" s="3" t="s">
        <v>61</v>
      </c>
      <c r="T2" s="3" t="s">
        <v>62</v>
      </c>
      <c r="U2" s="3" t="s">
        <v>63</v>
      </c>
      <c r="V2" s="3" t="s">
        <v>64</v>
      </c>
      <c r="W2" s="3" t="s">
        <v>65</v>
      </c>
      <c r="Y2" s="3" t="s">
        <v>39</v>
      </c>
      <c r="Z2" s="17" t="s">
        <v>78</v>
      </c>
      <c r="AA2" s="17" t="s">
        <v>79</v>
      </c>
      <c r="AB2" s="3" t="s">
        <v>21</v>
      </c>
      <c r="AC2" s="3" t="s">
        <v>57</v>
      </c>
      <c r="AD2" s="3" t="s">
        <v>58</v>
      </c>
      <c r="AE2" s="3" t="s">
        <v>59</v>
      </c>
      <c r="AF2" s="3" t="s">
        <v>60</v>
      </c>
      <c r="AG2" s="3" t="s">
        <v>61</v>
      </c>
      <c r="AH2" s="3" t="s">
        <v>62</v>
      </c>
      <c r="AI2" s="3" t="s">
        <v>63</v>
      </c>
      <c r="AJ2" s="3" t="s">
        <v>64</v>
      </c>
      <c r="AK2" s="3" t="s">
        <v>65</v>
      </c>
      <c r="AM2" s="3" t="s">
        <v>39</v>
      </c>
      <c r="AN2" s="3" t="s">
        <v>21</v>
      </c>
      <c r="AO2" s="3" t="s">
        <v>57</v>
      </c>
      <c r="AP2" s="3" t="s">
        <v>58</v>
      </c>
      <c r="AQ2" s="3" t="s">
        <v>59</v>
      </c>
      <c r="AR2" s="3" t="s">
        <v>60</v>
      </c>
      <c r="AS2" s="3" t="s">
        <v>61</v>
      </c>
      <c r="AT2" s="3" t="s">
        <v>62</v>
      </c>
      <c r="AU2" s="3" t="s">
        <v>63</v>
      </c>
      <c r="AV2" s="3" t="s">
        <v>64</v>
      </c>
      <c r="AW2" s="3" t="s">
        <v>65</v>
      </c>
    </row>
    <row r="3" spans="1:49" x14ac:dyDescent="0.3">
      <c r="A3" s="2">
        <f>M3</f>
        <v>46160</v>
      </c>
      <c r="B3">
        <f>+WEEKNUM(A3)</f>
        <v>21</v>
      </c>
      <c r="C3" s="13">
        <f>IFERROR(AC3*(100%-O3)*(AO3/7.5),"")</f>
        <v>0.84927297668038426</v>
      </c>
      <c r="D3" s="13">
        <f>IFERROR(AD3*(100%-P3)*(AP3/7.5),"")</f>
        <v>0.80049382716049389</v>
      </c>
      <c r="E3" s="13" t="str">
        <f>IFERROR(AE3*(100%-Q3)*(AQ3/7.5),"")</f>
        <v/>
      </c>
      <c r="F3" s="13">
        <f>IFERROR(AF3*(100%-R3)*(AR3/7.5),"")</f>
        <v>0.38143111111111117</v>
      </c>
      <c r="G3" s="13" t="str">
        <f>IFERROR(AG3*(100%-S3)*(AS3/7.5),"")</f>
        <v/>
      </c>
      <c r="H3" s="13"/>
      <c r="I3" s="13"/>
      <c r="J3" s="13"/>
      <c r="K3" s="13"/>
      <c r="M3" s="2">
        <f>+'Daily Summary'!A30</f>
        <v>46160</v>
      </c>
      <c r="N3">
        <f>+WEEKNUM(M3)</f>
        <v>21</v>
      </c>
      <c r="O3" s="13">
        <f>+IFERROR('Raw Data - Production'!J31/('Raw Data - Production'!D31*Weights!$B$2),"")</f>
        <v>3.4917071954108994E-2</v>
      </c>
      <c r="P3" s="13">
        <f>+IFERROR('Raw Data - Production'!K31/('Raw Data - Production'!E31*Weights!$B$2),"")</f>
        <v>4.7031158142269255E-2</v>
      </c>
      <c r="Q3" s="13" t="str">
        <f>+IFERROR('Raw Data - Production'!L31/('Raw Data - Production'!F31*Weights!$B$4),"")</f>
        <v/>
      </c>
      <c r="R3" s="13">
        <f>+IFERROR('Raw Data - Production'!M31/('Raw Data - Production'!G31*Weights!$B$4),"")</f>
        <v>0.10181057038199895</v>
      </c>
      <c r="S3" s="13" t="str">
        <f>+IFERROR('Raw Data - Production'!N31/('Raw Data - Production'!H31*Weights!$B$4),"")</f>
        <v/>
      </c>
      <c r="T3" s="13"/>
      <c r="U3" s="13"/>
      <c r="V3" s="13"/>
      <c r="W3" s="13"/>
      <c r="Y3" s="2">
        <f>+M3</f>
        <v>46160</v>
      </c>
      <c r="Z3" s="11">
        <v>100</v>
      </c>
      <c r="AA3" s="11">
        <v>55</v>
      </c>
      <c r="AB3">
        <f>+WEEKNUM(Y3)</f>
        <v>21</v>
      </c>
      <c r="AC3" s="13">
        <f>$Z3/$Z$1</f>
        <v>1.25</v>
      </c>
      <c r="AD3" s="13">
        <f>$Z3/$Z$1</f>
        <v>1.25</v>
      </c>
      <c r="AE3" s="13">
        <f>+$AA3/$AA$1</f>
        <v>1</v>
      </c>
      <c r="AF3" s="13">
        <f t="shared" ref="AF3:AG18" si="0">+$AA3/$AA$1</f>
        <v>1</v>
      </c>
      <c r="AG3" s="13">
        <f t="shared" si="0"/>
        <v>1</v>
      </c>
      <c r="AH3" s="13"/>
      <c r="AI3" s="13"/>
      <c r="AJ3" s="13"/>
      <c r="AK3" s="13"/>
      <c r="AM3" s="2">
        <f>+Y3</f>
        <v>46160</v>
      </c>
      <c r="AN3">
        <f>+WEEKNUM(AM3)</f>
        <v>21</v>
      </c>
      <c r="AO3" s="18">
        <f>('Raw Data - Production'!D31/100)/60</f>
        <v>5.28</v>
      </c>
      <c r="AP3" s="18">
        <f>('Raw Data - Production'!E31/100)/60</f>
        <v>5.04</v>
      </c>
      <c r="AQ3" s="18">
        <f>('Raw Data - Production'!F31/50)/60</f>
        <v>0</v>
      </c>
      <c r="AR3" s="18">
        <f>('Raw Data - Production'!G31/50)/60</f>
        <v>3.1850000000000001</v>
      </c>
      <c r="AS3" s="18">
        <f>('Raw Data - Production'!H31/50)/60</f>
        <v>0</v>
      </c>
      <c r="AT3" s="18"/>
      <c r="AU3" s="18"/>
      <c r="AV3" s="18"/>
      <c r="AW3" s="18"/>
    </row>
    <row r="4" spans="1:49" x14ac:dyDescent="0.3">
      <c r="A4" s="2">
        <f t="shared" ref="A4:A67" si="1">M4</f>
        <v>46161</v>
      </c>
      <c r="B4">
        <f t="shared" ref="B4:B67" si="2">+WEEKNUM(A4)</f>
        <v>21</v>
      </c>
      <c r="C4" s="13">
        <f t="shared" ref="C4:C67" si="3">IFERROR(AC4*(100%-O4)*(AO4/7.5),"")</f>
        <v>1.244718792866941</v>
      </c>
      <c r="D4" s="13">
        <f t="shared" ref="D4:D67" si="4">IFERROR(AD4*(100%-P4)*(AP4/7.5),"")</f>
        <v>0.61883127572016461</v>
      </c>
      <c r="E4" s="13" t="str">
        <f t="shared" ref="E4:E67" si="5">IFERROR(AE4*(100%-Q4)*(AQ4/7.5),"")</f>
        <v/>
      </c>
      <c r="F4" s="13">
        <f t="shared" ref="F4:F67" si="6">IFERROR(AF4*(100%-R4)*(AR4/7.5),"")</f>
        <v>0.30333333333333334</v>
      </c>
      <c r="G4" s="13" t="str">
        <f t="shared" ref="G4:G67" si="7">IFERROR(AG4*(100%-S4)*(AS4/7.5),"")</f>
        <v/>
      </c>
      <c r="H4" s="13"/>
      <c r="I4" s="13"/>
      <c r="J4" s="13"/>
      <c r="K4" s="13"/>
      <c r="M4" s="2">
        <f>+'Daily Summary'!A31</f>
        <v>46161</v>
      </c>
      <c r="N4">
        <f t="shared" ref="N4:N67" si="8">+WEEKNUM(M4)</f>
        <v>21</v>
      </c>
      <c r="O4" s="13">
        <f>+IFERROR('Raw Data - Production'!J32/('Raw Data - Production'!D32*Weights!$B$2),"")</f>
        <v>1.7327268789257094E-2</v>
      </c>
      <c r="P4" s="13">
        <f>+IFERROR('Raw Data - Production'!K32/('Raw Data - Production'!E32*Weights!$B$2),"")</f>
        <v>2.0836589050372455E-2</v>
      </c>
      <c r="Q4" s="13" t="str">
        <f>+IFERROR('Raw Data - Production'!L32/('Raw Data - Production'!F32*Weights!$B$4),"")</f>
        <v/>
      </c>
      <c r="R4" s="13">
        <f>+IFERROR('Raw Data - Production'!M32/('Raw Data - Production'!G32*Weights!$B$4),"")</f>
        <v>0</v>
      </c>
      <c r="S4" s="13" t="str">
        <f>+IFERROR('Raw Data - Production'!N32/('Raw Data - Production'!H32*Weights!$B$4),"")</f>
        <v/>
      </c>
      <c r="T4" s="13"/>
      <c r="U4" s="13"/>
      <c r="V4" s="13"/>
      <c r="W4" s="13"/>
      <c r="Y4" s="2">
        <f t="shared" ref="Y4:Y67" si="9">+M4</f>
        <v>46161</v>
      </c>
      <c r="Z4" s="11">
        <v>100</v>
      </c>
      <c r="AA4" s="11">
        <v>55</v>
      </c>
      <c r="AB4">
        <f t="shared" ref="AB4:AB67" si="10">+WEEKNUM(Y4)</f>
        <v>21</v>
      </c>
      <c r="AC4" s="13">
        <f t="shared" ref="AC4:AD40" si="11">$Z4/$Z$1</f>
        <v>1.25</v>
      </c>
      <c r="AD4" s="13">
        <f t="shared" si="11"/>
        <v>1.25</v>
      </c>
      <c r="AE4" s="13">
        <f t="shared" ref="AE4:AG40" si="12">+$AA4/$AA$1</f>
        <v>1</v>
      </c>
      <c r="AF4" s="13">
        <f t="shared" si="0"/>
        <v>1</v>
      </c>
      <c r="AG4" s="13">
        <f t="shared" si="0"/>
        <v>1</v>
      </c>
      <c r="AH4" s="13"/>
      <c r="AI4" s="13"/>
      <c r="AJ4" s="13"/>
      <c r="AK4" s="13"/>
      <c r="AM4" s="2">
        <f t="shared" ref="AM4:AM67" si="13">+Y4</f>
        <v>46161</v>
      </c>
      <c r="AN4">
        <f t="shared" ref="AN4:AN67" si="14">+WEEKNUM(AM4)</f>
        <v>21</v>
      </c>
      <c r="AO4" s="18">
        <f>('Raw Data - Production'!D32/100)/60</f>
        <v>7.6</v>
      </c>
      <c r="AP4" s="18">
        <f>('Raw Data - Production'!E32/100)/60</f>
        <v>3.7920000000000003</v>
      </c>
      <c r="AQ4" s="18">
        <f>('Raw Data - Production'!F32/50)/60</f>
        <v>0</v>
      </c>
      <c r="AR4" s="18">
        <f>('Raw Data - Production'!G32/50)/60</f>
        <v>2.2749999999999999</v>
      </c>
      <c r="AS4" s="18">
        <f>('Raw Data - Production'!H32/50)/60</f>
        <v>0</v>
      </c>
      <c r="AT4" s="18"/>
      <c r="AU4" s="18"/>
      <c r="AV4" s="18"/>
      <c r="AW4" s="18"/>
    </row>
    <row r="5" spans="1:49" x14ac:dyDescent="0.3">
      <c r="A5" s="2">
        <f t="shared" si="1"/>
        <v>46162</v>
      </c>
      <c r="B5">
        <f t="shared" si="2"/>
        <v>21</v>
      </c>
      <c r="C5" s="13">
        <f t="shared" si="3"/>
        <v>1.1460521262002743</v>
      </c>
      <c r="D5" s="13">
        <f t="shared" si="4"/>
        <v>0.66683127572016465</v>
      </c>
      <c r="E5" s="13" t="str">
        <f t="shared" si="5"/>
        <v/>
      </c>
      <c r="F5" s="13">
        <f t="shared" si="6"/>
        <v>0.75735999999999992</v>
      </c>
      <c r="G5" s="13" t="str">
        <f t="shared" si="7"/>
        <v/>
      </c>
      <c r="H5" s="13"/>
      <c r="I5" s="13"/>
      <c r="J5" s="13"/>
      <c r="K5" s="13"/>
      <c r="M5" s="2">
        <f>+'Daily Summary'!A32</f>
        <v>46162</v>
      </c>
      <c r="N5">
        <f t="shared" si="8"/>
        <v>21</v>
      </c>
      <c r="O5" s="13">
        <f>+IFERROR('Raw Data - Production'!J33/('Raw Data - Production'!D33*Weights!$B$2),"")</f>
        <v>1.8790987842230867E-2</v>
      </c>
      <c r="P5" s="13">
        <f>+IFERROR('Raw Data - Production'!K33/('Raw Data - Production'!E33*Weights!$B$2),"")</f>
        <v>1.9365770999757927E-2</v>
      </c>
      <c r="Q5" s="13" t="str">
        <f>+IFERROR('Raw Data - Production'!L33/('Raw Data - Production'!F33*Weights!$B$4),"")</f>
        <v/>
      </c>
      <c r="R5" s="13">
        <f>+IFERROR('Raw Data - Production'!M33/('Raw Data - Production'!G33*Weights!$B$4),"")</f>
        <v>0.10004753102719831</v>
      </c>
      <c r="S5" s="13" t="str">
        <f>+IFERROR('Raw Data - Production'!N33/('Raw Data - Production'!H33*Weights!$B$4),"")</f>
        <v/>
      </c>
      <c r="T5" s="13"/>
      <c r="U5" s="13"/>
      <c r="V5" s="13"/>
      <c r="W5" s="13"/>
      <c r="Y5" s="2">
        <f t="shared" si="9"/>
        <v>46162</v>
      </c>
      <c r="Z5" s="11">
        <v>100</v>
      </c>
      <c r="AA5" s="11">
        <v>55</v>
      </c>
      <c r="AB5">
        <f t="shared" si="10"/>
        <v>21</v>
      </c>
      <c r="AC5" s="13">
        <f t="shared" si="11"/>
        <v>1.25</v>
      </c>
      <c r="AD5" s="13">
        <f t="shared" si="11"/>
        <v>1.25</v>
      </c>
      <c r="AE5" s="13">
        <f t="shared" si="12"/>
        <v>1</v>
      </c>
      <c r="AF5" s="13">
        <f t="shared" si="0"/>
        <v>1</v>
      </c>
      <c r="AG5" s="13">
        <f t="shared" si="0"/>
        <v>1</v>
      </c>
      <c r="AH5" s="13"/>
      <c r="AI5" s="13"/>
      <c r="AJ5" s="13"/>
      <c r="AK5" s="13"/>
      <c r="AM5" s="2">
        <f t="shared" si="13"/>
        <v>46162</v>
      </c>
      <c r="AN5">
        <f t="shared" si="14"/>
        <v>21</v>
      </c>
      <c r="AO5" s="18">
        <f>('Raw Data - Production'!D33/100)/60</f>
        <v>7.008</v>
      </c>
      <c r="AP5" s="18">
        <f>('Raw Data - Production'!E33/100)/60</f>
        <v>4.08</v>
      </c>
      <c r="AQ5" s="18">
        <f>('Raw Data - Production'!F33/50)/60</f>
        <v>0</v>
      </c>
      <c r="AR5" s="18">
        <f>('Raw Data - Production'!G33/50)/60</f>
        <v>6.3116666666666665</v>
      </c>
      <c r="AS5" s="18">
        <f>('Raw Data - Production'!H33/50)/60</f>
        <v>0</v>
      </c>
      <c r="AT5" s="18"/>
      <c r="AU5" s="18"/>
      <c r="AV5" s="18"/>
      <c r="AW5" s="18"/>
    </row>
    <row r="6" spans="1:49" x14ac:dyDescent="0.3">
      <c r="A6" s="2">
        <f t="shared" si="1"/>
        <v>46163</v>
      </c>
      <c r="B6">
        <f t="shared" si="2"/>
        <v>21</v>
      </c>
      <c r="C6" s="13">
        <f t="shared" si="3"/>
        <v>1.1600000000000001</v>
      </c>
      <c r="D6" s="13">
        <f t="shared" si="4"/>
        <v>0.26400000000000001</v>
      </c>
      <c r="E6" s="13">
        <f t="shared" si="5"/>
        <v>4.2844444444444442E-2</v>
      </c>
      <c r="F6" s="13">
        <f t="shared" si="6"/>
        <v>0.20975111111111114</v>
      </c>
      <c r="G6" s="13" t="str">
        <f t="shared" si="7"/>
        <v/>
      </c>
      <c r="H6" s="13"/>
      <c r="I6" s="13"/>
      <c r="J6" s="13"/>
      <c r="K6" s="13"/>
      <c r="M6" s="2">
        <f>+'Daily Summary'!A33</f>
        <v>46163</v>
      </c>
      <c r="N6">
        <f t="shared" si="8"/>
        <v>21</v>
      </c>
      <c r="O6" s="13">
        <f>+IFERROR('Raw Data - Production'!J34/('Raw Data - Production'!D34*Weights!$B$2),"")</f>
        <v>0</v>
      </c>
      <c r="P6" s="13">
        <f>+IFERROR('Raw Data - Production'!K34/('Raw Data - Production'!E34*Weights!$B$2),"")</f>
        <v>0</v>
      </c>
      <c r="Q6" s="13">
        <f>+IFERROR('Raw Data - Production'!L34/('Raw Data - Production'!F34*Weights!$B$4),"")</f>
        <v>0.37402597402597404</v>
      </c>
      <c r="R6" s="13">
        <f>+IFERROR('Raw Data - Production'!M34/('Raw Data - Production'!G34*Weights!$B$4),"")</f>
        <v>0.40599118942731277</v>
      </c>
      <c r="S6" s="13" t="str">
        <f>+IFERROR('Raw Data - Production'!N34/('Raw Data - Production'!H34*Weights!$B$4),"")</f>
        <v/>
      </c>
      <c r="T6" s="13"/>
      <c r="U6" s="13"/>
      <c r="V6" s="13"/>
      <c r="W6" s="13"/>
      <c r="Y6" s="2">
        <f t="shared" si="9"/>
        <v>46163</v>
      </c>
      <c r="Z6" s="11">
        <v>100</v>
      </c>
      <c r="AA6" s="11">
        <v>55</v>
      </c>
      <c r="AB6">
        <f t="shared" si="10"/>
        <v>21</v>
      </c>
      <c r="AC6" s="13">
        <f t="shared" si="11"/>
        <v>1.25</v>
      </c>
      <c r="AD6" s="13">
        <f t="shared" si="11"/>
        <v>1.25</v>
      </c>
      <c r="AE6" s="13">
        <f t="shared" si="12"/>
        <v>1</v>
      </c>
      <c r="AF6" s="13">
        <f t="shared" si="0"/>
        <v>1</v>
      </c>
      <c r="AG6" s="13">
        <f t="shared" si="0"/>
        <v>1</v>
      </c>
      <c r="AH6" s="13"/>
      <c r="AI6" s="13"/>
      <c r="AJ6" s="13"/>
      <c r="AK6" s="13"/>
      <c r="AM6" s="2">
        <f t="shared" si="13"/>
        <v>46163</v>
      </c>
      <c r="AN6">
        <f t="shared" si="14"/>
        <v>21</v>
      </c>
      <c r="AO6" s="18">
        <f>('Raw Data - Production'!D34/100)/60</f>
        <v>6.96</v>
      </c>
      <c r="AP6" s="18">
        <f>('Raw Data - Production'!E34/100)/60</f>
        <v>1.5840000000000001</v>
      </c>
      <c r="AQ6" s="18">
        <f>('Raw Data - Production'!F34/50)/60</f>
        <v>0.51333333333333331</v>
      </c>
      <c r="AR6" s="18">
        <f>('Raw Data - Production'!G34/50)/60</f>
        <v>2.6483333333333334</v>
      </c>
      <c r="AS6" s="18">
        <f>('Raw Data - Production'!H34/50)/60</f>
        <v>0</v>
      </c>
      <c r="AT6" s="18"/>
      <c r="AU6" s="18"/>
      <c r="AV6" s="18"/>
      <c r="AW6" s="18"/>
    </row>
    <row r="7" spans="1:49" x14ac:dyDescent="0.3">
      <c r="A7" s="2">
        <f t="shared" si="1"/>
        <v>46164</v>
      </c>
      <c r="B7">
        <f t="shared" si="2"/>
        <v>21</v>
      </c>
      <c r="C7" s="13" t="str">
        <f t="shared" si="3"/>
        <v/>
      </c>
      <c r="D7" s="13" t="str">
        <f t="shared" si="4"/>
        <v/>
      </c>
      <c r="E7" s="13" t="str">
        <f t="shared" si="5"/>
        <v/>
      </c>
      <c r="F7" s="13" t="str">
        <f t="shared" si="6"/>
        <v/>
      </c>
      <c r="G7" s="13" t="str">
        <f t="shared" si="7"/>
        <v/>
      </c>
      <c r="H7" s="13"/>
      <c r="I7" s="13"/>
      <c r="J7" s="13"/>
      <c r="K7" s="13"/>
      <c r="M7" s="2">
        <f>+'Daily Summary'!A34</f>
        <v>46164</v>
      </c>
      <c r="N7">
        <f t="shared" si="8"/>
        <v>21</v>
      </c>
      <c r="O7" s="13" t="str">
        <f>+IFERROR('Raw Data - Production'!#REF!/('Raw Data - Production'!#REF!*Weights!$B$2),"")</f>
        <v/>
      </c>
      <c r="P7" s="13" t="str">
        <f>+IFERROR('Raw Data - Production'!#REF!/('Raw Data - Production'!#REF!*Weights!$B$2),"")</f>
        <v/>
      </c>
      <c r="Q7" s="13" t="str">
        <f>+IFERROR('Raw Data - Production'!#REF!/('Raw Data - Production'!#REF!*Weights!$B$4),"")</f>
        <v/>
      </c>
      <c r="R7" s="13" t="str">
        <f>+IFERROR('Raw Data - Production'!#REF!/('Raw Data - Production'!#REF!*Weights!$B$4),"")</f>
        <v/>
      </c>
      <c r="S7" s="13" t="str">
        <f>+IFERROR('Raw Data - Production'!#REF!/('Raw Data - Production'!#REF!*Weights!$B$4),"")</f>
        <v/>
      </c>
      <c r="T7" s="13"/>
      <c r="U7" s="13"/>
      <c r="V7" s="13"/>
      <c r="W7" s="13"/>
      <c r="Y7" s="2">
        <f t="shared" si="9"/>
        <v>46164</v>
      </c>
      <c r="Z7" s="11">
        <v>100</v>
      </c>
      <c r="AA7" s="11">
        <v>55</v>
      </c>
      <c r="AB7">
        <f t="shared" si="10"/>
        <v>21</v>
      </c>
      <c r="AC7" s="13">
        <f t="shared" si="11"/>
        <v>1.25</v>
      </c>
      <c r="AD7" s="13">
        <f t="shared" si="11"/>
        <v>1.25</v>
      </c>
      <c r="AE7" s="13">
        <f t="shared" si="12"/>
        <v>1</v>
      </c>
      <c r="AF7" s="13">
        <f t="shared" si="0"/>
        <v>1</v>
      </c>
      <c r="AG7" s="13">
        <f t="shared" si="0"/>
        <v>1</v>
      </c>
      <c r="AH7" s="13"/>
      <c r="AI7" s="13"/>
      <c r="AJ7" s="13"/>
      <c r="AK7" s="13"/>
      <c r="AM7" s="2">
        <f t="shared" si="13"/>
        <v>46164</v>
      </c>
      <c r="AN7">
        <f t="shared" si="14"/>
        <v>21</v>
      </c>
      <c r="AO7" s="18">
        <f>('Raw Data - Production'!D35/100)/60</f>
        <v>0</v>
      </c>
      <c r="AP7" s="18">
        <f>('Raw Data - Production'!E35/100)/60</f>
        <v>0</v>
      </c>
      <c r="AQ7" s="18">
        <f>('Raw Data - Production'!F35/50)/60</f>
        <v>0</v>
      </c>
      <c r="AR7" s="18">
        <f>('Raw Data - Production'!G35/50)/60</f>
        <v>0</v>
      </c>
      <c r="AS7" s="18">
        <f>('Raw Data - Production'!H35/50)/60</f>
        <v>0</v>
      </c>
      <c r="AT7" s="18"/>
      <c r="AU7" s="18"/>
      <c r="AV7" s="18"/>
      <c r="AW7" s="18"/>
    </row>
    <row r="8" spans="1:49" x14ac:dyDescent="0.3">
      <c r="A8" s="2">
        <f t="shared" si="1"/>
        <v>46168</v>
      </c>
      <c r="B8">
        <f t="shared" si="2"/>
        <v>22</v>
      </c>
      <c r="C8" s="13">
        <f t="shared" si="3"/>
        <v>0.95688340192043897</v>
      </c>
      <c r="D8" s="13">
        <f t="shared" si="4"/>
        <v>0.82576680384087786</v>
      </c>
      <c r="E8" s="13" t="str">
        <f t="shared" si="5"/>
        <v/>
      </c>
      <c r="F8" s="13" t="str">
        <f t="shared" si="6"/>
        <v/>
      </c>
      <c r="G8" s="13" t="str">
        <f t="shared" si="7"/>
        <v/>
      </c>
      <c r="H8" s="13"/>
      <c r="I8" s="13"/>
      <c r="J8" s="13"/>
      <c r="K8" s="13"/>
      <c r="M8" s="2">
        <f>+'Daily Summary'!A35</f>
        <v>46168</v>
      </c>
      <c r="N8">
        <f t="shared" si="8"/>
        <v>22</v>
      </c>
      <c r="O8" s="13">
        <f>+IFERROR('Raw Data - Production'!J36/('Raw Data - Production'!D36*Weights!$B$2),"")</f>
        <v>3.5399796451170404E-2</v>
      </c>
      <c r="P8" s="13">
        <f>+IFERROR('Raw Data - Production'!K36/('Raw Data - Production'!E36*Weights!$B$2),"")</f>
        <v>7.8385263570448768E-2</v>
      </c>
      <c r="Q8" s="13" t="str">
        <f>+IFERROR('Raw Data - Production'!L36/('Raw Data - Production'!F36*Weights!$B$2),"")</f>
        <v/>
      </c>
      <c r="R8" s="13" t="str">
        <f>+IFERROR('Raw Data - Production'!M36/('Raw Data - Production'!G36*Weights!$B$2),"")</f>
        <v/>
      </c>
      <c r="S8" s="13" t="str">
        <f>+IFERROR('Raw Data - Production'!N36/('Raw Data - Production'!H36*Weights!$B$2),"")</f>
        <v/>
      </c>
      <c r="T8" s="13"/>
      <c r="U8" s="13"/>
      <c r="V8" s="13"/>
      <c r="W8" s="13"/>
      <c r="Y8" s="2">
        <f t="shared" si="9"/>
        <v>46168</v>
      </c>
      <c r="Z8" s="11">
        <v>100</v>
      </c>
      <c r="AA8" s="11">
        <v>55</v>
      </c>
      <c r="AB8">
        <f t="shared" si="10"/>
        <v>22</v>
      </c>
      <c r="AC8" s="13">
        <f t="shared" si="11"/>
        <v>1.25</v>
      </c>
      <c r="AD8" s="13">
        <f t="shared" si="11"/>
        <v>1.25</v>
      </c>
      <c r="AE8" s="13">
        <f t="shared" si="12"/>
        <v>1</v>
      </c>
      <c r="AF8" s="13">
        <f t="shared" si="0"/>
        <v>1</v>
      </c>
      <c r="AG8" s="13">
        <f t="shared" si="0"/>
        <v>1</v>
      </c>
      <c r="AH8" s="13"/>
      <c r="AI8" s="13"/>
      <c r="AJ8" s="13"/>
      <c r="AK8" s="13"/>
      <c r="AM8" s="2">
        <f t="shared" si="13"/>
        <v>46168</v>
      </c>
      <c r="AN8">
        <f t="shared" si="14"/>
        <v>22</v>
      </c>
      <c r="AO8" s="18">
        <f>('Raw Data - Production'!D36/100)/60</f>
        <v>5.952</v>
      </c>
      <c r="AP8" s="18">
        <f>('Raw Data - Production'!E36/100)/60</f>
        <v>5.3760000000000003</v>
      </c>
      <c r="AQ8" s="18">
        <f>('Raw Data - Production'!F36/50)/60</f>
        <v>0</v>
      </c>
      <c r="AR8" s="18">
        <f>('Raw Data - Production'!G36/50)/60</f>
        <v>0</v>
      </c>
      <c r="AS8" s="18">
        <f>('Raw Data - Production'!H36/50)/60</f>
        <v>0</v>
      </c>
      <c r="AT8" s="18"/>
      <c r="AU8" s="18"/>
      <c r="AV8" s="18"/>
      <c r="AW8" s="18"/>
    </row>
    <row r="9" spans="1:49" x14ac:dyDescent="0.3">
      <c r="A9" s="2">
        <f t="shared" si="1"/>
        <v>46169</v>
      </c>
      <c r="B9">
        <f t="shared" si="2"/>
        <v>22</v>
      </c>
      <c r="C9" s="13" t="str">
        <f t="shared" si="3"/>
        <v/>
      </c>
      <c r="D9" s="13" t="str">
        <f t="shared" si="4"/>
        <v/>
      </c>
      <c r="E9" s="13" t="str">
        <f t="shared" si="5"/>
        <v/>
      </c>
      <c r="F9" s="13" t="str">
        <f t="shared" si="6"/>
        <v/>
      </c>
      <c r="G9" s="13" t="str">
        <f t="shared" si="7"/>
        <v/>
      </c>
      <c r="H9" s="13"/>
      <c r="I9" s="13"/>
      <c r="J9" s="13"/>
      <c r="K9" s="13"/>
      <c r="M9" s="2">
        <f>+'Daily Summary'!A36</f>
        <v>46169</v>
      </c>
      <c r="N9">
        <f t="shared" si="8"/>
        <v>22</v>
      </c>
      <c r="O9" s="13" t="str">
        <f>+IFERROR('Raw Data - Production'!J37/('Raw Data - Production'!D37*Weights!$B$2),"")</f>
        <v/>
      </c>
      <c r="P9" s="13" t="str">
        <f>+IFERROR('Raw Data - Production'!K37/('Raw Data - Production'!E37*Weights!$B$2),"")</f>
        <v/>
      </c>
      <c r="Q9" s="13" t="str">
        <f>+IFERROR('Raw Data - Production'!L37/('Raw Data - Production'!F37*Weights!$B$2),"")</f>
        <v/>
      </c>
      <c r="R9" s="13" t="str">
        <f>+IFERROR('Raw Data - Production'!M37/('Raw Data - Production'!G37*Weights!$B$2),"")</f>
        <v/>
      </c>
      <c r="S9" s="13" t="str">
        <f>+IFERROR('Raw Data - Production'!N37/('Raw Data - Production'!H37*Weights!$B$2),"")</f>
        <v/>
      </c>
      <c r="T9" s="13"/>
      <c r="U9" s="13"/>
      <c r="V9" s="13"/>
      <c r="W9" s="13"/>
      <c r="Y9" s="2">
        <f t="shared" si="9"/>
        <v>46169</v>
      </c>
      <c r="Z9" s="11">
        <v>100</v>
      </c>
      <c r="AA9" s="11">
        <v>55</v>
      </c>
      <c r="AB9">
        <f t="shared" si="10"/>
        <v>22</v>
      </c>
      <c r="AC9" s="13">
        <f t="shared" si="11"/>
        <v>1.25</v>
      </c>
      <c r="AD9" s="13">
        <f t="shared" si="11"/>
        <v>1.25</v>
      </c>
      <c r="AE9" s="13">
        <f t="shared" si="12"/>
        <v>1</v>
      </c>
      <c r="AF9" s="13">
        <f t="shared" si="0"/>
        <v>1</v>
      </c>
      <c r="AG9" s="13">
        <f t="shared" si="0"/>
        <v>1</v>
      </c>
      <c r="AH9" s="13"/>
      <c r="AI9" s="13"/>
      <c r="AJ9" s="13"/>
      <c r="AK9" s="13"/>
      <c r="AM9" s="2">
        <f t="shared" si="13"/>
        <v>46169</v>
      </c>
      <c r="AN9">
        <f t="shared" si="14"/>
        <v>22</v>
      </c>
      <c r="AO9" s="18">
        <f>('Raw Data - Production'!D37/100)/60</f>
        <v>0</v>
      </c>
      <c r="AP9" s="18">
        <f>('Raw Data - Production'!E37/100)/60</f>
        <v>0</v>
      </c>
      <c r="AQ9" s="18">
        <f>('Raw Data - Production'!F37/50)/60</f>
        <v>0</v>
      </c>
      <c r="AR9" s="18">
        <f>('Raw Data - Production'!G37/50)/60</f>
        <v>0</v>
      </c>
      <c r="AS9" s="18">
        <f>('Raw Data - Production'!H37/50)/60</f>
        <v>0</v>
      </c>
      <c r="AT9" s="18"/>
      <c r="AU9" s="18"/>
      <c r="AV9" s="18"/>
      <c r="AW9" s="18"/>
    </row>
    <row r="10" spans="1:49" x14ac:dyDescent="0.3">
      <c r="A10" s="2">
        <f t="shared" si="1"/>
        <v>46170</v>
      </c>
      <c r="B10">
        <f t="shared" si="2"/>
        <v>22</v>
      </c>
      <c r="C10" s="13" t="str">
        <f t="shared" si="3"/>
        <v/>
      </c>
      <c r="D10" s="13" t="str">
        <f t="shared" si="4"/>
        <v/>
      </c>
      <c r="E10" s="13" t="str">
        <f t="shared" si="5"/>
        <v/>
      </c>
      <c r="F10" s="13">
        <f t="shared" si="6"/>
        <v>0.38720438957475994</v>
      </c>
      <c r="G10" s="13">
        <f t="shared" si="7"/>
        <v>0.33843731138545952</v>
      </c>
      <c r="H10" s="13"/>
      <c r="I10" s="13"/>
      <c r="J10" s="13"/>
      <c r="K10" s="13"/>
      <c r="M10" s="2">
        <f>+'Daily Summary'!A37</f>
        <v>46170</v>
      </c>
      <c r="N10">
        <f t="shared" si="8"/>
        <v>22</v>
      </c>
      <c r="O10" s="13" t="str">
        <f>+IFERROR('Raw Data - Production'!J38/('Raw Data - Production'!D38*Weights!$B$2),"")</f>
        <v/>
      </c>
      <c r="P10" s="13" t="str">
        <f>+IFERROR('Raw Data - Production'!K38/('Raw Data - Production'!E38*Weights!$B$2),"")</f>
        <v/>
      </c>
      <c r="Q10" s="13" t="str">
        <f>+IFERROR('Raw Data - Production'!L38/('Raw Data - Production'!F38*Weights!$B$2),"")</f>
        <v/>
      </c>
      <c r="R10" s="13">
        <f>+IFERROR('Raw Data - Production'!M38/('Raw Data - Production'!G38*Weights!$B$2),"")</f>
        <v>0.18119372505337417</v>
      </c>
      <c r="S10" s="13">
        <f>+IFERROR('Raw Data - Production'!N38/('Raw Data - Production'!H38*Weights!$B$2),"")</f>
        <v>0.23252978167981864</v>
      </c>
      <c r="T10" s="13"/>
      <c r="U10" s="13"/>
      <c r="V10" s="13"/>
      <c r="W10" s="13"/>
      <c r="Y10" s="2">
        <f t="shared" si="9"/>
        <v>46170</v>
      </c>
      <c r="Z10" s="11">
        <v>100</v>
      </c>
      <c r="AA10" s="11">
        <v>55</v>
      </c>
      <c r="AB10">
        <f t="shared" si="10"/>
        <v>22</v>
      </c>
      <c r="AC10" s="13">
        <f t="shared" si="11"/>
        <v>1.25</v>
      </c>
      <c r="AD10" s="13">
        <f t="shared" si="11"/>
        <v>1.25</v>
      </c>
      <c r="AE10" s="13">
        <f t="shared" si="12"/>
        <v>1</v>
      </c>
      <c r="AF10" s="13">
        <f t="shared" si="0"/>
        <v>1</v>
      </c>
      <c r="AG10" s="13">
        <f t="shared" si="0"/>
        <v>1</v>
      </c>
      <c r="AH10" s="13"/>
      <c r="AI10" s="13"/>
      <c r="AJ10" s="13"/>
      <c r="AK10" s="13"/>
      <c r="AM10" s="2">
        <f t="shared" si="13"/>
        <v>46170</v>
      </c>
      <c r="AN10">
        <f t="shared" si="14"/>
        <v>22</v>
      </c>
      <c r="AO10" s="18">
        <f>('Raw Data - Production'!D38/100)/60</f>
        <v>0</v>
      </c>
      <c r="AP10" s="18">
        <f>('Raw Data - Production'!E38/100)/60</f>
        <v>0</v>
      </c>
      <c r="AQ10" s="18">
        <f>('Raw Data - Production'!F38/50)/60</f>
        <v>0</v>
      </c>
      <c r="AR10" s="18">
        <f>('Raw Data - Production'!G38/50)/60</f>
        <v>3.5466666666666669</v>
      </c>
      <c r="AS10" s="18">
        <f>('Raw Data - Production'!H38/50)/60</f>
        <v>3.3073333333333332</v>
      </c>
      <c r="AT10" s="18"/>
      <c r="AU10" s="18"/>
      <c r="AV10" s="18"/>
      <c r="AW10" s="18"/>
    </row>
    <row r="11" spans="1:49" x14ac:dyDescent="0.3">
      <c r="A11" s="2">
        <f t="shared" si="1"/>
        <v>46171</v>
      </c>
      <c r="B11">
        <f t="shared" si="2"/>
        <v>22</v>
      </c>
      <c r="C11" s="13">
        <f t="shared" si="3"/>
        <v>0.89444170096021947</v>
      </c>
      <c r="D11" s="13">
        <f t="shared" si="4"/>
        <v>0.86244170096021944</v>
      </c>
      <c r="E11" s="13" t="str">
        <f t="shared" si="5"/>
        <v/>
      </c>
      <c r="F11" s="13" t="str">
        <f t="shared" si="6"/>
        <v/>
      </c>
      <c r="G11" s="13" t="str">
        <f t="shared" si="7"/>
        <v/>
      </c>
      <c r="H11" s="13"/>
      <c r="I11" s="13"/>
      <c r="J11" s="13"/>
      <c r="K11" s="13"/>
      <c r="M11" s="2">
        <f>+'Daily Summary'!A38</f>
        <v>46171</v>
      </c>
      <c r="N11">
        <f t="shared" si="8"/>
        <v>22</v>
      </c>
      <c r="O11" s="13">
        <f>+IFERROR('Raw Data - Production'!J39/('Raw Data - Production'!D39*Weights!$B$2),"")</f>
        <v>1.9252520876952325E-2</v>
      </c>
      <c r="P11" s="13">
        <f>+IFERROR('Raw Data - Production'!K39/('Raw Data - Production'!E39*Weights!$B$2),"")</f>
        <v>1.9952612545205139E-2</v>
      </c>
      <c r="Q11" s="13" t="str">
        <f>+IFERROR('Raw Data - Production'!L39/('Raw Data - Production'!F39*Weights!$B$2),"")</f>
        <v/>
      </c>
      <c r="R11" s="13" t="str">
        <f>+IFERROR('Raw Data - Production'!M39/('Raw Data - Production'!G39*Weights!$B$2),"")</f>
        <v/>
      </c>
      <c r="S11" s="13" t="str">
        <f>+IFERROR('Raw Data - Production'!N39/('Raw Data - Production'!H39*Weights!$B$2),"")</f>
        <v/>
      </c>
      <c r="T11" s="13"/>
      <c r="U11" s="13"/>
      <c r="V11" s="13"/>
      <c r="W11" s="13"/>
      <c r="Y11" s="2">
        <f t="shared" si="9"/>
        <v>46171</v>
      </c>
      <c r="Z11" s="11">
        <v>100</v>
      </c>
      <c r="AA11" s="11">
        <v>55</v>
      </c>
      <c r="AB11">
        <f t="shared" si="10"/>
        <v>22</v>
      </c>
      <c r="AC11" s="13">
        <f t="shared" si="11"/>
        <v>1.25</v>
      </c>
      <c r="AD11" s="13">
        <f t="shared" si="11"/>
        <v>1.25</v>
      </c>
      <c r="AE11" s="13">
        <f t="shared" si="12"/>
        <v>1</v>
      </c>
      <c r="AF11" s="13">
        <f t="shared" si="0"/>
        <v>1</v>
      </c>
      <c r="AG11" s="13">
        <f t="shared" si="0"/>
        <v>1</v>
      </c>
      <c r="AH11" s="13"/>
      <c r="AI11" s="13"/>
      <c r="AJ11" s="13"/>
      <c r="AK11" s="13"/>
      <c r="AM11" s="2">
        <f t="shared" si="13"/>
        <v>46171</v>
      </c>
      <c r="AN11">
        <f t="shared" si="14"/>
        <v>22</v>
      </c>
      <c r="AO11" s="18">
        <f>('Raw Data - Production'!D39/100)/60</f>
        <v>5.4719999999999995</v>
      </c>
      <c r="AP11" s="18">
        <f>('Raw Data - Production'!E39/100)/60</f>
        <v>5.28</v>
      </c>
      <c r="AQ11" s="18">
        <f>('Raw Data - Production'!F39/50)/60</f>
        <v>0</v>
      </c>
      <c r="AR11" s="18">
        <f>('Raw Data - Production'!G39/50)/60</f>
        <v>0</v>
      </c>
      <c r="AS11" s="18">
        <f>('Raw Data - Production'!H39/50)/60</f>
        <v>0</v>
      </c>
      <c r="AT11" s="18"/>
      <c r="AU11" s="18"/>
      <c r="AV11" s="18"/>
      <c r="AW11" s="18"/>
    </row>
    <row r="12" spans="1:49" x14ac:dyDescent="0.3">
      <c r="A12" s="2">
        <f t="shared" si="1"/>
        <v>46174</v>
      </c>
      <c r="B12">
        <f t="shared" si="2"/>
        <v>23</v>
      </c>
      <c r="C12" s="13">
        <f t="shared" si="3"/>
        <v>0.73980795610425254</v>
      </c>
      <c r="D12" s="13">
        <f t="shared" si="4"/>
        <v>1.2370919067215365</v>
      </c>
      <c r="E12" s="13" t="str">
        <f t="shared" si="5"/>
        <v/>
      </c>
      <c r="F12" s="13" t="str">
        <f t="shared" si="6"/>
        <v/>
      </c>
      <c r="G12" s="13" t="str">
        <f t="shared" si="7"/>
        <v/>
      </c>
      <c r="H12" s="13"/>
      <c r="I12" s="13"/>
      <c r="J12" s="13"/>
      <c r="K12" s="13"/>
      <c r="M12" s="2">
        <f>+'Daily Summary'!A39</f>
        <v>46174</v>
      </c>
      <c r="N12">
        <f t="shared" si="8"/>
        <v>23</v>
      </c>
      <c r="O12" s="13">
        <f>+IFERROR('Raw Data - Production'!J40/('Raw Data - Production'!D40*Weights!$B$2),"")</f>
        <v>2.656847881019421E-2</v>
      </c>
      <c r="P12" s="13">
        <f>+IFERROR('Raw Data - Production'!K40/('Raw Data - Production'!E40*Weights!$B$2),"")</f>
        <v>9.0373597998870334E-2</v>
      </c>
      <c r="Q12" s="13" t="str">
        <f>+IFERROR('Raw Data - Production'!L40/('Raw Data - Production'!F40*Weights!$B$2),"")</f>
        <v/>
      </c>
      <c r="R12" s="13" t="str">
        <f>+IFERROR('Raw Data - Production'!M40/('Raw Data - Production'!G40*Weights!$B$2),"")</f>
        <v/>
      </c>
      <c r="S12" s="13" t="str">
        <f>+IFERROR('Raw Data - Production'!N40/('Raw Data - Production'!H40*Weights!$B$2),"")</f>
        <v/>
      </c>
      <c r="T12" s="13"/>
      <c r="U12" s="13"/>
      <c r="V12" s="13"/>
      <c r="W12" s="13"/>
      <c r="Y12" s="2">
        <f t="shared" si="9"/>
        <v>46174</v>
      </c>
      <c r="Z12" s="11">
        <v>100</v>
      </c>
      <c r="AA12" s="11">
        <v>55</v>
      </c>
      <c r="AB12">
        <f t="shared" si="10"/>
        <v>23</v>
      </c>
      <c r="AC12" s="13">
        <f t="shared" si="11"/>
        <v>1.25</v>
      </c>
      <c r="AD12" s="13">
        <f t="shared" si="11"/>
        <v>1.25</v>
      </c>
      <c r="AE12" s="13">
        <f t="shared" si="12"/>
        <v>1</v>
      </c>
      <c r="AF12" s="13">
        <f t="shared" si="0"/>
        <v>1</v>
      </c>
      <c r="AG12" s="13">
        <f t="shared" si="0"/>
        <v>1</v>
      </c>
      <c r="AH12" s="13"/>
      <c r="AI12" s="13"/>
      <c r="AJ12" s="13"/>
      <c r="AK12" s="13"/>
      <c r="AM12" s="2">
        <f t="shared" si="13"/>
        <v>46174</v>
      </c>
      <c r="AN12">
        <f t="shared" si="14"/>
        <v>23</v>
      </c>
      <c r="AO12" s="18">
        <f>('Raw Data - Production'!D40/100)/60</f>
        <v>4.5600000000000005</v>
      </c>
      <c r="AP12" s="18">
        <f>('Raw Data - Production'!E40/100)/60</f>
        <v>8.16</v>
      </c>
      <c r="AQ12" s="18">
        <f>('Raw Data - Production'!F40/50)/60</f>
        <v>0</v>
      </c>
      <c r="AR12" s="18">
        <f>('Raw Data - Production'!G40/50)/60</f>
        <v>0</v>
      </c>
      <c r="AS12" s="18">
        <f>('Raw Data - Production'!H40/50)/60</f>
        <v>0</v>
      </c>
      <c r="AT12" s="18"/>
      <c r="AU12" s="18"/>
      <c r="AV12" s="18"/>
      <c r="AW12" s="18"/>
    </row>
    <row r="13" spans="1:49" x14ac:dyDescent="0.3">
      <c r="A13" s="2">
        <f t="shared" si="1"/>
        <v>46175</v>
      </c>
      <c r="B13">
        <f t="shared" si="2"/>
        <v>23</v>
      </c>
      <c r="C13" s="13">
        <f t="shared" si="3"/>
        <v>1.1978600823045267</v>
      </c>
      <c r="D13" s="13">
        <f t="shared" si="4"/>
        <v>1.2083950617283949</v>
      </c>
      <c r="E13" s="13" t="str">
        <f t="shared" si="5"/>
        <v/>
      </c>
      <c r="F13" s="13" t="str">
        <f t="shared" si="6"/>
        <v/>
      </c>
      <c r="G13" s="13" t="str">
        <f t="shared" si="7"/>
        <v/>
      </c>
      <c r="H13" s="13"/>
      <c r="I13" s="13"/>
      <c r="J13" s="13"/>
      <c r="K13" s="13"/>
      <c r="M13" s="2">
        <f>+'Daily Summary'!A40</f>
        <v>46175</v>
      </c>
      <c r="N13">
        <f t="shared" si="8"/>
        <v>23</v>
      </c>
      <c r="O13" s="13">
        <f>+IFERROR('Raw Data - Production'!J41/('Raw Data - Production'!D41*Weights!$B$2),"")</f>
        <v>3.3983804593123591E-2</v>
      </c>
      <c r="P13" s="13">
        <f>+IFERROR('Raw Data - Production'!K41/('Raw Data - Production'!E41*Weights!$B$2),"")</f>
        <v>2.5487853444842692E-2</v>
      </c>
      <c r="Q13" s="13" t="str">
        <f>+IFERROR('Raw Data - Production'!L41/('Raw Data - Production'!F41*Weights!$B$2),"")</f>
        <v/>
      </c>
      <c r="R13" s="13" t="str">
        <f>+IFERROR('Raw Data - Production'!M41/('Raw Data - Production'!G41*Weights!$B$2),"")</f>
        <v/>
      </c>
      <c r="S13" s="13" t="str">
        <f>+IFERROR('Raw Data - Production'!N41/('Raw Data - Production'!H41*Weights!$B$2),"")</f>
        <v/>
      </c>
      <c r="T13" s="13"/>
      <c r="U13" s="13"/>
      <c r="V13" s="13"/>
      <c r="W13" s="13"/>
      <c r="Y13" s="2">
        <f t="shared" si="9"/>
        <v>46175</v>
      </c>
      <c r="Z13" s="11">
        <v>100</v>
      </c>
      <c r="AA13" s="11">
        <v>55</v>
      </c>
      <c r="AB13">
        <f t="shared" si="10"/>
        <v>23</v>
      </c>
      <c r="AC13" s="13">
        <f t="shared" si="11"/>
        <v>1.25</v>
      </c>
      <c r="AD13" s="13">
        <f t="shared" si="11"/>
        <v>1.25</v>
      </c>
      <c r="AE13" s="13">
        <f t="shared" si="12"/>
        <v>1</v>
      </c>
      <c r="AF13" s="13">
        <f t="shared" si="0"/>
        <v>1</v>
      </c>
      <c r="AG13" s="13">
        <f t="shared" si="0"/>
        <v>1</v>
      </c>
      <c r="AH13" s="13"/>
      <c r="AI13" s="13"/>
      <c r="AJ13" s="13"/>
      <c r="AK13" s="13"/>
      <c r="AM13" s="2">
        <f t="shared" si="13"/>
        <v>46175</v>
      </c>
      <c r="AN13">
        <f t="shared" si="14"/>
        <v>23</v>
      </c>
      <c r="AO13" s="18">
        <f>('Raw Data - Production'!D41/100)/60</f>
        <v>7.4399999999999995</v>
      </c>
      <c r="AP13" s="18">
        <f>('Raw Data - Production'!E41/100)/60</f>
        <v>7.4399999999999995</v>
      </c>
      <c r="AQ13" s="18">
        <f>('Raw Data - Production'!F41/50)/60</f>
        <v>0</v>
      </c>
      <c r="AR13" s="18">
        <f>('Raw Data - Production'!G41/50)/60</f>
        <v>0</v>
      </c>
      <c r="AS13" s="18">
        <f>('Raw Data - Production'!H41/50)/60</f>
        <v>0</v>
      </c>
      <c r="AT13" s="18"/>
      <c r="AU13" s="18"/>
      <c r="AV13" s="18"/>
      <c r="AW13" s="18"/>
    </row>
    <row r="14" spans="1:49" x14ac:dyDescent="0.3">
      <c r="A14" s="2">
        <f t="shared" si="1"/>
        <v>46176</v>
      </c>
      <c r="B14">
        <f t="shared" si="2"/>
        <v>23</v>
      </c>
      <c r="C14" s="13">
        <f t="shared" si="3"/>
        <v>0.42688614540466402</v>
      </c>
      <c r="D14" s="13">
        <f t="shared" si="4"/>
        <v>1.046246913580247</v>
      </c>
      <c r="E14" s="13" t="str">
        <f t="shared" si="5"/>
        <v/>
      </c>
      <c r="F14" s="13" t="str">
        <f t="shared" si="6"/>
        <v/>
      </c>
      <c r="G14" s="13" t="str">
        <f t="shared" si="7"/>
        <v/>
      </c>
      <c r="H14" s="13"/>
      <c r="I14" s="13"/>
      <c r="J14" s="13"/>
      <c r="K14" s="13"/>
      <c r="M14" s="2">
        <f>+'Daily Summary'!A41</f>
        <v>46176</v>
      </c>
      <c r="N14">
        <f t="shared" si="8"/>
        <v>23</v>
      </c>
      <c r="O14" s="13">
        <f>+IFERROR('Raw Data - Production'!J42/('Raw Data - Production'!D42*Weights!$B$2),"")</f>
        <v>0.11065386374028349</v>
      </c>
      <c r="P14" s="13">
        <f>+IFERROR('Raw Data - Production'!K42/('Raw Data - Production'!E42*Weights!$B$2),"")</f>
        <v>1.853009983091284E-2</v>
      </c>
      <c r="Q14" s="13" t="str">
        <f>+IFERROR('Raw Data - Production'!L42/('Raw Data - Production'!F42*Weights!$B$2),"")</f>
        <v/>
      </c>
      <c r="R14" s="13" t="str">
        <f>+IFERROR('Raw Data - Production'!M42/('Raw Data - Production'!G42*Weights!$B$2),"")</f>
        <v/>
      </c>
      <c r="S14" s="13" t="str">
        <f>+IFERROR('Raw Data - Production'!N42/('Raw Data - Production'!H42*Weights!$B$2),"")</f>
        <v/>
      </c>
      <c r="T14" s="13"/>
      <c r="U14" s="13"/>
      <c r="V14" s="13"/>
      <c r="W14" s="13"/>
      <c r="Y14" s="2">
        <f t="shared" si="9"/>
        <v>46176</v>
      </c>
      <c r="Z14" s="11">
        <v>100</v>
      </c>
      <c r="AA14" s="11">
        <v>55</v>
      </c>
      <c r="AB14">
        <f t="shared" si="10"/>
        <v>23</v>
      </c>
      <c r="AC14" s="13">
        <f t="shared" si="11"/>
        <v>1.25</v>
      </c>
      <c r="AD14" s="13">
        <f t="shared" si="11"/>
        <v>1.25</v>
      </c>
      <c r="AE14" s="13">
        <f t="shared" si="12"/>
        <v>1</v>
      </c>
      <c r="AF14" s="13">
        <f t="shared" si="0"/>
        <v>1</v>
      </c>
      <c r="AG14" s="13">
        <f t="shared" si="0"/>
        <v>1</v>
      </c>
      <c r="AH14" s="13"/>
      <c r="AI14" s="13"/>
      <c r="AJ14" s="13"/>
      <c r="AK14" s="13"/>
      <c r="AM14" s="2">
        <f t="shared" si="13"/>
        <v>46176</v>
      </c>
      <c r="AN14">
        <f t="shared" si="14"/>
        <v>23</v>
      </c>
      <c r="AO14" s="18">
        <f>('Raw Data - Production'!D42/100)/60</f>
        <v>2.8800000000000003</v>
      </c>
      <c r="AP14" s="18">
        <f>('Raw Data - Production'!E42/100)/60</f>
        <v>6.3959999999999999</v>
      </c>
      <c r="AQ14" s="18">
        <f>('Raw Data - Production'!F42/50)/60</f>
        <v>0</v>
      </c>
      <c r="AR14" s="18">
        <f>('Raw Data - Production'!G42/50)/60</f>
        <v>0</v>
      </c>
      <c r="AS14" s="18">
        <f>('Raw Data - Production'!H42/50)/60</f>
        <v>0</v>
      </c>
      <c r="AT14" s="18"/>
      <c r="AU14" s="18"/>
      <c r="AV14" s="18"/>
      <c r="AW14" s="18"/>
    </row>
    <row r="15" spans="1:49" x14ac:dyDescent="0.3">
      <c r="A15" s="2">
        <f t="shared" si="1"/>
        <v>46177</v>
      </c>
      <c r="B15">
        <f t="shared" si="2"/>
        <v>23</v>
      </c>
      <c r="C15" s="13">
        <f t="shared" si="3"/>
        <v>0.33153086419753081</v>
      </c>
      <c r="D15" s="13">
        <f t="shared" si="4"/>
        <v>0.9230919067215364</v>
      </c>
      <c r="E15" s="13" t="str">
        <f t="shared" si="5"/>
        <v/>
      </c>
      <c r="F15" s="13">
        <f t="shared" si="6"/>
        <v>0.32418106995884771</v>
      </c>
      <c r="G15" s="13" t="str">
        <f t="shared" si="7"/>
        <v/>
      </c>
      <c r="H15" s="13"/>
      <c r="I15" s="13"/>
      <c r="J15" s="13"/>
      <c r="K15" s="13"/>
      <c r="M15" s="2">
        <f>+'Daily Summary'!A42</f>
        <v>46177</v>
      </c>
      <c r="N15">
        <f t="shared" si="8"/>
        <v>23</v>
      </c>
      <c r="O15" s="13">
        <f>+IFERROR('Raw Data - Production'!J43/('Raw Data - Production'!D43*Weights!$B$2),"")</f>
        <v>4.5496552214402505E-2</v>
      </c>
      <c r="P15" s="13">
        <f>+IFERROR('Raw Data - Production'!K43/('Raw Data - Production'!E43*Weights!$B$2),"")</f>
        <v>1.7290376094886782E-2</v>
      </c>
      <c r="Q15" s="13" t="str">
        <f>+IFERROR('Raw Data - Production'!L43/('Raw Data - Production'!F43*Weights!$B$2),"")</f>
        <v/>
      </c>
      <c r="R15" s="13">
        <f>+IFERROR('Raw Data - Production'!M43/('Raw Data - Production'!G43*Weights!$B$2),"")</f>
        <v>0.22238016267867014</v>
      </c>
      <c r="S15" s="13" t="str">
        <f>+IFERROR('Raw Data - Production'!N43/('Raw Data - Production'!H43*Weights!$B$2),"")</f>
        <v/>
      </c>
      <c r="T15" s="13"/>
      <c r="U15" s="13"/>
      <c r="V15" s="13"/>
      <c r="W15" s="13"/>
      <c r="Y15" s="2">
        <f t="shared" si="9"/>
        <v>46177</v>
      </c>
      <c r="Z15" s="11">
        <v>100</v>
      </c>
      <c r="AA15" s="11">
        <v>55</v>
      </c>
      <c r="AB15">
        <f t="shared" si="10"/>
        <v>23</v>
      </c>
      <c r="AC15" s="13">
        <f t="shared" si="11"/>
        <v>1.25</v>
      </c>
      <c r="AD15" s="13">
        <f t="shared" si="11"/>
        <v>1.25</v>
      </c>
      <c r="AE15" s="13">
        <f t="shared" si="12"/>
        <v>1</v>
      </c>
      <c r="AF15" s="13">
        <f t="shared" si="0"/>
        <v>1</v>
      </c>
      <c r="AG15" s="13">
        <f t="shared" si="0"/>
        <v>1</v>
      </c>
      <c r="AH15" s="13"/>
      <c r="AI15" s="13"/>
      <c r="AJ15" s="13"/>
      <c r="AK15" s="13"/>
      <c r="AM15" s="2">
        <f t="shared" si="13"/>
        <v>46177</v>
      </c>
      <c r="AN15">
        <f t="shared" si="14"/>
        <v>23</v>
      </c>
      <c r="AO15" s="18">
        <f>('Raw Data - Production'!D43/100)/60</f>
        <v>2.0840000000000001</v>
      </c>
      <c r="AP15" s="18">
        <f>('Raw Data - Production'!E43/100)/60</f>
        <v>5.6360000000000001</v>
      </c>
      <c r="AQ15" s="18">
        <f>('Raw Data - Production'!F43/50)/60</f>
        <v>0</v>
      </c>
      <c r="AR15" s="18">
        <f>('Raw Data - Production'!G43/50)/60</f>
        <v>3.1266666666666665</v>
      </c>
      <c r="AS15" s="18">
        <f>('Raw Data - Production'!H43/50)/60</f>
        <v>0</v>
      </c>
      <c r="AT15" s="18"/>
      <c r="AU15" s="18"/>
      <c r="AV15" s="18"/>
      <c r="AW15" s="18"/>
    </row>
    <row r="16" spans="1:49" x14ac:dyDescent="0.3">
      <c r="A16" s="2">
        <f t="shared" si="1"/>
        <v>46178</v>
      </c>
      <c r="B16">
        <f t="shared" si="2"/>
        <v>23</v>
      </c>
      <c r="C16" s="13" t="str">
        <f t="shared" si="3"/>
        <v/>
      </c>
      <c r="D16" s="13" t="str">
        <f t="shared" si="4"/>
        <v/>
      </c>
      <c r="E16" s="13" t="str">
        <f t="shared" si="5"/>
        <v/>
      </c>
      <c r="F16" s="13" t="str">
        <f t="shared" si="6"/>
        <v/>
      </c>
      <c r="G16" s="13" t="str">
        <f t="shared" si="7"/>
        <v/>
      </c>
      <c r="H16" s="13"/>
      <c r="I16" s="13"/>
      <c r="J16" s="13"/>
      <c r="K16" s="13"/>
      <c r="M16" s="2">
        <f>+'Daily Summary'!A43</f>
        <v>46178</v>
      </c>
      <c r="N16">
        <f t="shared" si="8"/>
        <v>23</v>
      </c>
      <c r="O16" s="13" t="str">
        <f>+IFERROR('Raw Data - Production'!J44/('Raw Data - Production'!D44*Weights!$B$2),"")</f>
        <v/>
      </c>
      <c r="P16" s="13" t="str">
        <f>+IFERROR('Raw Data - Production'!K44/('Raw Data - Production'!E44*Weights!$B$2),"")</f>
        <v/>
      </c>
      <c r="Q16" s="13" t="str">
        <f>+IFERROR('Raw Data - Production'!L44/('Raw Data - Production'!F44*Weights!$B$2),"")</f>
        <v/>
      </c>
      <c r="R16" s="13" t="str">
        <f>+IFERROR('Raw Data - Production'!M44/('Raw Data - Production'!G44*Weights!$B$2),"")</f>
        <v/>
      </c>
      <c r="S16" s="13" t="str">
        <f>+IFERROR('Raw Data - Production'!N44/('Raw Data - Production'!H44*Weights!$B$2),"")</f>
        <v/>
      </c>
      <c r="T16" s="13"/>
      <c r="U16" s="13"/>
      <c r="V16" s="13"/>
      <c r="W16" s="13"/>
      <c r="Y16" s="2">
        <f t="shared" si="9"/>
        <v>46178</v>
      </c>
      <c r="Z16" s="11">
        <v>100</v>
      </c>
      <c r="AA16" s="11">
        <v>55</v>
      </c>
      <c r="AB16">
        <f t="shared" si="10"/>
        <v>23</v>
      </c>
      <c r="AC16" s="13">
        <f t="shared" si="11"/>
        <v>1.25</v>
      </c>
      <c r="AD16" s="13">
        <f t="shared" si="11"/>
        <v>1.25</v>
      </c>
      <c r="AE16" s="13">
        <f t="shared" si="12"/>
        <v>1</v>
      </c>
      <c r="AF16" s="13">
        <f t="shared" si="0"/>
        <v>1</v>
      </c>
      <c r="AG16" s="13">
        <f t="shared" si="0"/>
        <v>1</v>
      </c>
      <c r="AH16" s="13"/>
      <c r="AI16" s="13"/>
      <c r="AJ16" s="13"/>
      <c r="AK16" s="13"/>
      <c r="AM16" s="2">
        <f t="shared" si="13"/>
        <v>46178</v>
      </c>
      <c r="AN16">
        <f t="shared" si="14"/>
        <v>23</v>
      </c>
      <c r="AO16" s="18">
        <f>('Raw Data - Production'!D44/100)/60</f>
        <v>0</v>
      </c>
      <c r="AP16" s="18">
        <f>('Raw Data - Production'!E44/100)/60</f>
        <v>0</v>
      </c>
      <c r="AQ16" s="18">
        <f>('Raw Data - Production'!F44/50)/60</f>
        <v>0</v>
      </c>
      <c r="AR16" s="18">
        <f>('Raw Data - Production'!G44/50)/60</f>
        <v>0</v>
      </c>
      <c r="AS16" s="18">
        <f>('Raw Data - Production'!H44/50)/60</f>
        <v>0</v>
      </c>
      <c r="AT16" s="18"/>
      <c r="AU16" s="18"/>
      <c r="AV16" s="18"/>
      <c r="AW16" s="18"/>
    </row>
    <row r="17" spans="1:49" x14ac:dyDescent="0.3">
      <c r="A17" s="2">
        <f t="shared" si="1"/>
        <v>46181</v>
      </c>
      <c r="B17">
        <f t="shared" si="2"/>
        <v>24</v>
      </c>
      <c r="C17" s="13" t="str">
        <f t="shared" si="3"/>
        <v/>
      </c>
      <c r="D17" s="13" t="str">
        <f t="shared" si="4"/>
        <v/>
      </c>
      <c r="E17" s="13" t="str">
        <f t="shared" si="5"/>
        <v/>
      </c>
      <c r="F17" s="13" t="str">
        <f t="shared" si="6"/>
        <v/>
      </c>
      <c r="G17" s="13" t="str">
        <f t="shared" si="7"/>
        <v/>
      </c>
      <c r="H17" s="13"/>
      <c r="I17" s="13"/>
      <c r="J17" s="13"/>
      <c r="K17" s="13"/>
      <c r="M17" s="2">
        <f>+'Daily Summary'!A44</f>
        <v>46181</v>
      </c>
      <c r="N17">
        <f t="shared" si="8"/>
        <v>24</v>
      </c>
      <c r="O17" s="13" t="str">
        <f>+IFERROR('Raw Data - Production'!J45/('Raw Data - Production'!D45*Weights!$B$2),"")</f>
        <v/>
      </c>
      <c r="P17" s="13" t="str">
        <f>+IFERROR('Raw Data - Production'!K45/('Raw Data - Production'!E45*Weights!$B$2),"")</f>
        <v/>
      </c>
      <c r="Q17" s="13" t="str">
        <f>+IFERROR('Raw Data - Production'!L45/('Raw Data - Production'!F45*Weights!$B$2),"")</f>
        <v/>
      </c>
      <c r="R17" s="13" t="str">
        <f>+IFERROR('Raw Data - Production'!M45/('Raw Data - Production'!G45*Weights!$B$2),"")</f>
        <v/>
      </c>
      <c r="S17" s="13" t="str">
        <f>+IFERROR('Raw Data - Production'!N45/('Raw Data - Production'!H45*Weights!$B$2),"")</f>
        <v/>
      </c>
      <c r="T17" s="13"/>
      <c r="U17" s="13"/>
      <c r="V17" s="13"/>
      <c r="W17" s="13"/>
      <c r="Y17" s="2">
        <f t="shared" si="9"/>
        <v>46181</v>
      </c>
      <c r="Z17" s="11">
        <v>100</v>
      </c>
      <c r="AA17" s="11">
        <v>55</v>
      </c>
      <c r="AB17">
        <f t="shared" si="10"/>
        <v>24</v>
      </c>
      <c r="AC17" s="13">
        <f t="shared" si="11"/>
        <v>1.25</v>
      </c>
      <c r="AD17" s="13">
        <f t="shared" si="11"/>
        <v>1.25</v>
      </c>
      <c r="AE17" s="13">
        <f t="shared" si="12"/>
        <v>1</v>
      </c>
      <c r="AF17" s="13">
        <f t="shared" si="0"/>
        <v>1</v>
      </c>
      <c r="AG17" s="13">
        <f t="shared" si="0"/>
        <v>1</v>
      </c>
      <c r="AH17" s="13"/>
      <c r="AI17" s="13"/>
      <c r="AJ17" s="13"/>
      <c r="AK17" s="13"/>
      <c r="AM17" s="2">
        <f t="shared" si="13"/>
        <v>46181</v>
      </c>
      <c r="AN17">
        <f t="shared" si="14"/>
        <v>24</v>
      </c>
      <c r="AO17" s="18">
        <f>('Raw Data - Production'!D45/100)/60</f>
        <v>0</v>
      </c>
      <c r="AP17" s="18">
        <f>('Raw Data - Production'!E45/100)/60</f>
        <v>0</v>
      </c>
      <c r="AQ17" s="18">
        <f>('Raw Data - Production'!F45/50)/60</f>
        <v>0</v>
      </c>
      <c r="AR17" s="18">
        <f>('Raw Data - Production'!G45/50)/60</f>
        <v>0</v>
      </c>
      <c r="AS17" s="18">
        <f>('Raw Data - Production'!H45/50)/60</f>
        <v>0</v>
      </c>
      <c r="AT17" s="18"/>
      <c r="AU17" s="18"/>
      <c r="AV17" s="18"/>
      <c r="AW17" s="18"/>
    </row>
    <row r="18" spans="1:49" x14ac:dyDescent="0.3">
      <c r="A18" s="2">
        <f t="shared" si="1"/>
        <v>46182</v>
      </c>
      <c r="B18">
        <f t="shared" si="2"/>
        <v>24</v>
      </c>
      <c r="C18" s="13">
        <f t="shared" si="3"/>
        <v>1.2652565157750344</v>
      </c>
      <c r="D18" s="13">
        <f t="shared" si="4"/>
        <v>0.86511385459533607</v>
      </c>
      <c r="E18" s="13" t="str">
        <f t="shared" si="5"/>
        <v/>
      </c>
      <c r="F18" s="13">
        <f t="shared" si="6"/>
        <v>0.30263648834019208</v>
      </c>
      <c r="G18" s="13" t="str">
        <f t="shared" si="7"/>
        <v/>
      </c>
      <c r="H18" s="13"/>
      <c r="I18" s="13"/>
      <c r="J18" s="13"/>
      <c r="K18" s="13"/>
      <c r="M18" s="2">
        <f>+'Daily Summary'!A45</f>
        <v>46182</v>
      </c>
      <c r="N18">
        <f t="shared" si="8"/>
        <v>24</v>
      </c>
      <c r="O18" s="13">
        <f>+IFERROR('Raw Data - Production'!J46/('Raw Data - Production'!D46*Weights!$B$2),"")</f>
        <v>7.3600012855897443E-2</v>
      </c>
      <c r="P18" s="13">
        <f>+IFERROR('Raw Data - Production'!K46/('Raw Data - Production'!E46*Weights!$B$2),"")</f>
        <v>9.3383245067766102E-2</v>
      </c>
      <c r="Q18" s="13" t="str">
        <f>+IFERROR('Raw Data - Production'!L46/('Raw Data - Production'!F46*Weights!$B$2),"")</f>
        <v/>
      </c>
      <c r="R18" s="13">
        <f>+IFERROR('Raw Data - Production'!M46/('Raw Data - Production'!G46*Weights!$B$2),"")</f>
        <v>6.9129051585191933E-2</v>
      </c>
      <c r="S18" s="13" t="str">
        <f>+IFERROR('Raw Data - Production'!N46/('Raw Data - Production'!H46*Weights!$B$2),"")</f>
        <v/>
      </c>
      <c r="T18" s="13"/>
      <c r="U18" s="13"/>
      <c r="V18" s="13"/>
      <c r="W18" s="13"/>
      <c r="Y18" s="2">
        <f t="shared" si="9"/>
        <v>46182</v>
      </c>
      <c r="Z18" s="11">
        <v>100</v>
      </c>
      <c r="AA18" s="11">
        <v>55</v>
      </c>
      <c r="AB18">
        <f t="shared" si="10"/>
        <v>24</v>
      </c>
      <c r="AC18" s="13">
        <f t="shared" si="11"/>
        <v>1.25</v>
      </c>
      <c r="AD18" s="13">
        <f t="shared" si="11"/>
        <v>1.25</v>
      </c>
      <c r="AE18" s="13">
        <f t="shared" si="12"/>
        <v>1</v>
      </c>
      <c r="AF18" s="13">
        <f t="shared" si="0"/>
        <v>1</v>
      </c>
      <c r="AG18" s="13">
        <f t="shared" si="0"/>
        <v>1</v>
      </c>
      <c r="AH18" s="13"/>
      <c r="AI18" s="13"/>
      <c r="AJ18" s="13"/>
      <c r="AK18" s="13"/>
      <c r="AM18" s="2">
        <f t="shared" si="13"/>
        <v>46182</v>
      </c>
      <c r="AN18">
        <f t="shared" si="14"/>
        <v>24</v>
      </c>
      <c r="AO18" s="18">
        <f>('Raw Data - Production'!D46/100)/60</f>
        <v>8.1946666666666665</v>
      </c>
      <c r="AP18" s="18">
        <f>('Raw Data - Production'!E46/100)/60</f>
        <v>5.7253333333333334</v>
      </c>
      <c r="AQ18" s="18">
        <f>('Raw Data - Production'!F46/50)/60</f>
        <v>0</v>
      </c>
      <c r="AR18" s="18">
        <f>('Raw Data - Production'!G46/50)/60</f>
        <v>2.4383333333333335</v>
      </c>
      <c r="AS18" s="18">
        <f>('Raw Data - Production'!H46/50)/60</f>
        <v>0</v>
      </c>
      <c r="AT18" s="18"/>
      <c r="AU18" s="18"/>
      <c r="AV18" s="18"/>
      <c r="AW18" s="18"/>
    </row>
    <row r="19" spans="1:49" x14ac:dyDescent="0.3">
      <c r="A19" s="2">
        <f t="shared" si="1"/>
        <v>46183</v>
      </c>
      <c r="B19">
        <f t="shared" si="2"/>
        <v>24</v>
      </c>
      <c r="C19" s="13">
        <f t="shared" si="3"/>
        <v>1.1769821673525376</v>
      </c>
      <c r="D19" s="13" t="str">
        <f t="shared" si="4"/>
        <v/>
      </c>
      <c r="E19" s="13" t="str">
        <f t="shared" si="5"/>
        <v/>
      </c>
      <c r="F19" s="13">
        <f t="shared" si="6"/>
        <v>0.42312208504801102</v>
      </c>
      <c r="G19" s="13" t="str">
        <f t="shared" si="7"/>
        <v/>
      </c>
      <c r="H19" s="13"/>
      <c r="I19" s="13"/>
      <c r="J19" s="13"/>
      <c r="K19" s="13"/>
      <c r="M19" s="2">
        <f>+'Daily Summary'!A46</f>
        <v>46183</v>
      </c>
      <c r="N19">
        <f t="shared" si="8"/>
        <v>24</v>
      </c>
      <c r="O19" s="13">
        <f>+IFERROR('Raw Data - Production'!J47/('Raw Data - Production'!D47*Weights!$B$2),"")</f>
        <v>3.5260518563493673E-2</v>
      </c>
      <c r="P19" s="13" t="str">
        <f>+IFERROR('Raw Data - Production'!K47/('Raw Data - Production'!E47*Weights!$B$2),"")</f>
        <v/>
      </c>
      <c r="Q19" s="13" t="str">
        <f>+IFERROR('Raw Data - Production'!L47/('Raw Data - Production'!F47*Weights!$B$2),"")</f>
        <v/>
      </c>
      <c r="R19" s="13">
        <f>+IFERROR('Raw Data - Production'!M47/('Raw Data - Production'!G47*Weights!$B$2),"")</f>
        <v>9.3309817754262198E-2</v>
      </c>
      <c r="S19" s="13" t="str">
        <f>+IFERROR('Raw Data - Production'!N47/('Raw Data - Production'!H47*Weights!$B$2),"")</f>
        <v/>
      </c>
      <c r="T19" s="13"/>
      <c r="U19" s="13"/>
      <c r="V19" s="13"/>
      <c r="W19" s="13"/>
      <c r="Y19" s="2">
        <f t="shared" si="9"/>
        <v>46183</v>
      </c>
      <c r="Z19" s="11">
        <v>100</v>
      </c>
      <c r="AA19" s="11">
        <v>55</v>
      </c>
      <c r="AB19">
        <f t="shared" si="10"/>
        <v>24</v>
      </c>
      <c r="AC19" s="13">
        <f t="shared" si="11"/>
        <v>1.25</v>
      </c>
      <c r="AD19" s="13">
        <f t="shared" si="11"/>
        <v>1.25</v>
      </c>
      <c r="AE19" s="13">
        <f t="shared" si="12"/>
        <v>1</v>
      </c>
      <c r="AF19" s="13">
        <f t="shared" si="12"/>
        <v>1</v>
      </c>
      <c r="AG19" s="13">
        <f t="shared" si="12"/>
        <v>1</v>
      </c>
      <c r="AH19" s="13"/>
      <c r="AI19" s="13"/>
      <c r="AJ19" s="13"/>
      <c r="AK19" s="13"/>
      <c r="AM19" s="2">
        <f t="shared" si="13"/>
        <v>46183</v>
      </c>
      <c r="AN19">
        <f t="shared" si="14"/>
        <v>24</v>
      </c>
      <c r="AO19" s="18">
        <f>('Raw Data - Production'!D47/100)/60</f>
        <v>7.3199999999999994</v>
      </c>
      <c r="AP19" s="18">
        <f>('Raw Data - Production'!E47/100)/60</f>
        <v>0</v>
      </c>
      <c r="AQ19" s="18">
        <f>('Raw Data - Production'!F47/50)/60</f>
        <v>0</v>
      </c>
      <c r="AR19" s="18">
        <f>('Raw Data - Production'!G47/50)/60</f>
        <v>3.5</v>
      </c>
      <c r="AS19" s="18">
        <f>('Raw Data - Production'!H47/50)/60</f>
        <v>0</v>
      </c>
      <c r="AT19" s="18"/>
      <c r="AU19" s="18"/>
      <c r="AV19" s="18"/>
      <c r="AW19" s="18"/>
    </row>
    <row r="20" spans="1:49" x14ac:dyDescent="0.3">
      <c r="A20" s="2">
        <f t="shared" si="1"/>
        <v>46184</v>
      </c>
      <c r="B20">
        <f t="shared" si="2"/>
        <v>24</v>
      </c>
      <c r="C20" s="13">
        <f t="shared" si="3"/>
        <v>1.6636652949245538</v>
      </c>
      <c r="D20" s="13">
        <f t="shared" si="4"/>
        <v>6.3197873799725648E-2</v>
      </c>
      <c r="E20" s="13" t="str">
        <f t="shared" si="5"/>
        <v/>
      </c>
      <c r="F20" s="13">
        <f t="shared" si="6"/>
        <v>0.35764883401920444</v>
      </c>
      <c r="G20" s="13" t="str">
        <f t="shared" si="7"/>
        <v/>
      </c>
      <c r="H20" s="13"/>
      <c r="I20" s="13"/>
      <c r="J20" s="13"/>
      <c r="K20" s="13"/>
      <c r="M20" s="2">
        <f>+'Daily Summary'!A47</f>
        <v>46184</v>
      </c>
      <c r="N20">
        <f t="shared" si="8"/>
        <v>24</v>
      </c>
      <c r="O20" s="13">
        <f>+IFERROR('Raw Data - Production'!J48/('Raw Data - Production'!D48*Weights!$B$2),"")</f>
        <v>2.5957087280705983E-2</v>
      </c>
      <c r="P20" s="13">
        <f>+IFERROR('Raw Data - Production'!K48/('Raw Data - Production'!E48*Weights!$B$2),"")</f>
        <v>0.17717054003973834</v>
      </c>
      <c r="Q20" s="13" t="str">
        <f>+IFERROR('Raw Data - Production'!L48/('Raw Data - Production'!F48*Weights!$B$2),"")</f>
        <v/>
      </c>
      <c r="R20" s="13">
        <f>+IFERROR('Raw Data - Production'!M48/('Raw Data - Production'!G48*Weights!$B$2),"")</f>
        <v>0.19327330672359913</v>
      </c>
      <c r="S20" s="13" t="str">
        <f>+IFERROR('Raw Data - Production'!N48/('Raw Data - Production'!H48*Weights!$B$2),"")</f>
        <v/>
      </c>
      <c r="T20" s="13"/>
      <c r="U20" s="13"/>
      <c r="V20" s="13"/>
      <c r="W20" s="13"/>
      <c r="Y20" s="2">
        <f t="shared" si="9"/>
        <v>46184</v>
      </c>
      <c r="Z20" s="11">
        <v>100</v>
      </c>
      <c r="AA20" s="11">
        <v>55</v>
      </c>
      <c r="AB20">
        <f t="shared" si="10"/>
        <v>24</v>
      </c>
      <c r="AC20" s="13">
        <f t="shared" si="11"/>
        <v>1.25</v>
      </c>
      <c r="AD20" s="13">
        <f t="shared" si="11"/>
        <v>1.25</v>
      </c>
      <c r="AE20" s="13">
        <f t="shared" si="12"/>
        <v>1</v>
      </c>
      <c r="AF20" s="13">
        <f t="shared" si="12"/>
        <v>1</v>
      </c>
      <c r="AG20" s="13">
        <f t="shared" si="12"/>
        <v>1</v>
      </c>
      <c r="AH20" s="13"/>
      <c r="AI20" s="13"/>
      <c r="AJ20" s="13"/>
      <c r="AK20" s="13"/>
      <c r="AM20" s="2">
        <f t="shared" si="13"/>
        <v>46184</v>
      </c>
      <c r="AN20">
        <f t="shared" si="14"/>
        <v>24</v>
      </c>
      <c r="AO20" s="18">
        <f>('Raw Data - Production'!D48/100)/60</f>
        <v>10.247999999999999</v>
      </c>
      <c r="AP20" s="18">
        <f>('Raw Data - Production'!E48/100)/60</f>
        <v>0.46083333333333332</v>
      </c>
      <c r="AQ20" s="18">
        <f>('Raw Data - Production'!F48/50)/60</f>
        <v>0</v>
      </c>
      <c r="AR20" s="18">
        <f>('Raw Data - Production'!G48/50)/60</f>
        <v>3.3250000000000002</v>
      </c>
      <c r="AS20" s="18">
        <f>('Raw Data - Production'!H48/50)/60</f>
        <v>0</v>
      </c>
      <c r="AT20" s="18"/>
      <c r="AU20" s="18"/>
      <c r="AV20" s="18"/>
      <c r="AW20" s="18"/>
    </row>
    <row r="21" spans="1:49" x14ac:dyDescent="0.3">
      <c r="A21" s="2">
        <f t="shared" si="1"/>
        <v>46185</v>
      </c>
      <c r="B21">
        <f t="shared" si="2"/>
        <v>24</v>
      </c>
      <c r="C21" s="13" t="str">
        <f t="shared" si="3"/>
        <v/>
      </c>
      <c r="D21" s="13" t="str">
        <f t="shared" si="4"/>
        <v/>
      </c>
      <c r="E21" s="13" t="str">
        <f t="shared" si="5"/>
        <v/>
      </c>
      <c r="F21" s="13" t="str">
        <f t="shared" si="6"/>
        <v/>
      </c>
      <c r="G21" s="13" t="str">
        <f t="shared" si="7"/>
        <v/>
      </c>
      <c r="H21" s="13"/>
      <c r="I21" s="13"/>
      <c r="J21" s="13"/>
      <c r="K21" s="13"/>
      <c r="M21" s="2">
        <f>+'Daily Summary'!A48</f>
        <v>46185</v>
      </c>
      <c r="N21">
        <f t="shared" si="8"/>
        <v>24</v>
      </c>
      <c r="O21" s="13" t="str">
        <f>+IFERROR('Raw Data - Production'!J49/('Raw Data - Production'!D49*Weights!$B$2),"")</f>
        <v/>
      </c>
      <c r="P21" s="13" t="str">
        <f>+IFERROR('Raw Data - Production'!K49/('Raw Data - Production'!E49*Weights!$B$2),"")</f>
        <v/>
      </c>
      <c r="Q21" s="13" t="str">
        <f>+IFERROR('Raw Data - Production'!L49/('Raw Data - Production'!F49*Weights!$B$2),"")</f>
        <v/>
      </c>
      <c r="R21" s="13" t="str">
        <f>+IFERROR('Raw Data - Production'!M49/('Raw Data - Production'!G49*Weights!$B$2),"")</f>
        <v/>
      </c>
      <c r="S21" s="13" t="str">
        <f>+IFERROR('Raw Data - Production'!N49/('Raw Data - Production'!H49*Weights!$B$2),"")</f>
        <v/>
      </c>
      <c r="T21" s="13"/>
      <c r="U21" s="13"/>
      <c r="V21" s="13"/>
      <c r="W21" s="13"/>
      <c r="Y21" s="2">
        <f t="shared" si="9"/>
        <v>46185</v>
      </c>
      <c r="Z21" s="11">
        <v>110</v>
      </c>
      <c r="AA21" s="11">
        <v>55</v>
      </c>
      <c r="AB21">
        <f t="shared" si="10"/>
        <v>24</v>
      </c>
      <c r="AC21" s="13">
        <f t="shared" si="11"/>
        <v>1.375</v>
      </c>
      <c r="AD21" s="13">
        <f t="shared" si="11"/>
        <v>1.375</v>
      </c>
      <c r="AE21" s="13">
        <f t="shared" si="12"/>
        <v>1</v>
      </c>
      <c r="AF21" s="13">
        <f t="shared" si="12"/>
        <v>1</v>
      </c>
      <c r="AG21" s="13">
        <f t="shared" si="12"/>
        <v>1</v>
      </c>
      <c r="AH21" s="13"/>
      <c r="AI21" s="13"/>
      <c r="AJ21" s="13"/>
      <c r="AK21" s="13"/>
      <c r="AM21" s="2">
        <f t="shared" si="13"/>
        <v>46185</v>
      </c>
      <c r="AN21">
        <f t="shared" si="14"/>
        <v>24</v>
      </c>
      <c r="AO21" s="18">
        <f>('Raw Data - Production'!D49/100)/60</f>
        <v>0</v>
      </c>
      <c r="AP21" s="18">
        <f>('Raw Data - Production'!E49/100)/60</f>
        <v>0</v>
      </c>
      <c r="AQ21" s="18">
        <f>('Raw Data - Production'!F49/50)/60</f>
        <v>0</v>
      </c>
      <c r="AR21" s="18">
        <f>('Raw Data - Production'!G49/50)/60</f>
        <v>0</v>
      </c>
      <c r="AS21" s="18">
        <f>('Raw Data - Production'!H49/50)/60</f>
        <v>0</v>
      </c>
      <c r="AT21" s="18"/>
      <c r="AU21" s="18"/>
      <c r="AV21" s="18"/>
      <c r="AW21" s="18"/>
    </row>
    <row r="22" spans="1:49" x14ac:dyDescent="0.3">
      <c r="A22" s="2">
        <f t="shared" si="1"/>
        <v>46188</v>
      </c>
      <c r="B22">
        <f t="shared" si="2"/>
        <v>25</v>
      </c>
      <c r="C22" s="13">
        <f t="shared" si="3"/>
        <v>0.97916598079561046</v>
      </c>
      <c r="D22" s="13" t="str">
        <f t="shared" si="4"/>
        <v/>
      </c>
      <c r="E22" s="13" t="str">
        <f t="shared" si="5"/>
        <v/>
      </c>
      <c r="F22" s="13" t="str">
        <f t="shared" si="6"/>
        <v/>
      </c>
      <c r="G22" s="13" t="str">
        <f t="shared" si="7"/>
        <v/>
      </c>
      <c r="H22" s="13"/>
      <c r="I22" s="13"/>
      <c r="J22" s="13"/>
      <c r="K22" s="13"/>
      <c r="M22" s="2">
        <f>+'Daily Summary'!A49</f>
        <v>46188</v>
      </c>
      <c r="N22">
        <f t="shared" si="8"/>
        <v>25</v>
      </c>
      <c r="O22" s="13">
        <f>+IFERROR('Raw Data - Production'!J50/('Raw Data - Production'!D50*Weights!$B$2),"")</f>
        <v>3.2444683008290093E-2</v>
      </c>
      <c r="P22" s="13" t="str">
        <f>+IFERROR('Raw Data - Production'!K50/('Raw Data - Production'!E50*Weights!$B$2),"")</f>
        <v/>
      </c>
      <c r="Q22" s="13" t="str">
        <f>+IFERROR('Raw Data - Production'!L50/('Raw Data - Production'!F50*Weights!$B$2),"")</f>
        <v/>
      </c>
      <c r="R22" s="13" t="str">
        <f>+IFERROR('Raw Data - Production'!M50/('Raw Data - Production'!G50*Weights!$B$2),"")</f>
        <v/>
      </c>
      <c r="S22" s="13" t="str">
        <f>+IFERROR('Raw Data - Production'!N50/('Raw Data - Production'!H50*Weights!$B$2),"")</f>
        <v/>
      </c>
      <c r="T22" s="13"/>
      <c r="U22" s="13"/>
      <c r="V22" s="13"/>
      <c r="W22" s="13"/>
      <c r="Y22" s="2">
        <f t="shared" si="9"/>
        <v>46188</v>
      </c>
      <c r="Z22" s="11">
        <v>110</v>
      </c>
      <c r="AA22" s="11">
        <v>55</v>
      </c>
      <c r="AB22">
        <f t="shared" si="10"/>
        <v>25</v>
      </c>
      <c r="AC22" s="13">
        <f t="shared" si="11"/>
        <v>1.375</v>
      </c>
      <c r="AD22" s="13">
        <f t="shared" si="11"/>
        <v>1.375</v>
      </c>
      <c r="AE22" s="13">
        <f t="shared" si="12"/>
        <v>1</v>
      </c>
      <c r="AF22" s="13">
        <f t="shared" si="12"/>
        <v>1</v>
      </c>
      <c r="AG22" s="13">
        <f t="shared" si="12"/>
        <v>1</v>
      </c>
      <c r="AH22" s="13"/>
      <c r="AI22" s="13"/>
      <c r="AJ22" s="13"/>
      <c r="AK22" s="13"/>
      <c r="AM22" s="2">
        <f t="shared" si="13"/>
        <v>46188</v>
      </c>
      <c r="AN22">
        <f t="shared" si="14"/>
        <v>25</v>
      </c>
      <c r="AO22" s="18">
        <f>('Raw Data - Production'!D50/100)/60</f>
        <v>5.52</v>
      </c>
      <c r="AP22" s="18">
        <f>('Raw Data - Production'!E50/100)/60</f>
        <v>0</v>
      </c>
      <c r="AQ22" s="18">
        <f>('Raw Data - Production'!F50/50)/60</f>
        <v>0</v>
      </c>
      <c r="AR22" s="18">
        <f>('Raw Data - Production'!G50/50)/60</f>
        <v>0</v>
      </c>
      <c r="AS22" s="18">
        <f>('Raw Data - Production'!H50/50)/60</f>
        <v>0</v>
      </c>
      <c r="AT22" s="18"/>
      <c r="AU22" s="18"/>
      <c r="AV22" s="18"/>
      <c r="AW22" s="18"/>
    </row>
    <row r="23" spans="1:49" x14ac:dyDescent="0.3">
      <c r="A23" s="2">
        <f t="shared" si="1"/>
        <v>46189</v>
      </c>
      <c r="B23">
        <f t="shared" si="2"/>
        <v>25</v>
      </c>
      <c r="C23" s="13">
        <f t="shared" si="3"/>
        <v>1.03282304526749</v>
      </c>
      <c r="D23" s="13">
        <f t="shared" si="4"/>
        <v>0.98254595336076811</v>
      </c>
      <c r="E23" s="13" t="str">
        <f t="shared" si="5"/>
        <v/>
      </c>
      <c r="F23" s="13" t="str">
        <f t="shared" si="6"/>
        <v/>
      </c>
      <c r="G23" s="13" t="str">
        <f t="shared" si="7"/>
        <v/>
      </c>
      <c r="H23" s="13"/>
      <c r="I23" s="13"/>
      <c r="J23" s="13"/>
      <c r="K23" s="13"/>
      <c r="M23" s="2">
        <f>+'Daily Summary'!A50</f>
        <v>46189</v>
      </c>
      <c r="N23">
        <f t="shared" si="8"/>
        <v>25</v>
      </c>
      <c r="O23" s="13">
        <f>+IFERROR('Raw Data - Production'!J51/('Raw Data - Production'!D51*Weights!$B$2),"")</f>
        <v>2.194787379972565E-2</v>
      </c>
      <c r="P23" s="13">
        <f>+IFERROR('Raw Data - Production'!K51/('Raw Data - Production'!E51*Weights!$B$2),"")</f>
        <v>2.9104789169201409E-2</v>
      </c>
      <c r="Q23" s="13" t="str">
        <f>+IFERROR('Raw Data - Production'!L51/('Raw Data - Production'!F51*Weights!$B$2),"")</f>
        <v/>
      </c>
      <c r="R23" s="13" t="str">
        <f>+IFERROR('Raw Data - Production'!M51/('Raw Data - Production'!G51*Weights!$B$2),"")</f>
        <v/>
      </c>
      <c r="S23" s="13" t="str">
        <f>+IFERROR('Raw Data - Production'!N51/('Raw Data - Production'!H51*Weights!$B$2),"")</f>
        <v/>
      </c>
      <c r="T23" s="13"/>
      <c r="U23" s="13"/>
      <c r="V23" s="13"/>
      <c r="W23" s="13"/>
      <c r="Y23" s="2">
        <f t="shared" si="9"/>
        <v>46189</v>
      </c>
      <c r="Z23" s="11">
        <v>110</v>
      </c>
      <c r="AA23" s="11">
        <v>55</v>
      </c>
      <c r="AB23">
        <f t="shared" si="10"/>
        <v>25</v>
      </c>
      <c r="AC23" s="13">
        <f t="shared" si="11"/>
        <v>1.375</v>
      </c>
      <c r="AD23" s="13">
        <f t="shared" si="11"/>
        <v>1.375</v>
      </c>
      <c r="AE23" s="13">
        <f t="shared" si="12"/>
        <v>1</v>
      </c>
      <c r="AF23" s="13">
        <f t="shared" si="12"/>
        <v>1</v>
      </c>
      <c r="AG23" s="13">
        <f t="shared" si="12"/>
        <v>1</v>
      </c>
      <c r="AH23" s="13"/>
      <c r="AI23" s="13"/>
      <c r="AJ23" s="13"/>
      <c r="AK23" s="13"/>
      <c r="AM23" s="2">
        <f t="shared" si="13"/>
        <v>46189</v>
      </c>
      <c r="AN23">
        <f t="shared" si="14"/>
        <v>25</v>
      </c>
      <c r="AO23" s="18">
        <f>('Raw Data - Production'!D51/100)/60</f>
        <v>5.7600000000000007</v>
      </c>
      <c r="AP23" s="18">
        <f>('Raw Data - Production'!E51/100)/60</f>
        <v>5.52</v>
      </c>
      <c r="AQ23" s="18">
        <f>('Raw Data - Production'!F51/50)/60</f>
        <v>0</v>
      </c>
      <c r="AR23" s="18">
        <f>('Raw Data - Production'!G51/50)/60</f>
        <v>0</v>
      </c>
      <c r="AS23" s="18">
        <f>('Raw Data - Production'!H51/50)/60</f>
        <v>0</v>
      </c>
      <c r="AT23" s="18"/>
      <c r="AU23" s="18"/>
      <c r="AV23" s="18"/>
      <c r="AW23" s="18"/>
    </row>
    <row r="24" spans="1:49" x14ac:dyDescent="0.3">
      <c r="A24" s="2">
        <f t="shared" si="1"/>
        <v>46190</v>
      </c>
      <c r="B24">
        <f t="shared" si="2"/>
        <v>25</v>
      </c>
      <c r="C24" s="13">
        <f t="shared" si="3"/>
        <v>0.84982770919067219</v>
      </c>
      <c r="D24" s="13">
        <f t="shared" si="4"/>
        <v>0.71453223593964332</v>
      </c>
      <c r="E24" s="13" t="str">
        <f t="shared" si="5"/>
        <v/>
      </c>
      <c r="F24" s="13">
        <f t="shared" si="6"/>
        <v>5.2389574759945129E-2</v>
      </c>
      <c r="G24" s="13" t="str">
        <f t="shared" si="7"/>
        <v/>
      </c>
      <c r="H24" s="13"/>
      <c r="I24" s="13"/>
      <c r="J24" s="13"/>
      <c r="K24" s="13"/>
      <c r="M24" s="2">
        <f>+'Daily Summary'!A51</f>
        <v>46190</v>
      </c>
      <c r="N24">
        <f t="shared" si="8"/>
        <v>25</v>
      </c>
      <c r="O24" s="13">
        <f>+IFERROR('Raw Data - Production'!J52/('Raw Data - Production'!D52*Weights!$B$2),"")</f>
        <v>1.2899516969174362E-2</v>
      </c>
      <c r="P24" s="13">
        <f>+IFERROR('Raw Data - Production'!K52/('Raw Data - Production'!E52*Weights!$B$2),"")</f>
        <v>0.12219627034441849</v>
      </c>
      <c r="Q24" s="13" t="str">
        <f>+IFERROR('Raw Data - Production'!L52/('Raw Data - Production'!F52*Weights!$B$2),"")</f>
        <v/>
      </c>
      <c r="R24" s="13">
        <f>+IFERROR('Raw Data - Production'!M52/('Raw Data - Production'!G52*Weights!$B$2),"")</f>
        <v>0.15802469135802469</v>
      </c>
      <c r="S24" s="13" t="str">
        <f>+IFERROR('Raw Data - Production'!N52/('Raw Data - Production'!H52*Weights!$B$2),"")</f>
        <v/>
      </c>
      <c r="T24" s="13"/>
      <c r="U24" s="13"/>
      <c r="V24" s="13"/>
      <c r="W24" s="13"/>
      <c r="Y24" s="2">
        <f t="shared" si="9"/>
        <v>46190</v>
      </c>
      <c r="Z24" s="11">
        <v>110</v>
      </c>
      <c r="AA24" s="11">
        <v>55</v>
      </c>
      <c r="AB24">
        <f t="shared" si="10"/>
        <v>25</v>
      </c>
      <c r="AC24" s="13">
        <f t="shared" si="11"/>
        <v>1.375</v>
      </c>
      <c r="AD24" s="13">
        <f t="shared" si="11"/>
        <v>1.375</v>
      </c>
      <c r="AE24" s="13">
        <f t="shared" si="12"/>
        <v>1</v>
      </c>
      <c r="AF24" s="13">
        <f t="shared" si="12"/>
        <v>1</v>
      </c>
      <c r="AG24" s="13">
        <f t="shared" si="12"/>
        <v>1</v>
      </c>
      <c r="AH24" s="13"/>
      <c r="AI24" s="13"/>
      <c r="AJ24" s="13"/>
      <c r="AK24" s="13"/>
      <c r="AM24" s="2">
        <f t="shared" si="13"/>
        <v>46190</v>
      </c>
      <c r="AN24">
        <f t="shared" si="14"/>
        <v>25</v>
      </c>
      <c r="AO24" s="18">
        <f>('Raw Data - Production'!D52/100)/60</f>
        <v>4.6959999999999997</v>
      </c>
      <c r="AP24" s="18">
        <f>('Raw Data - Production'!E52/100)/60</f>
        <v>4.4399999999999995</v>
      </c>
      <c r="AQ24" s="18">
        <f>('Raw Data - Production'!F52/50)/60</f>
        <v>0</v>
      </c>
      <c r="AR24" s="18">
        <f>('Raw Data - Production'!G52/50)/60</f>
        <v>0.46666666666666667</v>
      </c>
      <c r="AS24" s="18">
        <f>('Raw Data - Production'!H52/50)/60</f>
        <v>0</v>
      </c>
      <c r="AT24" s="18"/>
      <c r="AU24" s="18"/>
      <c r="AV24" s="18"/>
      <c r="AW24" s="18"/>
    </row>
    <row r="25" spans="1:49" x14ac:dyDescent="0.3">
      <c r="A25" s="2">
        <f t="shared" si="1"/>
        <v>46191</v>
      </c>
      <c r="B25">
        <f t="shared" si="2"/>
        <v>25</v>
      </c>
      <c r="C25" s="13">
        <f t="shared" si="3"/>
        <v>0.88959067215363508</v>
      </c>
      <c r="D25" s="13">
        <f t="shared" si="4"/>
        <v>0.95090699588477368</v>
      </c>
      <c r="E25" s="13" t="str">
        <f t="shared" si="5"/>
        <v/>
      </c>
      <c r="F25" s="13">
        <f t="shared" si="6"/>
        <v>0.26384636488340196</v>
      </c>
      <c r="G25" s="13" t="str">
        <f t="shared" si="7"/>
        <v/>
      </c>
      <c r="H25" s="13"/>
      <c r="I25" s="13"/>
      <c r="J25" s="13"/>
      <c r="K25" s="13"/>
      <c r="M25" s="2">
        <f>+'Daily Summary'!A52</f>
        <v>46191</v>
      </c>
      <c r="N25">
        <f t="shared" si="8"/>
        <v>25</v>
      </c>
      <c r="O25" s="13">
        <f>+IFERROR('Raw Data - Production'!J53/('Raw Data - Production'!D53*Weights!$B$2),"")</f>
        <v>2.6421998956331041E-2</v>
      </c>
      <c r="P25" s="13">
        <f>+IFERROR('Raw Data - Production'!K53/('Raw Data - Production'!E53*Weights!$B$2),"")</f>
        <v>4.0908758857476808E-2</v>
      </c>
      <c r="Q25" s="13" t="str">
        <f>+IFERROR('Raw Data - Production'!L53/('Raw Data - Production'!F53*Weights!$B$2),"")</f>
        <v/>
      </c>
      <c r="R25" s="13">
        <f>+IFERROR('Raw Data - Production'!M53/('Raw Data - Production'!G53*Weights!$B$2),"")</f>
        <v>5.7691553987850287E-2</v>
      </c>
      <c r="S25" s="13" t="str">
        <f>+IFERROR('Raw Data - Production'!N53/('Raw Data - Production'!H53*Weights!$B$2),"")</f>
        <v/>
      </c>
      <c r="T25" s="13"/>
      <c r="U25" s="13"/>
      <c r="V25" s="13"/>
      <c r="W25" s="13"/>
      <c r="Y25" s="2">
        <f t="shared" si="9"/>
        <v>46191</v>
      </c>
      <c r="Z25" s="11">
        <v>110</v>
      </c>
      <c r="AA25" s="11">
        <v>55</v>
      </c>
      <c r="AB25">
        <f t="shared" si="10"/>
        <v>25</v>
      </c>
      <c r="AC25" s="13">
        <f t="shared" si="11"/>
        <v>1.375</v>
      </c>
      <c r="AD25" s="13">
        <f t="shared" si="11"/>
        <v>1.375</v>
      </c>
      <c r="AE25" s="13">
        <f t="shared" si="12"/>
        <v>1</v>
      </c>
      <c r="AF25" s="13">
        <f t="shared" si="12"/>
        <v>1</v>
      </c>
      <c r="AG25" s="13">
        <f t="shared" si="12"/>
        <v>1</v>
      </c>
      <c r="AH25" s="13"/>
      <c r="AI25" s="13"/>
      <c r="AJ25" s="13"/>
      <c r="AK25" s="13"/>
      <c r="AM25" s="2">
        <f t="shared" si="13"/>
        <v>46191</v>
      </c>
      <c r="AN25">
        <f t="shared" si="14"/>
        <v>25</v>
      </c>
      <c r="AO25" s="18">
        <f>('Raw Data - Production'!D53/100)/60</f>
        <v>4.984</v>
      </c>
      <c r="AP25" s="18">
        <f>('Raw Data - Production'!E53/100)/60</f>
        <v>5.4080000000000004</v>
      </c>
      <c r="AQ25" s="18">
        <f>('Raw Data - Production'!F53/50)/60</f>
        <v>0</v>
      </c>
      <c r="AR25" s="18">
        <f>('Raw Data - Production'!G53/50)/60</f>
        <v>2.1</v>
      </c>
      <c r="AS25" s="18">
        <f>('Raw Data - Production'!H53/50)/60</f>
        <v>0</v>
      </c>
      <c r="AT25" s="18"/>
      <c r="AU25" s="18"/>
      <c r="AV25" s="18"/>
      <c r="AW25" s="18"/>
    </row>
    <row r="26" spans="1:49" x14ac:dyDescent="0.3">
      <c r="A26" s="2">
        <f t="shared" si="1"/>
        <v>46192</v>
      </c>
      <c r="B26">
        <f t="shared" si="2"/>
        <v>25</v>
      </c>
      <c r="C26" s="13" t="str">
        <f t="shared" si="3"/>
        <v/>
      </c>
      <c r="D26" s="13" t="str">
        <f t="shared" si="4"/>
        <v/>
      </c>
      <c r="E26" s="13" t="str">
        <f t="shared" si="5"/>
        <v/>
      </c>
      <c r="F26" s="13" t="str">
        <f t="shared" si="6"/>
        <v/>
      </c>
      <c r="G26" s="13" t="str">
        <f t="shared" si="7"/>
        <v/>
      </c>
      <c r="H26" s="13"/>
      <c r="I26" s="13"/>
      <c r="J26" s="13"/>
      <c r="K26" s="13"/>
      <c r="M26" s="2">
        <f>+'Daily Summary'!A53</f>
        <v>46192</v>
      </c>
      <c r="N26">
        <f t="shared" si="8"/>
        <v>25</v>
      </c>
      <c r="O26" s="13" t="str">
        <f>+IFERROR('Raw Data - Production'!J54/('Raw Data - Production'!D54*Weights!$B$2),"")</f>
        <v/>
      </c>
      <c r="P26" s="13" t="str">
        <f>+IFERROR('Raw Data - Production'!K54/('Raw Data - Production'!E54*Weights!$B$2),"")</f>
        <v/>
      </c>
      <c r="Q26" s="13" t="str">
        <f>+IFERROR('Raw Data - Production'!L54/('Raw Data - Production'!F54*Weights!$B$2),"")</f>
        <v/>
      </c>
      <c r="R26" s="13" t="str">
        <f>+IFERROR('Raw Data - Production'!M54/('Raw Data - Production'!G54*Weights!$B$2),"")</f>
        <v/>
      </c>
      <c r="S26" s="13" t="str">
        <f>+IFERROR('Raw Data - Production'!N54/('Raw Data - Production'!H54*Weights!$B$2),"")</f>
        <v/>
      </c>
      <c r="T26" s="13"/>
      <c r="U26" s="13"/>
      <c r="V26" s="13"/>
      <c r="W26" s="13"/>
      <c r="Y26" s="2">
        <f t="shared" si="9"/>
        <v>46192</v>
      </c>
      <c r="Z26" s="11">
        <v>110</v>
      </c>
      <c r="AA26" s="11">
        <v>55</v>
      </c>
      <c r="AB26">
        <f t="shared" si="10"/>
        <v>25</v>
      </c>
      <c r="AC26" s="13">
        <f t="shared" si="11"/>
        <v>1.375</v>
      </c>
      <c r="AD26" s="13">
        <f t="shared" si="11"/>
        <v>1.375</v>
      </c>
      <c r="AE26" s="13">
        <f t="shared" si="12"/>
        <v>1</v>
      </c>
      <c r="AF26" s="13">
        <f t="shared" si="12"/>
        <v>1</v>
      </c>
      <c r="AG26" s="13">
        <f t="shared" si="12"/>
        <v>1</v>
      </c>
      <c r="AH26" s="13"/>
      <c r="AI26" s="13"/>
      <c r="AJ26" s="13"/>
      <c r="AK26" s="13"/>
      <c r="AM26" s="2">
        <f t="shared" si="13"/>
        <v>46192</v>
      </c>
      <c r="AN26">
        <f t="shared" si="14"/>
        <v>25</v>
      </c>
      <c r="AO26" s="18">
        <f>('Raw Data - Production'!D54/100)/60</f>
        <v>0</v>
      </c>
      <c r="AP26" s="18">
        <f>('Raw Data - Production'!E54/100)/60</f>
        <v>0</v>
      </c>
      <c r="AQ26" s="18">
        <f>('Raw Data - Production'!F54/50)/60</f>
        <v>0</v>
      </c>
      <c r="AR26" s="18">
        <f>('Raw Data - Production'!G54/50)/60</f>
        <v>0</v>
      </c>
      <c r="AS26" s="18">
        <f>('Raw Data - Production'!H54/50)/60</f>
        <v>0</v>
      </c>
      <c r="AT26" s="18"/>
      <c r="AU26" s="18"/>
      <c r="AV26" s="18"/>
      <c r="AW26" s="18"/>
    </row>
    <row r="27" spans="1:49" x14ac:dyDescent="0.3">
      <c r="A27" s="2">
        <f t="shared" si="1"/>
        <v>46195</v>
      </c>
      <c r="B27">
        <f t="shared" si="2"/>
        <v>26</v>
      </c>
      <c r="C27" s="13">
        <f t="shared" si="3"/>
        <v>1.0569430727023321</v>
      </c>
      <c r="D27" s="13">
        <f t="shared" si="4"/>
        <v>1.0897393689986283</v>
      </c>
      <c r="E27" s="13" t="str">
        <f t="shared" si="5"/>
        <v/>
      </c>
      <c r="F27" s="13">
        <f t="shared" si="6"/>
        <v>0.17351604938271606</v>
      </c>
      <c r="G27" s="13" t="str">
        <f t="shared" si="7"/>
        <v/>
      </c>
      <c r="H27" s="13"/>
      <c r="I27" s="13"/>
      <c r="J27" s="13"/>
      <c r="K27" s="13"/>
      <c r="M27" s="2">
        <f>+'Daily Summary'!A54</f>
        <v>46195</v>
      </c>
      <c r="N27">
        <f t="shared" si="8"/>
        <v>26</v>
      </c>
      <c r="O27" s="13">
        <f>+IFERROR('Raw Data - Production'!J55/('Raw Data - Production'!D55*Weights!$B$2),"")</f>
        <v>2.4510315918475346E-2</v>
      </c>
      <c r="P27" s="13">
        <f>+IFERROR('Raw Data - Production'!K55/('Raw Data - Production'!E55*Weights!$B$2),"")</f>
        <v>3.5059590615146172E-2</v>
      </c>
      <c r="Q27" s="13" t="str">
        <f>+IFERROR('Raw Data - Production'!L55/('Raw Data - Production'!F55*Weights!$B$2),"")</f>
        <v/>
      </c>
      <c r="R27" s="13">
        <f>+IFERROR('Raw Data - Production'!M55/('Raw Data - Production'!G55*Weights!$B$2),"")</f>
        <v>0.53036074688907597</v>
      </c>
      <c r="S27" s="13" t="str">
        <f>+IFERROR('Raw Data - Production'!N55/('Raw Data - Production'!H55*Weights!$B$2),"")</f>
        <v/>
      </c>
      <c r="T27" s="13"/>
      <c r="U27" s="13"/>
      <c r="V27" s="13"/>
      <c r="W27" s="13"/>
      <c r="Y27" s="2">
        <f t="shared" si="9"/>
        <v>46195</v>
      </c>
      <c r="Z27" s="11">
        <v>110</v>
      </c>
      <c r="AA27" s="11">
        <v>55</v>
      </c>
      <c r="AB27">
        <f t="shared" si="10"/>
        <v>26</v>
      </c>
      <c r="AC27" s="13">
        <f t="shared" si="11"/>
        <v>1.375</v>
      </c>
      <c r="AD27" s="13">
        <f t="shared" si="11"/>
        <v>1.375</v>
      </c>
      <c r="AE27" s="13">
        <f t="shared" si="12"/>
        <v>1</v>
      </c>
      <c r="AF27" s="13">
        <f t="shared" si="12"/>
        <v>1</v>
      </c>
      <c r="AG27" s="13">
        <f t="shared" si="12"/>
        <v>1</v>
      </c>
      <c r="AH27" s="13"/>
      <c r="AI27" s="13"/>
      <c r="AJ27" s="13"/>
      <c r="AK27" s="13"/>
      <c r="AM27" s="2">
        <f t="shared" si="13"/>
        <v>46195</v>
      </c>
      <c r="AN27">
        <f t="shared" si="14"/>
        <v>26</v>
      </c>
      <c r="AO27" s="18">
        <f>('Raw Data - Production'!D55/100)/60</f>
        <v>5.91</v>
      </c>
      <c r="AP27" s="18">
        <f>('Raw Data - Production'!E55/100)/60</f>
        <v>6.16</v>
      </c>
      <c r="AQ27" s="18">
        <f>('Raw Data - Production'!F55/50)/60</f>
        <v>0</v>
      </c>
      <c r="AR27" s="18">
        <f>('Raw Data - Production'!G55/50)/60</f>
        <v>2.7709999999999999</v>
      </c>
      <c r="AS27" s="18">
        <f>('Raw Data - Production'!H55/50)/60</f>
        <v>0</v>
      </c>
      <c r="AT27" s="18"/>
      <c r="AU27" s="18"/>
      <c r="AV27" s="18"/>
      <c r="AW27" s="18"/>
    </row>
    <row r="28" spans="1:49" x14ac:dyDescent="0.3">
      <c r="A28" s="2">
        <f t="shared" si="1"/>
        <v>46196</v>
      </c>
      <c r="B28">
        <f t="shared" si="2"/>
        <v>26</v>
      </c>
      <c r="C28" s="13">
        <f t="shared" si="3"/>
        <v>1.3790288065843623</v>
      </c>
      <c r="D28" s="13">
        <f t="shared" si="4"/>
        <v>0.33877246227709196</v>
      </c>
      <c r="E28" s="13" t="str">
        <f t="shared" si="5"/>
        <v/>
      </c>
      <c r="F28" s="13">
        <f t="shared" si="6"/>
        <v>8.7094650205761306E-2</v>
      </c>
      <c r="G28" s="13" t="str">
        <f t="shared" si="7"/>
        <v/>
      </c>
      <c r="H28" s="13"/>
      <c r="I28" s="13"/>
      <c r="J28" s="13"/>
      <c r="K28" s="13"/>
      <c r="M28" s="2">
        <f>+'Daily Summary'!A55</f>
        <v>46196</v>
      </c>
      <c r="N28">
        <f t="shared" si="8"/>
        <v>26</v>
      </c>
      <c r="O28" s="13">
        <f>+IFERROR('Raw Data - Production'!J56/('Raw Data - Production'!D56*Weights!$B$2),"")</f>
        <v>2.0576131687242798E-2</v>
      </c>
      <c r="P28" s="13">
        <f>+IFERROR('Raw Data - Production'!K56/('Raw Data - Production'!E56*Weights!$B$2),"")</f>
        <v>0.14812917668597014</v>
      </c>
      <c r="Q28" s="13" t="str">
        <f>+IFERROR('Raw Data - Production'!L56/('Raw Data - Production'!F56*Weights!$B$2),"")</f>
        <v/>
      </c>
      <c r="R28" s="13">
        <f>+IFERROR('Raw Data - Production'!M56/('Raw Data - Production'!G56*Weights!$B$2),"")</f>
        <v>0.79263178522437783</v>
      </c>
      <c r="S28" s="13" t="str">
        <f>+IFERROR('Raw Data - Production'!N56/('Raw Data - Production'!H56*Weights!$B$2),"")</f>
        <v/>
      </c>
      <c r="T28" s="13"/>
      <c r="U28" s="13"/>
      <c r="V28" s="13"/>
      <c r="W28" s="13"/>
      <c r="Y28" s="2">
        <f t="shared" si="9"/>
        <v>46196</v>
      </c>
      <c r="Z28" s="11">
        <v>110</v>
      </c>
      <c r="AA28" s="11">
        <v>55</v>
      </c>
      <c r="AB28">
        <f t="shared" si="10"/>
        <v>26</v>
      </c>
      <c r="AC28" s="13">
        <f t="shared" si="11"/>
        <v>1.375</v>
      </c>
      <c r="AD28" s="13">
        <f t="shared" si="11"/>
        <v>1.375</v>
      </c>
      <c r="AE28" s="13">
        <f t="shared" si="12"/>
        <v>1</v>
      </c>
      <c r="AF28" s="13">
        <f t="shared" si="12"/>
        <v>1</v>
      </c>
      <c r="AG28" s="13">
        <f t="shared" si="12"/>
        <v>1</v>
      </c>
      <c r="AH28" s="13"/>
      <c r="AI28" s="13"/>
      <c r="AJ28" s="13"/>
      <c r="AK28" s="13"/>
      <c r="AM28" s="2">
        <f t="shared" si="13"/>
        <v>46196</v>
      </c>
      <c r="AN28">
        <f t="shared" si="14"/>
        <v>26</v>
      </c>
      <c r="AO28" s="18">
        <f>('Raw Data - Production'!D56/100)/60</f>
        <v>7.6800000000000006</v>
      </c>
      <c r="AP28" s="18">
        <f>('Raw Data - Production'!E56/100)/60</f>
        <v>2.1691666666666669</v>
      </c>
      <c r="AQ28" s="18">
        <f>('Raw Data - Production'!F56/50)/60</f>
        <v>0</v>
      </c>
      <c r="AR28" s="18">
        <f>('Raw Data - Production'!G56/50)/60</f>
        <v>3.15</v>
      </c>
      <c r="AS28" s="18">
        <f>('Raw Data - Production'!H56/50)/60</f>
        <v>0</v>
      </c>
      <c r="AT28" s="18"/>
      <c r="AU28" s="18"/>
      <c r="AV28" s="18"/>
      <c r="AW28" s="18"/>
    </row>
    <row r="29" spans="1:49" x14ac:dyDescent="0.3">
      <c r="A29" s="2">
        <f t="shared" si="1"/>
        <v>46197</v>
      </c>
      <c r="B29">
        <f t="shared" si="2"/>
        <v>26</v>
      </c>
      <c r="C29" s="13">
        <f t="shared" si="3"/>
        <v>0.85923731138545967</v>
      </c>
      <c r="D29" s="13">
        <f t="shared" si="4"/>
        <v>1.4842545953360768</v>
      </c>
      <c r="E29" s="13">
        <f t="shared" si="5"/>
        <v>0.32966803840877917</v>
      </c>
      <c r="F29" s="13" t="str">
        <f t="shared" si="6"/>
        <v/>
      </c>
      <c r="G29" s="13" t="str">
        <f t="shared" si="7"/>
        <v/>
      </c>
      <c r="H29" s="13"/>
      <c r="I29" s="13"/>
      <c r="J29" s="13"/>
      <c r="K29" s="13"/>
      <c r="M29" s="2">
        <f>+'Daily Summary'!A56</f>
        <v>46197</v>
      </c>
      <c r="N29">
        <f t="shared" si="8"/>
        <v>26</v>
      </c>
      <c r="O29" s="13">
        <f>+IFERROR('Raw Data - Production'!J57/('Raw Data - Production'!D57*Weights!$B$2),"")</f>
        <v>2.3593964334705075E-2</v>
      </c>
      <c r="P29" s="13">
        <f>+IFERROR('Raw Data - Production'!K57/('Raw Data - Production'!E57*Weights!$B$2),"")</f>
        <v>2.505609870199894E-2</v>
      </c>
      <c r="Q29" s="13">
        <f>+IFERROR('Raw Data - Production'!L57/('Raw Data - Production'!F57*Weights!$B$2),"")</f>
        <v>0.52268141157030046</v>
      </c>
      <c r="R29" s="13" t="str">
        <f>+IFERROR('Raw Data - Production'!M57/('Raw Data - Production'!G57*Weights!$B$2),"")</f>
        <v/>
      </c>
      <c r="S29" s="13" t="str">
        <f>+IFERROR('Raw Data - Production'!N57/('Raw Data - Production'!H57*Weights!$B$2),"")</f>
        <v/>
      </c>
      <c r="T29" s="13"/>
      <c r="U29" s="13"/>
      <c r="V29" s="13"/>
      <c r="W29" s="13"/>
      <c r="Y29" s="2">
        <f t="shared" si="9"/>
        <v>46197</v>
      </c>
      <c r="Z29" s="11">
        <v>110</v>
      </c>
      <c r="AA29" s="11">
        <v>55</v>
      </c>
      <c r="AB29">
        <f t="shared" si="10"/>
        <v>26</v>
      </c>
      <c r="AC29" s="13">
        <f t="shared" si="11"/>
        <v>1.375</v>
      </c>
      <c r="AD29" s="13">
        <f t="shared" si="11"/>
        <v>1.375</v>
      </c>
      <c r="AE29" s="13">
        <f t="shared" si="12"/>
        <v>1</v>
      </c>
      <c r="AF29" s="13">
        <f t="shared" si="12"/>
        <v>1</v>
      </c>
      <c r="AG29" s="13">
        <f t="shared" si="12"/>
        <v>1</v>
      </c>
      <c r="AH29" s="13"/>
      <c r="AI29" s="13"/>
      <c r="AJ29" s="13"/>
      <c r="AK29" s="13"/>
      <c r="AM29" s="2">
        <f t="shared" si="13"/>
        <v>46197</v>
      </c>
      <c r="AN29">
        <f t="shared" si="14"/>
        <v>26</v>
      </c>
      <c r="AO29" s="18">
        <f>('Raw Data - Production'!D57/100)/60</f>
        <v>4.8</v>
      </c>
      <c r="AP29" s="18">
        <f>('Raw Data - Production'!E57/100)/60</f>
        <v>8.3040000000000003</v>
      </c>
      <c r="AQ29" s="18">
        <f>('Raw Data - Production'!F57/50)/60</f>
        <v>5.1800000000000006</v>
      </c>
      <c r="AR29" s="18">
        <f>('Raw Data - Production'!G57/50)/60</f>
        <v>0</v>
      </c>
      <c r="AS29" s="18">
        <f>('Raw Data - Production'!H57/50)/60</f>
        <v>0</v>
      </c>
      <c r="AT29" s="18"/>
      <c r="AU29" s="18"/>
      <c r="AV29" s="18"/>
      <c r="AW29" s="18"/>
    </row>
    <row r="30" spans="1:49" x14ac:dyDescent="0.3">
      <c r="A30" s="2">
        <f t="shared" si="1"/>
        <v>46198</v>
      </c>
      <c r="B30">
        <f t="shared" si="2"/>
        <v>26</v>
      </c>
      <c r="C30" s="13">
        <f t="shared" si="3"/>
        <v>1.4265053497942386</v>
      </c>
      <c r="D30" s="13">
        <f t="shared" si="4"/>
        <v>1.4263469135802467</v>
      </c>
      <c r="E30" s="13">
        <f t="shared" si="5"/>
        <v>5.4183813443072692E-3</v>
      </c>
      <c r="F30" s="13" t="str">
        <f t="shared" si="6"/>
        <v/>
      </c>
      <c r="G30" s="13" t="str">
        <f t="shared" si="7"/>
        <v/>
      </c>
      <c r="H30" s="13"/>
      <c r="I30" s="13"/>
      <c r="J30" s="13"/>
      <c r="K30" s="13"/>
      <c r="M30" s="2">
        <f>+'Daily Summary'!A57</f>
        <v>46198</v>
      </c>
      <c r="N30">
        <f t="shared" si="8"/>
        <v>26</v>
      </c>
      <c r="O30" s="13">
        <f>+IFERROR('Raw Data - Production'!J58/('Raw Data - Production'!D58*Weights!$B$2),"")</f>
        <v>4.8319683022879374E-2</v>
      </c>
      <c r="P30" s="13">
        <f>+IFERROR('Raw Data - Production'!K58/('Raw Data - Production'!E58*Weights!$B$2),"")</f>
        <v>2.0881692162839912E-2</v>
      </c>
      <c r="Q30" s="13">
        <f>+IFERROR('Raw Data - Production'!L58/('Raw Data - Production'!F58*Weights!$B$2),"")</f>
        <v>0.9729980996130867</v>
      </c>
      <c r="R30" s="13" t="str">
        <f>+IFERROR('Raw Data - Production'!M58/('Raw Data - Production'!G58*Weights!$B$2),"")</f>
        <v/>
      </c>
      <c r="S30" s="13" t="str">
        <f>+IFERROR('Raw Data - Production'!N58/('Raw Data - Production'!H58*Weights!$B$2),"")</f>
        <v/>
      </c>
      <c r="T30" s="13"/>
      <c r="U30" s="13"/>
      <c r="V30" s="13"/>
      <c r="W30" s="13"/>
      <c r="Y30" s="2">
        <f t="shared" si="9"/>
        <v>46198</v>
      </c>
      <c r="Z30" s="11">
        <v>110</v>
      </c>
      <c r="AA30" s="11">
        <v>55</v>
      </c>
      <c r="AB30">
        <f t="shared" si="10"/>
        <v>26</v>
      </c>
      <c r="AC30" s="13">
        <f t="shared" si="11"/>
        <v>1.375</v>
      </c>
      <c r="AD30" s="13">
        <f t="shared" si="11"/>
        <v>1.375</v>
      </c>
      <c r="AE30" s="13">
        <f t="shared" si="12"/>
        <v>1</v>
      </c>
      <c r="AF30" s="13">
        <f t="shared" si="12"/>
        <v>1</v>
      </c>
      <c r="AG30" s="13">
        <f t="shared" si="12"/>
        <v>1</v>
      </c>
      <c r="AH30" s="13"/>
      <c r="AI30" s="13"/>
      <c r="AJ30" s="13"/>
      <c r="AK30" s="13"/>
      <c r="AM30" s="2">
        <f t="shared" si="13"/>
        <v>46198</v>
      </c>
      <c r="AN30">
        <f t="shared" si="14"/>
        <v>26</v>
      </c>
      <c r="AO30" s="18">
        <f>('Raw Data - Production'!D58/100)/60</f>
        <v>8.1760000000000002</v>
      </c>
      <c r="AP30" s="18">
        <f>('Raw Data - Production'!E58/100)/60</f>
        <v>7.9459999999999997</v>
      </c>
      <c r="AQ30" s="18">
        <f>('Raw Data - Production'!F58/50)/60</f>
        <v>1.5049999999999999</v>
      </c>
      <c r="AR30" s="18">
        <f>('Raw Data - Production'!G58/50)/60</f>
        <v>0</v>
      </c>
      <c r="AS30" s="18">
        <f>('Raw Data - Production'!H58/50)/60</f>
        <v>0</v>
      </c>
      <c r="AT30" s="18"/>
      <c r="AU30" s="18"/>
      <c r="AV30" s="18"/>
      <c r="AW30" s="18"/>
    </row>
    <row r="31" spans="1:49" x14ac:dyDescent="0.3">
      <c r="A31" s="2">
        <f t="shared" si="1"/>
        <v>46199</v>
      </c>
      <c r="B31">
        <f t="shared" si="2"/>
        <v>26</v>
      </c>
      <c r="C31" s="13" t="str">
        <f t="shared" si="3"/>
        <v/>
      </c>
      <c r="D31" s="13" t="str">
        <f t="shared" si="4"/>
        <v/>
      </c>
      <c r="E31" s="13" t="str">
        <f t="shared" si="5"/>
        <v/>
      </c>
      <c r="F31" s="13" t="str">
        <f t="shared" si="6"/>
        <v/>
      </c>
      <c r="G31" s="13" t="str">
        <f t="shared" si="7"/>
        <v/>
      </c>
      <c r="H31" s="13"/>
      <c r="I31" s="13"/>
      <c r="J31" s="13"/>
      <c r="K31" s="13"/>
      <c r="M31" s="2">
        <f>+'Daily Summary'!A58</f>
        <v>46199</v>
      </c>
      <c r="N31">
        <f t="shared" si="8"/>
        <v>26</v>
      </c>
      <c r="O31" s="13" t="str">
        <f>+IFERROR('Raw Data - Production'!J59/('Raw Data - Production'!D59*Weights!$B$2),"")</f>
        <v/>
      </c>
      <c r="P31" s="13" t="str">
        <f>+IFERROR('Raw Data - Production'!K59/('Raw Data - Production'!E59*Weights!$B$2),"")</f>
        <v/>
      </c>
      <c r="Q31" s="13" t="str">
        <f>+IFERROR('Raw Data - Production'!L59/('Raw Data - Production'!F59*Weights!$B$2),"")</f>
        <v/>
      </c>
      <c r="R31" s="13" t="str">
        <f>+IFERROR('Raw Data - Production'!M59/('Raw Data - Production'!G59*Weights!$B$2),"")</f>
        <v/>
      </c>
      <c r="S31" s="13" t="str">
        <f>+IFERROR('Raw Data - Production'!N59/('Raw Data - Production'!H59*Weights!$B$2),"")</f>
        <v/>
      </c>
      <c r="T31" s="13"/>
      <c r="U31" s="13"/>
      <c r="V31" s="13"/>
      <c r="W31" s="13"/>
      <c r="Y31" s="2">
        <f t="shared" si="9"/>
        <v>46199</v>
      </c>
      <c r="Z31" s="11">
        <v>110</v>
      </c>
      <c r="AA31" s="11">
        <v>55</v>
      </c>
      <c r="AB31">
        <f t="shared" si="10"/>
        <v>26</v>
      </c>
      <c r="AC31" s="13">
        <f t="shared" si="11"/>
        <v>1.375</v>
      </c>
      <c r="AD31" s="13">
        <f t="shared" si="11"/>
        <v>1.375</v>
      </c>
      <c r="AE31" s="13">
        <f t="shared" si="12"/>
        <v>1</v>
      </c>
      <c r="AF31" s="13">
        <f t="shared" si="12"/>
        <v>1</v>
      </c>
      <c r="AG31" s="13">
        <f t="shared" si="12"/>
        <v>1</v>
      </c>
      <c r="AH31" s="13"/>
      <c r="AI31" s="13"/>
      <c r="AJ31" s="13"/>
      <c r="AK31" s="13"/>
      <c r="AM31" s="2">
        <f t="shared" si="13"/>
        <v>46199</v>
      </c>
      <c r="AN31">
        <f t="shared" si="14"/>
        <v>26</v>
      </c>
      <c r="AO31" s="18">
        <f>('Raw Data - Production'!D59/100)/60</f>
        <v>0</v>
      </c>
      <c r="AP31" s="18">
        <f>('Raw Data - Production'!E59/100)/60</f>
        <v>0</v>
      </c>
      <c r="AQ31" s="18">
        <f>('Raw Data - Production'!F59/50)/60</f>
        <v>0</v>
      </c>
      <c r="AR31" s="18">
        <f>('Raw Data - Production'!G59/50)/60</f>
        <v>0</v>
      </c>
      <c r="AS31" s="18">
        <f>('Raw Data - Production'!H59/50)/60</f>
        <v>0</v>
      </c>
      <c r="AT31" s="18"/>
      <c r="AU31" s="18"/>
      <c r="AV31" s="18"/>
      <c r="AW31" s="18"/>
    </row>
    <row r="32" spans="1:49" x14ac:dyDescent="0.3">
      <c r="A32" s="2">
        <f t="shared" si="1"/>
        <v>46202</v>
      </c>
      <c r="B32">
        <f t="shared" si="2"/>
        <v>27</v>
      </c>
      <c r="C32" s="13">
        <f t="shared" si="3"/>
        <v>1.1871067215363511</v>
      </c>
      <c r="D32" s="13">
        <f t="shared" si="4"/>
        <v>1.0492159122085047</v>
      </c>
      <c r="E32" s="13">
        <f t="shared" si="5"/>
        <v>0.25327572016460903</v>
      </c>
      <c r="F32" s="13">
        <f t="shared" si="6"/>
        <v>0.24769272976680384</v>
      </c>
      <c r="G32" s="13" t="str">
        <f t="shared" si="7"/>
        <v/>
      </c>
      <c r="H32" s="13"/>
      <c r="I32" s="13"/>
      <c r="J32" s="13"/>
      <c r="K32" s="13"/>
      <c r="M32" s="2">
        <f>+'Daily Summary'!A59</f>
        <v>46202</v>
      </c>
      <c r="N32">
        <f t="shared" si="8"/>
        <v>27</v>
      </c>
      <c r="O32" s="13">
        <f>+IFERROR('Raw Data - Production'!J60/('Raw Data - Production'!D60*Weights!$B$2),"")</f>
        <v>9.4640999438414294E-2</v>
      </c>
      <c r="P32" s="13">
        <f>+IFERROR('Raw Data - Production'!K60/('Raw Data - Production'!E60*Weights!$B$2),"")</f>
        <v>7.3349111921362939E-2</v>
      </c>
      <c r="Q32" s="13">
        <f>+IFERROR('Raw Data - Production'!L60/('Raw Data - Production'!F60*Weights!$B$2),"")</f>
        <v>0.24967693170458147</v>
      </c>
      <c r="R32" s="13">
        <f>+IFERROR('Raw Data - Production'!M60/('Raw Data - Production'!G60*Weights!$B$2),"")</f>
        <v>0.11538310797570057</v>
      </c>
      <c r="S32" s="13" t="str">
        <f>+IFERROR('Raw Data - Production'!N60/('Raw Data - Production'!H60*Weights!$B$2),"")</f>
        <v/>
      </c>
      <c r="T32" s="13"/>
      <c r="U32" s="13"/>
      <c r="V32" s="13"/>
      <c r="W32" s="13"/>
      <c r="Y32" s="2">
        <f t="shared" si="9"/>
        <v>46202</v>
      </c>
      <c r="Z32" s="11">
        <v>110</v>
      </c>
      <c r="AA32" s="11">
        <v>55</v>
      </c>
      <c r="AB32">
        <f t="shared" si="10"/>
        <v>27</v>
      </c>
      <c r="AC32" s="13">
        <f t="shared" si="11"/>
        <v>1.375</v>
      </c>
      <c r="AD32" s="13">
        <f t="shared" si="11"/>
        <v>1.375</v>
      </c>
      <c r="AE32" s="13">
        <f t="shared" si="12"/>
        <v>1</v>
      </c>
      <c r="AF32" s="13">
        <f t="shared" si="12"/>
        <v>1</v>
      </c>
      <c r="AG32" s="13">
        <f t="shared" si="12"/>
        <v>1</v>
      </c>
      <c r="AH32" s="13"/>
      <c r="AI32" s="13"/>
      <c r="AJ32" s="13"/>
      <c r="AK32" s="13"/>
      <c r="AM32" s="2">
        <f t="shared" si="13"/>
        <v>46202</v>
      </c>
      <c r="AN32">
        <f t="shared" si="14"/>
        <v>27</v>
      </c>
      <c r="AO32" s="18">
        <f>('Raw Data - Production'!D60/100)/60</f>
        <v>7.1520000000000001</v>
      </c>
      <c r="AP32" s="18">
        <f>('Raw Data - Production'!E60/100)/60</f>
        <v>6.1760000000000002</v>
      </c>
      <c r="AQ32" s="18">
        <f>('Raw Data - Production'!F60/50)/60</f>
        <v>2.5316666666666667</v>
      </c>
      <c r="AR32" s="18">
        <f>('Raw Data - Production'!G60/50)/60</f>
        <v>2.1</v>
      </c>
      <c r="AS32" s="18">
        <f>('Raw Data - Production'!H60/50)/60</f>
        <v>0</v>
      </c>
      <c r="AT32" s="18"/>
      <c r="AU32" s="18"/>
      <c r="AV32" s="18"/>
      <c r="AW32" s="18"/>
    </row>
    <row r="33" spans="1:49" x14ac:dyDescent="0.3">
      <c r="A33" s="2">
        <f t="shared" si="1"/>
        <v>46203</v>
      </c>
      <c r="B33">
        <f t="shared" si="2"/>
        <v>27</v>
      </c>
      <c r="C33" s="13">
        <f t="shared" si="3"/>
        <v>0.86066172839506161</v>
      </c>
      <c r="D33" s="13">
        <f t="shared" si="4"/>
        <v>1.5022884087791495</v>
      </c>
      <c r="E33" s="13">
        <f t="shared" si="5"/>
        <v>3.8655692729766801E-2</v>
      </c>
      <c r="F33" s="13">
        <f t="shared" si="6"/>
        <v>0.30832098765432092</v>
      </c>
      <c r="G33" s="13" t="str">
        <f t="shared" si="7"/>
        <v/>
      </c>
      <c r="H33" s="13"/>
      <c r="I33" s="13"/>
      <c r="J33" s="13"/>
      <c r="K33" s="13"/>
      <c r="M33" s="2">
        <f>+'Daily Summary'!A60</f>
        <v>46203</v>
      </c>
      <c r="N33">
        <f t="shared" si="8"/>
        <v>27</v>
      </c>
      <c r="O33" s="13">
        <f>+IFERROR('Raw Data - Production'!J61/('Raw Data - Production'!D61*Weights!$B$2),"")</f>
        <v>9.9977277891388328E-2</v>
      </c>
      <c r="P33" s="13">
        <f>+IFERROR('Raw Data - Production'!K61/('Raw Data - Production'!E61*Weights!$B$2),"")</f>
        <v>2.5068362698080458E-2</v>
      </c>
      <c r="Q33" s="13">
        <f>+IFERROR('Raw Data - Production'!L61/('Raw Data - Production'!F61*Weights!$B$2),"")</f>
        <v>0.64499874023683545</v>
      </c>
      <c r="R33" s="13">
        <f>+IFERROR('Raw Data - Production'!M61/('Raw Data - Production'!G61*Weights!$B$2),"")</f>
        <v>0.47425371563302599</v>
      </c>
      <c r="S33" s="13" t="str">
        <f>+IFERROR('Raw Data - Production'!N61/('Raw Data - Production'!H61*Weights!$B$2),"")</f>
        <v/>
      </c>
      <c r="T33" s="13"/>
      <c r="U33" s="13"/>
      <c r="V33" s="13"/>
      <c r="W33" s="13"/>
      <c r="Y33" s="2">
        <f t="shared" si="9"/>
        <v>46203</v>
      </c>
      <c r="Z33" s="11">
        <v>110</v>
      </c>
      <c r="AA33" s="11">
        <v>55</v>
      </c>
      <c r="AB33">
        <f t="shared" si="10"/>
        <v>27</v>
      </c>
      <c r="AC33" s="13">
        <f t="shared" si="11"/>
        <v>1.375</v>
      </c>
      <c r="AD33" s="13">
        <f t="shared" si="11"/>
        <v>1.375</v>
      </c>
      <c r="AE33" s="13">
        <f t="shared" si="12"/>
        <v>1</v>
      </c>
      <c r="AF33" s="13">
        <f t="shared" si="12"/>
        <v>1</v>
      </c>
      <c r="AG33" s="13">
        <f t="shared" si="12"/>
        <v>1</v>
      </c>
      <c r="AH33" s="13"/>
      <c r="AI33" s="13"/>
      <c r="AJ33" s="13"/>
      <c r="AK33" s="13"/>
      <c r="AM33" s="2">
        <f t="shared" si="13"/>
        <v>46203</v>
      </c>
      <c r="AN33">
        <f t="shared" si="14"/>
        <v>27</v>
      </c>
      <c r="AO33" s="18">
        <f>('Raw Data - Production'!D61/100)/60</f>
        <v>5.2159999999999993</v>
      </c>
      <c r="AP33" s="18">
        <f>('Raw Data - Production'!E61/100)/60</f>
        <v>8.4049999999999994</v>
      </c>
      <c r="AQ33" s="18">
        <f>('Raw Data - Production'!F61/50)/60</f>
        <v>0.81666666666666665</v>
      </c>
      <c r="AR33" s="18">
        <f>('Raw Data - Production'!G61/50)/60</f>
        <v>4.3983333333333325</v>
      </c>
      <c r="AS33" s="18">
        <f>('Raw Data - Production'!H61/50)/60</f>
        <v>0</v>
      </c>
      <c r="AT33" s="18"/>
      <c r="AU33" s="18"/>
      <c r="AV33" s="18"/>
      <c r="AW33" s="18"/>
    </row>
    <row r="34" spans="1:49" x14ac:dyDescent="0.3">
      <c r="A34" s="2">
        <f t="shared" si="1"/>
        <v>46204</v>
      </c>
      <c r="B34">
        <f t="shared" si="2"/>
        <v>27</v>
      </c>
      <c r="C34" s="13">
        <f t="shared" si="3"/>
        <v>1.0570260631001371</v>
      </c>
      <c r="D34" s="13">
        <f t="shared" si="4"/>
        <v>1.0536460905349796</v>
      </c>
      <c r="E34" s="13" t="str">
        <f t="shared" si="5"/>
        <v/>
      </c>
      <c r="F34" s="13">
        <f t="shared" si="6"/>
        <v>0.46654869684499317</v>
      </c>
      <c r="G34" s="13" t="str">
        <f t="shared" si="7"/>
        <v/>
      </c>
      <c r="H34" s="13"/>
      <c r="I34" s="13"/>
      <c r="J34" s="13"/>
      <c r="K34" s="13"/>
      <c r="M34" s="2">
        <f>+'Daily Summary'!A61</f>
        <v>46204</v>
      </c>
      <c r="N34">
        <f t="shared" si="8"/>
        <v>27</v>
      </c>
      <c r="O34" s="13">
        <f>+IFERROR('Raw Data - Production'!J62/('Raw Data - Production'!D62*Weights!$B$2),"")</f>
        <v>3.9067215363511661E-2</v>
      </c>
      <c r="P34" s="13">
        <f>+IFERROR('Raw Data - Production'!K62/('Raw Data - Production'!E62*Weights!$B$2),"")</f>
        <v>4.2139917695473254E-2</v>
      </c>
      <c r="Q34" s="13" t="str">
        <f>+IFERROR('Raw Data - Production'!L62/('Raw Data - Production'!F62*Weights!$B$2),"")</f>
        <v/>
      </c>
      <c r="R34" s="13">
        <f>+IFERROR('Raw Data - Production'!M62/('Raw Data - Production'!G62*Weights!$B$2),"")</f>
        <v>0.21690819253917601</v>
      </c>
      <c r="S34" s="13" t="str">
        <f>+IFERROR('Raw Data - Production'!N62/('Raw Data - Production'!H62*Weights!$B$2),"")</f>
        <v/>
      </c>
      <c r="T34" s="13"/>
      <c r="U34" s="13"/>
      <c r="V34" s="13"/>
      <c r="W34" s="13"/>
      <c r="Y34" s="2">
        <f t="shared" si="9"/>
        <v>46204</v>
      </c>
      <c r="Z34" s="11">
        <v>110</v>
      </c>
      <c r="AA34" s="11">
        <v>55</v>
      </c>
      <c r="AB34">
        <f t="shared" si="10"/>
        <v>27</v>
      </c>
      <c r="AC34" s="13">
        <f t="shared" si="11"/>
        <v>1.375</v>
      </c>
      <c r="AD34" s="13">
        <f t="shared" si="11"/>
        <v>1.375</v>
      </c>
      <c r="AE34" s="13">
        <f t="shared" si="12"/>
        <v>1</v>
      </c>
      <c r="AF34" s="13">
        <f t="shared" si="12"/>
        <v>1</v>
      </c>
      <c r="AG34" s="13">
        <f t="shared" si="12"/>
        <v>1</v>
      </c>
      <c r="AH34" s="13"/>
      <c r="AI34" s="13"/>
      <c r="AJ34" s="13"/>
      <c r="AK34" s="13"/>
      <c r="AM34" s="2">
        <f t="shared" si="13"/>
        <v>46204</v>
      </c>
      <c r="AN34">
        <f t="shared" si="14"/>
        <v>27</v>
      </c>
      <c r="AO34" s="18">
        <f>('Raw Data - Production'!D62/100)/60</f>
        <v>6</v>
      </c>
      <c r="AP34" s="18">
        <f>('Raw Data - Production'!E62/100)/60</f>
        <v>6</v>
      </c>
      <c r="AQ34" s="18">
        <f>('Raw Data - Production'!F62/50)/60</f>
        <v>0</v>
      </c>
      <c r="AR34" s="18">
        <f>('Raw Data - Production'!G62/50)/60</f>
        <v>4.4683333333333337</v>
      </c>
      <c r="AS34" s="18">
        <f>('Raw Data - Production'!H62/50)/60</f>
        <v>0</v>
      </c>
      <c r="AT34" s="18"/>
      <c r="AU34" s="18"/>
      <c r="AV34" s="18"/>
      <c r="AW34" s="18"/>
    </row>
    <row r="35" spans="1:49" x14ac:dyDescent="0.3">
      <c r="A35" s="2">
        <f t="shared" si="1"/>
        <v>46205</v>
      </c>
      <c r="B35">
        <f t="shared" si="2"/>
        <v>27</v>
      </c>
      <c r="C35" s="13">
        <f t="shared" si="3"/>
        <v>1.3224142661179696</v>
      </c>
      <c r="D35" s="13">
        <f t="shared" si="4"/>
        <v>1.4400252400548699</v>
      </c>
      <c r="E35" s="13">
        <f t="shared" si="5"/>
        <v>0.54400274348422495</v>
      </c>
      <c r="F35" s="13">
        <f t="shared" si="6"/>
        <v>0.55800274348422496</v>
      </c>
      <c r="G35" s="13" t="str">
        <f t="shared" si="7"/>
        <v/>
      </c>
      <c r="H35" s="13"/>
      <c r="I35" s="13"/>
      <c r="J35" s="13"/>
      <c r="K35" s="13"/>
      <c r="M35" s="2">
        <f>+'Daily Summary'!A62</f>
        <v>46205</v>
      </c>
      <c r="N35">
        <f t="shared" si="8"/>
        <v>27</v>
      </c>
      <c r="O35" s="13">
        <f>+IFERROR('Raw Data - Production'!J63/('Raw Data - Production'!D63*Weights!$B$2),"")</f>
        <v>7.9952968841857736E-2</v>
      </c>
      <c r="P35" s="13">
        <f>+IFERROR('Raw Data - Production'!K63/('Raw Data - Production'!E63*Weights!$B$2),"")</f>
        <v>3.9300008858608557E-2</v>
      </c>
      <c r="Q35" s="13">
        <f>+IFERROR('Raw Data - Production'!L63/('Raw Data - Production'!F63*Weights!$B$2),"")</f>
        <v>6.7423868312757207E-2</v>
      </c>
      <c r="R35" s="13">
        <f>+IFERROR('Raw Data - Production'!M63/('Raw Data - Production'!G63*Weights!$B$2),"")</f>
        <v>6.584362139917696E-2</v>
      </c>
      <c r="S35" s="13" t="str">
        <f>+IFERROR('Raw Data - Production'!N63/('Raw Data - Production'!H63*Weights!$B$2),"")</f>
        <v/>
      </c>
      <c r="T35" s="13"/>
      <c r="U35" s="13"/>
      <c r="V35" s="13"/>
      <c r="W35" s="13"/>
      <c r="Y35" s="2">
        <f t="shared" si="9"/>
        <v>46205</v>
      </c>
      <c r="Z35" s="11">
        <v>110</v>
      </c>
      <c r="AA35" s="11">
        <v>55</v>
      </c>
      <c r="AB35">
        <f t="shared" si="10"/>
        <v>27</v>
      </c>
      <c r="AC35" s="13">
        <f t="shared" si="11"/>
        <v>1.375</v>
      </c>
      <c r="AD35" s="13">
        <f t="shared" si="11"/>
        <v>1.375</v>
      </c>
      <c r="AE35" s="13">
        <f t="shared" si="12"/>
        <v>1</v>
      </c>
      <c r="AF35" s="13">
        <f t="shared" si="12"/>
        <v>1</v>
      </c>
      <c r="AG35" s="13">
        <f t="shared" si="12"/>
        <v>1</v>
      </c>
      <c r="AH35" s="13"/>
      <c r="AI35" s="13"/>
      <c r="AJ35" s="13"/>
      <c r="AK35" s="13"/>
      <c r="AM35" s="2">
        <f t="shared" si="13"/>
        <v>46205</v>
      </c>
      <c r="AN35">
        <f t="shared" si="14"/>
        <v>27</v>
      </c>
      <c r="AO35" s="18">
        <f>('Raw Data - Production'!D63/100)/60</f>
        <v>7.84</v>
      </c>
      <c r="AP35" s="18">
        <f>('Raw Data - Production'!E63/100)/60</f>
        <v>8.1760000000000002</v>
      </c>
      <c r="AQ35" s="18">
        <f>('Raw Data - Production'!F63/50)/60</f>
        <v>4.375</v>
      </c>
      <c r="AR35" s="18">
        <f>('Raw Data - Production'!G63/50)/60</f>
        <v>4.4800000000000004</v>
      </c>
      <c r="AS35" s="18">
        <f>('Raw Data - Production'!H63/50)/60</f>
        <v>0</v>
      </c>
      <c r="AT35" s="18"/>
      <c r="AU35" s="18"/>
      <c r="AV35" s="18"/>
      <c r="AW35" s="18"/>
    </row>
    <row r="36" spans="1:49" x14ac:dyDescent="0.3">
      <c r="A36" s="2">
        <f t="shared" si="1"/>
        <v>46206</v>
      </c>
      <c r="B36">
        <f t="shared" si="2"/>
        <v>27</v>
      </c>
      <c r="C36" s="13" t="str">
        <f t="shared" si="3"/>
        <v/>
      </c>
      <c r="D36" s="13" t="str">
        <f t="shared" si="4"/>
        <v/>
      </c>
      <c r="E36" s="13" t="str">
        <f t="shared" si="5"/>
        <v/>
      </c>
      <c r="F36" s="13" t="str">
        <f t="shared" si="6"/>
        <v/>
      </c>
      <c r="G36" s="13" t="str">
        <f t="shared" si="7"/>
        <v/>
      </c>
      <c r="H36" s="13"/>
      <c r="I36" s="13"/>
      <c r="J36" s="13"/>
      <c r="K36" s="13"/>
      <c r="M36" s="2">
        <f>+'Daily Summary'!A63</f>
        <v>46206</v>
      </c>
      <c r="N36">
        <f t="shared" si="8"/>
        <v>27</v>
      </c>
      <c r="O36" s="13" t="str">
        <f>+IFERROR('Raw Data - Production'!J64/('Raw Data - Production'!D64*Weights!$B$2),"")</f>
        <v/>
      </c>
      <c r="P36" s="13" t="str">
        <f>+IFERROR('Raw Data - Production'!K64/('Raw Data - Production'!E64*Weights!$B$2),"")</f>
        <v/>
      </c>
      <c r="Q36" s="13" t="str">
        <f>+IFERROR('Raw Data - Production'!L64/('Raw Data - Production'!F64*Weights!$B$2),"")</f>
        <v/>
      </c>
      <c r="R36" s="13" t="str">
        <f>+IFERROR('Raw Data - Production'!M64/('Raw Data - Production'!G64*Weights!$B$2),"")</f>
        <v/>
      </c>
      <c r="S36" s="13" t="str">
        <f>+IFERROR('Raw Data - Production'!N64/('Raw Data - Production'!H64*Weights!$B$2),"")</f>
        <v/>
      </c>
      <c r="T36" s="13"/>
      <c r="U36" s="13"/>
      <c r="V36" s="13"/>
      <c r="W36" s="13"/>
      <c r="Y36" s="2">
        <f t="shared" si="9"/>
        <v>46206</v>
      </c>
      <c r="Z36" s="11">
        <v>110</v>
      </c>
      <c r="AA36" s="11">
        <v>55</v>
      </c>
      <c r="AB36">
        <f t="shared" si="10"/>
        <v>27</v>
      </c>
      <c r="AC36" s="13">
        <f t="shared" si="11"/>
        <v>1.375</v>
      </c>
      <c r="AD36" s="13">
        <f t="shared" si="11"/>
        <v>1.375</v>
      </c>
      <c r="AE36" s="13">
        <f t="shared" si="12"/>
        <v>1</v>
      </c>
      <c r="AF36" s="13">
        <f t="shared" si="12"/>
        <v>1</v>
      </c>
      <c r="AG36" s="13">
        <f t="shared" si="12"/>
        <v>1</v>
      </c>
      <c r="AH36" s="13"/>
      <c r="AI36" s="13"/>
      <c r="AJ36" s="13"/>
      <c r="AK36" s="13"/>
      <c r="AM36" s="2">
        <f t="shared" si="13"/>
        <v>46206</v>
      </c>
      <c r="AN36">
        <f t="shared" si="14"/>
        <v>27</v>
      </c>
      <c r="AO36" s="18">
        <f>('Raw Data - Production'!D64/100)/60</f>
        <v>0</v>
      </c>
      <c r="AP36" s="18">
        <f>('Raw Data - Production'!E64/100)/60</f>
        <v>0</v>
      </c>
      <c r="AQ36" s="18">
        <f>('Raw Data - Production'!F64/50)/60</f>
        <v>0</v>
      </c>
      <c r="AR36" s="18">
        <f>('Raw Data - Production'!G64/50)/60</f>
        <v>0</v>
      </c>
      <c r="AS36" s="18">
        <f>('Raw Data - Production'!H64/50)/60</f>
        <v>0</v>
      </c>
      <c r="AT36" s="18"/>
      <c r="AU36" s="18"/>
      <c r="AV36" s="18"/>
      <c r="AW36" s="18"/>
    </row>
    <row r="37" spans="1:49" x14ac:dyDescent="0.3">
      <c r="A37" s="2">
        <f t="shared" si="1"/>
        <v>46209</v>
      </c>
      <c r="B37">
        <f t="shared" si="2"/>
        <v>28</v>
      </c>
      <c r="C37" s="13">
        <f t="shared" si="3"/>
        <v>0.54321953360768183</v>
      </c>
      <c r="D37" s="13">
        <f t="shared" si="4"/>
        <v>0.56228257887517152</v>
      </c>
      <c r="E37" s="13">
        <f t="shared" si="5"/>
        <v>-9.9465020576131699E-2</v>
      </c>
      <c r="F37" s="13" t="str">
        <f t="shared" si="6"/>
        <v/>
      </c>
      <c r="G37" s="13">
        <f t="shared" si="7"/>
        <v>0.1805020576131687</v>
      </c>
      <c r="H37" s="13"/>
      <c r="I37" s="13"/>
      <c r="J37" s="13"/>
      <c r="K37" s="13"/>
      <c r="M37" s="2">
        <f>+'Daily Summary'!A64</f>
        <v>46209</v>
      </c>
      <c r="N37">
        <f t="shared" si="8"/>
        <v>28</v>
      </c>
      <c r="O37" s="13">
        <f>+IFERROR('Raw Data - Production'!J65/('Raw Data - Production'!D65*Weights!$B$2),"")</f>
        <v>0.4855875628715135</v>
      </c>
      <c r="P37" s="13">
        <f>+IFERROR('Raw Data - Production'!K65/('Raw Data - Production'!E65*Weights!$B$2),"")</f>
        <v>0.12869435091657314</v>
      </c>
      <c r="Q37" s="13">
        <f>+IFERROR('Raw Data - Production'!L65/('Raw Data - Production'!F65*Weights!$B$2),"")</f>
        <v>2.6395333061999731</v>
      </c>
      <c r="R37" s="13" t="str">
        <f>+IFERROR('Raw Data - Production'!M65/('Raw Data - Production'!G65*Weights!$B$2),"")</f>
        <v/>
      </c>
      <c r="S37" s="13">
        <f>+IFERROR('Raw Data - Production'!N65/('Raw Data - Production'!H65*Weights!$B$2),"")</f>
        <v>0.14046639231824418</v>
      </c>
      <c r="T37" s="13"/>
      <c r="U37" s="13"/>
      <c r="V37" s="13"/>
      <c r="W37" s="13"/>
      <c r="Y37" s="2">
        <f t="shared" si="9"/>
        <v>46209</v>
      </c>
      <c r="Z37" s="11">
        <v>110</v>
      </c>
      <c r="AA37" s="11">
        <v>55</v>
      </c>
      <c r="AB37">
        <f t="shared" si="10"/>
        <v>28</v>
      </c>
      <c r="AC37" s="13">
        <f t="shared" si="11"/>
        <v>1.375</v>
      </c>
      <c r="AD37" s="13">
        <f t="shared" si="11"/>
        <v>1.375</v>
      </c>
      <c r="AE37" s="13">
        <f t="shared" si="12"/>
        <v>1</v>
      </c>
      <c r="AF37" s="13">
        <f t="shared" si="12"/>
        <v>1</v>
      </c>
      <c r="AG37" s="13">
        <f t="shared" si="12"/>
        <v>1</v>
      </c>
      <c r="AH37" s="13"/>
      <c r="AI37" s="13"/>
      <c r="AJ37" s="13"/>
      <c r="AK37" s="13"/>
      <c r="AM37" s="2">
        <f t="shared" si="13"/>
        <v>46209</v>
      </c>
      <c r="AN37">
        <f t="shared" si="14"/>
        <v>28</v>
      </c>
      <c r="AO37" s="18">
        <f>('Raw Data - Production'!D65/100)/60</f>
        <v>5.7600000000000007</v>
      </c>
      <c r="AP37" s="18">
        <f>('Raw Data - Production'!E65/100)/60</f>
        <v>3.52</v>
      </c>
      <c r="AQ37" s="18">
        <f>('Raw Data - Production'!F65/50)/60</f>
        <v>0.45500000000000002</v>
      </c>
      <c r="AR37" s="18">
        <f>('Raw Data - Production'!G65/50)/60</f>
        <v>0</v>
      </c>
      <c r="AS37" s="18">
        <f>('Raw Data - Production'!H65/50)/60</f>
        <v>1.575</v>
      </c>
      <c r="AT37" s="18"/>
      <c r="AU37" s="18"/>
      <c r="AV37" s="18"/>
      <c r="AW37" s="18"/>
    </row>
    <row r="38" spans="1:49" x14ac:dyDescent="0.3">
      <c r="A38" s="2">
        <f t="shared" si="1"/>
        <v>46210</v>
      </c>
      <c r="B38">
        <f t="shared" si="2"/>
        <v>28</v>
      </c>
      <c r="C38" s="13">
        <f t="shared" si="3"/>
        <v>1.23920658436214</v>
      </c>
      <c r="D38" s="13">
        <f t="shared" si="4"/>
        <v>1.1774979423868313</v>
      </c>
      <c r="E38" s="13">
        <f t="shared" si="5"/>
        <v>0.45413443072702331</v>
      </c>
      <c r="F38" s="13" t="str">
        <f t="shared" si="6"/>
        <v/>
      </c>
      <c r="G38" s="13">
        <f t="shared" si="7"/>
        <v>0.43131687242798356</v>
      </c>
      <c r="H38" s="13"/>
      <c r="I38" s="13"/>
      <c r="J38" s="13"/>
      <c r="K38" s="13"/>
      <c r="M38" s="2">
        <f>+'Daily Summary'!A65</f>
        <v>46210</v>
      </c>
      <c r="N38">
        <f t="shared" si="8"/>
        <v>28</v>
      </c>
      <c r="O38" s="13">
        <f>+IFERROR('Raw Data - Production'!J66/('Raw Data - Production'!D66*Weights!$B$2),"")</f>
        <v>7.9614836332338151E-2</v>
      </c>
      <c r="P38" s="13">
        <f>+IFERROR('Raw Data - Production'!K66/('Raw Data - Production'!E66*Weights!$B$2),"")</f>
        <v>7.7195969916276433E-2</v>
      </c>
      <c r="Q38" s="13">
        <f>+IFERROR('Raw Data - Production'!L66/('Raw Data - Production'!F66*Weights!$B$2),"")</f>
        <v>9.8939621573366429E-2</v>
      </c>
      <c r="R38" s="13" t="str">
        <f>+IFERROR('Raw Data - Production'!M66/('Raw Data - Production'!G66*Weights!$B$2),"")</f>
        <v/>
      </c>
      <c r="S38" s="13">
        <f>+IFERROR('Raw Data - Production'!N66/('Raw Data - Production'!H66*Weights!$B$2),"")</f>
        <v>0.19630396441990644</v>
      </c>
      <c r="T38" s="13"/>
      <c r="U38" s="13"/>
      <c r="V38" s="13"/>
      <c r="W38" s="13"/>
      <c r="Y38" s="2">
        <f t="shared" si="9"/>
        <v>46210</v>
      </c>
      <c r="Z38" s="11">
        <v>110</v>
      </c>
      <c r="AA38" s="11">
        <v>55</v>
      </c>
      <c r="AB38">
        <f t="shared" si="10"/>
        <v>28</v>
      </c>
      <c r="AC38" s="13">
        <f t="shared" si="11"/>
        <v>1.375</v>
      </c>
      <c r="AD38" s="13">
        <f t="shared" si="11"/>
        <v>1.375</v>
      </c>
      <c r="AE38" s="13">
        <f t="shared" si="12"/>
        <v>1</v>
      </c>
      <c r="AF38" s="13">
        <f t="shared" si="12"/>
        <v>1</v>
      </c>
      <c r="AG38" s="13">
        <f t="shared" si="12"/>
        <v>1</v>
      </c>
      <c r="AH38" s="13"/>
      <c r="AI38" s="13"/>
      <c r="AJ38" s="13"/>
      <c r="AK38" s="13"/>
      <c r="AM38" s="2">
        <f t="shared" si="13"/>
        <v>46210</v>
      </c>
      <c r="AN38">
        <f t="shared" si="14"/>
        <v>28</v>
      </c>
      <c r="AO38" s="18">
        <f>('Raw Data - Production'!D66/100)/60</f>
        <v>7.3439999999999994</v>
      </c>
      <c r="AP38" s="18">
        <f>('Raw Data - Production'!E66/100)/60</f>
        <v>6.96</v>
      </c>
      <c r="AQ38" s="18">
        <f>('Raw Data - Production'!F66/50)/60</f>
        <v>3.7800000000000002</v>
      </c>
      <c r="AR38" s="18">
        <f>('Raw Data - Production'!G66/50)/60</f>
        <v>0</v>
      </c>
      <c r="AS38" s="18">
        <f>('Raw Data - Production'!H66/50)/60</f>
        <v>4.0250000000000004</v>
      </c>
      <c r="AT38" s="18"/>
      <c r="AU38" s="18"/>
      <c r="AV38" s="18"/>
      <c r="AW38" s="18"/>
    </row>
    <row r="39" spans="1:49" x14ac:dyDescent="0.3">
      <c r="A39" s="2">
        <f t="shared" si="1"/>
        <v>46211</v>
      </c>
      <c r="B39">
        <f t="shared" si="2"/>
        <v>28</v>
      </c>
      <c r="C39" s="13">
        <f t="shared" si="3"/>
        <v>1.3205432098765431</v>
      </c>
      <c r="D39" s="13">
        <f t="shared" si="4"/>
        <v>0.46777009602194791</v>
      </c>
      <c r="E39" s="13">
        <f t="shared" si="5"/>
        <v>0.41140411522633741</v>
      </c>
      <c r="F39" s="13" t="str">
        <f t="shared" si="6"/>
        <v/>
      </c>
      <c r="G39" s="13">
        <f t="shared" si="7"/>
        <v>0.40270233196159122</v>
      </c>
      <c r="H39" s="13"/>
      <c r="I39" s="13"/>
      <c r="J39" s="13"/>
      <c r="K39" s="13"/>
      <c r="M39" s="2">
        <f>+'Daily Summary'!A66</f>
        <v>46211</v>
      </c>
      <c r="N39">
        <f t="shared" si="8"/>
        <v>28</v>
      </c>
      <c r="O39" s="13">
        <f>+IFERROR('Raw Data - Production'!J67/('Raw Data - Production'!D67*Weights!$B$2),"")</f>
        <v>3.1859816806053362E-2</v>
      </c>
      <c r="P39" s="13">
        <f>+IFERROR('Raw Data - Production'!K67/('Raw Data - Production'!E67*Weights!$B$2),"")</f>
        <v>0.13096960114822664</v>
      </c>
      <c r="Q39" s="13">
        <f>+IFERROR('Raw Data - Production'!L67/('Raw Data - Production'!F67*Weights!$B$2),"")</f>
        <v>0.12541642171271802</v>
      </c>
      <c r="R39" s="13" t="str">
        <f>+IFERROR('Raw Data - Production'!M67/('Raw Data - Production'!G67*Weights!$B$2),"")</f>
        <v/>
      </c>
      <c r="S39" s="13">
        <f>+IFERROR('Raw Data - Production'!N67/('Raw Data - Production'!H67*Weights!$B$2),"")</f>
        <v>0.12244043882461962</v>
      </c>
      <c r="T39" s="13"/>
      <c r="U39" s="13"/>
      <c r="V39" s="13"/>
      <c r="W39" s="13"/>
      <c r="Y39" s="2">
        <f t="shared" si="9"/>
        <v>46211</v>
      </c>
      <c r="Z39" s="11">
        <v>110</v>
      </c>
      <c r="AA39" s="11">
        <v>55</v>
      </c>
      <c r="AB39">
        <f t="shared" si="10"/>
        <v>28</v>
      </c>
      <c r="AC39" s="13">
        <f t="shared" si="11"/>
        <v>1.375</v>
      </c>
      <c r="AD39" s="13">
        <f t="shared" si="11"/>
        <v>1.375</v>
      </c>
      <c r="AE39" s="13">
        <f t="shared" si="12"/>
        <v>1</v>
      </c>
      <c r="AF39" s="13">
        <f t="shared" si="12"/>
        <v>1</v>
      </c>
      <c r="AG39" s="13">
        <f t="shared" si="12"/>
        <v>1</v>
      </c>
      <c r="AH39" s="13"/>
      <c r="AI39" s="13"/>
      <c r="AJ39" s="13"/>
      <c r="AK39" s="13"/>
      <c r="AM39" s="2">
        <f t="shared" si="13"/>
        <v>46211</v>
      </c>
      <c r="AN39">
        <f t="shared" si="14"/>
        <v>28</v>
      </c>
      <c r="AO39" s="18">
        <f>('Raw Data - Production'!D67/100)/60</f>
        <v>7.4399999999999995</v>
      </c>
      <c r="AP39" s="18">
        <f>('Raw Data - Production'!E67/100)/60</f>
        <v>2.9359999999999999</v>
      </c>
      <c r="AQ39" s="18">
        <f>('Raw Data - Production'!F67/50)/60</f>
        <v>3.528</v>
      </c>
      <c r="AR39" s="18">
        <f>('Raw Data - Production'!G67/50)/60</f>
        <v>0</v>
      </c>
      <c r="AS39" s="18">
        <f>('Raw Data - Production'!H67/50)/60</f>
        <v>3.4416666666666669</v>
      </c>
      <c r="AT39" s="18"/>
      <c r="AU39" s="18"/>
      <c r="AV39" s="18"/>
      <c r="AW39" s="18"/>
    </row>
    <row r="40" spans="1:49" x14ac:dyDescent="0.3">
      <c r="A40" s="2">
        <f t="shared" si="1"/>
        <v>46212</v>
      </c>
      <c r="B40">
        <f t="shared" si="2"/>
        <v>28</v>
      </c>
      <c r="C40" s="13">
        <f t="shared" si="3"/>
        <v>0</v>
      </c>
      <c r="D40" s="13">
        <f t="shared" si="4"/>
        <v>0</v>
      </c>
      <c r="E40" s="13">
        <f t="shared" si="5"/>
        <v>0</v>
      </c>
      <c r="F40" s="13" t="str">
        <f t="shared" si="6"/>
        <v/>
      </c>
      <c r="G40" s="13">
        <f t="shared" si="7"/>
        <v>0</v>
      </c>
      <c r="H40" s="13"/>
      <c r="I40" s="13"/>
      <c r="J40" s="13"/>
      <c r="K40" s="13"/>
      <c r="M40" s="2">
        <f>+'Daily Summary'!A67</f>
        <v>46212</v>
      </c>
      <c r="N40">
        <f t="shared" si="8"/>
        <v>28</v>
      </c>
      <c r="O40" s="13">
        <f>+IFERROR('Raw Data - Production'!J68/('Raw Data - Production'!D68*Weights!$B$2),"")</f>
        <v>7.9810450180820558E-2</v>
      </c>
      <c r="P40" s="13">
        <f>+IFERROR('Raw Data - Production'!K68/('Raw Data - Production'!E68*Weights!$B$2),"")</f>
        <v>8.2304526748971193E-2</v>
      </c>
      <c r="Q40" s="13">
        <f>+IFERROR('Raw Data - Production'!L68/('Raw Data - Production'!F68*Weights!$B$2),"")</f>
        <v>0.16298510767868019</v>
      </c>
      <c r="R40" s="13" t="str">
        <f>+IFERROR('Raw Data - Production'!M68/('Raw Data - Production'!G68*Weights!$B$2),"")</f>
        <v/>
      </c>
      <c r="S40" s="13">
        <f>+IFERROR('Raw Data - Production'!N68/('Raw Data - Production'!H68*Weights!$B$2),"")</f>
        <v>4.907599110497661E-2</v>
      </c>
      <c r="T40" s="13"/>
      <c r="U40" s="13"/>
      <c r="V40" s="13"/>
      <c r="W40" s="13"/>
      <c r="Y40" s="2">
        <f t="shared" si="9"/>
        <v>46212</v>
      </c>
      <c r="AB40">
        <f t="shared" si="10"/>
        <v>28</v>
      </c>
      <c r="AC40" s="13">
        <f t="shared" si="11"/>
        <v>0</v>
      </c>
      <c r="AD40" s="13">
        <f t="shared" si="11"/>
        <v>0</v>
      </c>
      <c r="AE40" s="13">
        <f t="shared" si="12"/>
        <v>0</v>
      </c>
      <c r="AF40" s="13">
        <f t="shared" si="12"/>
        <v>0</v>
      </c>
      <c r="AG40" s="13">
        <f t="shared" si="12"/>
        <v>0</v>
      </c>
      <c r="AH40" s="13"/>
      <c r="AI40" s="13"/>
      <c r="AJ40" s="13"/>
      <c r="AK40" s="13"/>
      <c r="AM40" s="2">
        <f t="shared" si="13"/>
        <v>46212</v>
      </c>
      <c r="AN40">
        <f t="shared" si="14"/>
        <v>28</v>
      </c>
      <c r="AO40" s="18">
        <f>('Raw Data - Production'!D68/100)/60</f>
        <v>6.3360000000000003</v>
      </c>
      <c r="AP40" s="18">
        <f>('Raw Data - Production'!E68/100)/60</f>
        <v>4.8</v>
      </c>
      <c r="AQ40" s="18">
        <f>('Raw Data - Production'!F68/50)/60</f>
        <v>5.2033333333333331</v>
      </c>
      <c r="AR40" s="18">
        <f>('Raw Data - Production'!G68/50)/60</f>
        <v>0</v>
      </c>
      <c r="AS40" s="18">
        <f>('Raw Data - Production'!H68/50)/60</f>
        <v>5.3666666666666663</v>
      </c>
      <c r="AT40" s="18"/>
      <c r="AU40" s="18"/>
      <c r="AV40" s="18"/>
      <c r="AW40" s="18"/>
    </row>
    <row r="41" spans="1:49" x14ac:dyDescent="0.3">
      <c r="A41" s="2">
        <f t="shared" si="1"/>
        <v>46213</v>
      </c>
      <c r="B41">
        <f t="shared" si="2"/>
        <v>28</v>
      </c>
      <c r="C41" s="13" t="str">
        <f t="shared" si="3"/>
        <v/>
      </c>
      <c r="D41" s="13" t="str">
        <f t="shared" si="4"/>
        <v/>
      </c>
      <c r="E41" s="13" t="str">
        <f t="shared" si="5"/>
        <v/>
      </c>
      <c r="F41" s="13" t="str">
        <f t="shared" si="6"/>
        <v/>
      </c>
      <c r="G41" s="13" t="str">
        <f t="shared" si="7"/>
        <v/>
      </c>
      <c r="H41" s="13"/>
      <c r="I41" s="13"/>
      <c r="J41" s="13"/>
      <c r="K41" s="13"/>
      <c r="M41" s="2">
        <f>+'Daily Summary'!A68</f>
        <v>46213</v>
      </c>
      <c r="N41">
        <f t="shared" si="8"/>
        <v>28</v>
      </c>
      <c r="O41" s="13" t="str">
        <f>+IFERROR('Raw Data - Production'!J69/('Raw Data - Production'!D69*Weights!$B$2),"")</f>
        <v/>
      </c>
      <c r="P41" s="13" t="str">
        <f>+IFERROR('Raw Data - Production'!K69/('Raw Data - Production'!E69*Weights!$B$2),"")</f>
        <v/>
      </c>
      <c r="Q41" s="13" t="str">
        <f>+IFERROR('Raw Data - Production'!L69/('Raw Data - Production'!F69*Weights!$B$2),"")</f>
        <v/>
      </c>
      <c r="R41" s="13" t="str">
        <f>+IFERROR('Raw Data - Production'!M69/('Raw Data - Production'!G69*Weights!$B$2),"")</f>
        <v/>
      </c>
      <c r="S41" s="13" t="str">
        <f>+IFERROR('Raw Data - Production'!N69/('Raw Data - Production'!H69*Weights!$B$2),"")</f>
        <v/>
      </c>
      <c r="T41" s="13"/>
      <c r="U41" s="13"/>
      <c r="V41" s="13"/>
      <c r="W41" s="13"/>
      <c r="Y41" s="2">
        <f t="shared" si="9"/>
        <v>46213</v>
      </c>
      <c r="AB41">
        <f t="shared" si="10"/>
        <v>28</v>
      </c>
      <c r="AC41" s="13">
        <f t="shared" ref="AC41:AD104" si="15">$Z41/$Z$1</f>
        <v>0</v>
      </c>
      <c r="AD41" s="13">
        <f t="shared" si="15"/>
        <v>0</v>
      </c>
      <c r="AE41" s="13">
        <f t="shared" ref="AE41:AG104" si="16">+$AA41/$AA$1</f>
        <v>0</v>
      </c>
      <c r="AF41" s="13">
        <f t="shared" si="16"/>
        <v>0</v>
      </c>
      <c r="AG41" s="13">
        <f t="shared" si="16"/>
        <v>0</v>
      </c>
      <c r="AH41" s="13"/>
      <c r="AI41" s="13"/>
      <c r="AJ41" s="13"/>
      <c r="AK41" s="13"/>
      <c r="AM41" s="2">
        <f t="shared" si="13"/>
        <v>46213</v>
      </c>
      <c r="AN41">
        <f t="shared" si="14"/>
        <v>28</v>
      </c>
      <c r="AO41" s="18">
        <f>('Raw Data - Production'!D69/100)/60</f>
        <v>0</v>
      </c>
      <c r="AP41" s="18">
        <f>('Raw Data - Production'!E69/100)/60</f>
        <v>0</v>
      </c>
      <c r="AQ41" s="18">
        <f>('Raw Data - Production'!F69/50)/60</f>
        <v>0</v>
      </c>
      <c r="AR41" s="18">
        <f>('Raw Data - Production'!G69/50)/60</f>
        <v>0</v>
      </c>
      <c r="AS41" s="18">
        <f>('Raw Data - Production'!H69/50)/60</f>
        <v>0</v>
      </c>
      <c r="AT41" s="18"/>
      <c r="AU41" s="18"/>
      <c r="AV41" s="18"/>
      <c r="AW41" s="18"/>
    </row>
    <row r="42" spans="1:49" x14ac:dyDescent="0.3">
      <c r="A42" s="2">
        <f t="shared" si="1"/>
        <v>46216</v>
      </c>
      <c r="B42">
        <f t="shared" si="2"/>
        <v>29</v>
      </c>
      <c r="C42" s="13" t="str">
        <f t="shared" si="3"/>
        <v/>
      </c>
      <c r="D42" s="13" t="str">
        <f t="shared" si="4"/>
        <v/>
      </c>
      <c r="E42" s="13" t="str">
        <f t="shared" si="5"/>
        <v/>
      </c>
      <c r="F42" s="13" t="str">
        <f t="shared" si="6"/>
        <v/>
      </c>
      <c r="G42" s="13" t="str">
        <f t="shared" si="7"/>
        <v/>
      </c>
      <c r="H42" s="13"/>
      <c r="I42" s="13"/>
      <c r="J42" s="13"/>
      <c r="K42" s="13"/>
      <c r="M42" s="2">
        <f>+'Daily Summary'!A69</f>
        <v>46216</v>
      </c>
      <c r="N42">
        <f t="shared" si="8"/>
        <v>29</v>
      </c>
      <c r="O42" s="13" t="str">
        <f>+IFERROR('Raw Data - Production'!J70/('Raw Data - Production'!D70*Weights!$B$2),"")</f>
        <v/>
      </c>
      <c r="P42" s="13" t="str">
        <f>+IFERROR('Raw Data - Production'!K70/('Raw Data - Production'!E70*Weights!$B$2),"")</f>
        <v/>
      </c>
      <c r="Q42" s="13" t="str">
        <f>+IFERROR('Raw Data - Production'!L70/('Raw Data - Production'!F70*Weights!$B$2),"")</f>
        <v/>
      </c>
      <c r="R42" s="13" t="str">
        <f>+IFERROR('Raw Data - Production'!M70/('Raw Data - Production'!G70*Weights!$B$2),"")</f>
        <v/>
      </c>
      <c r="S42" s="13" t="str">
        <f>+IFERROR('Raw Data - Production'!N70/('Raw Data - Production'!H70*Weights!$B$2),"")</f>
        <v/>
      </c>
      <c r="T42" s="13"/>
      <c r="U42" s="13"/>
      <c r="V42" s="13"/>
      <c r="W42" s="13"/>
      <c r="Y42" s="2">
        <f t="shared" si="9"/>
        <v>46216</v>
      </c>
      <c r="AB42">
        <f t="shared" si="10"/>
        <v>29</v>
      </c>
      <c r="AC42" s="13">
        <f t="shared" si="15"/>
        <v>0</v>
      </c>
      <c r="AD42" s="13">
        <f t="shared" si="15"/>
        <v>0</v>
      </c>
      <c r="AE42" s="13">
        <f t="shared" si="16"/>
        <v>0</v>
      </c>
      <c r="AF42" s="13">
        <f t="shared" si="16"/>
        <v>0</v>
      </c>
      <c r="AG42" s="13">
        <f t="shared" si="16"/>
        <v>0</v>
      </c>
      <c r="AH42" s="13"/>
      <c r="AI42" s="13"/>
      <c r="AJ42" s="13"/>
      <c r="AK42" s="13"/>
      <c r="AM42" s="2">
        <f t="shared" si="13"/>
        <v>46216</v>
      </c>
      <c r="AN42">
        <f t="shared" si="14"/>
        <v>29</v>
      </c>
      <c r="AO42" s="18">
        <f>('Raw Data - Production'!D70/100)/60</f>
        <v>0</v>
      </c>
      <c r="AP42" s="18">
        <f>('Raw Data - Production'!E70/100)/60</f>
        <v>0</v>
      </c>
      <c r="AQ42" s="18">
        <f>('Raw Data - Production'!F70/50)/60</f>
        <v>0</v>
      </c>
      <c r="AR42" s="18">
        <f>('Raw Data - Production'!G70/50)/60</f>
        <v>0</v>
      </c>
      <c r="AS42" s="18">
        <f>('Raw Data - Production'!H70/50)/60</f>
        <v>0</v>
      </c>
      <c r="AT42" s="18"/>
      <c r="AU42" s="18"/>
      <c r="AV42" s="18"/>
      <c r="AW42" s="18"/>
    </row>
    <row r="43" spans="1:49" x14ac:dyDescent="0.3">
      <c r="A43" s="2">
        <f t="shared" si="1"/>
        <v>46217</v>
      </c>
      <c r="B43">
        <f t="shared" si="2"/>
        <v>29</v>
      </c>
      <c r="C43" s="13" t="str">
        <f t="shared" si="3"/>
        <v/>
      </c>
      <c r="D43" s="13" t="str">
        <f t="shared" si="4"/>
        <v/>
      </c>
      <c r="E43" s="13" t="str">
        <f t="shared" si="5"/>
        <v/>
      </c>
      <c r="F43" s="13" t="str">
        <f t="shared" si="6"/>
        <v/>
      </c>
      <c r="G43" s="13" t="str">
        <f t="shared" si="7"/>
        <v/>
      </c>
      <c r="H43" s="13"/>
      <c r="I43" s="13"/>
      <c r="J43" s="13"/>
      <c r="K43" s="13"/>
      <c r="M43" s="2">
        <f>+'Daily Summary'!A70</f>
        <v>46217</v>
      </c>
      <c r="N43">
        <f t="shared" si="8"/>
        <v>29</v>
      </c>
      <c r="O43" s="13" t="str">
        <f>+IFERROR('Raw Data - Production'!J71/('Raw Data - Production'!D71*Weights!$B$2),"")</f>
        <v/>
      </c>
      <c r="P43" s="13" t="str">
        <f>+IFERROR('Raw Data - Production'!K71/('Raw Data - Production'!E71*Weights!$B$2),"")</f>
        <v/>
      </c>
      <c r="Q43" s="13" t="str">
        <f>+IFERROR('Raw Data - Production'!L71/('Raw Data - Production'!F71*Weights!$B$2),"")</f>
        <v/>
      </c>
      <c r="R43" s="13" t="str">
        <f>+IFERROR('Raw Data - Production'!M71/('Raw Data - Production'!G71*Weights!$B$2),"")</f>
        <v/>
      </c>
      <c r="S43" s="13" t="str">
        <f>+IFERROR('Raw Data - Production'!N71/('Raw Data - Production'!H71*Weights!$B$2),"")</f>
        <v/>
      </c>
      <c r="T43" s="13"/>
      <c r="U43" s="13"/>
      <c r="V43" s="13"/>
      <c r="W43" s="13"/>
      <c r="Y43" s="2">
        <f t="shared" si="9"/>
        <v>46217</v>
      </c>
      <c r="AB43">
        <f t="shared" si="10"/>
        <v>29</v>
      </c>
      <c r="AC43" s="13">
        <f t="shared" si="15"/>
        <v>0</v>
      </c>
      <c r="AD43" s="13">
        <f t="shared" si="15"/>
        <v>0</v>
      </c>
      <c r="AE43" s="13">
        <f t="shared" si="16"/>
        <v>0</v>
      </c>
      <c r="AF43" s="13">
        <f t="shared" si="16"/>
        <v>0</v>
      </c>
      <c r="AG43" s="13">
        <f t="shared" si="16"/>
        <v>0</v>
      </c>
      <c r="AH43" s="13"/>
      <c r="AI43" s="13"/>
      <c r="AJ43" s="13"/>
      <c r="AK43" s="13"/>
      <c r="AM43" s="2">
        <f t="shared" si="13"/>
        <v>46217</v>
      </c>
      <c r="AN43">
        <f t="shared" si="14"/>
        <v>29</v>
      </c>
      <c r="AO43" s="18">
        <f>('Raw Data - Production'!D71/100)/60</f>
        <v>0</v>
      </c>
      <c r="AP43" s="18">
        <f>('Raw Data - Production'!E71/100)/60</f>
        <v>0</v>
      </c>
      <c r="AQ43" s="18">
        <f>('Raw Data - Production'!F71/50)/60</f>
        <v>0</v>
      </c>
      <c r="AR43" s="18">
        <f>('Raw Data - Production'!G71/50)/60</f>
        <v>0</v>
      </c>
      <c r="AS43" s="18">
        <f>('Raw Data - Production'!H71/50)/60</f>
        <v>0</v>
      </c>
      <c r="AT43" s="18"/>
      <c r="AU43" s="18"/>
      <c r="AV43" s="18"/>
      <c r="AW43" s="18"/>
    </row>
    <row r="44" spans="1:49" x14ac:dyDescent="0.3">
      <c r="A44" s="2">
        <f t="shared" si="1"/>
        <v>46218</v>
      </c>
      <c r="B44">
        <f t="shared" si="2"/>
        <v>29</v>
      </c>
      <c r="C44" s="13" t="str">
        <f t="shared" si="3"/>
        <v/>
      </c>
      <c r="D44" s="13" t="str">
        <f t="shared" si="4"/>
        <v/>
      </c>
      <c r="E44" s="13" t="str">
        <f t="shared" si="5"/>
        <v/>
      </c>
      <c r="F44" s="13" t="str">
        <f t="shared" si="6"/>
        <v/>
      </c>
      <c r="G44" s="13" t="str">
        <f t="shared" si="7"/>
        <v/>
      </c>
      <c r="H44" s="13"/>
      <c r="I44" s="13"/>
      <c r="J44" s="13"/>
      <c r="K44" s="13"/>
      <c r="M44" s="2">
        <f>+'Daily Summary'!A71</f>
        <v>46218</v>
      </c>
      <c r="N44">
        <f t="shared" si="8"/>
        <v>29</v>
      </c>
      <c r="O44" s="13" t="str">
        <f>+IFERROR('Raw Data - Production'!J72/('Raw Data - Production'!D72*Weights!$B$2),"")</f>
        <v/>
      </c>
      <c r="P44" s="13" t="str">
        <f>+IFERROR('Raw Data - Production'!K72/('Raw Data - Production'!E72*Weights!$B$2),"")</f>
        <v/>
      </c>
      <c r="Q44" s="13" t="str">
        <f>+IFERROR('Raw Data - Production'!L72/('Raw Data - Production'!F72*Weights!$B$2),"")</f>
        <v/>
      </c>
      <c r="R44" s="13" t="str">
        <f>+IFERROR('Raw Data - Production'!M72/('Raw Data - Production'!G72*Weights!$B$2),"")</f>
        <v/>
      </c>
      <c r="S44" s="13" t="str">
        <f>+IFERROR('Raw Data - Production'!N72/('Raw Data - Production'!H72*Weights!$B$2),"")</f>
        <v/>
      </c>
      <c r="T44" s="13"/>
      <c r="U44" s="13"/>
      <c r="V44" s="13"/>
      <c r="W44" s="13"/>
      <c r="Y44" s="2">
        <f t="shared" si="9"/>
        <v>46218</v>
      </c>
      <c r="AB44">
        <f t="shared" si="10"/>
        <v>29</v>
      </c>
      <c r="AC44" s="13">
        <f t="shared" si="15"/>
        <v>0</v>
      </c>
      <c r="AD44" s="13">
        <f t="shared" si="15"/>
        <v>0</v>
      </c>
      <c r="AE44" s="13">
        <f t="shared" si="16"/>
        <v>0</v>
      </c>
      <c r="AF44" s="13">
        <f t="shared" si="16"/>
        <v>0</v>
      </c>
      <c r="AG44" s="13">
        <f t="shared" si="16"/>
        <v>0</v>
      </c>
      <c r="AH44" s="13"/>
      <c r="AI44" s="13"/>
      <c r="AJ44" s="13"/>
      <c r="AK44" s="13"/>
      <c r="AM44" s="2">
        <f t="shared" si="13"/>
        <v>46218</v>
      </c>
      <c r="AN44">
        <f t="shared" si="14"/>
        <v>29</v>
      </c>
      <c r="AO44" s="18">
        <f>('Raw Data - Production'!D72/100)/60</f>
        <v>0</v>
      </c>
      <c r="AP44" s="18">
        <f>('Raw Data - Production'!E72/100)/60</f>
        <v>0</v>
      </c>
      <c r="AQ44" s="18">
        <f>('Raw Data - Production'!F72/50)/60</f>
        <v>0</v>
      </c>
      <c r="AR44" s="18">
        <f>('Raw Data - Production'!G72/50)/60</f>
        <v>0</v>
      </c>
      <c r="AS44" s="18">
        <f>('Raw Data - Production'!H72/50)/60</f>
        <v>0</v>
      </c>
      <c r="AT44" s="18"/>
      <c r="AU44" s="18"/>
      <c r="AV44" s="18"/>
      <c r="AW44" s="18"/>
    </row>
    <row r="45" spans="1:49" x14ac:dyDescent="0.3">
      <c r="A45" s="2">
        <f t="shared" si="1"/>
        <v>46219</v>
      </c>
      <c r="B45">
        <f t="shared" si="2"/>
        <v>29</v>
      </c>
      <c r="C45" s="13" t="str">
        <f t="shared" si="3"/>
        <v/>
      </c>
      <c r="D45" s="13" t="str">
        <f t="shared" si="4"/>
        <v/>
      </c>
      <c r="E45" s="13" t="str">
        <f t="shared" si="5"/>
        <v/>
      </c>
      <c r="F45" s="13" t="str">
        <f t="shared" si="6"/>
        <v/>
      </c>
      <c r="G45" s="13" t="str">
        <f t="shared" si="7"/>
        <v/>
      </c>
      <c r="H45" s="13"/>
      <c r="I45" s="13"/>
      <c r="J45" s="13"/>
      <c r="K45" s="13"/>
      <c r="M45" s="2">
        <f>+'Daily Summary'!A72</f>
        <v>46219</v>
      </c>
      <c r="N45">
        <f t="shared" si="8"/>
        <v>29</v>
      </c>
      <c r="O45" s="13" t="str">
        <f>+IFERROR('Raw Data - Production'!J73/('Raw Data - Production'!D73*Weights!$B$2),"")</f>
        <v/>
      </c>
      <c r="P45" s="13" t="str">
        <f>+IFERROR('Raw Data - Production'!K73/('Raw Data - Production'!E73*Weights!$B$2),"")</f>
        <v/>
      </c>
      <c r="Q45" s="13" t="str">
        <f>+IFERROR('Raw Data - Production'!L73/('Raw Data - Production'!F73*Weights!$B$2),"")</f>
        <v/>
      </c>
      <c r="R45" s="13" t="str">
        <f>+IFERROR('Raw Data - Production'!M73/('Raw Data - Production'!G73*Weights!$B$2),"")</f>
        <v/>
      </c>
      <c r="S45" s="13" t="str">
        <f>+IFERROR('Raw Data - Production'!N73/('Raw Data - Production'!H73*Weights!$B$2),"")</f>
        <v/>
      </c>
      <c r="T45" s="13"/>
      <c r="U45" s="13"/>
      <c r="V45" s="13"/>
      <c r="W45" s="13"/>
      <c r="Y45" s="2">
        <f t="shared" si="9"/>
        <v>46219</v>
      </c>
      <c r="AB45">
        <f t="shared" si="10"/>
        <v>29</v>
      </c>
      <c r="AC45" s="13">
        <f t="shared" si="15"/>
        <v>0</v>
      </c>
      <c r="AD45" s="13">
        <f t="shared" si="15"/>
        <v>0</v>
      </c>
      <c r="AE45" s="13">
        <f t="shared" si="16"/>
        <v>0</v>
      </c>
      <c r="AF45" s="13">
        <f t="shared" si="16"/>
        <v>0</v>
      </c>
      <c r="AG45" s="13">
        <f t="shared" si="16"/>
        <v>0</v>
      </c>
      <c r="AH45" s="13"/>
      <c r="AI45" s="13"/>
      <c r="AJ45" s="13"/>
      <c r="AK45" s="13"/>
      <c r="AM45" s="2">
        <f t="shared" si="13"/>
        <v>46219</v>
      </c>
      <c r="AN45">
        <f t="shared" si="14"/>
        <v>29</v>
      </c>
      <c r="AO45" s="18">
        <f>('Raw Data - Production'!D73/100)/60</f>
        <v>0</v>
      </c>
      <c r="AP45" s="18">
        <f>('Raw Data - Production'!E73/100)/60</f>
        <v>0</v>
      </c>
      <c r="AQ45" s="18">
        <f>('Raw Data - Production'!F73/50)/60</f>
        <v>0</v>
      </c>
      <c r="AR45" s="18">
        <f>('Raw Data - Production'!G73/50)/60</f>
        <v>0</v>
      </c>
      <c r="AS45" s="18">
        <f>('Raw Data - Production'!H73/50)/60</f>
        <v>0</v>
      </c>
      <c r="AT45" s="18"/>
      <c r="AU45" s="18"/>
      <c r="AV45" s="18"/>
      <c r="AW45" s="18"/>
    </row>
    <row r="46" spans="1:49" x14ac:dyDescent="0.3">
      <c r="A46" s="2">
        <f t="shared" si="1"/>
        <v>46220</v>
      </c>
      <c r="B46">
        <f t="shared" si="2"/>
        <v>29</v>
      </c>
      <c r="C46" s="13" t="str">
        <f t="shared" si="3"/>
        <v/>
      </c>
      <c r="D46" s="13" t="str">
        <f t="shared" si="4"/>
        <v/>
      </c>
      <c r="E46" s="13" t="str">
        <f t="shared" si="5"/>
        <v/>
      </c>
      <c r="F46" s="13" t="str">
        <f t="shared" si="6"/>
        <v/>
      </c>
      <c r="G46" s="13" t="str">
        <f t="shared" si="7"/>
        <v/>
      </c>
      <c r="H46" s="13"/>
      <c r="I46" s="13"/>
      <c r="J46" s="13"/>
      <c r="K46" s="13"/>
      <c r="M46" s="2">
        <f>+'Daily Summary'!A73</f>
        <v>46220</v>
      </c>
      <c r="N46">
        <f t="shared" si="8"/>
        <v>29</v>
      </c>
      <c r="O46" s="13" t="str">
        <f>+IFERROR('Raw Data - Production'!J74/('Raw Data - Production'!D74*Weights!$B$2),"")</f>
        <v/>
      </c>
      <c r="P46" s="13" t="str">
        <f>+IFERROR('Raw Data - Production'!K74/('Raw Data - Production'!E74*Weights!$B$2),"")</f>
        <v/>
      </c>
      <c r="Q46" s="13" t="str">
        <f>+IFERROR('Raw Data - Production'!L74/('Raw Data - Production'!F74*Weights!$B$2),"")</f>
        <v/>
      </c>
      <c r="R46" s="13" t="str">
        <f>+IFERROR('Raw Data - Production'!M74/('Raw Data - Production'!G74*Weights!$B$2),"")</f>
        <v/>
      </c>
      <c r="S46" s="13" t="str">
        <f>+IFERROR('Raw Data - Production'!N74/('Raw Data - Production'!H74*Weights!$B$2),"")</f>
        <v/>
      </c>
      <c r="T46" s="13"/>
      <c r="U46" s="13"/>
      <c r="V46" s="13"/>
      <c r="W46" s="13"/>
      <c r="Y46" s="2">
        <f t="shared" si="9"/>
        <v>46220</v>
      </c>
      <c r="AB46">
        <f t="shared" si="10"/>
        <v>29</v>
      </c>
      <c r="AC46" s="13">
        <f t="shared" si="15"/>
        <v>0</v>
      </c>
      <c r="AD46" s="13">
        <f t="shared" si="15"/>
        <v>0</v>
      </c>
      <c r="AE46" s="13">
        <f t="shared" si="16"/>
        <v>0</v>
      </c>
      <c r="AF46" s="13">
        <f t="shared" si="16"/>
        <v>0</v>
      </c>
      <c r="AG46" s="13">
        <f t="shared" si="16"/>
        <v>0</v>
      </c>
      <c r="AH46" s="13"/>
      <c r="AI46" s="13"/>
      <c r="AJ46" s="13"/>
      <c r="AK46" s="13"/>
      <c r="AM46" s="2">
        <f t="shared" si="13"/>
        <v>46220</v>
      </c>
      <c r="AN46">
        <f t="shared" si="14"/>
        <v>29</v>
      </c>
      <c r="AO46" s="18">
        <f>('Raw Data - Production'!D74/100)/60</f>
        <v>0</v>
      </c>
      <c r="AP46" s="18">
        <f>('Raw Data - Production'!E74/100)/60</f>
        <v>0</v>
      </c>
      <c r="AQ46" s="18">
        <f>('Raw Data - Production'!F74/50)/60</f>
        <v>0</v>
      </c>
      <c r="AR46" s="18">
        <f>('Raw Data - Production'!G74/50)/60</f>
        <v>0</v>
      </c>
      <c r="AS46" s="18">
        <f>('Raw Data - Production'!H74/50)/60</f>
        <v>0</v>
      </c>
      <c r="AT46" s="18"/>
      <c r="AU46" s="18"/>
      <c r="AV46" s="18"/>
      <c r="AW46" s="18"/>
    </row>
    <row r="47" spans="1:49" x14ac:dyDescent="0.3">
      <c r="A47" s="2">
        <f t="shared" si="1"/>
        <v>46223</v>
      </c>
      <c r="B47">
        <f t="shared" si="2"/>
        <v>30</v>
      </c>
      <c r="C47" s="13">
        <f t="shared" si="3"/>
        <v>0.7691465569272975</v>
      </c>
      <c r="D47" s="13">
        <f t="shared" si="4"/>
        <v>0.77519363511659811</v>
      </c>
      <c r="E47" s="13" t="str">
        <f t="shared" si="5"/>
        <v/>
      </c>
      <c r="F47" s="13" t="str">
        <f t="shared" si="6"/>
        <v/>
      </c>
      <c r="G47" s="13" t="str">
        <f t="shared" si="7"/>
        <v/>
      </c>
      <c r="H47" s="13"/>
      <c r="I47" s="13"/>
      <c r="J47" s="13"/>
      <c r="K47" s="13"/>
      <c r="M47" s="2">
        <f>+'Daily Summary'!A74</f>
        <v>46223</v>
      </c>
      <c r="N47">
        <f t="shared" si="8"/>
        <v>30</v>
      </c>
      <c r="O47" s="13">
        <f>+IFERROR('Raw Data - Production'!J75/('Raw Data - Production'!D75*Weights!$B$2),"")</f>
        <v>5.6678575197093718E-2</v>
      </c>
      <c r="P47" s="13">
        <f>+IFERROR('Raw Data - Production'!K75/('Raw Data - Production'!E75*Weights!$B$2),"")</f>
        <v>6.2991190147227052E-2</v>
      </c>
      <c r="Q47" s="13" t="str">
        <f>+IFERROR('Raw Data - Production'!L75/('Raw Data - Production'!F75*Weights!$B$2),"")</f>
        <v/>
      </c>
      <c r="R47" s="13" t="str">
        <f>+IFERROR('Raw Data - Production'!M75/('Raw Data - Production'!G75*Weights!$B$2),"")</f>
        <v/>
      </c>
      <c r="S47" s="13" t="str">
        <f>+IFERROR('Raw Data - Production'!N75/('Raw Data - Production'!H75*Weights!$B$2),"")</f>
        <v/>
      </c>
      <c r="T47" s="13"/>
      <c r="U47" s="13"/>
      <c r="V47" s="13"/>
      <c r="W47" s="13"/>
      <c r="Y47" s="2">
        <f t="shared" si="9"/>
        <v>46223</v>
      </c>
      <c r="Z47" s="11">
        <v>112</v>
      </c>
      <c r="AA47" s="11">
        <v>55</v>
      </c>
      <c r="AB47">
        <f t="shared" si="10"/>
        <v>30</v>
      </c>
      <c r="AC47" s="13">
        <f t="shared" si="15"/>
        <v>1.4</v>
      </c>
      <c r="AD47" s="13">
        <f t="shared" si="15"/>
        <v>1.4</v>
      </c>
      <c r="AE47" s="13">
        <f t="shared" si="16"/>
        <v>1</v>
      </c>
      <c r="AF47" s="13">
        <f t="shared" si="16"/>
        <v>1</v>
      </c>
      <c r="AG47" s="13">
        <f t="shared" si="16"/>
        <v>1</v>
      </c>
      <c r="AH47" s="13"/>
      <c r="AI47" s="13"/>
      <c r="AJ47" s="13"/>
      <c r="AK47" s="13"/>
      <c r="AM47" s="2">
        <f t="shared" si="13"/>
        <v>46223</v>
      </c>
      <c r="AN47">
        <f t="shared" si="14"/>
        <v>30</v>
      </c>
      <c r="AO47" s="18">
        <f>('Raw Data - Production'!D75/100)/60</f>
        <v>4.3679999999999994</v>
      </c>
      <c r="AP47" s="18">
        <f>('Raw Data - Production'!E75/100)/60</f>
        <v>4.4320000000000004</v>
      </c>
      <c r="AQ47" s="18">
        <f>('Raw Data - Production'!F75/50)/60</f>
        <v>0</v>
      </c>
      <c r="AR47" s="18">
        <f>('Raw Data - Production'!G75/50)/60</f>
        <v>0</v>
      </c>
      <c r="AS47" s="18">
        <f>('Raw Data - Production'!H75/50)/60</f>
        <v>0</v>
      </c>
      <c r="AT47" s="18"/>
      <c r="AU47" s="18"/>
      <c r="AV47" s="18"/>
      <c r="AW47" s="18"/>
    </row>
    <row r="48" spans="1:49" x14ac:dyDescent="0.3">
      <c r="A48" s="2">
        <f t="shared" si="1"/>
        <v>46224</v>
      </c>
      <c r="B48">
        <f t="shared" si="2"/>
        <v>30</v>
      </c>
      <c r="C48" s="13">
        <f t="shared" si="3"/>
        <v>1.4569033744855966</v>
      </c>
      <c r="D48" s="13">
        <f t="shared" si="4"/>
        <v>0.98440779149519864</v>
      </c>
      <c r="E48" s="13">
        <f t="shared" si="5"/>
        <v>0.4582935528120714</v>
      </c>
      <c r="F48" s="13" t="str">
        <f t="shared" si="6"/>
        <v/>
      </c>
      <c r="G48" s="13">
        <f t="shared" si="7"/>
        <v>0.52916598079561039</v>
      </c>
      <c r="H48" s="13"/>
      <c r="I48" s="13"/>
      <c r="J48" s="13"/>
      <c r="K48" s="13"/>
      <c r="M48" s="2">
        <f>+'Daily Summary'!A75</f>
        <v>46224</v>
      </c>
      <c r="N48">
        <f t="shared" si="8"/>
        <v>30</v>
      </c>
      <c r="O48" s="13">
        <f>+IFERROR('Raw Data - Production'!J76/('Raw Data - Production'!D76*Weights!$B$2),"")</f>
        <v>4.7260802469135811E-2</v>
      </c>
      <c r="P48" s="13">
        <f>+IFERROR('Raw Data - Production'!K76/('Raw Data - Production'!E76*Weights!$B$2),"")</f>
        <v>6.0966316110349035E-2</v>
      </c>
      <c r="Q48" s="13">
        <f>+IFERROR('Raw Data - Production'!L76/('Raw Data - Production'!F76*Weights!$B$2),"")</f>
        <v>0.33041526374859709</v>
      </c>
      <c r="R48" s="13" t="str">
        <f>+IFERROR('Raw Data - Production'!M76/('Raw Data - Production'!G76*Weights!$B$2),"")</f>
        <v/>
      </c>
      <c r="S48" s="13">
        <f>+IFERROR('Raw Data - Production'!N76/('Raw Data - Production'!H76*Weights!$B$2),"")</f>
        <v>0.16418149751483085</v>
      </c>
      <c r="T48" s="13"/>
      <c r="U48" s="13"/>
      <c r="V48" s="13"/>
      <c r="W48" s="13"/>
      <c r="Y48" s="2">
        <f t="shared" si="9"/>
        <v>46224</v>
      </c>
      <c r="Z48" s="11">
        <v>112</v>
      </c>
      <c r="AA48" s="11">
        <v>55</v>
      </c>
      <c r="AB48">
        <f t="shared" si="10"/>
        <v>30</v>
      </c>
      <c r="AC48" s="13">
        <f t="shared" si="15"/>
        <v>1.4</v>
      </c>
      <c r="AD48" s="13">
        <f t="shared" si="15"/>
        <v>1.4</v>
      </c>
      <c r="AE48" s="13">
        <f t="shared" si="16"/>
        <v>1</v>
      </c>
      <c r="AF48" s="13">
        <f t="shared" si="16"/>
        <v>1</v>
      </c>
      <c r="AG48" s="13">
        <f t="shared" si="16"/>
        <v>1</v>
      </c>
      <c r="AH48" s="13"/>
      <c r="AI48" s="13"/>
      <c r="AJ48" s="13"/>
      <c r="AK48" s="13"/>
      <c r="AM48" s="2">
        <f t="shared" si="13"/>
        <v>46224</v>
      </c>
      <c r="AN48">
        <f t="shared" si="14"/>
        <v>30</v>
      </c>
      <c r="AO48" s="18">
        <f>('Raw Data - Production'!D76/100)/60</f>
        <v>8.1920000000000002</v>
      </c>
      <c r="AP48" s="18">
        <f>('Raw Data - Production'!E76/100)/60</f>
        <v>5.6159999999999997</v>
      </c>
      <c r="AQ48" s="18">
        <f>('Raw Data - Production'!F76/50)/60</f>
        <v>5.1333333333333337</v>
      </c>
      <c r="AR48" s="18">
        <f>('Raw Data - Production'!G76/50)/60</f>
        <v>0</v>
      </c>
      <c r="AS48" s="18">
        <f>('Raw Data - Production'!H76/50)/60</f>
        <v>4.7483333333333331</v>
      </c>
      <c r="AT48" s="18"/>
      <c r="AU48" s="18"/>
      <c r="AV48" s="18"/>
      <c r="AW48" s="18"/>
    </row>
    <row r="49" spans="1:49" x14ac:dyDescent="0.3">
      <c r="A49" s="2">
        <f t="shared" si="1"/>
        <v>46225</v>
      </c>
      <c r="B49">
        <f t="shared" si="2"/>
        <v>30</v>
      </c>
      <c r="C49" s="13">
        <f t="shared" si="3"/>
        <v>1.1058594238683126</v>
      </c>
      <c r="D49" s="13">
        <f t="shared" si="4"/>
        <v>0.92372806584362133</v>
      </c>
      <c r="E49" s="13">
        <f t="shared" si="5"/>
        <v>0.3138189300411523</v>
      </c>
      <c r="F49" s="13" t="str">
        <f t="shared" si="6"/>
        <v/>
      </c>
      <c r="G49" s="13">
        <f t="shared" si="7"/>
        <v>0.38436488340192038</v>
      </c>
      <c r="H49" s="13"/>
      <c r="I49" s="13"/>
      <c r="J49" s="13"/>
      <c r="K49" s="13"/>
      <c r="M49" s="2">
        <f>+'Daily Summary'!A76</f>
        <v>46225</v>
      </c>
      <c r="N49">
        <f t="shared" si="8"/>
        <v>30</v>
      </c>
      <c r="O49" s="13">
        <f>+IFERROR('Raw Data - Production'!J77/('Raw Data - Production'!D77*Weights!$B$2),"")</f>
        <v>0.14191093372244398</v>
      </c>
      <c r="P49" s="13">
        <f>+IFERROR('Raw Data - Production'!K77/('Raw Data - Production'!E77*Weights!$B$2),"")</f>
        <v>6.8421835490108593E-2</v>
      </c>
      <c r="Q49" s="13">
        <f>+IFERROR('Raw Data - Production'!L77/('Raw Data - Production'!F77*Weights!$B$2),"")</f>
        <v>0.37925925925925924</v>
      </c>
      <c r="R49" s="13" t="str">
        <f>+IFERROR('Raw Data - Production'!M77/('Raw Data - Production'!G77*Weights!$B$2),"")</f>
        <v/>
      </c>
      <c r="S49" s="13">
        <f>+IFERROR('Raw Data - Production'!N77/('Raw Data - Production'!H77*Weights!$B$2),"")</f>
        <v>0.30396701194823261</v>
      </c>
      <c r="T49" s="13"/>
      <c r="U49" s="13"/>
      <c r="V49" s="13"/>
      <c r="W49" s="13"/>
      <c r="Y49" s="2">
        <f t="shared" si="9"/>
        <v>46225</v>
      </c>
      <c r="Z49" s="11">
        <v>112</v>
      </c>
      <c r="AA49" s="11">
        <v>55</v>
      </c>
      <c r="AB49">
        <f t="shared" si="10"/>
        <v>30</v>
      </c>
      <c r="AC49" s="13">
        <f t="shared" si="15"/>
        <v>1.4</v>
      </c>
      <c r="AD49" s="13">
        <f t="shared" si="15"/>
        <v>1.4</v>
      </c>
      <c r="AE49" s="13">
        <f t="shared" si="16"/>
        <v>1</v>
      </c>
      <c r="AF49" s="13">
        <f t="shared" si="16"/>
        <v>1</v>
      </c>
      <c r="AG49" s="13">
        <f t="shared" si="16"/>
        <v>1</v>
      </c>
      <c r="AH49" s="13"/>
      <c r="AI49" s="13"/>
      <c r="AJ49" s="13"/>
      <c r="AK49" s="13"/>
      <c r="AM49" s="2">
        <f t="shared" si="13"/>
        <v>46225</v>
      </c>
      <c r="AN49">
        <f t="shared" si="14"/>
        <v>30</v>
      </c>
      <c r="AO49" s="18">
        <f>('Raw Data - Production'!D77/100)/60</f>
        <v>6.9039999999999999</v>
      </c>
      <c r="AP49" s="18">
        <f>('Raw Data - Production'!E77/100)/60</f>
        <v>5.3120000000000003</v>
      </c>
      <c r="AQ49" s="18">
        <f>('Raw Data - Production'!F77/50)/60</f>
        <v>3.7916666666666665</v>
      </c>
      <c r="AR49" s="18">
        <f>('Raw Data - Production'!G77/50)/60</f>
        <v>0</v>
      </c>
      <c r="AS49" s="18">
        <f>('Raw Data - Production'!H77/50)/60</f>
        <v>4.1416666666666666</v>
      </c>
      <c r="AT49" s="18"/>
      <c r="AU49" s="18"/>
      <c r="AV49" s="18"/>
      <c r="AW49" s="18"/>
    </row>
    <row r="50" spans="1:49" x14ac:dyDescent="0.3">
      <c r="A50" s="2">
        <f t="shared" si="1"/>
        <v>46226</v>
      </c>
      <c r="B50">
        <f t="shared" si="2"/>
        <v>30</v>
      </c>
      <c r="C50" s="13">
        <f t="shared" si="3"/>
        <v>1.1852273251028806</v>
      </c>
      <c r="D50" s="13">
        <f t="shared" si="4"/>
        <v>0.97294046639231835</v>
      </c>
      <c r="E50" s="13">
        <f t="shared" si="5"/>
        <v>0.40398491083676269</v>
      </c>
      <c r="F50" s="13" t="str">
        <f t="shared" si="6"/>
        <v/>
      </c>
      <c r="G50" s="13">
        <f t="shared" si="7"/>
        <v>0.42914677640603566</v>
      </c>
      <c r="H50" s="13"/>
      <c r="I50" s="13"/>
      <c r="J50" s="13"/>
      <c r="K50" s="13"/>
      <c r="M50" s="2">
        <f>+'Daily Summary'!A77</f>
        <v>46226</v>
      </c>
      <c r="N50">
        <f t="shared" si="8"/>
        <v>30</v>
      </c>
      <c r="O50" s="13">
        <f>+IFERROR('Raw Data - Production'!J78/('Raw Data - Production'!D78*Weights!$B$2),"")</f>
        <v>6.4057768460284187E-2</v>
      </c>
      <c r="P50" s="13">
        <f>+IFERROR('Raw Data - Production'!K78/('Raw Data - Production'!E78*Weights!$B$2),"")</f>
        <v>9.5107453132144484E-2</v>
      </c>
      <c r="Q50" s="13">
        <f>+IFERROR('Raw Data - Production'!L78/('Raw Data - Production'!F78*Weights!$B$2),"")</f>
        <v>0.14430120086352927</v>
      </c>
      <c r="R50" s="13" t="str">
        <f>+IFERROR('Raw Data - Production'!M78/('Raw Data - Production'!G78*Weights!$B$2),"")</f>
        <v/>
      </c>
      <c r="S50" s="13">
        <f>+IFERROR('Raw Data - Production'!N78/('Raw Data - Production'!H78*Weights!$B$2),"")</f>
        <v>0.11576900465789354</v>
      </c>
      <c r="T50" s="13"/>
      <c r="U50" s="13"/>
      <c r="V50" s="13"/>
      <c r="W50" s="13"/>
      <c r="Y50" s="2">
        <f t="shared" si="9"/>
        <v>46226</v>
      </c>
      <c r="Z50" s="11">
        <v>112</v>
      </c>
      <c r="AA50" s="11">
        <v>55</v>
      </c>
      <c r="AB50">
        <f t="shared" si="10"/>
        <v>30</v>
      </c>
      <c r="AC50" s="13">
        <f t="shared" si="15"/>
        <v>1.4</v>
      </c>
      <c r="AD50" s="13">
        <f t="shared" si="15"/>
        <v>1.4</v>
      </c>
      <c r="AE50" s="13">
        <f t="shared" si="16"/>
        <v>1</v>
      </c>
      <c r="AF50" s="13">
        <f t="shared" si="16"/>
        <v>1</v>
      </c>
      <c r="AG50" s="13">
        <f t="shared" si="16"/>
        <v>1</v>
      </c>
      <c r="AH50" s="13"/>
      <c r="AI50" s="13"/>
      <c r="AJ50" s="13"/>
      <c r="AK50" s="13"/>
      <c r="AM50" s="2">
        <f t="shared" si="13"/>
        <v>46226</v>
      </c>
      <c r="AN50">
        <f t="shared" si="14"/>
        <v>30</v>
      </c>
      <c r="AO50" s="18">
        <f>('Raw Data - Production'!D78/100)/60</f>
        <v>6.7840000000000007</v>
      </c>
      <c r="AP50" s="18">
        <f>('Raw Data - Production'!E78/100)/60</f>
        <v>5.7600000000000007</v>
      </c>
      <c r="AQ50" s="18">
        <f>('Raw Data - Production'!F78/50)/60</f>
        <v>3.5408333333333331</v>
      </c>
      <c r="AR50" s="18">
        <f>('Raw Data - Production'!G78/50)/60</f>
        <v>0</v>
      </c>
      <c r="AS50" s="18">
        <f>('Raw Data - Production'!H78/50)/60</f>
        <v>3.64</v>
      </c>
      <c r="AT50" s="18"/>
      <c r="AU50" s="18"/>
      <c r="AV50" s="18"/>
      <c r="AW50" s="18"/>
    </row>
    <row r="51" spans="1:49" x14ac:dyDescent="0.3">
      <c r="A51" s="2">
        <f t="shared" si="1"/>
        <v>46227</v>
      </c>
      <c r="B51">
        <f t="shared" si="2"/>
        <v>30</v>
      </c>
      <c r="C51" s="13" t="str">
        <f t="shared" si="3"/>
        <v/>
      </c>
      <c r="D51" s="13" t="str">
        <f t="shared" si="4"/>
        <v/>
      </c>
      <c r="E51" s="13" t="str">
        <f t="shared" si="5"/>
        <v/>
      </c>
      <c r="F51" s="13" t="str">
        <f t="shared" si="6"/>
        <v/>
      </c>
      <c r="G51" s="13" t="str">
        <f t="shared" si="7"/>
        <v/>
      </c>
      <c r="H51" s="13"/>
      <c r="I51" s="13"/>
      <c r="J51" s="13"/>
      <c r="K51" s="13"/>
      <c r="M51" s="2">
        <f>+'Daily Summary'!A78</f>
        <v>46227</v>
      </c>
      <c r="N51">
        <f t="shared" si="8"/>
        <v>30</v>
      </c>
      <c r="O51" s="13" t="str">
        <f>+IFERROR('Raw Data - Production'!J79/('Raw Data - Production'!D79*Weights!$B$2),"")</f>
        <v/>
      </c>
      <c r="P51" s="13" t="str">
        <f>+IFERROR('Raw Data - Production'!K79/('Raw Data - Production'!E79*Weights!$B$2),"")</f>
        <v/>
      </c>
      <c r="Q51" s="13" t="str">
        <f>+IFERROR('Raw Data - Production'!L79/('Raw Data - Production'!F79*Weights!$B$2),"")</f>
        <v/>
      </c>
      <c r="R51" s="13" t="str">
        <f>+IFERROR('Raw Data - Production'!M79/('Raw Data - Production'!G79*Weights!$B$2),"")</f>
        <v/>
      </c>
      <c r="S51" s="13" t="str">
        <f>+IFERROR('Raw Data - Production'!N79/('Raw Data - Production'!H79*Weights!$B$2),"")</f>
        <v/>
      </c>
      <c r="T51" s="13"/>
      <c r="U51" s="13"/>
      <c r="V51" s="13"/>
      <c r="W51" s="13"/>
      <c r="Y51" s="2">
        <f t="shared" si="9"/>
        <v>46227</v>
      </c>
      <c r="AB51">
        <f t="shared" si="10"/>
        <v>30</v>
      </c>
      <c r="AC51" s="13">
        <f t="shared" si="15"/>
        <v>0</v>
      </c>
      <c r="AD51" s="13">
        <f t="shared" si="15"/>
        <v>0</v>
      </c>
      <c r="AE51" s="13">
        <f t="shared" si="16"/>
        <v>0</v>
      </c>
      <c r="AF51" s="13">
        <f t="shared" si="16"/>
        <v>0</v>
      </c>
      <c r="AG51" s="13">
        <f t="shared" si="16"/>
        <v>0</v>
      </c>
      <c r="AH51" s="13"/>
      <c r="AI51" s="13"/>
      <c r="AJ51" s="13"/>
      <c r="AK51" s="13"/>
      <c r="AM51" s="2">
        <f t="shared" si="13"/>
        <v>46227</v>
      </c>
      <c r="AN51">
        <f t="shared" si="14"/>
        <v>30</v>
      </c>
      <c r="AO51" s="18">
        <f>('Raw Data - Production'!D79/100)/60</f>
        <v>0</v>
      </c>
      <c r="AP51" s="18">
        <f>('Raw Data - Production'!E79/100)/60</f>
        <v>0</v>
      </c>
      <c r="AQ51" s="18">
        <f>('Raw Data - Production'!F79/50)/60</f>
        <v>0</v>
      </c>
      <c r="AR51" s="18">
        <f>('Raw Data - Production'!G79/50)/60</f>
        <v>0</v>
      </c>
      <c r="AS51" s="18">
        <f>('Raw Data - Production'!H79/50)/60</f>
        <v>0</v>
      </c>
      <c r="AT51" s="18"/>
      <c r="AU51" s="18"/>
      <c r="AV51" s="18"/>
      <c r="AW51" s="18"/>
    </row>
    <row r="52" spans="1:49" x14ac:dyDescent="0.3">
      <c r="A52" s="2">
        <f t="shared" si="1"/>
        <v>46230</v>
      </c>
      <c r="B52">
        <f t="shared" si="2"/>
        <v>31</v>
      </c>
      <c r="C52" s="13">
        <f t="shared" si="3"/>
        <v>0.93513393689986279</v>
      </c>
      <c r="D52" s="13">
        <f t="shared" si="4"/>
        <v>0.61257393689986284</v>
      </c>
      <c r="E52" s="13">
        <f t="shared" si="5"/>
        <v>0.73988065843621387</v>
      </c>
      <c r="F52" s="13" t="str">
        <f t="shared" si="6"/>
        <v/>
      </c>
      <c r="G52" s="13">
        <f t="shared" si="7"/>
        <v>0.26014814814814818</v>
      </c>
      <c r="H52" s="13"/>
      <c r="I52" s="13"/>
      <c r="J52" s="13"/>
      <c r="K52" s="13"/>
      <c r="M52" s="2">
        <f>+'Daily Summary'!A79</f>
        <v>46230</v>
      </c>
      <c r="N52">
        <f t="shared" si="8"/>
        <v>31</v>
      </c>
      <c r="O52" s="13">
        <f>+IFERROR('Raw Data - Production'!J80/('Raw Data - Production'!D80*Weights!$B$2),"")</f>
        <v>0.10027907856771204</v>
      </c>
      <c r="P52" s="13">
        <f>+IFERROR('Raw Data - Production'!K80/('Raw Data - Production'!E80*Weights!$B$2),"")</f>
        <v>0.14540466392318244</v>
      </c>
      <c r="Q52" s="13">
        <f>+IFERROR('Raw Data - Production'!L80/('Raw Data - Production'!F80*Weights!$B$2),"")</f>
        <v>6.6462088051881973E-2</v>
      </c>
      <c r="R52" s="13" t="str">
        <f>+IFERROR('Raw Data - Production'!M80/('Raw Data - Production'!G80*Weights!$B$2),"")</f>
        <v/>
      </c>
      <c r="S52" s="13">
        <f>+IFERROR('Raw Data - Production'!N80/('Raw Data - Production'!H80*Weights!$B$2),"")</f>
        <v>0.2257495590828924</v>
      </c>
      <c r="T52" s="13"/>
      <c r="U52" s="13"/>
      <c r="V52" s="13"/>
      <c r="W52" s="13"/>
      <c r="Y52" s="2">
        <f t="shared" si="9"/>
        <v>46230</v>
      </c>
      <c r="Z52" s="11">
        <v>112</v>
      </c>
      <c r="AA52" s="11">
        <v>55</v>
      </c>
      <c r="AB52">
        <f t="shared" si="10"/>
        <v>31</v>
      </c>
      <c r="AC52" s="13">
        <f t="shared" si="15"/>
        <v>1.4</v>
      </c>
      <c r="AD52" s="13">
        <f t="shared" si="15"/>
        <v>1.4</v>
      </c>
      <c r="AE52" s="13">
        <f t="shared" si="16"/>
        <v>1</v>
      </c>
      <c r="AF52" s="13">
        <f t="shared" si="16"/>
        <v>1</v>
      </c>
      <c r="AG52" s="13">
        <f t="shared" si="16"/>
        <v>1</v>
      </c>
      <c r="AH52" s="13"/>
      <c r="AI52" s="13"/>
      <c r="AJ52" s="13"/>
      <c r="AK52" s="13"/>
      <c r="AM52" s="2">
        <f t="shared" si="13"/>
        <v>46230</v>
      </c>
      <c r="AN52">
        <f t="shared" si="14"/>
        <v>31</v>
      </c>
      <c r="AO52" s="18">
        <f>('Raw Data - Production'!D80/100)/60</f>
        <v>5.5679999999999996</v>
      </c>
      <c r="AP52" s="18">
        <f>('Raw Data - Production'!E80/100)/60</f>
        <v>3.8400000000000003</v>
      </c>
      <c r="AQ52" s="18">
        <f>('Raw Data - Production'!F80/50)/60</f>
        <v>5.9441666666666659</v>
      </c>
      <c r="AR52" s="18">
        <f>('Raw Data - Production'!G80/50)/60</f>
        <v>0</v>
      </c>
      <c r="AS52" s="18">
        <f>('Raw Data - Production'!H80/50)/60</f>
        <v>2.52</v>
      </c>
      <c r="AT52" s="18"/>
      <c r="AU52" s="18"/>
      <c r="AV52" s="18"/>
      <c r="AW52" s="18"/>
    </row>
    <row r="53" spans="1:49" x14ac:dyDescent="0.3">
      <c r="A53" s="2">
        <f t="shared" si="1"/>
        <v>46231</v>
      </c>
      <c r="B53">
        <f t="shared" si="2"/>
        <v>31</v>
      </c>
      <c r="C53" s="13">
        <f t="shared" si="3"/>
        <v>0.73919999999999997</v>
      </c>
      <c r="D53" s="13">
        <f t="shared" si="4"/>
        <v>0.78176000000000001</v>
      </c>
      <c r="E53" s="13">
        <f t="shared" si="5"/>
        <v>0.64200384087791484</v>
      </c>
      <c r="F53" s="13" t="str">
        <f t="shared" si="6"/>
        <v/>
      </c>
      <c r="G53" s="13">
        <f t="shared" si="7"/>
        <v>0.59764609053497941</v>
      </c>
      <c r="H53" s="13"/>
      <c r="I53" s="13"/>
      <c r="J53" s="13"/>
      <c r="K53" s="13"/>
      <c r="M53" s="2">
        <f>+'Daily Summary'!A80</f>
        <v>46231</v>
      </c>
      <c r="N53">
        <f t="shared" si="8"/>
        <v>31</v>
      </c>
      <c r="O53" s="13">
        <f>+IFERROR('Raw Data - Production'!J81/('Raw Data - Production'!D81*Weights!$B$2),"")</f>
        <v>0</v>
      </c>
      <c r="P53" s="13">
        <f>+IFERROR('Raw Data - Production'!K81/('Raw Data - Production'!E81*Weights!$B$2),"")</f>
        <v>0</v>
      </c>
      <c r="Q53" s="13">
        <f>+IFERROR('Raw Data - Production'!L81/('Raw Data - Production'!F81*Weights!$B$2),"")</f>
        <v>4.7911519921362618E-2</v>
      </c>
      <c r="R53" s="13" t="str">
        <f>+IFERROR('Raw Data - Production'!M81/('Raw Data - Production'!G81*Weights!$B$2),"")</f>
        <v/>
      </c>
      <c r="S53" s="13">
        <f>+IFERROR('Raw Data - Production'!N81/('Raw Data - Production'!H81*Weights!$B$2),"")</f>
        <v>7.1978120287299024E-2</v>
      </c>
      <c r="T53" s="13"/>
      <c r="U53" s="13"/>
      <c r="V53" s="13"/>
      <c r="W53" s="13"/>
      <c r="Y53" s="2">
        <f t="shared" si="9"/>
        <v>46231</v>
      </c>
      <c r="Z53" s="11">
        <v>112</v>
      </c>
      <c r="AA53" s="11">
        <v>55</v>
      </c>
      <c r="AB53">
        <f t="shared" si="10"/>
        <v>31</v>
      </c>
      <c r="AC53" s="13">
        <f t="shared" si="15"/>
        <v>1.4</v>
      </c>
      <c r="AD53" s="13">
        <f t="shared" si="15"/>
        <v>1.4</v>
      </c>
      <c r="AE53" s="13">
        <f t="shared" si="16"/>
        <v>1</v>
      </c>
      <c r="AF53" s="13">
        <f t="shared" si="16"/>
        <v>1</v>
      </c>
      <c r="AG53" s="13">
        <f t="shared" si="16"/>
        <v>1</v>
      </c>
      <c r="AH53" s="13"/>
      <c r="AI53" s="13"/>
      <c r="AJ53" s="13"/>
      <c r="AK53" s="13"/>
      <c r="AM53" s="2">
        <f t="shared" si="13"/>
        <v>46231</v>
      </c>
      <c r="AN53">
        <f t="shared" si="14"/>
        <v>31</v>
      </c>
      <c r="AO53" s="18">
        <f>('Raw Data - Production'!D81/100)/60</f>
        <v>3.96</v>
      </c>
      <c r="AP53" s="18">
        <f>('Raw Data - Production'!E81/100)/60</f>
        <v>4.1879999999999997</v>
      </c>
      <c r="AQ53" s="18">
        <f>('Raw Data - Production'!F81/50)/60</f>
        <v>5.0573333333333332</v>
      </c>
      <c r="AR53" s="18">
        <f>('Raw Data - Production'!G81/50)/60</f>
        <v>0</v>
      </c>
      <c r="AS53" s="18">
        <f>('Raw Data - Production'!H81/50)/60</f>
        <v>4.83</v>
      </c>
      <c r="AT53" s="18"/>
      <c r="AU53" s="18"/>
      <c r="AV53" s="18"/>
      <c r="AW53" s="18"/>
    </row>
    <row r="54" spans="1:49" x14ac:dyDescent="0.3">
      <c r="A54" s="2">
        <f t="shared" si="1"/>
        <v>46232</v>
      </c>
      <c r="B54">
        <f t="shared" si="2"/>
        <v>31</v>
      </c>
      <c r="C54" s="13">
        <f t="shared" si="3"/>
        <v>0</v>
      </c>
      <c r="D54" s="13">
        <f t="shared" si="4"/>
        <v>0</v>
      </c>
      <c r="E54" s="13">
        <f t="shared" si="5"/>
        <v>0</v>
      </c>
      <c r="F54" s="13" t="str">
        <f t="shared" si="6"/>
        <v/>
      </c>
      <c r="G54" s="13">
        <f t="shared" si="7"/>
        <v>0</v>
      </c>
      <c r="H54" s="13"/>
      <c r="I54" s="13"/>
      <c r="J54" s="13"/>
      <c r="K54" s="13"/>
      <c r="M54" s="2">
        <f>+'Daily Summary'!A81</f>
        <v>46232</v>
      </c>
      <c r="N54">
        <f t="shared" si="8"/>
        <v>31</v>
      </c>
      <c r="O54" s="13">
        <f>+IFERROR('Raw Data - Production'!J82/('Raw Data - Production'!D82*Weights!$B$2),"")</f>
        <v>0.1193038094159399</v>
      </c>
      <c r="P54" s="13">
        <f>+IFERROR('Raw Data - Production'!K82/('Raw Data - Production'!E82*Weights!$B$2),"")</f>
        <v>8.4021671551647567E-2</v>
      </c>
      <c r="Q54" s="13">
        <f>+IFERROR('Raw Data - Production'!L82/('Raw Data - Production'!F82*Weights!$B$2),"")</f>
        <v>0.59921179262743052</v>
      </c>
      <c r="R54" s="13" t="str">
        <f>+IFERROR('Raw Data - Production'!M82/('Raw Data - Production'!G82*Weights!$B$2),"")</f>
        <v/>
      </c>
      <c r="S54" s="13">
        <f>+IFERROR('Raw Data - Production'!N82/('Raw Data - Production'!H82*Weights!$B$2),"")</f>
        <v>0.44112501255358399</v>
      </c>
      <c r="T54" s="13"/>
      <c r="U54" s="13"/>
      <c r="V54" s="13"/>
      <c r="W54" s="13"/>
      <c r="Y54" s="2">
        <f t="shared" si="9"/>
        <v>46232</v>
      </c>
      <c r="AB54">
        <f t="shared" si="10"/>
        <v>31</v>
      </c>
      <c r="AC54" s="13">
        <f t="shared" si="15"/>
        <v>0</v>
      </c>
      <c r="AD54" s="13">
        <f t="shared" si="15"/>
        <v>0</v>
      </c>
      <c r="AE54" s="13">
        <f t="shared" si="16"/>
        <v>0</v>
      </c>
      <c r="AF54" s="13">
        <f t="shared" si="16"/>
        <v>0</v>
      </c>
      <c r="AG54" s="13">
        <f t="shared" si="16"/>
        <v>0</v>
      </c>
      <c r="AH54" s="13"/>
      <c r="AI54" s="13"/>
      <c r="AJ54" s="13"/>
      <c r="AK54" s="13"/>
      <c r="AM54" s="2">
        <f t="shared" si="13"/>
        <v>46232</v>
      </c>
      <c r="AN54">
        <f t="shared" si="14"/>
        <v>31</v>
      </c>
      <c r="AO54" s="18">
        <f>('Raw Data - Production'!D82/100)/60</f>
        <v>3.488</v>
      </c>
      <c r="AP54" s="18">
        <f>('Raw Data - Production'!E82/100)/60</f>
        <v>6.6719999999999997</v>
      </c>
      <c r="AQ54" s="18">
        <f>('Raw Data - Production'!F82/50)/60</f>
        <v>5.67</v>
      </c>
      <c r="AR54" s="18">
        <f>('Raw Data - Production'!G82/50)/60</f>
        <v>0</v>
      </c>
      <c r="AS54" s="18">
        <f>('Raw Data - Production'!H82/50)/60</f>
        <v>5.8391666666666673</v>
      </c>
      <c r="AT54" s="18"/>
      <c r="AU54" s="18"/>
      <c r="AV54" s="18"/>
      <c r="AW54" s="18"/>
    </row>
    <row r="55" spans="1:49" x14ac:dyDescent="0.3">
      <c r="A55" s="2">
        <f t="shared" si="1"/>
        <v>46233</v>
      </c>
      <c r="B55">
        <f t="shared" si="2"/>
        <v>31</v>
      </c>
      <c r="C55" s="13" t="str">
        <f t="shared" si="3"/>
        <v/>
      </c>
      <c r="D55" s="13" t="str">
        <f t="shared" si="4"/>
        <v/>
      </c>
      <c r="E55" s="13" t="str">
        <f t="shared" si="5"/>
        <v/>
      </c>
      <c r="F55" s="13" t="str">
        <f t="shared" si="6"/>
        <v/>
      </c>
      <c r="G55" s="13" t="str">
        <f t="shared" si="7"/>
        <v/>
      </c>
      <c r="H55" s="13"/>
      <c r="I55" s="13"/>
      <c r="J55" s="13"/>
      <c r="K55" s="13"/>
      <c r="M55" s="2">
        <f>+'Daily Summary'!A82</f>
        <v>46233</v>
      </c>
      <c r="N55">
        <f t="shared" si="8"/>
        <v>31</v>
      </c>
      <c r="O55" s="13" t="str">
        <f>+IFERROR('Raw Data - Production'!J83/('Raw Data - Production'!D83*Weights!$B$2),"")</f>
        <v/>
      </c>
      <c r="P55" s="13" t="str">
        <f>+IFERROR('Raw Data - Production'!K83/('Raw Data - Production'!E83*Weights!$B$2),"")</f>
        <v/>
      </c>
      <c r="Q55" s="13" t="str">
        <f>+IFERROR('Raw Data - Production'!L83/('Raw Data - Production'!F83*Weights!$B$2),"")</f>
        <v/>
      </c>
      <c r="R55" s="13" t="str">
        <f>+IFERROR('Raw Data - Production'!M83/('Raw Data - Production'!G83*Weights!$B$2),"")</f>
        <v/>
      </c>
      <c r="S55" s="13" t="str">
        <f>+IFERROR('Raw Data - Production'!N83/('Raw Data - Production'!H83*Weights!$B$2),"")</f>
        <v/>
      </c>
      <c r="T55" s="13"/>
      <c r="U55" s="13"/>
      <c r="V55" s="13"/>
      <c r="W55" s="13"/>
      <c r="Y55" s="2">
        <f t="shared" si="9"/>
        <v>46233</v>
      </c>
      <c r="AB55">
        <f t="shared" si="10"/>
        <v>31</v>
      </c>
      <c r="AC55" s="13">
        <f t="shared" si="15"/>
        <v>0</v>
      </c>
      <c r="AD55" s="13">
        <f t="shared" si="15"/>
        <v>0</v>
      </c>
      <c r="AE55" s="13">
        <f t="shared" si="16"/>
        <v>0</v>
      </c>
      <c r="AF55" s="13">
        <f t="shared" si="16"/>
        <v>0</v>
      </c>
      <c r="AG55" s="13">
        <f t="shared" si="16"/>
        <v>0</v>
      </c>
      <c r="AH55" s="13"/>
      <c r="AI55" s="13"/>
      <c r="AJ55" s="13"/>
      <c r="AK55" s="13"/>
      <c r="AM55" s="2">
        <f t="shared" si="13"/>
        <v>46233</v>
      </c>
      <c r="AN55">
        <f t="shared" si="14"/>
        <v>31</v>
      </c>
      <c r="AO55" s="18">
        <f>('Raw Data - Production'!D83/100)/60</f>
        <v>0</v>
      </c>
      <c r="AP55" s="18">
        <f>('Raw Data - Production'!E83/100)/60</f>
        <v>0</v>
      </c>
      <c r="AQ55" s="18">
        <f>('Raw Data - Production'!F83/50)/60</f>
        <v>0</v>
      </c>
      <c r="AR55" s="18">
        <f>('Raw Data - Production'!G83/50)/60</f>
        <v>0</v>
      </c>
      <c r="AS55" s="18">
        <f>('Raw Data - Production'!H83/50)/60</f>
        <v>0</v>
      </c>
      <c r="AT55" s="18"/>
      <c r="AU55" s="18"/>
      <c r="AV55" s="18"/>
      <c r="AW55" s="18"/>
    </row>
    <row r="56" spans="1:49" x14ac:dyDescent="0.3">
      <c r="A56" s="2">
        <f t="shared" si="1"/>
        <v>46234</v>
      </c>
      <c r="B56">
        <f t="shared" si="2"/>
        <v>31</v>
      </c>
      <c r="C56" s="13" t="str">
        <f t="shared" si="3"/>
        <v/>
      </c>
      <c r="D56" s="13" t="str">
        <f t="shared" si="4"/>
        <v/>
      </c>
      <c r="E56" s="13" t="str">
        <f t="shared" si="5"/>
        <v/>
      </c>
      <c r="F56" s="13" t="str">
        <f t="shared" si="6"/>
        <v/>
      </c>
      <c r="G56" s="13" t="str">
        <f t="shared" si="7"/>
        <v/>
      </c>
      <c r="H56" s="13"/>
      <c r="I56" s="13"/>
      <c r="J56" s="13"/>
      <c r="K56" s="13"/>
      <c r="M56" s="2">
        <f>+'Daily Summary'!A83</f>
        <v>46234</v>
      </c>
      <c r="N56">
        <f t="shared" si="8"/>
        <v>31</v>
      </c>
      <c r="O56" s="13" t="str">
        <f>+IFERROR('Raw Data - Production'!J84/('Raw Data - Production'!D84*Weights!$B$2),"")</f>
        <v/>
      </c>
      <c r="P56" s="13" t="str">
        <f>+IFERROR('Raw Data - Production'!K84/('Raw Data - Production'!E84*Weights!$B$2),"")</f>
        <v/>
      </c>
      <c r="Q56" s="13" t="str">
        <f>+IFERROR('Raw Data - Production'!L84/('Raw Data - Production'!F84*Weights!$B$2),"")</f>
        <v/>
      </c>
      <c r="R56" s="13" t="str">
        <f>+IFERROR('Raw Data - Production'!M84/('Raw Data - Production'!G84*Weights!$B$2),"")</f>
        <v/>
      </c>
      <c r="S56" s="13" t="str">
        <f>+IFERROR('Raw Data - Production'!N84/('Raw Data - Production'!H84*Weights!$B$2),"")</f>
        <v/>
      </c>
      <c r="T56" s="13"/>
      <c r="U56" s="13"/>
      <c r="V56" s="13"/>
      <c r="W56" s="13"/>
      <c r="Y56" s="2">
        <f t="shared" si="9"/>
        <v>46234</v>
      </c>
      <c r="AB56">
        <f t="shared" si="10"/>
        <v>31</v>
      </c>
      <c r="AC56" s="13">
        <f t="shared" si="15"/>
        <v>0</v>
      </c>
      <c r="AD56" s="13">
        <f t="shared" si="15"/>
        <v>0</v>
      </c>
      <c r="AE56" s="13">
        <f t="shared" si="16"/>
        <v>0</v>
      </c>
      <c r="AF56" s="13">
        <f t="shared" si="16"/>
        <v>0</v>
      </c>
      <c r="AG56" s="13">
        <f t="shared" si="16"/>
        <v>0</v>
      </c>
      <c r="AH56" s="13"/>
      <c r="AI56" s="13"/>
      <c r="AJ56" s="13"/>
      <c r="AK56" s="13"/>
      <c r="AM56" s="2">
        <f t="shared" si="13"/>
        <v>46234</v>
      </c>
      <c r="AN56">
        <f t="shared" si="14"/>
        <v>31</v>
      </c>
      <c r="AO56" s="18">
        <f>('Raw Data - Production'!D84/100)/60</f>
        <v>0</v>
      </c>
      <c r="AP56" s="18">
        <f>('Raw Data - Production'!E84/100)/60</f>
        <v>0</v>
      </c>
      <c r="AQ56" s="18">
        <f>('Raw Data - Production'!F84/50)/60</f>
        <v>0</v>
      </c>
      <c r="AR56" s="18">
        <f>('Raw Data - Production'!G84/50)/60</f>
        <v>0</v>
      </c>
      <c r="AS56" s="18">
        <f>('Raw Data - Production'!H84/50)/60</f>
        <v>0</v>
      </c>
      <c r="AT56" s="18"/>
      <c r="AU56" s="18"/>
      <c r="AV56" s="18"/>
      <c r="AW56" s="18"/>
    </row>
    <row r="57" spans="1:49" x14ac:dyDescent="0.3">
      <c r="A57" s="2">
        <f t="shared" si="1"/>
        <v>46237</v>
      </c>
      <c r="B57">
        <f t="shared" si="2"/>
        <v>32</v>
      </c>
      <c r="C57" s="13" t="str">
        <f t="shared" si="3"/>
        <v/>
      </c>
      <c r="D57" s="13" t="str">
        <f t="shared" si="4"/>
        <v/>
      </c>
      <c r="E57" s="13" t="str">
        <f t="shared" si="5"/>
        <v/>
      </c>
      <c r="F57" s="13" t="str">
        <f t="shared" si="6"/>
        <v/>
      </c>
      <c r="G57" s="13" t="str">
        <f t="shared" si="7"/>
        <v/>
      </c>
      <c r="H57" s="13"/>
      <c r="I57" s="13"/>
      <c r="J57" s="13"/>
      <c r="K57" s="13"/>
      <c r="M57" s="2">
        <f>+'Daily Summary'!A84</f>
        <v>46237</v>
      </c>
      <c r="N57">
        <f t="shared" si="8"/>
        <v>32</v>
      </c>
      <c r="O57" s="13" t="str">
        <f>+IFERROR('Raw Data - Production'!J85/('Raw Data - Production'!D85*Weights!$B$2),"")</f>
        <v/>
      </c>
      <c r="P57" s="13" t="str">
        <f>+IFERROR('Raw Data - Production'!K85/('Raw Data - Production'!E85*Weights!$B$2),"")</f>
        <v/>
      </c>
      <c r="Q57" s="13" t="str">
        <f>+IFERROR('Raw Data - Production'!L85/('Raw Data - Production'!F85*Weights!$B$2),"")</f>
        <v/>
      </c>
      <c r="R57" s="13" t="str">
        <f>+IFERROR('Raw Data - Production'!M85/('Raw Data - Production'!G85*Weights!$B$2),"")</f>
        <v/>
      </c>
      <c r="S57" s="13" t="str">
        <f>+IFERROR('Raw Data - Production'!N85/('Raw Data - Production'!H85*Weights!$B$2),"")</f>
        <v/>
      </c>
      <c r="T57" s="13"/>
      <c r="U57" s="13"/>
      <c r="V57" s="13"/>
      <c r="W57" s="13"/>
      <c r="Y57" s="2">
        <f t="shared" si="9"/>
        <v>46237</v>
      </c>
      <c r="AB57">
        <f t="shared" si="10"/>
        <v>32</v>
      </c>
      <c r="AC57" s="13">
        <f t="shared" si="15"/>
        <v>0</v>
      </c>
      <c r="AD57" s="13">
        <f t="shared" si="15"/>
        <v>0</v>
      </c>
      <c r="AE57" s="13">
        <f t="shared" si="16"/>
        <v>0</v>
      </c>
      <c r="AF57" s="13">
        <f t="shared" si="16"/>
        <v>0</v>
      </c>
      <c r="AG57" s="13">
        <f t="shared" si="16"/>
        <v>0</v>
      </c>
      <c r="AH57" s="13"/>
      <c r="AI57" s="13"/>
      <c r="AJ57" s="13"/>
      <c r="AK57" s="13"/>
      <c r="AM57" s="2">
        <f t="shared" si="13"/>
        <v>46237</v>
      </c>
      <c r="AN57">
        <f t="shared" si="14"/>
        <v>32</v>
      </c>
      <c r="AO57" s="18">
        <f>('Raw Data - Production'!D85/100)/60</f>
        <v>0</v>
      </c>
      <c r="AP57" s="18">
        <f>('Raw Data - Production'!E85/100)/60</f>
        <v>0</v>
      </c>
      <c r="AQ57" s="18">
        <f>('Raw Data - Production'!F85/50)/60</f>
        <v>0</v>
      </c>
      <c r="AR57" s="18">
        <f>('Raw Data - Production'!G85/50)/60</f>
        <v>0</v>
      </c>
      <c r="AS57" s="18">
        <f>('Raw Data - Production'!H85/50)/60</f>
        <v>0</v>
      </c>
      <c r="AT57" s="18"/>
      <c r="AU57" s="18"/>
      <c r="AV57" s="18"/>
      <c r="AW57" s="18"/>
    </row>
    <row r="58" spans="1:49" x14ac:dyDescent="0.3">
      <c r="A58" s="2">
        <f t="shared" si="1"/>
        <v>46238</v>
      </c>
      <c r="B58">
        <f t="shared" si="2"/>
        <v>32</v>
      </c>
      <c r="C58" s="13" t="str">
        <f t="shared" si="3"/>
        <v/>
      </c>
      <c r="D58" s="13" t="str">
        <f t="shared" si="4"/>
        <v/>
      </c>
      <c r="E58" s="13" t="str">
        <f t="shared" si="5"/>
        <v/>
      </c>
      <c r="F58" s="13" t="str">
        <f t="shared" si="6"/>
        <v/>
      </c>
      <c r="G58" s="13" t="str">
        <f t="shared" si="7"/>
        <v/>
      </c>
      <c r="H58" s="13"/>
      <c r="I58" s="13"/>
      <c r="J58" s="13"/>
      <c r="K58" s="13"/>
      <c r="M58" s="2">
        <f>+'Daily Summary'!A85</f>
        <v>46238</v>
      </c>
      <c r="N58">
        <f t="shared" si="8"/>
        <v>32</v>
      </c>
      <c r="O58" s="13" t="str">
        <f>+IFERROR('Raw Data - Production'!J86/('Raw Data - Production'!D86*Weights!$B$2),"")</f>
        <v/>
      </c>
      <c r="P58" s="13" t="str">
        <f>+IFERROR('Raw Data - Production'!K86/('Raw Data - Production'!E86*Weights!$B$2),"")</f>
        <v/>
      </c>
      <c r="Q58" s="13" t="str">
        <f>+IFERROR('Raw Data - Production'!L86/('Raw Data - Production'!F86*Weights!$B$2),"")</f>
        <v/>
      </c>
      <c r="R58" s="13" t="str">
        <f>+IFERROR('Raw Data - Production'!M86/('Raw Data - Production'!G86*Weights!$B$2),"")</f>
        <v/>
      </c>
      <c r="S58" s="13" t="str">
        <f>+IFERROR('Raw Data - Production'!N86/('Raw Data - Production'!H86*Weights!$B$2),"")</f>
        <v/>
      </c>
      <c r="T58" s="13"/>
      <c r="U58" s="13"/>
      <c r="V58" s="13"/>
      <c r="W58" s="13"/>
      <c r="Y58" s="2">
        <f t="shared" si="9"/>
        <v>46238</v>
      </c>
      <c r="AB58">
        <f t="shared" si="10"/>
        <v>32</v>
      </c>
      <c r="AC58" s="13">
        <f t="shared" si="15"/>
        <v>0</v>
      </c>
      <c r="AD58" s="13">
        <f t="shared" si="15"/>
        <v>0</v>
      </c>
      <c r="AE58" s="13">
        <f t="shared" si="16"/>
        <v>0</v>
      </c>
      <c r="AF58" s="13">
        <f t="shared" si="16"/>
        <v>0</v>
      </c>
      <c r="AG58" s="13">
        <f t="shared" si="16"/>
        <v>0</v>
      </c>
      <c r="AH58" s="13"/>
      <c r="AI58" s="13"/>
      <c r="AJ58" s="13"/>
      <c r="AK58" s="13"/>
      <c r="AM58" s="2">
        <f t="shared" si="13"/>
        <v>46238</v>
      </c>
      <c r="AN58">
        <f t="shared" si="14"/>
        <v>32</v>
      </c>
      <c r="AO58" s="18">
        <f>('Raw Data - Production'!D86/100)/60</f>
        <v>0</v>
      </c>
      <c r="AP58" s="18">
        <f>('Raw Data - Production'!E86/100)/60</f>
        <v>0</v>
      </c>
      <c r="AQ58" s="18">
        <f>('Raw Data - Production'!F86/50)/60</f>
        <v>0</v>
      </c>
      <c r="AR58" s="18">
        <f>('Raw Data - Production'!G86/50)/60</f>
        <v>0</v>
      </c>
      <c r="AS58" s="18">
        <f>('Raw Data - Production'!H86/50)/60</f>
        <v>0</v>
      </c>
      <c r="AT58" s="18"/>
      <c r="AU58" s="18"/>
      <c r="AV58" s="18"/>
      <c r="AW58" s="18"/>
    </row>
    <row r="59" spans="1:49" x14ac:dyDescent="0.3">
      <c r="A59" s="2">
        <f t="shared" si="1"/>
        <v>46239</v>
      </c>
      <c r="B59">
        <f t="shared" si="2"/>
        <v>32</v>
      </c>
      <c r="C59" s="13" t="str">
        <f t="shared" si="3"/>
        <v/>
      </c>
      <c r="D59" s="13" t="str">
        <f t="shared" si="4"/>
        <v/>
      </c>
      <c r="E59" s="13" t="str">
        <f t="shared" si="5"/>
        <v/>
      </c>
      <c r="F59" s="13" t="str">
        <f t="shared" si="6"/>
        <v/>
      </c>
      <c r="G59" s="13" t="str">
        <f t="shared" si="7"/>
        <v/>
      </c>
      <c r="H59" s="13"/>
      <c r="I59" s="13"/>
      <c r="J59" s="13"/>
      <c r="K59" s="13"/>
      <c r="M59" s="2">
        <f>+'Daily Summary'!A86</f>
        <v>46239</v>
      </c>
      <c r="N59">
        <f t="shared" si="8"/>
        <v>32</v>
      </c>
      <c r="O59" s="13" t="str">
        <f>+IFERROR('Raw Data - Production'!J87/('Raw Data - Production'!D87*Weights!$B$2),"")</f>
        <v/>
      </c>
      <c r="P59" s="13" t="str">
        <f>+IFERROR('Raw Data - Production'!K87/('Raw Data - Production'!E87*Weights!$B$2),"")</f>
        <v/>
      </c>
      <c r="Q59" s="13" t="str">
        <f>+IFERROR('Raw Data - Production'!L87/('Raw Data - Production'!F87*Weights!$B$2),"")</f>
        <v/>
      </c>
      <c r="R59" s="13" t="str">
        <f>+IFERROR('Raw Data - Production'!M87/('Raw Data - Production'!G87*Weights!$B$2),"")</f>
        <v/>
      </c>
      <c r="S59" s="13" t="str">
        <f>+IFERROR('Raw Data - Production'!N87/('Raw Data - Production'!H87*Weights!$B$2),"")</f>
        <v/>
      </c>
      <c r="T59" s="13"/>
      <c r="U59" s="13"/>
      <c r="V59" s="13"/>
      <c r="W59" s="13"/>
      <c r="Y59" s="2">
        <f t="shared" si="9"/>
        <v>46239</v>
      </c>
      <c r="AB59">
        <f t="shared" si="10"/>
        <v>32</v>
      </c>
      <c r="AC59" s="13">
        <f t="shared" si="15"/>
        <v>0</v>
      </c>
      <c r="AD59" s="13">
        <f t="shared" si="15"/>
        <v>0</v>
      </c>
      <c r="AE59" s="13">
        <f t="shared" si="16"/>
        <v>0</v>
      </c>
      <c r="AF59" s="13">
        <f t="shared" si="16"/>
        <v>0</v>
      </c>
      <c r="AG59" s="13">
        <f t="shared" si="16"/>
        <v>0</v>
      </c>
      <c r="AH59" s="13"/>
      <c r="AI59" s="13"/>
      <c r="AJ59" s="13"/>
      <c r="AK59" s="13"/>
      <c r="AM59" s="2">
        <f t="shared" si="13"/>
        <v>46239</v>
      </c>
      <c r="AN59">
        <f t="shared" si="14"/>
        <v>32</v>
      </c>
      <c r="AO59" s="18">
        <f>('Raw Data - Production'!D87/100)/60</f>
        <v>0</v>
      </c>
      <c r="AP59" s="18">
        <f>('Raw Data - Production'!E87/100)/60</f>
        <v>0</v>
      </c>
      <c r="AQ59" s="18">
        <f>('Raw Data - Production'!F87/50)/60</f>
        <v>0</v>
      </c>
      <c r="AR59" s="18">
        <f>('Raw Data - Production'!G87/50)/60</f>
        <v>0</v>
      </c>
      <c r="AS59" s="18">
        <f>('Raw Data - Production'!H87/50)/60</f>
        <v>0</v>
      </c>
      <c r="AT59" s="18"/>
      <c r="AU59" s="18"/>
      <c r="AV59" s="18"/>
      <c r="AW59" s="18"/>
    </row>
    <row r="60" spans="1:49" x14ac:dyDescent="0.3">
      <c r="A60" s="2">
        <f t="shared" si="1"/>
        <v>46240</v>
      </c>
      <c r="B60">
        <f t="shared" si="2"/>
        <v>32</v>
      </c>
      <c r="C60" s="13" t="str">
        <f t="shared" si="3"/>
        <v/>
      </c>
      <c r="D60" s="13" t="str">
        <f t="shared" si="4"/>
        <v/>
      </c>
      <c r="E60" s="13" t="str">
        <f t="shared" si="5"/>
        <v/>
      </c>
      <c r="F60" s="13" t="str">
        <f t="shared" si="6"/>
        <v/>
      </c>
      <c r="G60" s="13" t="str">
        <f t="shared" si="7"/>
        <v/>
      </c>
      <c r="H60" s="13"/>
      <c r="I60" s="13"/>
      <c r="J60" s="13"/>
      <c r="K60" s="13"/>
      <c r="M60" s="2">
        <f>+'Daily Summary'!A87</f>
        <v>46240</v>
      </c>
      <c r="N60">
        <f t="shared" si="8"/>
        <v>32</v>
      </c>
      <c r="O60" s="13" t="str">
        <f>+IFERROR('Raw Data - Production'!J88/('Raw Data - Production'!D88*Weights!$B$2),"")</f>
        <v/>
      </c>
      <c r="P60" s="13" t="str">
        <f>+IFERROR('Raw Data - Production'!K88/('Raw Data - Production'!E88*Weights!$B$2),"")</f>
        <v/>
      </c>
      <c r="Q60" s="13" t="str">
        <f>+IFERROR('Raw Data - Production'!L88/('Raw Data - Production'!F88*Weights!$B$2),"")</f>
        <v/>
      </c>
      <c r="R60" s="13" t="str">
        <f>+IFERROR('Raw Data - Production'!M88/('Raw Data - Production'!G88*Weights!$B$2),"")</f>
        <v/>
      </c>
      <c r="S60" s="13" t="str">
        <f>+IFERROR('Raw Data - Production'!N88/('Raw Data - Production'!H88*Weights!$B$2),"")</f>
        <v/>
      </c>
      <c r="T60" s="13"/>
      <c r="U60" s="13"/>
      <c r="V60" s="13"/>
      <c r="W60" s="13"/>
      <c r="Y60" s="2">
        <f t="shared" si="9"/>
        <v>46240</v>
      </c>
      <c r="AB60">
        <f t="shared" si="10"/>
        <v>32</v>
      </c>
      <c r="AC60" s="13">
        <f t="shared" si="15"/>
        <v>0</v>
      </c>
      <c r="AD60" s="13">
        <f t="shared" si="15"/>
        <v>0</v>
      </c>
      <c r="AE60" s="13">
        <f t="shared" si="16"/>
        <v>0</v>
      </c>
      <c r="AF60" s="13">
        <f t="shared" si="16"/>
        <v>0</v>
      </c>
      <c r="AG60" s="13">
        <f t="shared" si="16"/>
        <v>0</v>
      </c>
      <c r="AH60" s="13"/>
      <c r="AI60" s="13"/>
      <c r="AJ60" s="13"/>
      <c r="AK60" s="13"/>
      <c r="AM60" s="2">
        <f t="shared" si="13"/>
        <v>46240</v>
      </c>
      <c r="AN60">
        <f t="shared" si="14"/>
        <v>32</v>
      </c>
      <c r="AO60" s="18">
        <f>('Raw Data - Production'!D88/100)/60</f>
        <v>0</v>
      </c>
      <c r="AP60" s="18">
        <f>('Raw Data - Production'!E88/100)/60</f>
        <v>0</v>
      </c>
      <c r="AQ60" s="18">
        <f>('Raw Data - Production'!F88/50)/60</f>
        <v>0</v>
      </c>
      <c r="AR60" s="18">
        <f>('Raw Data - Production'!G88/50)/60</f>
        <v>0</v>
      </c>
      <c r="AS60" s="18">
        <f>('Raw Data - Production'!H88/50)/60</f>
        <v>0</v>
      </c>
      <c r="AT60" s="18"/>
      <c r="AU60" s="18"/>
      <c r="AV60" s="18"/>
      <c r="AW60" s="18"/>
    </row>
    <row r="61" spans="1:49" x14ac:dyDescent="0.3">
      <c r="A61" s="2">
        <f t="shared" si="1"/>
        <v>46241</v>
      </c>
      <c r="B61">
        <f t="shared" si="2"/>
        <v>32</v>
      </c>
      <c r="C61" s="13" t="str">
        <f t="shared" si="3"/>
        <v/>
      </c>
      <c r="D61" s="13" t="str">
        <f t="shared" si="4"/>
        <v/>
      </c>
      <c r="E61" s="13" t="str">
        <f t="shared" si="5"/>
        <v/>
      </c>
      <c r="F61" s="13" t="str">
        <f t="shared" si="6"/>
        <v/>
      </c>
      <c r="G61" s="13" t="str">
        <f t="shared" si="7"/>
        <v/>
      </c>
      <c r="H61" s="13"/>
      <c r="I61" s="13"/>
      <c r="J61" s="13"/>
      <c r="K61" s="13"/>
      <c r="M61" s="2">
        <f>+'Daily Summary'!A88</f>
        <v>46241</v>
      </c>
      <c r="N61">
        <f t="shared" si="8"/>
        <v>32</v>
      </c>
      <c r="O61" s="13" t="str">
        <f>+IFERROR('Raw Data - Production'!J89/('Raw Data - Production'!D89*Weights!$B$2),"")</f>
        <v/>
      </c>
      <c r="P61" s="13" t="str">
        <f>+IFERROR('Raw Data - Production'!K89/('Raw Data - Production'!E89*Weights!$B$2),"")</f>
        <v/>
      </c>
      <c r="Q61" s="13" t="str">
        <f>+IFERROR('Raw Data - Production'!L89/('Raw Data - Production'!F89*Weights!$B$2),"")</f>
        <v/>
      </c>
      <c r="R61" s="13" t="str">
        <f>+IFERROR('Raw Data - Production'!M89/('Raw Data - Production'!G89*Weights!$B$2),"")</f>
        <v/>
      </c>
      <c r="S61" s="13" t="str">
        <f>+IFERROR('Raw Data - Production'!N89/('Raw Data - Production'!H89*Weights!$B$2),"")</f>
        <v/>
      </c>
      <c r="T61" s="13"/>
      <c r="U61" s="13"/>
      <c r="V61" s="13"/>
      <c r="W61" s="13"/>
      <c r="Y61" s="2">
        <f t="shared" si="9"/>
        <v>46241</v>
      </c>
      <c r="AB61">
        <f t="shared" si="10"/>
        <v>32</v>
      </c>
      <c r="AC61" s="13">
        <f t="shared" si="15"/>
        <v>0</v>
      </c>
      <c r="AD61" s="13">
        <f t="shared" si="15"/>
        <v>0</v>
      </c>
      <c r="AE61" s="13">
        <f t="shared" si="16"/>
        <v>0</v>
      </c>
      <c r="AF61" s="13">
        <f t="shared" si="16"/>
        <v>0</v>
      </c>
      <c r="AG61" s="13">
        <f t="shared" si="16"/>
        <v>0</v>
      </c>
      <c r="AH61" s="13"/>
      <c r="AI61" s="13"/>
      <c r="AJ61" s="13"/>
      <c r="AK61" s="13"/>
      <c r="AM61" s="2">
        <f t="shared" si="13"/>
        <v>46241</v>
      </c>
      <c r="AN61">
        <f t="shared" si="14"/>
        <v>32</v>
      </c>
      <c r="AO61" s="18">
        <f>('Raw Data - Production'!D89/100)/60</f>
        <v>0</v>
      </c>
      <c r="AP61" s="18">
        <f>('Raw Data - Production'!E89/100)/60</f>
        <v>0</v>
      </c>
      <c r="AQ61" s="18">
        <f>('Raw Data - Production'!F89/50)/60</f>
        <v>0</v>
      </c>
      <c r="AR61" s="18">
        <f>('Raw Data - Production'!G89/50)/60</f>
        <v>0</v>
      </c>
      <c r="AS61" s="18">
        <f>('Raw Data - Production'!H89/50)/60</f>
        <v>0</v>
      </c>
      <c r="AT61" s="18"/>
      <c r="AU61" s="18"/>
      <c r="AV61" s="18"/>
      <c r="AW61" s="18"/>
    </row>
    <row r="62" spans="1:49" x14ac:dyDescent="0.3">
      <c r="A62" s="2">
        <f t="shared" si="1"/>
        <v>46244</v>
      </c>
      <c r="B62">
        <f t="shared" si="2"/>
        <v>33</v>
      </c>
      <c r="C62" s="13" t="str">
        <f t="shared" si="3"/>
        <v/>
      </c>
      <c r="D62" s="13" t="str">
        <f t="shared" si="4"/>
        <v/>
      </c>
      <c r="E62" s="13" t="str">
        <f t="shared" si="5"/>
        <v/>
      </c>
      <c r="F62" s="13" t="str">
        <f t="shared" si="6"/>
        <v/>
      </c>
      <c r="G62" s="13" t="str">
        <f t="shared" si="7"/>
        <v/>
      </c>
      <c r="H62" s="13"/>
      <c r="I62" s="13"/>
      <c r="J62" s="13"/>
      <c r="K62" s="13"/>
      <c r="M62" s="2">
        <f>+'Daily Summary'!A89</f>
        <v>46244</v>
      </c>
      <c r="N62">
        <f t="shared" si="8"/>
        <v>33</v>
      </c>
      <c r="O62" s="13" t="str">
        <f>+IFERROR('Raw Data - Production'!J90/('Raw Data - Production'!D90*Weights!$B$2),"")</f>
        <v/>
      </c>
      <c r="P62" s="13" t="str">
        <f>+IFERROR('Raw Data - Production'!K90/('Raw Data - Production'!E90*Weights!$B$2),"")</f>
        <v/>
      </c>
      <c r="Q62" s="13" t="str">
        <f>+IFERROR('Raw Data - Production'!L90/('Raw Data - Production'!F90*Weights!$B$2),"")</f>
        <v/>
      </c>
      <c r="R62" s="13" t="str">
        <f>+IFERROR('Raw Data - Production'!M90/('Raw Data - Production'!G90*Weights!$B$2),"")</f>
        <v/>
      </c>
      <c r="S62" s="13" t="str">
        <f>+IFERROR('Raw Data - Production'!N90/('Raw Data - Production'!H90*Weights!$B$2),"")</f>
        <v/>
      </c>
      <c r="T62" s="13"/>
      <c r="U62" s="13"/>
      <c r="V62" s="13"/>
      <c r="W62" s="13"/>
      <c r="Y62" s="2">
        <f t="shared" si="9"/>
        <v>46244</v>
      </c>
      <c r="AB62">
        <f t="shared" si="10"/>
        <v>33</v>
      </c>
      <c r="AC62" s="13">
        <f t="shared" si="15"/>
        <v>0</v>
      </c>
      <c r="AD62" s="13">
        <f t="shared" si="15"/>
        <v>0</v>
      </c>
      <c r="AE62" s="13">
        <f t="shared" si="16"/>
        <v>0</v>
      </c>
      <c r="AF62" s="13">
        <f t="shared" si="16"/>
        <v>0</v>
      </c>
      <c r="AG62" s="13">
        <f t="shared" si="16"/>
        <v>0</v>
      </c>
      <c r="AH62" s="13"/>
      <c r="AI62" s="13"/>
      <c r="AJ62" s="13"/>
      <c r="AK62" s="13"/>
      <c r="AM62" s="2">
        <f t="shared" si="13"/>
        <v>46244</v>
      </c>
      <c r="AN62">
        <f t="shared" si="14"/>
        <v>33</v>
      </c>
      <c r="AO62" s="18">
        <f>('Raw Data - Production'!D90/100)/60</f>
        <v>0</v>
      </c>
      <c r="AP62" s="18">
        <f>('Raw Data - Production'!E90/100)/60</f>
        <v>0</v>
      </c>
      <c r="AQ62" s="18">
        <f>('Raw Data - Production'!F90/50)/60</f>
        <v>0</v>
      </c>
      <c r="AR62" s="18">
        <f>('Raw Data - Production'!G90/50)/60</f>
        <v>0</v>
      </c>
      <c r="AS62" s="18">
        <f>('Raw Data - Production'!H90/50)/60</f>
        <v>0</v>
      </c>
      <c r="AT62" s="18"/>
      <c r="AU62" s="18"/>
      <c r="AV62" s="18"/>
      <c r="AW62" s="18"/>
    </row>
    <row r="63" spans="1:49" x14ac:dyDescent="0.3">
      <c r="A63" s="2">
        <f t="shared" si="1"/>
        <v>46245</v>
      </c>
      <c r="B63">
        <f t="shared" si="2"/>
        <v>33</v>
      </c>
      <c r="C63" s="13" t="str">
        <f t="shared" si="3"/>
        <v/>
      </c>
      <c r="D63" s="13" t="str">
        <f t="shared" si="4"/>
        <v/>
      </c>
      <c r="E63" s="13" t="str">
        <f t="shared" si="5"/>
        <v/>
      </c>
      <c r="F63" s="13" t="str">
        <f t="shared" si="6"/>
        <v/>
      </c>
      <c r="G63" s="13" t="str">
        <f t="shared" si="7"/>
        <v/>
      </c>
      <c r="H63" s="13"/>
      <c r="I63" s="13"/>
      <c r="J63" s="13"/>
      <c r="K63" s="13"/>
      <c r="M63" s="2">
        <f>+'Daily Summary'!A90</f>
        <v>46245</v>
      </c>
      <c r="N63">
        <f t="shared" si="8"/>
        <v>33</v>
      </c>
      <c r="O63" s="13" t="str">
        <f>+IFERROR('Raw Data - Production'!J91/('Raw Data - Production'!D91*Weights!$B$2),"")</f>
        <v/>
      </c>
      <c r="P63" s="13" t="str">
        <f>+IFERROR('Raw Data - Production'!K91/('Raw Data - Production'!E91*Weights!$B$2),"")</f>
        <v/>
      </c>
      <c r="Q63" s="13" t="str">
        <f>+IFERROR('Raw Data - Production'!L91/('Raw Data - Production'!F91*Weights!$B$2),"")</f>
        <v/>
      </c>
      <c r="R63" s="13" t="str">
        <f>+IFERROR('Raw Data - Production'!M91/('Raw Data - Production'!G91*Weights!$B$2),"")</f>
        <v/>
      </c>
      <c r="S63" s="13" t="str">
        <f>+IFERROR('Raw Data - Production'!N91/('Raw Data - Production'!H91*Weights!$B$2),"")</f>
        <v/>
      </c>
      <c r="T63" s="13"/>
      <c r="U63" s="13"/>
      <c r="V63" s="13"/>
      <c r="W63" s="13"/>
      <c r="Y63" s="2">
        <f t="shared" si="9"/>
        <v>46245</v>
      </c>
      <c r="AB63">
        <f t="shared" si="10"/>
        <v>33</v>
      </c>
      <c r="AC63" s="13">
        <f t="shared" si="15"/>
        <v>0</v>
      </c>
      <c r="AD63" s="13">
        <f t="shared" si="15"/>
        <v>0</v>
      </c>
      <c r="AE63" s="13">
        <f t="shared" si="16"/>
        <v>0</v>
      </c>
      <c r="AF63" s="13">
        <f t="shared" si="16"/>
        <v>0</v>
      </c>
      <c r="AG63" s="13">
        <f t="shared" si="16"/>
        <v>0</v>
      </c>
      <c r="AH63" s="13"/>
      <c r="AI63" s="13"/>
      <c r="AJ63" s="13"/>
      <c r="AK63" s="13"/>
      <c r="AM63" s="2">
        <f t="shared" si="13"/>
        <v>46245</v>
      </c>
      <c r="AN63">
        <f t="shared" si="14"/>
        <v>33</v>
      </c>
      <c r="AO63" s="18">
        <f>('Raw Data - Production'!D91/100)/60</f>
        <v>0</v>
      </c>
      <c r="AP63" s="18">
        <f>('Raw Data - Production'!E91/100)/60</f>
        <v>0</v>
      </c>
      <c r="AQ63" s="18">
        <f>('Raw Data - Production'!F91/50)/60</f>
        <v>0</v>
      </c>
      <c r="AR63" s="18">
        <f>('Raw Data - Production'!G91/50)/60</f>
        <v>0</v>
      </c>
      <c r="AS63" s="18">
        <f>('Raw Data - Production'!H91/50)/60</f>
        <v>0</v>
      </c>
      <c r="AT63" s="18"/>
      <c r="AU63" s="18"/>
      <c r="AV63" s="18"/>
      <c r="AW63" s="18"/>
    </row>
    <row r="64" spans="1:49" x14ac:dyDescent="0.3">
      <c r="A64" s="2">
        <f t="shared" si="1"/>
        <v>46246</v>
      </c>
      <c r="B64">
        <f t="shared" si="2"/>
        <v>33</v>
      </c>
      <c r="C64" s="13" t="str">
        <f t="shared" si="3"/>
        <v/>
      </c>
      <c r="D64" s="13" t="str">
        <f t="shared" si="4"/>
        <v/>
      </c>
      <c r="E64" s="13" t="str">
        <f t="shared" si="5"/>
        <v/>
      </c>
      <c r="F64" s="13" t="str">
        <f t="shared" si="6"/>
        <v/>
      </c>
      <c r="G64" s="13" t="str">
        <f t="shared" si="7"/>
        <v/>
      </c>
      <c r="H64" s="13"/>
      <c r="I64" s="13"/>
      <c r="J64" s="13"/>
      <c r="K64" s="13"/>
      <c r="M64" s="2">
        <f>+'Daily Summary'!A91</f>
        <v>46246</v>
      </c>
      <c r="N64">
        <f t="shared" si="8"/>
        <v>33</v>
      </c>
      <c r="O64" s="13" t="str">
        <f>+IFERROR('Raw Data - Production'!J92/('Raw Data - Production'!D92*Weights!$B$2),"")</f>
        <v/>
      </c>
      <c r="P64" s="13" t="str">
        <f>+IFERROR('Raw Data - Production'!K92/('Raw Data - Production'!E92*Weights!$B$2),"")</f>
        <v/>
      </c>
      <c r="Q64" s="13" t="str">
        <f>+IFERROR('Raw Data - Production'!L92/('Raw Data - Production'!F92*Weights!$B$2),"")</f>
        <v/>
      </c>
      <c r="R64" s="13" t="str">
        <f>+IFERROR('Raw Data - Production'!M92/('Raw Data - Production'!G92*Weights!$B$2),"")</f>
        <v/>
      </c>
      <c r="S64" s="13" t="str">
        <f>+IFERROR('Raw Data - Production'!N92/('Raw Data - Production'!H92*Weights!$B$2),"")</f>
        <v/>
      </c>
      <c r="T64" s="13"/>
      <c r="U64" s="13"/>
      <c r="V64" s="13"/>
      <c r="W64" s="13"/>
      <c r="Y64" s="2">
        <f t="shared" si="9"/>
        <v>46246</v>
      </c>
      <c r="AB64">
        <f t="shared" si="10"/>
        <v>33</v>
      </c>
      <c r="AC64" s="13">
        <f t="shared" si="15"/>
        <v>0</v>
      </c>
      <c r="AD64" s="13">
        <f t="shared" si="15"/>
        <v>0</v>
      </c>
      <c r="AE64" s="13">
        <f t="shared" si="16"/>
        <v>0</v>
      </c>
      <c r="AF64" s="13">
        <f t="shared" si="16"/>
        <v>0</v>
      </c>
      <c r="AG64" s="13">
        <f t="shared" si="16"/>
        <v>0</v>
      </c>
      <c r="AH64" s="13"/>
      <c r="AI64" s="13"/>
      <c r="AJ64" s="13"/>
      <c r="AK64" s="13"/>
      <c r="AM64" s="2">
        <f t="shared" si="13"/>
        <v>46246</v>
      </c>
      <c r="AN64">
        <f t="shared" si="14"/>
        <v>33</v>
      </c>
      <c r="AO64" s="18">
        <f>('Raw Data - Production'!D92/100)/60</f>
        <v>0</v>
      </c>
      <c r="AP64" s="18">
        <f>('Raw Data - Production'!E92/100)/60</f>
        <v>0</v>
      </c>
      <c r="AQ64" s="18">
        <f>('Raw Data - Production'!F92/50)/60</f>
        <v>0</v>
      </c>
      <c r="AR64" s="18">
        <f>('Raw Data - Production'!G92/50)/60</f>
        <v>0</v>
      </c>
      <c r="AS64" s="18">
        <f>('Raw Data - Production'!H92/50)/60</f>
        <v>0</v>
      </c>
      <c r="AT64" s="18"/>
      <c r="AU64" s="18"/>
      <c r="AV64" s="18"/>
      <c r="AW64" s="18"/>
    </row>
    <row r="65" spans="1:49" x14ac:dyDescent="0.3">
      <c r="A65" s="2">
        <f t="shared" si="1"/>
        <v>46247</v>
      </c>
      <c r="B65">
        <f t="shared" si="2"/>
        <v>33</v>
      </c>
      <c r="C65" s="13" t="str">
        <f t="shared" si="3"/>
        <v/>
      </c>
      <c r="D65" s="13" t="str">
        <f t="shared" si="4"/>
        <v/>
      </c>
      <c r="E65" s="13" t="str">
        <f t="shared" si="5"/>
        <v/>
      </c>
      <c r="F65" s="13" t="str">
        <f t="shared" si="6"/>
        <v/>
      </c>
      <c r="G65" s="13" t="str">
        <f t="shared" si="7"/>
        <v/>
      </c>
      <c r="H65" s="13"/>
      <c r="I65" s="13"/>
      <c r="J65" s="13"/>
      <c r="K65" s="13"/>
      <c r="M65" s="2">
        <f>+'Daily Summary'!A92</f>
        <v>46247</v>
      </c>
      <c r="N65">
        <f t="shared" si="8"/>
        <v>33</v>
      </c>
      <c r="O65" s="13" t="str">
        <f>+IFERROR('Raw Data - Production'!J93/('Raw Data - Production'!D93*Weights!$B$2),"")</f>
        <v/>
      </c>
      <c r="P65" s="13" t="str">
        <f>+IFERROR('Raw Data - Production'!K93/('Raw Data - Production'!E93*Weights!$B$2),"")</f>
        <v/>
      </c>
      <c r="Q65" s="13" t="str">
        <f>+IFERROR('Raw Data - Production'!L93/('Raw Data - Production'!F93*Weights!$B$2),"")</f>
        <v/>
      </c>
      <c r="R65" s="13" t="str">
        <f>+IFERROR('Raw Data - Production'!M93/('Raw Data - Production'!G93*Weights!$B$2),"")</f>
        <v/>
      </c>
      <c r="S65" s="13" t="str">
        <f>+IFERROR('Raw Data - Production'!N93/('Raw Data - Production'!H93*Weights!$B$2),"")</f>
        <v/>
      </c>
      <c r="T65" s="13"/>
      <c r="U65" s="13"/>
      <c r="V65" s="13"/>
      <c r="W65" s="13"/>
      <c r="Y65" s="2">
        <f t="shared" si="9"/>
        <v>46247</v>
      </c>
      <c r="AB65">
        <f t="shared" si="10"/>
        <v>33</v>
      </c>
      <c r="AC65" s="13">
        <f t="shared" si="15"/>
        <v>0</v>
      </c>
      <c r="AD65" s="13">
        <f t="shared" si="15"/>
        <v>0</v>
      </c>
      <c r="AE65" s="13">
        <f t="shared" si="16"/>
        <v>0</v>
      </c>
      <c r="AF65" s="13">
        <f t="shared" si="16"/>
        <v>0</v>
      </c>
      <c r="AG65" s="13">
        <f t="shared" si="16"/>
        <v>0</v>
      </c>
      <c r="AH65" s="13"/>
      <c r="AI65" s="13"/>
      <c r="AJ65" s="13"/>
      <c r="AK65" s="13"/>
      <c r="AM65" s="2">
        <f t="shared" si="13"/>
        <v>46247</v>
      </c>
      <c r="AN65">
        <f t="shared" si="14"/>
        <v>33</v>
      </c>
      <c r="AO65" s="18">
        <f>('Raw Data - Production'!D93/100)/60</f>
        <v>0</v>
      </c>
      <c r="AP65" s="18">
        <f>('Raw Data - Production'!E93/100)/60</f>
        <v>0</v>
      </c>
      <c r="AQ65" s="18">
        <f>('Raw Data - Production'!F93/50)/60</f>
        <v>0</v>
      </c>
      <c r="AR65" s="18">
        <f>('Raw Data - Production'!G93/50)/60</f>
        <v>0</v>
      </c>
      <c r="AS65" s="18">
        <f>('Raw Data - Production'!H93/50)/60</f>
        <v>0</v>
      </c>
      <c r="AT65" s="18"/>
      <c r="AU65" s="18"/>
      <c r="AV65" s="18"/>
      <c r="AW65" s="18"/>
    </row>
    <row r="66" spans="1:49" x14ac:dyDescent="0.3">
      <c r="A66" s="2">
        <f t="shared" si="1"/>
        <v>46248</v>
      </c>
      <c r="B66">
        <f t="shared" si="2"/>
        <v>33</v>
      </c>
      <c r="C66" s="13" t="str">
        <f t="shared" si="3"/>
        <v/>
      </c>
      <c r="D66" s="13" t="str">
        <f t="shared" si="4"/>
        <v/>
      </c>
      <c r="E66" s="13" t="str">
        <f t="shared" si="5"/>
        <v/>
      </c>
      <c r="F66" s="13" t="str">
        <f t="shared" si="6"/>
        <v/>
      </c>
      <c r="G66" s="13" t="str">
        <f t="shared" si="7"/>
        <v/>
      </c>
      <c r="H66" s="13"/>
      <c r="I66" s="13"/>
      <c r="J66" s="13"/>
      <c r="K66" s="13"/>
      <c r="M66" s="2">
        <f>+'Daily Summary'!A93</f>
        <v>46248</v>
      </c>
      <c r="N66">
        <f t="shared" si="8"/>
        <v>33</v>
      </c>
      <c r="O66" s="13" t="str">
        <f>+IFERROR('Raw Data - Production'!J94/('Raw Data - Production'!D94*Weights!$B$2),"")</f>
        <v/>
      </c>
      <c r="P66" s="13" t="str">
        <f>+IFERROR('Raw Data - Production'!K94/('Raw Data - Production'!E94*Weights!$B$2),"")</f>
        <v/>
      </c>
      <c r="Q66" s="13" t="str">
        <f>+IFERROR('Raw Data - Production'!L94/('Raw Data - Production'!F94*Weights!$B$2),"")</f>
        <v/>
      </c>
      <c r="R66" s="13" t="str">
        <f>+IFERROR('Raw Data - Production'!M94/('Raw Data - Production'!G94*Weights!$B$2),"")</f>
        <v/>
      </c>
      <c r="S66" s="13" t="str">
        <f>+IFERROR('Raw Data - Production'!N94/('Raw Data - Production'!H94*Weights!$B$2),"")</f>
        <v/>
      </c>
      <c r="T66" s="13"/>
      <c r="U66" s="13"/>
      <c r="V66" s="13"/>
      <c r="W66" s="13"/>
      <c r="Y66" s="2">
        <f t="shared" si="9"/>
        <v>46248</v>
      </c>
      <c r="AB66">
        <f t="shared" si="10"/>
        <v>33</v>
      </c>
      <c r="AC66" s="13">
        <f t="shared" si="15"/>
        <v>0</v>
      </c>
      <c r="AD66" s="13">
        <f t="shared" si="15"/>
        <v>0</v>
      </c>
      <c r="AE66" s="13">
        <f t="shared" si="16"/>
        <v>0</v>
      </c>
      <c r="AF66" s="13">
        <f t="shared" si="16"/>
        <v>0</v>
      </c>
      <c r="AG66" s="13">
        <f t="shared" si="16"/>
        <v>0</v>
      </c>
      <c r="AH66" s="13"/>
      <c r="AI66" s="13"/>
      <c r="AJ66" s="13"/>
      <c r="AK66" s="13"/>
      <c r="AM66" s="2">
        <f t="shared" si="13"/>
        <v>46248</v>
      </c>
      <c r="AN66">
        <f t="shared" si="14"/>
        <v>33</v>
      </c>
      <c r="AO66" s="18">
        <f>('Raw Data - Production'!D94/100)/60</f>
        <v>0</v>
      </c>
      <c r="AP66" s="18">
        <f>('Raw Data - Production'!E94/100)/60</f>
        <v>0</v>
      </c>
      <c r="AQ66" s="18">
        <f>('Raw Data - Production'!F94/50)/60</f>
        <v>0</v>
      </c>
      <c r="AR66" s="18">
        <f>('Raw Data - Production'!G94/50)/60</f>
        <v>0</v>
      </c>
      <c r="AS66" s="18">
        <f>('Raw Data - Production'!H94/50)/60</f>
        <v>0</v>
      </c>
      <c r="AT66" s="18"/>
      <c r="AU66" s="18"/>
      <c r="AV66" s="18"/>
      <c r="AW66" s="18"/>
    </row>
    <row r="67" spans="1:49" x14ac:dyDescent="0.3">
      <c r="A67" s="2">
        <f t="shared" si="1"/>
        <v>46251</v>
      </c>
      <c r="B67">
        <f t="shared" si="2"/>
        <v>34</v>
      </c>
      <c r="C67" s="13" t="str">
        <f t="shared" si="3"/>
        <v/>
      </c>
      <c r="D67" s="13" t="str">
        <f t="shared" si="4"/>
        <v/>
      </c>
      <c r="E67" s="13" t="str">
        <f t="shared" si="5"/>
        <v/>
      </c>
      <c r="F67" s="13" t="str">
        <f t="shared" si="6"/>
        <v/>
      </c>
      <c r="G67" s="13" t="str">
        <f t="shared" si="7"/>
        <v/>
      </c>
      <c r="H67" s="13"/>
      <c r="I67" s="13"/>
      <c r="J67" s="13"/>
      <c r="K67" s="13"/>
      <c r="M67" s="2">
        <f>+'Daily Summary'!A94</f>
        <v>46251</v>
      </c>
      <c r="N67">
        <f t="shared" si="8"/>
        <v>34</v>
      </c>
      <c r="O67" s="13" t="str">
        <f>+IFERROR('Raw Data - Production'!J95/('Raw Data - Production'!D95*Weights!$B$2),"")</f>
        <v/>
      </c>
      <c r="P67" s="13" t="str">
        <f>+IFERROR('Raw Data - Production'!K95/('Raw Data - Production'!E95*Weights!$B$2),"")</f>
        <v/>
      </c>
      <c r="Q67" s="13" t="str">
        <f>+IFERROR('Raw Data - Production'!L95/('Raw Data - Production'!F95*Weights!$B$2),"")</f>
        <v/>
      </c>
      <c r="R67" s="13" t="str">
        <f>+IFERROR('Raw Data - Production'!M95/('Raw Data - Production'!G95*Weights!$B$2),"")</f>
        <v/>
      </c>
      <c r="S67" s="13" t="str">
        <f>+IFERROR('Raw Data - Production'!N95/('Raw Data - Production'!H95*Weights!$B$2),"")</f>
        <v/>
      </c>
      <c r="T67" s="13"/>
      <c r="U67" s="13"/>
      <c r="V67" s="13"/>
      <c r="W67" s="13"/>
      <c r="Y67" s="2">
        <f t="shared" si="9"/>
        <v>46251</v>
      </c>
      <c r="AB67">
        <f t="shared" si="10"/>
        <v>34</v>
      </c>
      <c r="AC67" s="13">
        <f t="shared" si="15"/>
        <v>0</v>
      </c>
      <c r="AD67" s="13">
        <f t="shared" si="15"/>
        <v>0</v>
      </c>
      <c r="AE67" s="13">
        <f t="shared" si="16"/>
        <v>0</v>
      </c>
      <c r="AF67" s="13">
        <f t="shared" si="16"/>
        <v>0</v>
      </c>
      <c r="AG67" s="13">
        <f t="shared" si="16"/>
        <v>0</v>
      </c>
      <c r="AH67" s="13"/>
      <c r="AI67" s="13"/>
      <c r="AJ67" s="13"/>
      <c r="AK67" s="13"/>
      <c r="AM67" s="2">
        <f t="shared" si="13"/>
        <v>46251</v>
      </c>
      <c r="AN67">
        <f t="shared" si="14"/>
        <v>34</v>
      </c>
      <c r="AO67" s="18">
        <f>('Raw Data - Production'!D95/100)/60</f>
        <v>0</v>
      </c>
      <c r="AP67" s="18">
        <f>('Raw Data - Production'!E95/100)/60</f>
        <v>0</v>
      </c>
      <c r="AQ67" s="18">
        <f>('Raw Data - Production'!F95/50)/60</f>
        <v>0</v>
      </c>
      <c r="AR67" s="18">
        <f>('Raw Data - Production'!G95/50)/60</f>
        <v>0</v>
      </c>
      <c r="AS67" s="18">
        <f>('Raw Data - Production'!H95/50)/60</f>
        <v>0</v>
      </c>
      <c r="AT67" s="18"/>
      <c r="AU67" s="18"/>
      <c r="AV67" s="18"/>
      <c r="AW67" s="18"/>
    </row>
    <row r="68" spans="1:49" x14ac:dyDescent="0.3">
      <c r="A68" s="2">
        <f t="shared" ref="A68:A131" si="17">M68</f>
        <v>46252</v>
      </c>
      <c r="B68">
        <f t="shared" ref="B68:B131" si="18">+WEEKNUM(A68)</f>
        <v>34</v>
      </c>
      <c r="C68" s="13" t="str">
        <f t="shared" ref="C68:C131" si="19">IFERROR(AC68*(100%-O68)*(AO68/7.5),"")</f>
        <v/>
      </c>
      <c r="D68" s="13" t="str">
        <f t="shared" ref="D68:D131" si="20">IFERROR(AD68*(100%-P68)*(AP68/7.5),"")</f>
        <v/>
      </c>
      <c r="E68" s="13" t="str">
        <f t="shared" ref="E68:E131" si="21">IFERROR(AE68*(100%-Q68)*(AQ68/7.5),"")</f>
        <v/>
      </c>
      <c r="F68" s="13" t="str">
        <f t="shared" ref="F68:F131" si="22">IFERROR(AF68*(100%-R68)*(AR68/7.5),"")</f>
        <v/>
      </c>
      <c r="G68" s="13" t="str">
        <f t="shared" ref="G68:G131" si="23">IFERROR(AG68*(100%-S68)*(AS68/7.5),"")</f>
        <v/>
      </c>
      <c r="H68" s="13"/>
      <c r="I68" s="13"/>
      <c r="J68" s="13"/>
      <c r="K68" s="13"/>
      <c r="M68" s="2">
        <f>+'Daily Summary'!A95</f>
        <v>46252</v>
      </c>
      <c r="N68">
        <f t="shared" ref="N68:N131" si="24">+WEEKNUM(M68)</f>
        <v>34</v>
      </c>
      <c r="O68" s="13" t="str">
        <f>+IFERROR('Raw Data - Production'!J96/('Raw Data - Production'!D96*Weights!$B$2),"")</f>
        <v/>
      </c>
      <c r="P68" s="13" t="str">
        <f>+IFERROR('Raw Data - Production'!K96/('Raw Data - Production'!E96*Weights!$B$2),"")</f>
        <v/>
      </c>
      <c r="Q68" s="13" t="str">
        <f>+IFERROR('Raw Data - Production'!L96/('Raw Data - Production'!F96*Weights!$B$2),"")</f>
        <v/>
      </c>
      <c r="R68" s="13" t="str">
        <f>+IFERROR('Raw Data - Production'!M96/('Raw Data - Production'!G96*Weights!$B$2),"")</f>
        <v/>
      </c>
      <c r="S68" s="13" t="str">
        <f>+IFERROR('Raw Data - Production'!N96/('Raw Data - Production'!H96*Weights!$B$2),"")</f>
        <v/>
      </c>
      <c r="T68" s="13"/>
      <c r="U68" s="13"/>
      <c r="V68" s="13"/>
      <c r="W68" s="13"/>
      <c r="Y68" s="2">
        <f t="shared" ref="Y68:Y131" si="25">+M68</f>
        <v>46252</v>
      </c>
      <c r="AB68">
        <f t="shared" ref="AB68:AB131" si="26">+WEEKNUM(Y68)</f>
        <v>34</v>
      </c>
      <c r="AC68" s="13">
        <f t="shared" si="15"/>
        <v>0</v>
      </c>
      <c r="AD68" s="13">
        <f t="shared" si="15"/>
        <v>0</v>
      </c>
      <c r="AE68" s="13">
        <f t="shared" si="16"/>
        <v>0</v>
      </c>
      <c r="AF68" s="13">
        <f t="shared" si="16"/>
        <v>0</v>
      </c>
      <c r="AG68" s="13">
        <f t="shared" si="16"/>
        <v>0</v>
      </c>
      <c r="AH68" s="13"/>
      <c r="AI68" s="13"/>
      <c r="AJ68" s="13"/>
      <c r="AK68" s="13"/>
      <c r="AM68" s="2">
        <f t="shared" ref="AM68:AM131" si="27">+Y68</f>
        <v>46252</v>
      </c>
      <c r="AN68">
        <f t="shared" ref="AN68:AN131" si="28">+WEEKNUM(AM68)</f>
        <v>34</v>
      </c>
      <c r="AO68" s="18">
        <f>('Raw Data - Production'!D96/100)/60</f>
        <v>0</v>
      </c>
      <c r="AP68" s="18">
        <f>('Raw Data - Production'!E96/100)/60</f>
        <v>0</v>
      </c>
      <c r="AQ68" s="18">
        <f>('Raw Data - Production'!F96/50)/60</f>
        <v>0</v>
      </c>
      <c r="AR68" s="18">
        <f>('Raw Data - Production'!G96/50)/60</f>
        <v>0</v>
      </c>
      <c r="AS68" s="18">
        <f>('Raw Data - Production'!H96/50)/60</f>
        <v>0</v>
      </c>
      <c r="AT68" s="18"/>
      <c r="AU68" s="18"/>
      <c r="AV68" s="18"/>
      <c r="AW68" s="18"/>
    </row>
    <row r="69" spans="1:49" x14ac:dyDescent="0.3">
      <c r="A69" s="2">
        <f t="shared" si="17"/>
        <v>46253</v>
      </c>
      <c r="B69">
        <f t="shared" si="18"/>
        <v>34</v>
      </c>
      <c r="C69" s="13" t="str">
        <f t="shared" si="19"/>
        <v/>
      </c>
      <c r="D69" s="13" t="str">
        <f t="shared" si="20"/>
        <v/>
      </c>
      <c r="E69" s="13" t="str">
        <f t="shared" si="21"/>
        <v/>
      </c>
      <c r="F69" s="13" t="str">
        <f t="shared" si="22"/>
        <v/>
      </c>
      <c r="G69" s="13" t="str">
        <f t="shared" si="23"/>
        <v/>
      </c>
      <c r="H69" s="13"/>
      <c r="I69" s="13"/>
      <c r="J69" s="13"/>
      <c r="K69" s="13"/>
      <c r="M69" s="2">
        <f>+'Daily Summary'!A96</f>
        <v>46253</v>
      </c>
      <c r="N69">
        <f t="shared" si="24"/>
        <v>34</v>
      </c>
      <c r="O69" s="13" t="str">
        <f>+IFERROR('Raw Data - Production'!J97/('Raw Data - Production'!D97*Weights!$B$2),"")</f>
        <v/>
      </c>
      <c r="P69" s="13" t="str">
        <f>+IFERROR('Raw Data - Production'!K97/('Raw Data - Production'!E97*Weights!$B$2),"")</f>
        <v/>
      </c>
      <c r="Q69" s="13" t="str">
        <f>+IFERROR('Raw Data - Production'!L97/('Raw Data - Production'!F97*Weights!$B$2),"")</f>
        <v/>
      </c>
      <c r="R69" s="13" t="str">
        <f>+IFERROR('Raw Data - Production'!M97/('Raw Data - Production'!G97*Weights!$B$2),"")</f>
        <v/>
      </c>
      <c r="S69" s="13" t="str">
        <f>+IFERROR('Raw Data - Production'!N97/('Raw Data - Production'!H97*Weights!$B$2),"")</f>
        <v/>
      </c>
      <c r="T69" s="13"/>
      <c r="U69" s="13"/>
      <c r="V69" s="13"/>
      <c r="W69" s="13"/>
      <c r="Y69" s="2">
        <f t="shared" si="25"/>
        <v>46253</v>
      </c>
      <c r="AB69">
        <f t="shared" si="26"/>
        <v>34</v>
      </c>
      <c r="AC69" s="13">
        <f t="shared" si="15"/>
        <v>0</v>
      </c>
      <c r="AD69" s="13">
        <f t="shared" si="15"/>
        <v>0</v>
      </c>
      <c r="AE69" s="13">
        <f t="shared" si="16"/>
        <v>0</v>
      </c>
      <c r="AF69" s="13">
        <f t="shared" si="16"/>
        <v>0</v>
      </c>
      <c r="AG69" s="13">
        <f t="shared" si="16"/>
        <v>0</v>
      </c>
      <c r="AH69" s="13"/>
      <c r="AI69" s="13"/>
      <c r="AJ69" s="13"/>
      <c r="AK69" s="13"/>
      <c r="AM69" s="2">
        <f t="shared" si="27"/>
        <v>46253</v>
      </c>
      <c r="AN69">
        <f t="shared" si="28"/>
        <v>34</v>
      </c>
      <c r="AO69" s="18">
        <f>('Raw Data - Production'!D97/100)/60</f>
        <v>0</v>
      </c>
      <c r="AP69" s="18">
        <f>('Raw Data - Production'!E97/100)/60</f>
        <v>0</v>
      </c>
      <c r="AQ69" s="18">
        <f>('Raw Data - Production'!F97/50)/60</f>
        <v>0</v>
      </c>
      <c r="AR69" s="18">
        <f>('Raw Data - Production'!G97/50)/60</f>
        <v>0</v>
      </c>
      <c r="AS69" s="18">
        <f>('Raw Data - Production'!H97/50)/60</f>
        <v>0</v>
      </c>
      <c r="AT69" s="18"/>
      <c r="AU69" s="18"/>
      <c r="AV69" s="18"/>
      <c r="AW69" s="18"/>
    </row>
    <row r="70" spans="1:49" x14ac:dyDescent="0.3">
      <c r="A70" s="2">
        <f t="shared" si="17"/>
        <v>46254</v>
      </c>
      <c r="B70">
        <f t="shared" si="18"/>
        <v>34</v>
      </c>
      <c r="C70" s="13" t="str">
        <f t="shared" si="19"/>
        <v/>
      </c>
      <c r="D70" s="13" t="str">
        <f t="shared" si="20"/>
        <v/>
      </c>
      <c r="E70" s="13" t="str">
        <f t="shared" si="21"/>
        <v/>
      </c>
      <c r="F70" s="13" t="str">
        <f t="shared" si="22"/>
        <v/>
      </c>
      <c r="G70" s="13" t="str">
        <f t="shared" si="23"/>
        <v/>
      </c>
      <c r="H70" s="13"/>
      <c r="I70" s="13"/>
      <c r="J70" s="13"/>
      <c r="K70" s="13"/>
      <c r="M70" s="2">
        <f>+'Daily Summary'!A97</f>
        <v>46254</v>
      </c>
      <c r="N70">
        <f t="shared" si="24"/>
        <v>34</v>
      </c>
      <c r="O70" s="13" t="str">
        <f>+IFERROR('Raw Data - Production'!J98/('Raw Data - Production'!D98*Weights!$B$2),"")</f>
        <v/>
      </c>
      <c r="P70" s="13" t="str">
        <f>+IFERROR('Raw Data - Production'!K98/('Raw Data - Production'!E98*Weights!$B$2),"")</f>
        <v/>
      </c>
      <c r="Q70" s="13" t="str">
        <f>+IFERROR('Raw Data - Production'!L98/('Raw Data - Production'!F98*Weights!$B$2),"")</f>
        <v/>
      </c>
      <c r="R70" s="13" t="str">
        <f>+IFERROR('Raw Data - Production'!M98/('Raw Data - Production'!G98*Weights!$B$2),"")</f>
        <v/>
      </c>
      <c r="S70" s="13" t="str">
        <f>+IFERROR('Raw Data - Production'!N98/('Raw Data - Production'!H98*Weights!$B$2),"")</f>
        <v/>
      </c>
      <c r="T70" s="13"/>
      <c r="U70" s="13"/>
      <c r="V70" s="13"/>
      <c r="W70" s="13"/>
      <c r="Y70" s="2">
        <f t="shared" si="25"/>
        <v>46254</v>
      </c>
      <c r="AB70">
        <f t="shared" si="26"/>
        <v>34</v>
      </c>
      <c r="AC70" s="13">
        <f t="shared" si="15"/>
        <v>0</v>
      </c>
      <c r="AD70" s="13">
        <f t="shared" si="15"/>
        <v>0</v>
      </c>
      <c r="AE70" s="13">
        <f t="shared" si="16"/>
        <v>0</v>
      </c>
      <c r="AF70" s="13">
        <f t="shared" si="16"/>
        <v>0</v>
      </c>
      <c r="AG70" s="13">
        <f t="shared" si="16"/>
        <v>0</v>
      </c>
      <c r="AH70" s="13"/>
      <c r="AI70" s="13"/>
      <c r="AJ70" s="13"/>
      <c r="AK70" s="13"/>
      <c r="AM70" s="2">
        <f t="shared" si="27"/>
        <v>46254</v>
      </c>
      <c r="AN70">
        <f t="shared" si="28"/>
        <v>34</v>
      </c>
      <c r="AO70" s="18">
        <f>('Raw Data - Production'!D98/100)/60</f>
        <v>0</v>
      </c>
      <c r="AP70" s="18">
        <f>('Raw Data - Production'!E98/100)/60</f>
        <v>0</v>
      </c>
      <c r="AQ70" s="18">
        <f>('Raw Data - Production'!F98/50)/60</f>
        <v>0</v>
      </c>
      <c r="AR70" s="18">
        <f>('Raw Data - Production'!G98/50)/60</f>
        <v>0</v>
      </c>
      <c r="AS70" s="18">
        <f>('Raw Data - Production'!H98/50)/60</f>
        <v>0</v>
      </c>
      <c r="AT70" s="18"/>
      <c r="AU70" s="18"/>
      <c r="AV70" s="18"/>
      <c r="AW70" s="18"/>
    </row>
    <row r="71" spans="1:49" x14ac:dyDescent="0.3">
      <c r="A71" s="2">
        <f t="shared" si="17"/>
        <v>46255</v>
      </c>
      <c r="B71">
        <f t="shared" si="18"/>
        <v>34</v>
      </c>
      <c r="C71" s="13" t="str">
        <f t="shared" si="19"/>
        <v/>
      </c>
      <c r="D71" s="13" t="str">
        <f t="shared" si="20"/>
        <v/>
      </c>
      <c r="E71" s="13" t="str">
        <f t="shared" si="21"/>
        <v/>
      </c>
      <c r="F71" s="13" t="str">
        <f t="shared" si="22"/>
        <v/>
      </c>
      <c r="G71" s="13" t="str">
        <f t="shared" si="23"/>
        <v/>
      </c>
      <c r="H71" s="13"/>
      <c r="I71" s="13"/>
      <c r="J71" s="13"/>
      <c r="K71" s="13"/>
      <c r="M71" s="2">
        <f>+'Daily Summary'!A98</f>
        <v>46255</v>
      </c>
      <c r="N71">
        <f t="shared" si="24"/>
        <v>34</v>
      </c>
      <c r="O71" s="13" t="str">
        <f>+IFERROR('Raw Data - Production'!J99/('Raw Data - Production'!D99*Weights!$B$2),"")</f>
        <v/>
      </c>
      <c r="P71" s="13" t="str">
        <f>+IFERROR('Raw Data - Production'!K99/('Raw Data - Production'!E99*Weights!$B$2),"")</f>
        <v/>
      </c>
      <c r="Q71" s="13" t="str">
        <f>+IFERROR('Raw Data - Production'!L99/('Raw Data - Production'!F99*Weights!$B$2),"")</f>
        <v/>
      </c>
      <c r="R71" s="13" t="str">
        <f>+IFERROR('Raw Data - Production'!M99/('Raw Data - Production'!G99*Weights!$B$2),"")</f>
        <v/>
      </c>
      <c r="S71" s="13" t="str">
        <f>+IFERROR('Raw Data - Production'!N99/('Raw Data - Production'!H99*Weights!$B$2),"")</f>
        <v/>
      </c>
      <c r="T71" s="13"/>
      <c r="U71" s="13"/>
      <c r="V71" s="13"/>
      <c r="W71" s="13"/>
      <c r="Y71" s="2">
        <f t="shared" si="25"/>
        <v>46255</v>
      </c>
      <c r="AB71">
        <f t="shared" si="26"/>
        <v>34</v>
      </c>
      <c r="AC71" s="13">
        <f t="shared" si="15"/>
        <v>0</v>
      </c>
      <c r="AD71" s="13">
        <f t="shared" si="15"/>
        <v>0</v>
      </c>
      <c r="AE71" s="13">
        <f t="shared" si="16"/>
        <v>0</v>
      </c>
      <c r="AF71" s="13">
        <f t="shared" si="16"/>
        <v>0</v>
      </c>
      <c r="AG71" s="13">
        <f t="shared" si="16"/>
        <v>0</v>
      </c>
      <c r="AH71" s="13"/>
      <c r="AI71" s="13"/>
      <c r="AJ71" s="13"/>
      <c r="AK71" s="13"/>
      <c r="AM71" s="2">
        <f t="shared" si="27"/>
        <v>46255</v>
      </c>
      <c r="AN71">
        <f t="shared" si="28"/>
        <v>34</v>
      </c>
      <c r="AO71" s="18">
        <f>('Raw Data - Production'!D99/100)/60</f>
        <v>0</v>
      </c>
      <c r="AP71" s="18">
        <f>('Raw Data - Production'!E99/100)/60</f>
        <v>0</v>
      </c>
      <c r="AQ71" s="18">
        <f>('Raw Data - Production'!F99/50)/60</f>
        <v>0</v>
      </c>
      <c r="AR71" s="18">
        <f>('Raw Data - Production'!G99/50)/60</f>
        <v>0</v>
      </c>
      <c r="AS71" s="18">
        <f>('Raw Data - Production'!H99/50)/60</f>
        <v>0</v>
      </c>
      <c r="AT71" s="18"/>
      <c r="AU71" s="18"/>
      <c r="AV71" s="18"/>
      <c r="AW71" s="18"/>
    </row>
    <row r="72" spans="1:49" x14ac:dyDescent="0.3">
      <c r="A72" s="2">
        <f t="shared" si="17"/>
        <v>46258</v>
      </c>
      <c r="B72">
        <f t="shared" si="18"/>
        <v>35</v>
      </c>
      <c r="C72" s="13" t="str">
        <f t="shared" si="19"/>
        <v/>
      </c>
      <c r="D72" s="13" t="str">
        <f t="shared" si="20"/>
        <v/>
      </c>
      <c r="E72" s="13" t="str">
        <f t="shared" si="21"/>
        <v/>
      </c>
      <c r="F72" s="13" t="str">
        <f t="shared" si="22"/>
        <v/>
      </c>
      <c r="G72" s="13" t="str">
        <f t="shared" si="23"/>
        <v/>
      </c>
      <c r="H72" s="13"/>
      <c r="I72" s="13"/>
      <c r="J72" s="13"/>
      <c r="K72" s="13"/>
      <c r="M72" s="2">
        <f>+'Daily Summary'!A99</f>
        <v>46258</v>
      </c>
      <c r="N72">
        <f t="shared" si="24"/>
        <v>35</v>
      </c>
      <c r="O72" s="13" t="str">
        <f>+IFERROR('Raw Data - Production'!J100/('Raw Data - Production'!D100*Weights!$B$2),"")</f>
        <v/>
      </c>
      <c r="P72" s="13" t="str">
        <f>+IFERROR('Raw Data - Production'!K100/('Raw Data - Production'!E100*Weights!$B$2),"")</f>
        <v/>
      </c>
      <c r="Q72" s="13" t="str">
        <f>+IFERROR('Raw Data - Production'!L100/('Raw Data - Production'!F100*Weights!$B$2),"")</f>
        <v/>
      </c>
      <c r="R72" s="13" t="str">
        <f>+IFERROR('Raw Data - Production'!M100/('Raw Data - Production'!G100*Weights!$B$2),"")</f>
        <v/>
      </c>
      <c r="S72" s="13" t="str">
        <f>+IFERROR('Raw Data - Production'!N100/('Raw Data - Production'!H100*Weights!$B$2),"")</f>
        <v/>
      </c>
      <c r="T72" s="13"/>
      <c r="U72" s="13"/>
      <c r="V72" s="13"/>
      <c r="W72" s="13"/>
      <c r="Y72" s="2">
        <f t="shared" si="25"/>
        <v>46258</v>
      </c>
      <c r="AB72">
        <f t="shared" si="26"/>
        <v>35</v>
      </c>
      <c r="AC72" s="13">
        <f t="shared" si="15"/>
        <v>0</v>
      </c>
      <c r="AD72" s="13">
        <f t="shared" si="15"/>
        <v>0</v>
      </c>
      <c r="AE72" s="13">
        <f t="shared" si="16"/>
        <v>0</v>
      </c>
      <c r="AF72" s="13">
        <f t="shared" si="16"/>
        <v>0</v>
      </c>
      <c r="AG72" s="13">
        <f t="shared" si="16"/>
        <v>0</v>
      </c>
      <c r="AH72" s="13"/>
      <c r="AI72" s="13"/>
      <c r="AJ72" s="13"/>
      <c r="AK72" s="13"/>
      <c r="AM72" s="2">
        <f t="shared" si="27"/>
        <v>46258</v>
      </c>
      <c r="AN72">
        <f t="shared" si="28"/>
        <v>35</v>
      </c>
      <c r="AO72" s="18">
        <f>('Raw Data - Production'!D100/100)/60</f>
        <v>0</v>
      </c>
      <c r="AP72" s="18">
        <f>('Raw Data - Production'!E100/100)/60</f>
        <v>0</v>
      </c>
      <c r="AQ72" s="18">
        <f>('Raw Data - Production'!F100/50)/60</f>
        <v>0</v>
      </c>
      <c r="AR72" s="18">
        <f>('Raw Data - Production'!G100/50)/60</f>
        <v>0</v>
      </c>
      <c r="AS72" s="18">
        <f>('Raw Data - Production'!H100/50)/60</f>
        <v>0</v>
      </c>
      <c r="AT72" s="18"/>
      <c r="AU72" s="18"/>
      <c r="AV72" s="18"/>
      <c r="AW72" s="18"/>
    </row>
    <row r="73" spans="1:49" x14ac:dyDescent="0.3">
      <c r="A73" s="2">
        <f t="shared" si="17"/>
        <v>46259</v>
      </c>
      <c r="B73">
        <f t="shared" si="18"/>
        <v>35</v>
      </c>
      <c r="C73" s="13" t="str">
        <f t="shared" si="19"/>
        <v/>
      </c>
      <c r="D73" s="13" t="str">
        <f t="shared" si="20"/>
        <v/>
      </c>
      <c r="E73" s="13" t="str">
        <f t="shared" si="21"/>
        <v/>
      </c>
      <c r="F73" s="13" t="str">
        <f t="shared" si="22"/>
        <v/>
      </c>
      <c r="G73" s="13" t="str">
        <f t="shared" si="23"/>
        <v/>
      </c>
      <c r="H73" s="13"/>
      <c r="I73" s="13"/>
      <c r="J73" s="13"/>
      <c r="K73" s="13"/>
      <c r="M73" s="2">
        <f>+'Daily Summary'!A100</f>
        <v>46259</v>
      </c>
      <c r="N73">
        <f t="shared" si="24"/>
        <v>35</v>
      </c>
      <c r="O73" s="13" t="str">
        <f>+IFERROR('Raw Data - Production'!J101/('Raw Data - Production'!D101*Weights!$B$2),"")</f>
        <v/>
      </c>
      <c r="P73" s="13" t="str">
        <f>+IFERROR('Raw Data - Production'!K101/('Raw Data - Production'!E101*Weights!$B$2),"")</f>
        <v/>
      </c>
      <c r="Q73" s="13" t="str">
        <f>+IFERROR('Raw Data - Production'!L101/('Raw Data - Production'!F101*Weights!$B$2),"")</f>
        <v/>
      </c>
      <c r="R73" s="13" t="str">
        <f>+IFERROR('Raw Data - Production'!M101/('Raw Data - Production'!G101*Weights!$B$2),"")</f>
        <v/>
      </c>
      <c r="S73" s="13" t="str">
        <f>+IFERROR('Raw Data - Production'!N101/('Raw Data - Production'!H101*Weights!$B$2),"")</f>
        <v/>
      </c>
      <c r="T73" s="13"/>
      <c r="U73" s="13"/>
      <c r="V73" s="13"/>
      <c r="W73" s="13"/>
      <c r="Y73" s="2">
        <f t="shared" si="25"/>
        <v>46259</v>
      </c>
      <c r="AB73">
        <f t="shared" si="26"/>
        <v>35</v>
      </c>
      <c r="AC73" s="13">
        <f t="shared" si="15"/>
        <v>0</v>
      </c>
      <c r="AD73" s="13">
        <f t="shared" si="15"/>
        <v>0</v>
      </c>
      <c r="AE73" s="13">
        <f t="shared" si="16"/>
        <v>0</v>
      </c>
      <c r="AF73" s="13">
        <f t="shared" si="16"/>
        <v>0</v>
      </c>
      <c r="AG73" s="13">
        <f t="shared" si="16"/>
        <v>0</v>
      </c>
      <c r="AH73" s="13"/>
      <c r="AI73" s="13"/>
      <c r="AJ73" s="13"/>
      <c r="AK73" s="13"/>
      <c r="AM73" s="2">
        <f t="shared" si="27"/>
        <v>46259</v>
      </c>
      <c r="AN73">
        <f t="shared" si="28"/>
        <v>35</v>
      </c>
      <c r="AO73" s="18">
        <f>('Raw Data - Production'!D101/100)/60</f>
        <v>0</v>
      </c>
      <c r="AP73" s="18">
        <f>('Raw Data - Production'!E101/100)/60</f>
        <v>0</v>
      </c>
      <c r="AQ73" s="18">
        <f>('Raw Data - Production'!F101/50)/60</f>
        <v>0</v>
      </c>
      <c r="AR73" s="18">
        <f>('Raw Data - Production'!G101/50)/60</f>
        <v>0</v>
      </c>
      <c r="AS73" s="18">
        <f>('Raw Data - Production'!H101/50)/60</f>
        <v>0</v>
      </c>
      <c r="AT73" s="18"/>
      <c r="AU73" s="18"/>
      <c r="AV73" s="18"/>
      <c r="AW73" s="18"/>
    </row>
    <row r="74" spans="1:49" x14ac:dyDescent="0.3">
      <c r="A74" s="2">
        <f t="shared" si="17"/>
        <v>46260</v>
      </c>
      <c r="B74">
        <f t="shared" si="18"/>
        <v>35</v>
      </c>
      <c r="C74" s="13" t="str">
        <f t="shared" si="19"/>
        <v/>
      </c>
      <c r="D74" s="13" t="str">
        <f t="shared" si="20"/>
        <v/>
      </c>
      <c r="E74" s="13" t="str">
        <f t="shared" si="21"/>
        <v/>
      </c>
      <c r="F74" s="13" t="str">
        <f t="shared" si="22"/>
        <v/>
      </c>
      <c r="G74" s="13" t="str">
        <f t="shared" si="23"/>
        <v/>
      </c>
      <c r="H74" s="13"/>
      <c r="I74" s="13"/>
      <c r="J74" s="13"/>
      <c r="K74" s="13"/>
      <c r="M74" s="2">
        <f>+'Daily Summary'!A101</f>
        <v>46260</v>
      </c>
      <c r="N74">
        <f t="shared" si="24"/>
        <v>35</v>
      </c>
      <c r="O74" s="13" t="str">
        <f>+IFERROR('Raw Data - Production'!J102/('Raw Data - Production'!D102*Weights!$B$2),"")</f>
        <v/>
      </c>
      <c r="P74" s="13" t="str">
        <f>+IFERROR('Raw Data - Production'!K102/('Raw Data - Production'!E102*Weights!$B$2),"")</f>
        <v/>
      </c>
      <c r="Q74" s="13" t="str">
        <f>+IFERROR('Raw Data - Production'!L102/('Raw Data - Production'!F102*Weights!$B$2),"")</f>
        <v/>
      </c>
      <c r="R74" s="13" t="str">
        <f>+IFERROR('Raw Data - Production'!M102/('Raw Data - Production'!G102*Weights!$B$2),"")</f>
        <v/>
      </c>
      <c r="S74" s="13" t="str">
        <f>+IFERROR('Raw Data - Production'!N102/('Raw Data - Production'!H102*Weights!$B$2),"")</f>
        <v/>
      </c>
      <c r="T74" s="13"/>
      <c r="U74" s="13"/>
      <c r="V74" s="13"/>
      <c r="W74" s="13"/>
      <c r="Y74" s="2">
        <f t="shared" si="25"/>
        <v>46260</v>
      </c>
      <c r="AB74">
        <f t="shared" si="26"/>
        <v>35</v>
      </c>
      <c r="AC74" s="13">
        <f t="shared" si="15"/>
        <v>0</v>
      </c>
      <c r="AD74" s="13">
        <f t="shared" si="15"/>
        <v>0</v>
      </c>
      <c r="AE74" s="13">
        <f t="shared" si="16"/>
        <v>0</v>
      </c>
      <c r="AF74" s="13">
        <f t="shared" si="16"/>
        <v>0</v>
      </c>
      <c r="AG74" s="13">
        <f t="shared" si="16"/>
        <v>0</v>
      </c>
      <c r="AH74" s="13"/>
      <c r="AI74" s="13"/>
      <c r="AJ74" s="13"/>
      <c r="AK74" s="13"/>
      <c r="AM74" s="2">
        <f t="shared" si="27"/>
        <v>46260</v>
      </c>
      <c r="AN74">
        <f t="shared" si="28"/>
        <v>35</v>
      </c>
      <c r="AO74" s="18">
        <f>('Raw Data - Production'!D102/100)/60</f>
        <v>0</v>
      </c>
      <c r="AP74" s="18">
        <f>('Raw Data - Production'!E102/100)/60</f>
        <v>0</v>
      </c>
      <c r="AQ74" s="18">
        <f>('Raw Data - Production'!F102/50)/60</f>
        <v>0</v>
      </c>
      <c r="AR74" s="18">
        <f>('Raw Data - Production'!G102/50)/60</f>
        <v>0</v>
      </c>
      <c r="AS74" s="18">
        <f>('Raw Data - Production'!H102/50)/60</f>
        <v>0</v>
      </c>
      <c r="AT74" s="18"/>
      <c r="AU74" s="18"/>
      <c r="AV74" s="18"/>
      <c r="AW74" s="18"/>
    </row>
    <row r="75" spans="1:49" x14ac:dyDescent="0.3">
      <c r="A75" s="2">
        <f t="shared" si="17"/>
        <v>46261</v>
      </c>
      <c r="B75">
        <f t="shared" si="18"/>
        <v>35</v>
      </c>
      <c r="C75" s="13" t="str">
        <f t="shared" si="19"/>
        <v/>
      </c>
      <c r="D75" s="13" t="str">
        <f t="shared" si="20"/>
        <v/>
      </c>
      <c r="E75" s="13" t="str">
        <f t="shared" si="21"/>
        <v/>
      </c>
      <c r="F75" s="13" t="str">
        <f t="shared" si="22"/>
        <v/>
      </c>
      <c r="G75" s="13" t="str">
        <f t="shared" si="23"/>
        <v/>
      </c>
      <c r="H75" s="13"/>
      <c r="I75" s="13"/>
      <c r="J75" s="13"/>
      <c r="K75" s="13"/>
      <c r="M75" s="2">
        <f>+'Daily Summary'!A102</f>
        <v>46261</v>
      </c>
      <c r="N75">
        <f t="shared" si="24"/>
        <v>35</v>
      </c>
      <c r="O75" s="13" t="str">
        <f>+IFERROR('Raw Data - Production'!J103/('Raw Data - Production'!D103*Weights!$B$2),"")</f>
        <v/>
      </c>
      <c r="P75" s="13" t="str">
        <f>+IFERROR('Raw Data - Production'!K103/('Raw Data - Production'!E103*Weights!$B$2),"")</f>
        <v/>
      </c>
      <c r="Q75" s="13" t="str">
        <f>+IFERROR('Raw Data - Production'!L103/('Raw Data - Production'!F103*Weights!$B$2),"")</f>
        <v/>
      </c>
      <c r="R75" s="13" t="str">
        <f>+IFERROR('Raw Data - Production'!M103/('Raw Data - Production'!G103*Weights!$B$2),"")</f>
        <v/>
      </c>
      <c r="S75" s="13" t="str">
        <f>+IFERROR('Raw Data - Production'!N103/('Raw Data - Production'!H103*Weights!$B$2),"")</f>
        <v/>
      </c>
      <c r="T75" s="13"/>
      <c r="U75" s="13"/>
      <c r="V75" s="13"/>
      <c r="W75" s="13"/>
      <c r="Y75" s="2">
        <f t="shared" si="25"/>
        <v>46261</v>
      </c>
      <c r="AB75">
        <f t="shared" si="26"/>
        <v>35</v>
      </c>
      <c r="AC75" s="13">
        <f t="shared" si="15"/>
        <v>0</v>
      </c>
      <c r="AD75" s="13">
        <f t="shared" si="15"/>
        <v>0</v>
      </c>
      <c r="AE75" s="13">
        <f t="shared" si="16"/>
        <v>0</v>
      </c>
      <c r="AF75" s="13">
        <f t="shared" si="16"/>
        <v>0</v>
      </c>
      <c r="AG75" s="13">
        <f t="shared" si="16"/>
        <v>0</v>
      </c>
      <c r="AH75" s="13"/>
      <c r="AI75" s="13"/>
      <c r="AJ75" s="13"/>
      <c r="AK75" s="13"/>
      <c r="AM75" s="2">
        <f t="shared" si="27"/>
        <v>46261</v>
      </c>
      <c r="AN75">
        <f t="shared" si="28"/>
        <v>35</v>
      </c>
      <c r="AO75" s="18">
        <f>('Raw Data - Production'!D103/100)/60</f>
        <v>0</v>
      </c>
      <c r="AP75" s="18">
        <f>('Raw Data - Production'!E103/100)/60</f>
        <v>0</v>
      </c>
      <c r="AQ75" s="18">
        <f>('Raw Data - Production'!F103/50)/60</f>
        <v>0</v>
      </c>
      <c r="AR75" s="18">
        <f>('Raw Data - Production'!G103/50)/60</f>
        <v>0</v>
      </c>
      <c r="AS75" s="18">
        <f>('Raw Data - Production'!H103/50)/60</f>
        <v>0</v>
      </c>
      <c r="AT75" s="18"/>
      <c r="AU75" s="18"/>
      <c r="AV75" s="18"/>
      <c r="AW75" s="18"/>
    </row>
    <row r="76" spans="1:49" x14ac:dyDescent="0.3">
      <c r="A76" s="2">
        <f t="shared" si="17"/>
        <v>46262</v>
      </c>
      <c r="B76">
        <f t="shared" si="18"/>
        <v>35</v>
      </c>
      <c r="C76" s="13" t="str">
        <f t="shared" si="19"/>
        <v/>
      </c>
      <c r="D76" s="13" t="str">
        <f t="shared" si="20"/>
        <v/>
      </c>
      <c r="E76" s="13" t="str">
        <f t="shared" si="21"/>
        <v/>
      </c>
      <c r="F76" s="13" t="str">
        <f t="shared" si="22"/>
        <v/>
      </c>
      <c r="G76" s="13" t="str">
        <f t="shared" si="23"/>
        <v/>
      </c>
      <c r="H76" s="13"/>
      <c r="I76" s="13"/>
      <c r="J76" s="13"/>
      <c r="K76" s="13"/>
      <c r="M76" s="2">
        <f>+'Daily Summary'!A103</f>
        <v>46262</v>
      </c>
      <c r="N76">
        <f t="shared" si="24"/>
        <v>35</v>
      </c>
      <c r="O76" s="13" t="str">
        <f>+IFERROR('Raw Data - Production'!J104/('Raw Data - Production'!D104*Weights!$B$2),"")</f>
        <v/>
      </c>
      <c r="P76" s="13" t="str">
        <f>+IFERROR('Raw Data - Production'!K104/('Raw Data - Production'!E104*Weights!$B$2),"")</f>
        <v/>
      </c>
      <c r="Q76" s="13" t="str">
        <f>+IFERROR('Raw Data - Production'!L104/('Raw Data - Production'!F104*Weights!$B$2),"")</f>
        <v/>
      </c>
      <c r="R76" s="13" t="str">
        <f>+IFERROR('Raw Data - Production'!M104/('Raw Data - Production'!G104*Weights!$B$2),"")</f>
        <v/>
      </c>
      <c r="S76" s="13" t="str">
        <f>+IFERROR('Raw Data - Production'!N104/('Raw Data - Production'!H104*Weights!$B$2),"")</f>
        <v/>
      </c>
      <c r="T76" s="13"/>
      <c r="U76" s="13"/>
      <c r="V76" s="13"/>
      <c r="W76" s="13"/>
      <c r="Y76" s="2">
        <f t="shared" si="25"/>
        <v>46262</v>
      </c>
      <c r="AB76">
        <f t="shared" si="26"/>
        <v>35</v>
      </c>
      <c r="AC76" s="13">
        <f t="shared" si="15"/>
        <v>0</v>
      </c>
      <c r="AD76" s="13">
        <f t="shared" si="15"/>
        <v>0</v>
      </c>
      <c r="AE76" s="13">
        <f t="shared" si="16"/>
        <v>0</v>
      </c>
      <c r="AF76" s="13">
        <f t="shared" si="16"/>
        <v>0</v>
      </c>
      <c r="AG76" s="13">
        <f t="shared" si="16"/>
        <v>0</v>
      </c>
      <c r="AH76" s="13"/>
      <c r="AI76" s="13"/>
      <c r="AJ76" s="13"/>
      <c r="AK76" s="13"/>
      <c r="AM76" s="2">
        <f t="shared" si="27"/>
        <v>46262</v>
      </c>
      <c r="AN76">
        <f t="shared" si="28"/>
        <v>35</v>
      </c>
      <c r="AO76" s="18">
        <f>('Raw Data - Production'!D104/100)/60</f>
        <v>0</v>
      </c>
      <c r="AP76" s="18">
        <f>('Raw Data - Production'!E104/100)/60</f>
        <v>0</v>
      </c>
      <c r="AQ76" s="18">
        <f>('Raw Data - Production'!F104/50)/60</f>
        <v>0</v>
      </c>
      <c r="AR76" s="18">
        <f>('Raw Data - Production'!G104/50)/60</f>
        <v>0</v>
      </c>
      <c r="AS76" s="18">
        <f>('Raw Data - Production'!H104/50)/60</f>
        <v>0</v>
      </c>
      <c r="AT76" s="18"/>
      <c r="AU76" s="18"/>
      <c r="AV76" s="18"/>
      <c r="AW76" s="18"/>
    </row>
    <row r="77" spans="1:49" x14ac:dyDescent="0.3">
      <c r="A77" s="2">
        <f t="shared" si="17"/>
        <v>46265</v>
      </c>
      <c r="B77">
        <f t="shared" si="18"/>
        <v>36</v>
      </c>
      <c r="C77" s="13" t="str">
        <f t="shared" si="19"/>
        <v/>
      </c>
      <c r="D77" s="13" t="str">
        <f t="shared" si="20"/>
        <v/>
      </c>
      <c r="E77" s="13" t="str">
        <f t="shared" si="21"/>
        <v/>
      </c>
      <c r="F77" s="13" t="str">
        <f t="shared" si="22"/>
        <v/>
      </c>
      <c r="G77" s="13" t="str">
        <f t="shared" si="23"/>
        <v/>
      </c>
      <c r="H77" s="13"/>
      <c r="I77" s="13"/>
      <c r="J77" s="13"/>
      <c r="K77" s="13"/>
      <c r="M77" s="2">
        <f>+'Daily Summary'!A104</f>
        <v>46265</v>
      </c>
      <c r="N77">
        <f t="shared" si="24"/>
        <v>36</v>
      </c>
      <c r="O77" s="13" t="str">
        <f>+IFERROR('Raw Data - Production'!J105/('Raw Data - Production'!D105*Weights!$B$2),"")</f>
        <v/>
      </c>
      <c r="P77" s="13" t="str">
        <f>+IFERROR('Raw Data - Production'!K105/('Raw Data - Production'!E105*Weights!$B$2),"")</f>
        <v/>
      </c>
      <c r="Q77" s="13" t="str">
        <f>+IFERROR('Raw Data - Production'!L105/('Raw Data - Production'!F105*Weights!$B$2),"")</f>
        <v/>
      </c>
      <c r="R77" s="13" t="str">
        <f>+IFERROR('Raw Data - Production'!M105/('Raw Data - Production'!G105*Weights!$B$2),"")</f>
        <v/>
      </c>
      <c r="S77" s="13" t="str">
        <f>+IFERROR('Raw Data - Production'!N105/('Raw Data - Production'!H105*Weights!$B$2),"")</f>
        <v/>
      </c>
      <c r="T77" s="13"/>
      <c r="U77" s="13"/>
      <c r="V77" s="13"/>
      <c r="W77" s="13"/>
      <c r="Y77" s="2">
        <f t="shared" si="25"/>
        <v>46265</v>
      </c>
      <c r="AB77">
        <f t="shared" si="26"/>
        <v>36</v>
      </c>
      <c r="AC77" s="13">
        <f t="shared" si="15"/>
        <v>0</v>
      </c>
      <c r="AD77" s="13">
        <f t="shared" si="15"/>
        <v>0</v>
      </c>
      <c r="AE77" s="13">
        <f t="shared" si="16"/>
        <v>0</v>
      </c>
      <c r="AF77" s="13">
        <f t="shared" si="16"/>
        <v>0</v>
      </c>
      <c r="AG77" s="13">
        <f t="shared" si="16"/>
        <v>0</v>
      </c>
      <c r="AH77" s="13"/>
      <c r="AI77" s="13"/>
      <c r="AJ77" s="13"/>
      <c r="AK77" s="13"/>
      <c r="AM77" s="2">
        <f t="shared" si="27"/>
        <v>46265</v>
      </c>
      <c r="AN77">
        <f t="shared" si="28"/>
        <v>36</v>
      </c>
      <c r="AO77" s="18">
        <f>('Raw Data - Production'!D105/100)/60</f>
        <v>0</v>
      </c>
      <c r="AP77" s="18">
        <f>('Raw Data - Production'!E105/100)/60</f>
        <v>0</v>
      </c>
      <c r="AQ77" s="18">
        <f>('Raw Data - Production'!F105/50)/60</f>
        <v>0</v>
      </c>
      <c r="AR77" s="18">
        <f>('Raw Data - Production'!G105/50)/60</f>
        <v>0</v>
      </c>
      <c r="AS77" s="18">
        <f>('Raw Data - Production'!H105/50)/60</f>
        <v>0</v>
      </c>
      <c r="AT77" s="18"/>
      <c r="AU77" s="18"/>
      <c r="AV77" s="18"/>
      <c r="AW77" s="18"/>
    </row>
    <row r="78" spans="1:49" x14ac:dyDescent="0.3">
      <c r="A78" s="2">
        <f t="shared" si="17"/>
        <v>46266</v>
      </c>
      <c r="B78">
        <f t="shared" si="18"/>
        <v>36</v>
      </c>
      <c r="C78" s="13" t="str">
        <f t="shared" si="19"/>
        <v/>
      </c>
      <c r="D78" s="13" t="str">
        <f t="shared" si="20"/>
        <v/>
      </c>
      <c r="E78" s="13" t="str">
        <f t="shared" si="21"/>
        <v/>
      </c>
      <c r="F78" s="13" t="str">
        <f t="shared" si="22"/>
        <v/>
      </c>
      <c r="G78" s="13" t="str">
        <f t="shared" si="23"/>
        <v/>
      </c>
      <c r="H78" s="13"/>
      <c r="I78" s="13"/>
      <c r="J78" s="13"/>
      <c r="K78" s="13"/>
      <c r="M78" s="2">
        <f>+'Daily Summary'!A105</f>
        <v>46266</v>
      </c>
      <c r="N78">
        <f t="shared" si="24"/>
        <v>36</v>
      </c>
      <c r="O78" s="13" t="str">
        <f>+IFERROR('Raw Data - Production'!J106/('Raw Data - Production'!D106*Weights!$B$2),"")</f>
        <v/>
      </c>
      <c r="P78" s="13" t="str">
        <f>+IFERROR('Raw Data - Production'!K106/('Raw Data - Production'!E106*Weights!$B$2),"")</f>
        <v/>
      </c>
      <c r="Q78" s="13" t="str">
        <f>+IFERROR('Raw Data - Production'!L106/('Raw Data - Production'!F106*Weights!$B$2),"")</f>
        <v/>
      </c>
      <c r="R78" s="13" t="str">
        <f>+IFERROR('Raw Data - Production'!M106/('Raw Data - Production'!G106*Weights!$B$2),"")</f>
        <v/>
      </c>
      <c r="S78" s="13" t="str">
        <f>+IFERROR('Raw Data - Production'!N106/('Raw Data - Production'!H106*Weights!$B$2),"")</f>
        <v/>
      </c>
      <c r="T78" s="13"/>
      <c r="U78" s="13"/>
      <c r="V78" s="13"/>
      <c r="W78" s="13"/>
      <c r="Y78" s="2">
        <f t="shared" si="25"/>
        <v>46266</v>
      </c>
      <c r="AB78">
        <f t="shared" si="26"/>
        <v>36</v>
      </c>
      <c r="AC78" s="13">
        <f t="shared" si="15"/>
        <v>0</v>
      </c>
      <c r="AD78" s="13">
        <f t="shared" si="15"/>
        <v>0</v>
      </c>
      <c r="AE78" s="13">
        <f t="shared" si="16"/>
        <v>0</v>
      </c>
      <c r="AF78" s="13">
        <f t="shared" si="16"/>
        <v>0</v>
      </c>
      <c r="AG78" s="13">
        <f t="shared" si="16"/>
        <v>0</v>
      </c>
      <c r="AH78" s="13"/>
      <c r="AI78" s="13"/>
      <c r="AJ78" s="13"/>
      <c r="AK78" s="13"/>
      <c r="AM78" s="2">
        <f t="shared" si="27"/>
        <v>46266</v>
      </c>
      <c r="AN78">
        <f t="shared" si="28"/>
        <v>36</v>
      </c>
      <c r="AO78" s="18">
        <f>('Raw Data - Production'!D106/100)/60</f>
        <v>0</v>
      </c>
      <c r="AP78" s="18">
        <f>('Raw Data - Production'!E106/100)/60</f>
        <v>0</v>
      </c>
      <c r="AQ78" s="18">
        <f>('Raw Data - Production'!F106/50)/60</f>
        <v>0</v>
      </c>
      <c r="AR78" s="18">
        <f>('Raw Data - Production'!G106/50)/60</f>
        <v>0</v>
      </c>
      <c r="AS78" s="18">
        <f>('Raw Data - Production'!H106/50)/60</f>
        <v>0</v>
      </c>
      <c r="AT78" s="18"/>
      <c r="AU78" s="18"/>
      <c r="AV78" s="18"/>
      <c r="AW78" s="18"/>
    </row>
    <row r="79" spans="1:49" x14ac:dyDescent="0.3">
      <c r="A79" s="2">
        <f t="shared" si="17"/>
        <v>46267</v>
      </c>
      <c r="B79">
        <f t="shared" si="18"/>
        <v>36</v>
      </c>
      <c r="C79" s="13" t="str">
        <f t="shared" si="19"/>
        <v/>
      </c>
      <c r="D79" s="13" t="str">
        <f t="shared" si="20"/>
        <v/>
      </c>
      <c r="E79" s="13" t="str">
        <f t="shared" si="21"/>
        <v/>
      </c>
      <c r="F79" s="13" t="str">
        <f t="shared" si="22"/>
        <v/>
      </c>
      <c r="G79" s="13" t="str">
        <f t="shared" si="23"/>
        <v/>
      </c>
      <c r="H79" s="13"/>
      <c r="I79" s="13"/>
      <c r="J79" s="13"/>
      <c r="K79" s="13"/>
      <c r="M79" s="2">
        <f>+'Daily Summary'!A106</f>
        <v>46267</v>
      </c>
      <c r="N79">
        <f t="shared" si="24"/>
        <v>36</v>
      </c>
      <c r="O79" s="13" t="str">
        <f>+IFERROR('Raw Data - Production'!J107/('Raw Data - Production'!D107*Weights!$B$2),"")</f>
        <v/>
      </c>
      <c r="P79" s="13" t="str">
        <f>+IFERROR('Raw Data - Production'!K107/('Raw Data - Production'!E107*Weights!$B$2),"")</f>
        <v/>
      </c>
      <c r="Q79" s="13" t="str">
        <f>+IFERROR('Raw Data - Production'!L107/('Raw Data - Production'!F107*Weights!$B$2),"")</f>
        <v/>
      </c>
      <c r="R79" s="13" t="str">
        <f>+IFERROR('Raw Data - Production'!M107/('Raw Data - Production'!G107*Weights!$B$2),"")</f>
        <v/>
      </c>
      <c r="S79" s="13" t="str">
        <f>+IFERROR('Raw Data - Production'!N107/('Raw Data - Production'!H107*Weights!$B$2),"")</f>
        <v/>
      </c>
      <c r="T79" s="13"/>
      <c r="U79" s="13"/>
      <c r="V79" s="13"/>
      <c r="W79" s="13"/>
      <c r="Y79" s="2">
        <f t="shared" si="25"/>
        <v>46267</v>
      </c>
      <c r="AB79">
        <f t="shared" si="26"/>
        <v>36</v>
      </c>
      <c r="AC79" s="13">
        <f t="shared" si="15"/>
        <v>0</v>
      </c>
      <c r="AD79" s="13">
        <f t="shared" si="15"/>
        <v>0</v>
      </c>
      <c r="AE79" s="13">
        <f t="shared" si="16"/>
        <v>0</v>
      </c>
      <c r="AF79" s="13">
        <f t="shared" si="16"/>
        <v>0</v>
      </c>
      <c r="AG79" s="13">
        <f t="shared" si="16"/>
        <v>0</v>
      </c>
      <c r="AH79" s="13"/>
      <c r="AI79" s="13"/>
      <c r="AJ79" s="13"/>
      <c r="AK79" s="13"/>
      <c r="AM79" s="2">
        <f t="shared" si="27"/>
        <v>46267</v>
      </c>
      <c r="AN79">
        <f t="shared" si="28"/>
        <v>36</v>
      </c>
      <c r="AO79" s="18">
        <f>('Raw Data - Production'!D107/100)/60</f>
        <v>0</v>
      </c>
      <c r="AP79" s="18">
        <f>('Raw Data - Production'!E107/100)/60</f>
        <v>0</v>
      </c>
      <c r="AQ79" s="18">
        <f>('Raw Data - Production'!F107/50)/60</f>
        <v>0</v>
      </c>
      <c r="AR79" s="18">
        <f>('Raw Data - Production'!G107/50)/60</f>
        <v>0</v>
      </c>
      <c r="AS79" s="18">
        <f>('Raw Data - Production'!H107/50)/60</f>
        <v>0</v>
      </c>
      <c r="AT79" s="18"/>
      <c r="AU79" s="18"/>
      <c r="AV79" s="18"/>
      <c r="AW79" s="18"/>
    </row>
    <row r="80" spans="1:49" x14ac:dyDescent="0.3">
      <c r="A80" s="2">
        <f t="shared" si="17"/>
        <v>46268</v>
      </c>
      <c r="B80">
        <f t="shared" si="18"/>
        <v>36</v>
      </c>
      <c r="C80" s="13" t="str">
        <f t="shared" si="19"/>
        <v/>
      </c>
      <c r="D80" s="13" t="str">
        <f t="shared" si="20"/>
        <v/>
      </c>
      <c r="E80" s="13" t="str">
        <f t="shared" si="21"/>
        <v/>
      </c>
      <c r="F80" s="13" t="str">
        <f t="shared" si="22"/>
        <v/>
      </c>
      <c r="G80" s="13" t="str">
        <f t="shared" si="23"/>
        <v/>
      </c>
      <c r="H80" s="13"/>
      <c r="I80" s="13"/>
      <c r="J80" s="13"/>
      <c r="K80" s="13"/>
      <c r="M80" s="2">
        <f>+'Daily Summary'!A107</f>
        <v>46268</v>
      </c>
      <c r="N80">
        <f t="shared" si="24"/>
        <v>36</v>
      </c>
      <c r="O80" s="13" t="str">
        <f>+IFERROR('Raw Data - Production'!J108/('Raw Data - Production'!D108*Weights!$B$2),"")</f>
        <v/>
      </c>
      <c r="P80" s="13" t="str">
        <f>+IFERROR('Raw Data - Production'!K108/('Raw Data - Production'!E108*Weights!$B$2),"")</f>
        <v/>
      </c>
      <c r="Q80" s="13" t="str">
        <f>+IFERROR('Raw Data - Production'!L108/('Raw Data - Production'!F108*Weights!$B$2),"")</f>
        <v/>
      </c>
      <c r="R80" s="13" t="str">
        <f>+IFERROR('Raw Data - Production'!M108/('Raw Data - Production'!G108*Weights!$B$2),"")</f>
        <v/>
      </c>
      <c r="S80" s="13" t="str">
        <f>+IFERROR('Raw Data - Production'!N108/('Raw Data - Production'!H108*Weights!$B$2),"")</f>
        <v/>
      </c>
      <c r="T80" s="13"/>
      <c r="U80" s="13"/>
      <c r="V80" s="13"/>
      <c r="W80" s="13"/>
      <c r="Y80" s="2">
        <f t="shared" si="25"/>
        <v>46268</v>
      </c>
      <c r="AB80">
        <f t="shared" si="26"/>
        <v>36</v>
      </c>
      <c r="AC80" s="13">
        <f t="shared" si="15"/>
        <v>0</v>
      </c>
      <c r="AD80" s="13">
        <f t="shared" si="15"/>
        <v>0</v>
      </c>
      <c r="AE80" s="13">
        <f t="shared" si="16"/>
        <v>0</v>
      </c>
      <c r="AF80" s="13">
        <f t="shared" si="16"/>
        <v>0</v>
      </c>
      <c r="AG80" s="13">
        <f t="shared" si="16"/>
        <v>0</v>
      </c>
      <c r="AH80" s="13"/>
      <c r="AI80" s="13"/>
      <c r="AJ80" s="13"/>
      <c r="AK80" s="13"/>
      <c r="AM80" s="2">
        <f t="shared" si="27"/>
        <v>46268</v>
      </c>
      <c r="AN80">
        <f t="shared" si="28"/>
        <v>36</v>
      </c>
      <c r="AO80" s="18">
        <f>('Raw Data - Production'!D108/100)/60</f>
        <v>0</v>
      </c>
      <c r="AP80" s="18">
        <f>('Raw Data - Production'!E108/100)/60</f>
        <v>0</v>
      </c>
      <c r="AQ80" s="18">
        <f>('Raw Data - Production'!F108/50)/60</f>
        <v>0</v>
      </c>
      <c r="AR80" s="18">
        <f>('Raw Data - Production'!G108/50)/60</f>
        <v>0</v>
      </c>
      <c r="AS80" s="18">
        <f>('Raw Data - Production'!H108/50)/60</f>
        <v>0</v>
      </c>
      <c r="AT80" s="18"/>
      <c r="AU80" s="18"/>
      <c r="AV80" s="18"/>
      <c r="AW80" s="18"/>
    </row>
    <row r="81" spans="1:49" x14ac:dyDescent="0.3">
      <c r="A81" s="2">
        <f t="shared" si="17"/>
        <v>46269</v>
      </c>
      <c r="B81">
        <f t="shared" si="18"/>
        <v>36</v>
      </c>
      <c r="C81" s="13" t="str">
        <f t="shared" si="19"/>
        <v/>
      </c>
      <c r="D81" s="13" t="str">
        <f t="shared" si="20"/>
        <v/>
      </c>
      <c r="E81" s="13" t="str">
        <f t="shared" si="21"/>
        <v/>
      </c>
      <c r="F81" s="13" t="str">
        <f t="shared" si="22"/>
        <v/>
      </c>
      <c r="G81" s="13" t="str">
        <f t="shared" si="23"/>
        <v/>
      </c>
      <c r="H81" s="13"/>
      <c r="I81" s="13"/>
      <c r="J81" s="13"/>
      <c r="K81" s="13"/>
      <c r="M81" s="2">
        <f>+'Daily Summary'!A108</f>
        <v>46269</v>
      </c>
      <c r="N81">
        <f t="shared" si="24"/>
        <v>36</v>
      </c>
      <c r="O81" s="13" t="str">
        <f>+IFERROR('Raw Data - Production'!J109/('Raw Data - Production'!D109*Weights!$B$2),"")</f>
        <v/>
      </c>
      <c r="P81" s="13" t="str">
        <f>+IFERROR('Raw Data - Production'!K109/('Raw Data - Production'!E109*Weights!$B$2),"")</f>
        <v/>
      </c>
      <c r="Q81" s="13" t="str">
        <f>+IFERROR('Raw Data - Production'!L109/('Raw Data - Production'!F109*Weights!$B$2),"")</f>
        <v/>
      </c>
      <c r="R81" s="13" t="str">
        <f>+IFERROR('Raw Data - Production'!M109/('Raw Data - Production'!G109*Weights!$B$2),"")</f>
        <v/>
      </c>
      <c r="S81" s="13" t="str">
        <f>+IFERROR('Raw Data - Production'!N109/('Raw Data - Production'!H109*Weights!$B$2),"")</f>
        <v/>
      </c>
      <c r="T81" s="13"/>
      <c r="U81" s="13"/>
      <c r="V81" s="13"/>
      <c r="W81" s="13"/>
      <c r="Y81" s="2">
        <f t="shared" si="25"/>
        <v>46269</v>
      </c>
      <c r="AB81">
        <f t="shared" si="26"/>
        <v>36</v>
      </c>
      <c r="AC81" s="13">
        <f t="shared" si="15"/>
        <v>0</v>
      </c>
      <c r="AD81" s="13">
        <f t="shared" si="15"/>
        <v>0</v>
      </c>
      <c r="AE81" s="13">
        <f t="shared" si="16"/>
        <v>0</v>
      </c>
      <c r="AF81" s="13">
        <f t="shared" si="16"/>
        <v>0</v>
      </c>
      <c r="AG81" s="13">
        <f t="shared" si="16"/>
        <v>0</v>
      </c>
      <c r="AH81" s="13"/>
      <c r="AI81" s="13"/>
      <c r="AJ81" s="13"/>
      <c r="AK81" s="13"/>
      <c r="AM81" s="2">
        <f t="shared" si="27"/>
        <v>46269</v>
      </c>
      <c r="AN81">
        <f t="shared" si="28"/>
        <v>36</v>
      </c>
      <c r="AO81" s="18">
        <f>('Raw Data - Production'!D109/100)/60</f>
        <v>0</v>
      </c>
      <c r="AP81" s="18">
        <f>('Raw Data - Production'!E109/100)/60</f>
        <v>0</v>
      </c>
      <c r="AQ81" s="18">
        <f>('Raw Data - Production'!F109/50)/60</f>
        <v>0</v>
      </c>
      <c r="AR81" s="18">
        <f>('Raw Data - Production'!G109/50)/60</f>
        <v>0</v>
      </c>
      <c r="AS81" s="18">
        <f>('Raw Data - Production'!H109/50)/60</f>
        <v>0</v>
      </c>
      <c r="AT81" s="18"/>
      <c r="AU81" s="18"/>
      <c r="AV81" s="18"/>
      <c r="AW81" s="18"/>
    </row>
    <row r="82" spans="1:49" x14ac:dyDescent="0.3">
      <c r="A82" s="2">
        <f t="shared" si="17"/>
        <v>46273</v>
      </c>
      <c r="B82">
        <f t="shared" si="18"/>
        <v>37</v>
      </c>
      <c r="C82" s="13" t="str">
        <f t="shared" si="19"/>
        <v/>
      </c>
      <c r="D82" s="13" t="str">
        <f t="shared" si="20"/>
        <v/>
      </c>
      <c r="E82" s="13" t="str">
        <f t="shared" si="21"/>
        <v/>
      </c>
      <c r="F82" s="13" t="str">
        <f t="shared" si="22"/>
        <v/>
      </c>
      <c r="G82" s="13" t="str">
        <f t="shared" si="23"/>
        <v/>
      </c>
      <c r="H82" s="13"/>
      <c r="I82" s="13"/>
      <c r="J82" s="13"/>
      <c r="K82" s="13"/>
      <c r="M82" s="2">
        <f>+'Daily Summary'!A109</f>
        <v>46273</v>
      </c>
      <c r="N82">
        <f t="shared" si="24"/>
        <v>37</v>
      </c>
      <c r="O82" s="13" t="str">
        <f>+IFERROR('Raw Data - Production'!J110/('Raw Data - Production'!D110*Weights!$B$2),"")</f>
        <v/>
      </c>
      <c r="P82" s="13" t="str">
        <f>+IFERROR('Raw Data - Production'!K110/('Raw Data - Production'!E110*Weights!$B$2),"")</f>
        <v/>
      </c>
      <c r="Q82" s="13" t="str">
        <f>+IFERROR('Raw Data - Production'!L110/('Raw Data - Production'!F110*Weights!$B$2),"")</f>
        <v/>
      </c>
      <c r="R82" s="13" t="str">
        <f>+IFERROR('Raw Data - Production'!M110/('Raw Data - Production'!G110*Weights!$B$2),"")</f>
        <v/>
      </c>
      <c r="S82" s="13" t="str">
        <f>+IFERROR('Raw Data - Production'!N110/('Raw Data - Production'!H110*Weights!$B$2),"")</f>
        <v/>
      </c>
      <c r="T82" s="13"/>
      <c r="U82" s="13"/>
      <c r="V82" s="13"/>
      <c r="W82" s="13"/>
      <c r="Y82" s="2">
        <f t="shared" si="25"/>
        <v>46273</v>
      </c>
      <c r="AB82">
        <f t="shared" si="26"/>
        <v>37</v>
      </c>
      <c r="AC82" s="13">
        <f t="shared" si="15"/>
        <v>0</v>
      </c>
      <c r="AD82" s="13">
        <f t="shared" si="15"/>
        <v>0</v>
      </c>
      <c r="AE82" s="13">
        <f t="shared" si="16"/>
        <v>0</v>
      </c>
      <c r="AF82" s="13">
        <f t="shared" si="16"/>
        <v>0</v>
      </c>
      <c r="AG82" s="13">
        <f t="shared" si="16"/>
        <v>0</v>
      </c>
      <c r="AH82" s="13"/>
      <c r="AI82" s="13"/>
      <c r="AJ82" s="13"/>
      <c r="AK82" s="13"/>
      <c r="AM82" s="2">
        <f t="shared" si="27"/>
        <v>46273</v>
      </c>
      <c r="AN82">
        <f t="shared" si="28"/>
        <v>37</v>
      </c>
      <c r="AO82" s="18">
        <f>('Raw Data - Production'!D110/100)/60</f>
        <v>0</v>
      </c>
      <c r="AP82" s="18">
        <f>('Raw Data - Production'!E110/100)/60</f>
        <v>0</v>
      </c>
      <c r="AQ82" s="18">
        <f>('Raw Data - Production'!F110/50)/60</f>
        <v>0</v>
      </c>
      <c r="AR82" s="18">
        <f>('Raw Data - Production'!G110/50)/60</f>
        <v>0</v>
      </c>
      <c r="AS82" s="18">
        <f>('Raw Data - Production'!H110/50)/60</f>
        <v>0</v>
      </c>
      <c r="AT82" s="18"/>
      <c r="AU82" s="18"/>
      <c r="AV82" s="18"/>
      <c r="AW82" s="18"/>
    </row>
    <row r="83" spans="1:49" x14ac:dyDescent="0.3">
      <c r="A83" s="2">
        <f t="shared" si="17"/>
        <v>46274</v>
      </c>
      <c r="B83">
        <f t="shared" si="18"/>
        <v>37</v>
      </c>
      <c r="C83" s="13" t="str">
        <f t="shared" si="19"/>
        <v/>
      </c>
      <c r="D83" s="13" t="str">
        <f t="shared" si="20"/>
        <v/>
      </c>
      <c r="E83" s="13" t="str">
        <f t="shared" si="21"/>
        <v/>
      </c>
      <c r="F83" s="13" t="str">
        <f t="shared" si="22"/>
        <v/>
      </c>
      <c r="G83" s="13" t="str">
        <f t="shared" si="23"/>
        <v/>
      </c>
      <c r="H83" s="13"/>
      <c r="I83" s="13"/>
      <c r="J83" s="13"/>
      <c r="K83" s="13"/>
      <c r="M83" s="2">
        <f>+'Daily Summary'!A110</f>
        <v>46274</v>
      </c>
      <c r="N83">
        <f t="shared" si="24"/>
        <v>37</v>
      </c>
      <c r="O83" s="13" t="str">
        <f>+IFERROR('Raw Data - Production'!J111/('Raw Data - Production'!D111*Weights!$B$2),"")</f>
        <v/>
      </c>
      <c r="P83" s="13" t="str">
        <f>+IFERROR('Raw Data - Production'!K111/('Raw Data - Production'!E111*Weights!$B$2),"")</f>
        <v/>
      </c>
      <c r="Q83" s="13" t="str">
        <f>+IFERROR('Raw Data - Production'!L111/('Raw Data - Production'!F111*Weights!$B$2),"")</f>
        <v/>
      </c>
      <c r="R83" s="13" t="str">
        <f>+IFERROR('Raw Data - Production'!M111/('Raw Data - Production'!G111*Weights!$B$2),"")</f>
        <v/>
      </c>
      <c r="S83" s="13" t="str">
        <f>+IFERROR('Raw Data - Production'!N111/('Raw Data - Production'!H111*Weights!$B$2),"")</f>
        <v/>
      </c>
      <c r="T83" s="13"/>
      <c r="U83" s="13"/>
      <c r="V83" s="13"/>
      <c r="W83" s="13"/>
      <c r="Y83" s="2">
        <f t="shared" si="25"/>
        <v>46274</v>
      </c>
      <c r="AB83">
        <f t="shared" si="26"/>
        <v>37</v>
      </c>
      <c r="AC83" s="13">
        <f t="shared" si="15"/>
        <v>0</v>
      </c>
      <c r="AD83" s="13">
        <f t="shared" si="15"/>
        <v>0</v>
      </c>
      <c r="AE83" s="13">
        <f t="shared" si="16"/>
        <v>0</v>
      </c>
      <c r="AF83" s="13">
        <f t="shared" si="16"/>
        <v>0</v>
      </c>
      <c r="AG83" s="13">
        <f t="shared" si="16"/>
        <v>0</v>
      </c>
      <c r="AH83" s="13"/>
      <c r="AI83" s="13"/>
      <c r="AJ83" s="13"/>
      <c r="AK83" s="13"/>
      <c r="AM83" s="2">
        <f t="shared" si="27"/>
        <v>46274</v>
      </c>
      <c r="AN83">
        <f t="shared" si="28"/>
        <v>37</v>
      </c>
      <c r="AO83" s="18">
        <f>('Raw Data - Production'!D111/100)/60</f>
        <v>0</v>
      </c>
      <c r="AP83" s="18">
        <f>('Raw Data - Production'!E111/100)/60</f>
        <v>0</v>
      </c>
      <c r="AQ83" s="18">
        <f>('Raw Data - Production'!F111/50)/60</f>
        <v>0</v>
      </c>
      <c r="AR83" s="18">
        <f>('Raw Data - Production'!G111/50)/60</f>
        <v>0</v>
      </c>
      <c r="AS83" s="18">
        <f>('Raw Data - Production'!H111/50)/60</f>
        <v>0</v>
      </c>
      <c r="AT83" s="18"/>
      <c r="AU83" s="18"/>
      <c r="AV83" s="18"/>
      <c r="AW83" s="18"/>
    </row>
    <row r="84" spans="1:49" x14ac:dyDescent="0.3">
      <c r="A84" s="2">
        <f t="shared" si="17"/>
        <v>46275</v>
      </c>
      <c r="B84">
        <f t="shared" si="18"/>
        <v>37</v>
      </c>
      <c r="C84" s="13" t="str">
        <f t="shared" si="19"/>
        <v/>
      </c>
      <c r="D84" s="13" t="str">
        <f t="shared" si="20"/>
        <v/>
      </c>
      <c r="E84" s="13" t="str">
        <f t="shared" si="21"/>
        <v/>
      </c>
      <c r="F84" s="13" t="str">
        <f t="shared" si="22"/>
        <v/>
      </c>
      <c r="G84" s="13" t="str">
        <f t="shared" si="23"/>
        <v/>
      </c>
      <c r="H84" s="13"/>
      <c r="I84" s="13"/>
      <c r="J84" s="13"/>
      <c r="K84" s="13"/>
      <c r="M84" s="2">
        <f>+'Daily Summary'!A111</f>
        <v>46275</v>
      </c>
      <c r="N84">
        <f t="shared" si="24"/>
        <v>37</v>
      </c>
      <c r="O84" s="13" t="str">
        <f>+IFERROR('Raw Data - Production'!J112/('Raw Data - Production'!D112*Weights!$B$2),"")</f>
        <v/>
      </c>
      <c r="P84" s="13" t="str">
        <f>+IFERROR('Raw Data - Production'!K112/('Raw Data - Production'!E112*Weights!$B$2),"")</f>
        <v/>
      </c>
      <c r="Q84" s="13" t="str">
        <f>+IFERROR('Raw Data - Production'!L112/('Raw Data - Production'!F112*Weights!$B$2),"")</f>
        <v/>
      </c>
      <c r="R84" s="13" t="str">
        <f>+IFERROR('Raw Data - Production'!M112/('Raw Data - Production'!G112*Weights!$B$2),"")</f>
        <v/>
      </c>
      <c r="S84" s="13" t="str">
        <f>+IFERROR('Raw Data - Production'!N112/('Raw Data - Production'!H112*Weights!$B$2),"")</f>
        <v/>
      </c>
      <c r="T84" s="13"/>
      <c r="U84" s="13"/>
      <c r="V84" s="13"/>
      <c r="W84" s="13"/>
      <c r="Y84" s="2">
        <f t="shared" si="25"/>
        <v>46275</v>
      </c>
      <c r="AB84">
        <f t="shared" si="26"/>
        <v>37</v>
      </c>
      <c r="AC84" s="13">
        <f t="shared" si="15"/>
        <v>0</v>
      </c>
      <c r="AD84" s="13">
        <f t="shared" si="15"/>
        <v>0</v>
      </c>
      <c r="AE84" s="13">
        <f t="shared" si="16"/>
        <v>0</v>
      </c>
      <c r="AF84" s="13">
        <f t="shared" si="16"/>
        <v>0</v>
      </c>
      <c r="AG84" s="13">
        <f t="shared" si="16"/>
        <v>0</v>
      </c>
      <c r="AH84" s="13"/>
      <c r="AI84" s="13"/>
      <c r="AJ84" s="13"/>
      <c r="AK84" s="13"/>
      <c r="AM84" s="2">
        <f t="shared" si="27"/>
        <v>46275</v>
      </c>
      <c r="AN84">
        <f t="shared" si="28"/>
        <v>37</v>
      </c>
      <c r="AO84" s="18">
        <f>('Raw Data - Production'!D112/100)/60</f>
        <v>0</v>
      </c>
      <c r="AP84" s="18">
        <f>('Raw Data - Production'!E112/100)/60</f>
        <v>0</v>
      </c>
      <c r="AQ84" s="18">
        <f>('Raw Data - Production'!F112/50)/60</f>
        <v>0</v>
      </c>
      <c r="AR84" s="18">
        <f>('Raw Data - Production'!G112/50)/60</f>
        <v>0</v>
      </c>
      <c r="AS84" s="18">
        <f>('Raw Data - Production'!H112/50)/60</f>
        <v>0</v>
      </c>
      <c r="AT84" s="18"/>
      <c r="AU84" s="18"/>
      <c r="AV84" s="18"/>
      <c r="AW84" s="18"/>
    </row>
    <row r="85" spans="1:49" x14ac:dyDescent="0.3">
      <c r="A85" s="2">
        <f t="shared" si="17"/>
        <v>46276</v>
      </c>
      <c r="B85">
        <f t="shared" si="18"/>
        <v>37</v>
      </c>
      <c r="C85" s="13" t="str">
        <f t="shared" si="19"/>
        <v/>
      </c>
      <c r="D85" s="13" t="str">
        <f t="shared" si="20"/>
        <v/>
      </c>
      <c r="E85" s="13" t="str">
        <f t="shared" si="21"/>
        <v/>
      </c>
      <c r="F85" s="13" t="str">
        <f t="shared" si="22"/>
        <v/>
      </c>
      <c r="G85" s="13" t="str">
        <f t="shared" si="23"/>
        <v/>
      </c>
      <c r="H85" s="13"/>
      <c r="I85" s="13"/>
      <c r="J85" s="13"/>
      <c r="K85" s="13"/>
      <c r="M85" s="2">
        <f>+'Daily Summary'!A112</f>
        <v>46276</v>
      </c>
      <c r="N85">
        <f t="shared" si="24"/>
        <v>37</v>
      </c>
      <c r="O85" s="13" t="str">
        <f>+IFERROR('Raw Data - Production'!J113/('Raw Data - Production'!D113*Weights!$B$2),"")</f>
        <v/>
      </c>
      <c r="P85" s="13" t="str">
        <f>+IFERROR('Raw Data - Production'!K113/('Raw Data - Production'!E113*Weights!$B$2),"")</f>
        <v/>
      </c>
      <c r="Q85" s="13" t="str">
        <f>+IFERROR('Raw Data - Production'!L113/('Raw Data - Production'!F113*Weights!$B$2),"")</f>
        <v/>
      </c>
      <c r="R85" s="13" t="str">
        <f>+IFERROR('Raw Data - Production'!M113/('Raw Data - Production'!G113*Weights!$B$2),"")</f>
        <v/>
      </c>
      <c r="S85" s="13" t="str">
        <f>+IFERROR('Raw Data - Production'!N113/('Raw Data - Production'!H113*Weights!$B$2),"")</f>
        <v/>
      </c>
      <c r="T85" s="13"/>
      <c r="U85" s="13"/>
      <c r="V85" s="13"/>
      <c r="W85" s="13"/>
      <c r="Y85" s="2">
        <f t="shared" si="25"/>
        <v>46276</v>
      </c>
      <c r="AB85">
        <f t="shared" si="26"/>
        <v>37</v>
      </c>
      <c r="AC85" s="13">
        <f t="shared" si="15"/>
        <v>0</v>
      </c>
      <c r="AD85" s="13">
        <f t="shared" si="15"/>
        <v>0</v>
      </c>
      <c r="AE85" s="13">
        <f t="shared" si="16"/>
        <v>0</v>
      </c>
      <c r="AF85" s="13">
        <f t="shared" si="16"/>
        <v>0</v>
      </c>
      <c r="AG85" s="13">
        <f t="shared" si="16"/>
        <v>0</v>
      </c>
      <c r="AH85" s="13"/>
      <c r="AI85" s="13"/>
      <c r="AJ85" s="13"/>
      <c r="AK85" s="13"/>
      <c r="AM85" s="2">
        <f t="shared" si="27"/>
        <v>46276</v>
      </c>
      <c r="AN85">
        <f t="shared" si="28"/>
        <v>37</v>
      </c>
      <c r="AO85" s="18">
        <f>('Raw Data - Production'!D113/100)/60</f>
        <v>0</v>
      </c>
      <c r="AP85" s="18">
        <f>('Raw Data - Production'!E113/100)/60</f>
        <v>0</v>
      </c>
      <c r="AQ85" s="18">
        <f>('Raw Data - Production'!F113/50)/60</f>
        <v>0</v>
      </c>
      <c r="AR85" s="18">
        <f>('Raw Data - Production'!G113/50)/60</f>
        <v>0</v>
      </c>
      <c r="AS85" s="18">
        <f>('Raw Data - Production'!H113/50)/60</f>
        <v>0</v>
      </c>
      <c r="AT85" s="18"/>
      <c r="AU85" s="18"/>
      <c r="AV85" s="18"/>
      <c r="AW85" s="18"/>
    </row>
    <row r="86" spans="1:49" x14ac:dyDescent="0.3">
      <c r="A86" s="2">
        <f t="shared" si="17"/>
        <v>46279</v>
      </c>
      <c r="B86">
        <f t="shared" si="18"/>
        <v>38</v>
      </c>
      <c r="C86" s="13" t="str">
        <f t="shared" si="19"/>
        <v/>
      </c>
      <c r="D86" s="13" t="str">
        <f t="shared" si="20"/>
        <v/>
      </c>
      <c r="E86" s="13" t="str">
        <f t="shared" si="21"/>
        <v/>
      </c>
      <c r="F86" s="13" t="str">
        <f t="shared" si="22"/>
        <v/>
      </c>
      <c r="G86" s="13" t="str">
        <f t="shared" si="23"/>
        <v/>
      </c>
      <c r="H86" s="13"/>
      <c r="I86" s="13"/>
      <c r="J86" s="13"/>
      <c r="K86" s="13"/>
      <c r="M86" s="2">
        <f>+'Daily Summary'!A113</f>
        <v>46279</v>
      </c>
      <c r="N86">
        <f t="shared" si="24"/>
        <v>38</v>
      </c>
      <c r="O86" s="13" t="str">
        <f>+IFERROR('Raw Data - Production'!J114/('Raw Data - Production'!D114*Weights!$B$2),"")</f>
        <v/>
      </c>
      <c r="P86" s="13" t="str">
        <f>+IFERROR('Raw Data - Production'!K114/('Raw Data - Production'!E114*Weights!$B$2),"")</f>
        <v/>
      </c>
      <c r="Q86" s="13" t="str">
        <f>+IFERROR('Raw Data - Production'!L114/('Raw Data - Production'!F114*Weights!$B$2),"")</f>
        <v/>
      </c>
      <c r="R86" s="13" t="str">
        <f>+IFERROR('Raw Data - Production'!M114/('Raw Data - Production'!G114*Weights!$B$2),"")</f>
        <v/>
      </c>
      <c r="S86" s="13" t="str">
        <f>+IFERROR('Raw Data - Production'!N114/('Raw Data - Production'!H114*Weights!$B$2),"")</f>
        <v/>
      </c>
      <c r="T86" s="13"/>
      <c r="U86" s="13"/>
      <c r="V86" s="13"/>
      <c r="W86" s="13"/>
      <c r="Y86" s="2">
        <f t="shared" si="25"/>
        <v>46279</v>
      </c>
      <c r="AB86">
        <f t="shared" si="26"/>
        <v>38</v>
      </c>
      <c r="AC86" s="13">
        <f t="shared" si="15"/>
        <v>0</v>
      </c>
      <c r="AD86" s="13">
        <f t="shared" si="15"/>
        <v>0</v>
      </c>
      <c r="AE86" s="13">
        <f t="shared" si="16"/>
        <v>0</v>
      </c>
      <c r="AF86" s="13">
        <f t="shared" si="16"/>
        <v>0</v>
      </c>
      <c r="AG86" s="13">
        <f t="shared" si="16"/>
        <v>0</v>
      </c>
      <c r="AH86" s="13"/>
      <c r="AI86" s="13"/>
      <c r="AJ86" s="13"/>
      <c r="AK86" s="13"/>
      <c r="AM86" s="2">
        <f t="shared" si="27"/>
        <v>46279</v>
      </c>
      <c r="AN86">
        <f t="shared" si="28"/>
        <v>38</v>
      </c>
      <c r="AO86" s="18">
        <f>('Raw Data - Production'!D114/100)/60</f>
        <v>0</v>
      </c>
      <c r="AP86" s="18">
        <f>('Raw Data - Production'!E114/100)/60</f>
        <v>0</v>
      </c>
      <c r="AQ86" s="18">
        <f>('Raw Data - Production'!F114/50)/60</f>
        <v>0</v>
      </c>
      <c r="AR86" s="18">
        <f>('Raw Data - Production'!G114/50)/60</f>
        <v>0</v>
      </c>
      <c r="AS86" s="18">
        <f>('Raw Data - Production'!H114/50)/60</f>
        <v>0</v>
      </c>
      <c r="AT86" s="18"/>
      <c r="AU86" s="18"/>
      <c r="AV86" s="18"/>
      <c r="AW86" s="18"/>
    </row>
    <row r="87" spans="1:49" x14ac:dyDescent="0.3">
      <c r="A87" s="2">
        <f t="shared" si="17"/>
        <v>46280</v>
      </c>
      <c r="B87">
        <f t="shared" si="18"/>
        <v>38</v>
      </c>
      <c r="C87" s="13" t="str">
        <f t="shared" si="19"/>
        <v/>
      </c>
      <c r="D87" s="13" t="str">
        <f t="shared" si="20"/>
        <v/>
      </c>
      <c r="E87" s="13" t="str">
        <f t="shared" si="21"/>
        <v/>
      </c>
      <c r="F87" s="13" t="str">
        <f t="shared" si="22"/>
        <v/>
      </c>
      <c r="G87" s="13" t="str">
        <f t="shared" si="23"/>
        <v/>
      </c>
      <c r="H87" s="13"/>
      <c r="I87" s="13"/>
      <c r="J87" s="13"/>
      <c r="K87" s="13"/>
      <c r="M87" s="2">
        <f>+'Daily Summary'!A114</f>
        <v>46280</v>
      </c>
      <c r="N87">
        <f t="shared" si="24"/>
        <v>38</v>
      </c>
      <c r="O87" s="13" t="str">
        <f>+IFERROR('Raw Data - Production'!J115/('Raw Data - Production'!D115*Weights!$B$2),"")</f>
        <v/>
      </c>
      <c r="P87" s="13" t="str">
        <f>+IFERROR('Raw Data - Production'!K115/('Raw Data - Production'!E115*Weights!$B$2),"")</f>
        <v/>
      </c>
      <c r="Q87" s="13" t="str">
        <f>+IFERROR('Raw Data - Production'!L115/('Raw Data - Production'!F115*Weights!$B$2),"")</f>
        <v/>
      </c>
      <c r="R87" s="13" t="str">
        <f>+IFERROR('Raw Data - Production'!M115/('Raw Data - Production'!G115*Weights!$B$2),"")</f>
        <v/>
      </c>
      <c r="S87" s="13" t="str">
        <f>+IFERROR('Raw Data - Production'!N115/('Raw Data - Production'!H115*Weights!$B$2),"")</f>
        <v/>
      </c>
      <c r="T87" s="13"/>
      <c r="U87" s="13"/>
      <c r="V87" s="13"/>
      <c r="W87" s="13"/>
      <c r="Y87" s="2">
        <f t="shared" si="25"/>
        <v>46280</v>
      </c>
      <c r="AB87">
        <f t="shared" si="26"/>
        <v>38</v>
      </c>
      <c r="AC87" s="13">
        <f t="shared" si="15"/>
        <v>0</v>
      </c>
      <c r="AD87" s="13">
        <f t="shared" si="15"/>
        <v>0</v>
      </c>
      <c r="AE87" s="13">
        <f t="shared" si="16"/>
        <v>0</v>
      </c>
      <c r="AF87" s="13">
        <f t="shared" si="16"/>
        <v>0</v>
      </c>
      <c r="AG87" s="13">
        <f t="shared" si="16"/>
        <v>0</v>
      </c>
      <c r="AH87" s="13"/>
      <c r="AI87" s="13"/>
      <c r="AJ87" s="13"/>
      <c r="AK87" s="13"/>
      <c r="AM87" s="2">
        <f t="shared" si="27"/>
        <v>46280</v>
      </c>
      <c r="AN87">
        <f t="shared" si="28"/>
        <v>38</v>
      </c>
      <c r="AO87" s="18">
        <f>('Raw Data - Production'!D115/100)/60</f>
        <v>0</v>
      </c>
      <c r="AP87" s="18">
        <f>('Raw Data - Production'!E115/100)/60</f>
        <v>0</v>
      </c>
      <c r="AQ87" s="18">
        <f>('Raw Data - Production'!F115/50)/60</f>
        <v>0</v>
      </c>
      <c r="AR87" s="18">
        <f>('Raw Data - Production'!G115/50)/60</f>
        <v>0</v>
      </c>
      <c r="AS87" s="18">
        <f>('Raw Data - Production'!H115/50)/60</f>
        <v>0</v>
      </c>
      <c r="AT87" s="18"/>
      <c r="AU87" s="18"/>
      <c r="AV87" s="18"/>
      <c r="AW87" s="18"/>
    </row>
    <row r="88" spans="1:49" x14ac:dyDescent="0.3">
      <c r="A88" s="2">
        <f t="shared" si="17"/>
        <v>46281</v>
      </c>
      <c r="B88">
        <f t="shared" si="18"/>
        <v>38</v>
      </c>
      <c r="C88" s="13" t="str">
        <f t="shared" si="19"/>
        <v/>
      </c>
      <c r="D88" s="13" t="str">
        <f t="shared" si="20"/>
        <v/>
      </c>
      <c r="E88" s="13" t="str">
        <f t="shared" si="21"/>
        <v/>
      </c>
      <c r="F88" s="13" t="str">
        <f t="shared" si="22"/>
        <v/>
      </c>
      <c r="G88" s="13" t="str">
        <f t="shared" si="23"/>
        <v/>
      </c>
      <c r="H88" s="13"/>
      <c r="I88" s="13"/>
      <c r="J88" s="13"/>
      <c r="K88" s="13"/>
      <c r="M88" s="2">
        <f>+'Daily Summary'!A115</f>
        <v>46281</v>
      </c>
      <c r="N88">
        <f t="shared" si="24"/>
        <v>38</v>
      </c>
      <c r="O88" s="13" t="str">
        <f>+IFERROR('Raw Data - Production'!J116/('Raw Data - Production'!D116*Weights!$B$2),"")</f>
        <v/>
      </c>
      <c r="P88" s="13" t="str">
        <f>+IFERROR('Raw Data - Production'!K116/('Raw Data - Production'!E116*Weights!$B$2),"")</f>
        <v/>
      </c>
      <c r="Q88" s="13" t="str">
        <f>+IFERROR('Raw Data - Production'!L116/('Raw Data - Production'!F116*Weights!$B$2),"")</f>
        <v/>
      </c>
      <c r="R88" s="13" t="str">
        <f>+IFERROR('Raw Data - Production'!M116/('Raw Data - Production'!G116*Weights!$B$2),"")</f>
        <v/>
      </c>
      <c r="S88" s="13" t="str">
        <f>+IFERROR('Raw Data - Production'!N116/('Raw Data - Production'!H116*Weights!$B$2),"")</f>
        <v/>
      </c>
      <c r="T88" s="13"/>
      <c r="U88" s="13"/>
      <c r="V88" s="13"/>
      <c r="W88" s="13"/>
      <c r="Y88" s="2">
        <f t="shared" si="25"/>
        <v>46281</v>
      </c>
      <c r="AB88">
        <f t="shared" si="26"/>
        <v>38</v>
      </c>
      <c r="AC88" s="13">
        <f t="shared" si="15"/>
        <v>0</v>
      </c>
      <c r="AD88" s="13">
        <f t="shared" si="15"/>
        <v>0</v>
      </c>
      <c r="AE88" s="13">
        <f t="shared" si="16"/>
        <v>0</v>
      </c>
      <c r="AF88" s="13">
        <f t="shared" si="16"/>
        <v>0</v>
      </c>
      <c r="AG88" s="13">
        <f t="shared" si="16"/>
        <v>0</v>
      </c>
      <c r="AH88" s="13"/>
      <c r="AI88" s="13"/>
      <c r="AJ88" s="13"/>
      <c r="AK88" s="13"/>
      <c r="AM88" s="2">
        <f t="shared" si="27"/>
        <v>46281</v>
      </c>
      <c r="AN88">
        <f t="shared" si="28"/>
        <v>38</v>
      </c>
      <c r="AO88" s="18">
        <f>('Raw Data - Production'!D116/100)/60</f>
        <v>0</v>
      </c>
      <c r="AP88" s="18">
        <f>('Raw Data - Production'!E116/100)/60</f>
        <v>0</v>
      </c>
      <c r="AQ88" s="18">
        <f>('Raw Data - Production'!F116/50)/60</f>
        <v>0</v>
      </c>
      <c r="AR88" s="18">
        <f>('Raw Data - Production'!G116/50)/60</f>
        <v>0</v>
      </c>
      <c r="AS88" s="18">
        <f>('Raw Data - Production'!H116/50)/60</f>
        <v>0</v>
      </c>
      <c r="AT88" s="18"/>
      <c r="AU88" s="18"/>
      <c r="AV88" s="18"/>
      <c r="AW88" s="18"/>
    </row>
    <row r="89" spans="1:49" x14ac:dyDescent="0.3">
      <c r="A89" s="2">
        <f t="shared" si="17"/>
        <v>46282</v>
      </c>
      <c r="B89">
        <f t="shared" si="18"/>
        <v>38</v>
      </c>
      <c r="C89" s="13" t="str">
        <f t="shared" si="19"/>
        <v/>
      </c>
      <c r="D89" s="13" t="str">
        <f t="shared" si="20"/>
        <v/>
      </c>
      <c r="E89" s="13" t="str">
        <f t="shared" si="21"/>
        <v/>
      </c>
      <c r="F89" s="13" t="str">
        <f t="shared" si="22"/>
        <v/>
      </c>
      <c r="G89" s="13" t="str">
        <f t="shared" si="23"/>
        <v/>
      </c>
      <c r="H89" s="13"/>
      <c r="I89" s="13"/>
      <c r="J89" s="13"/>
      <c r="K89" s="13"/>
      <c r="M89" s="2">
        <f>+'Daily Summary'!A116</f>
        <v>46282</v>
      </c>
      <c r="N89">
        <f t="shared" si="24"/>
        <v>38</v>
      </c>
      <c r="O89" s="13" t="str">
        <f>+IFERROR('Raw Data - Production'!J117/('Raw Data - Production'!D117*Weights!$B$2),"")</f>
        <v/>
      </c>
      <c r="P89" s="13" t="str">
        <f>+IFERROR('Raw Data - Production'!K117/('Raw Data - Production'!E117*Weights!$B$2),"")</f>
        <v/>
      </c>
      <c r="Q89" s="13" t="str">
        <f>+IFERROR('Raw Data - Production'!L117/('Raw Data - Production'!F117*Weights!$B$2),"")</f>
        <v/>
      </c>
      <c r="R89" s="13" t="str">
        <f>+IFERROR('Raw Data - Production'!M117/('Raw Data - Production'!G117*Weights!$B$2),"")</f>
        <v/>
      </c>
      <c r="S89" s="13" t="str">
        <f>+IFERROR('Raw Data - Production'!N117/('Raw Data - Production'!H117*Weights!$B$2),"")</f>
        <v/>
      </c>
      <c r="T89" s="13"/>
      <c r="U89" s="13"/>
      <c r="V89" s="13"/>
      <c r="W89" s="13"/>
      <c r="Y89" s="2">
        <f t="shared" si="25"/>
        <v>46282</v>
      </c>
      <c r="AB89">
        <f t="shared" si="26"/>
        <v>38</v>
      </c>
      <c r="AC89" s="13">
        <f t="shared" si="15"/>
        <v>0</v>
      </c>
      <c r="AD89" s="13">
        <f t="shared" si="15"/>
        <v>0</v>
      </c>
      <c r="AE89" s="13">
        <f t="shared" si="16"/>
        <v>0</v>
      </c>
      <c r="AF89" s="13">
        <f t="shared" si="16"/>
        <v>0</v>
      </c>
      <c r="AG89" s="13">
        <f t="shared" si="16"/>
        <v>0</v>
      </c>
      <c r="AH89" s="13"/>
      <c r="AI89" s="13"/>
      <c r="AJ89" s="13"/>
      <c r="AK89" s="13"/>
      <c r="AM89" s="2">
        <f t="shared" si="27"/>
        <v>46282</v>
      </c>
      <c r="AN89">
        <f t="shared" si="28"/>
        <v>38</v>
      </c>
      <c r="AO89" s="18">
        <f>('Raw Data - Production'!D117/100)/60</f>
        <v>0</v>
      </c>
      <c r="AP89" s="18">
        <f>('Raw Data - Production'!E117/100)/60</f>
        <v>0</v>
      </c>
      <c r="AQ89" s="18">
        <f>('Raw Data - Production'!F117/50)/60</f>
        <v>0</v>
      </c>
      <c r="AR89" s="18">
        <f>('Raw Data - Production'!G117/50)/60</f>
        <v>0</v>
      </c>
      <c r="AS89" s="18">
        <f>('Raw Data - Production'!H117/50)/60</f>
        <v>0</v>
      </c>
      <c r="AT89" s="18"/>
      <c r="AU89" s="18"/>
      <c r="AV89" s="18"/>
      <c r="AW89" s="18"/>
    </row>
    <row r="90" spans="1:49" x14ac:dyDescent="0.3">
      <c r="A90" s="2">
        <f t="shared" si="17"/>
        <v>46283</v>
      </c>
      <c r="B90">
        <f t="shared" si="18"/>
        <v>38</v>
      </c>
      <c r="C90" s="13" t="str">
        <f t="shared" si="19"/>
        <v/>
      </c>
      <c r="D90" s="13" t="str">
        <f t="shared" si="20"/>
        <v/>
      </c>
      <c r="E90" s="13" t="str">
        <f t="shared" si="21"/>
        <v/>
      </c>
      <c r="F90" s="13" t="str">
        <f t="shared" si="22"/>
        <v/>
      </c>
      <c r="G90" s="13" t="str">
        <f t="shared" si="23"/>
        <v/>
      </c>
      <c r="H90" s="13"/>
      <c r="I90" s="13"/>
      <c r="J90" s="13"/>
      <c r="K90" s="13"/>
      <c r="M90" s="2">
        <f>+'Daily Summary'!A117</f>
        <v>46283</v>
      </c>
      <c r="N90">
        <f t="shared" si="24"/>
        <v>38</v>
      </c>
      <c r="O90" s="13" t="str">
        <f>+IFERROR('Raw Data - Production'!J118/('Raw Data - Production'!D118*Weights!$B$2),"")</f>
        <v/>
      </c>
      <c r="P90" s="13" t="str">
        <f>+IFERROR('Raw Data - Production'!K118/('Raw Data - Production'!E118*Weights!$B$2),"")</f>
        <v/>
      </c>
      <c r="Q90" s="13" t="str">
        <f>+IFERROR('Raw Data - Production'!L118/('Raw Data - Production'!F118*Weights!$B$2),"")</f>
        <v/>
      </c>
      <c r="R90" s="13" t="str">
        <f>+IFERROR('Raw Data - Production'!M118/('Raw Data - Production'!G118*Weights!$B$2),"")</f>
        <v/>
      </c>
      <c r="S90" s="13" t="str">
        <f>+IFERROR('Raw Data - Production'!N118/('Raw Data - Production'!H118*Weights!$B$2),"")</f>
        <v/>
      </c>
      <c r="T90" s="13"/>
      <c r="U90" s="13"/>
      <c r="V90" s="13"/>
      <c r="W90" s="13"/>
      <c r="Y90" s="2">
        <f t="shared" si="25"/>
        <v>46283</v>
      </c>
      <c r="AB90">
        <f t="shared" si="26"/>
        <v>38</v>
      </c>
      <c r="AC90" s="13">
        <f t="shared" si="15"/>
        <v>0</v>
      </c>
      <c r="AD90" s="13">
        <f t="shared" si="15"/>
        <v>0</v>
      </c>
      <c r="AE90" s="13">
        <f t="shared" si="16"/>
        <v>0</v>
      </c>
      <c r="AF90" s="13">
        <f t="shared" si="16"/>
        <v>0</v>
      </c>
      <c r="AG90" s="13">
        <f t="shared" si="16"/>
        <v>0</v>
      </c>
      <c r="AH90" s="13"/>
      <c r="AI90" s="13"/>
      <c r="AJ90" s="13"/>
      <c r="AK90" s="13"/>
      <c r="AM90" s="2">
        <f t="shared" si="27"/>
        <v>46283</v>
      </c>
      <c r="AN90">
        <f t="shared" si="28"/>
        <v>38</v>
      </c>
      <c r="AO90" s="18">
        <f>('Raw Data - Production'!D118/100)/60</f>
        <v>0</v>
      </c>
      <c r="AP90" s="18">
        <f>('Raw Data - Production'!E118/100)/60</f>
        <v>0</v>
      </c>
      <c r="AQ90" s="18">
        <f>('Raw Data - Production'!F118/50)/60</f>
        <v>0</v>
      </c>
      <c r="AR90" s="18">
        <f>('Raw Data - Production'!G118/50)/60</f>
        <v>0</v>
      </c>
      <c r="AS90" s="18">
        <f>('Raw Data - Production'!H118/50)/60</f>
        <v>0</v>
      </c>
      <c r="AT90" s="18"/>
      <c r="AU90" s="18"/>
      <c r="AV90" s="18"/>
      <c r="AW90" s="18"/>
    </row>
    <row r="91" spans="1:49" x14ac:dyDescent="0.3">
      <c r="A91" s="2">
        <f t="shared" si="17"/>
        <v>46286</v>
      </c>
      <c r="B91">
        <f t="shared" si="18"/>
        <v>39</v>
      </c>
      <c r="C91" s="13" t="str">
        <f t="shared" si="19"/>
        <v/>
      </c>
      <c r="D91" s="13" t="str">
        <f t="shared" si="20"/>
        <v/>
      </c>
      <c r="E91" s="13" t="str">
        <f t="shared" si="21"/>
        <v/>
      </c>
      <c r="F91" s="13" t="str">
        <f t="shared" si="22"/>
        <v/>
      </c>
      <c r="G91" s="13" t="str">
        <f t="shared" si="23"/>
        <v/>
      </c>
      <c r="H91" s="13"/>
      <c r="I91" s="13"/>
      <c r="J91" s="13"/>
      <c r="K91" s="13"/>
      <c r="M91" s="2">
        <f>+'Daily Summary'!A118</f>
        <v>46286</v>
      </c>
      <c r="N91">
        <f t="shared" si="24"/>
        <v>39</v>
      </c>
      <c r="O91" s="13" t="str">
        <f>+IFERROR('Raw Data - Production'!J119/('Raw Data - Production'!D119*Weights!$B$2),"")</f>
        <v/>
      </c>
      <c r="P91" s="13" t="str">
        <f>+IFERROR('Raw Data - Production'!K119/('Raw Data - Production'!E119*Weights!$B$2),"")</f>
        <v/>
      </c>
      <c r="Q91" s="13" t="str">
        <f>+IFERROR('Raw Data - Production'!L119/('Raw Data - Production'!F119*Weights!$B$2),"")</f>
        <v/>
      </c>
      <c r="R91" s="13" t="str">
        <f>+IFERROR('Raw Data - Production'!M119/('Raw Data - Production'!G119*Weights!$B$2),"")</f>
        <v/>
      </c>
      <c r="S91" s="13" t="str">
        <f>+IFERROR('Raw Data - Production'!N119/('Raw Data - Production'!H119*Weights!$B$2),"")</f>
        <v/>
      </c>
      <c r="T91" s="13"/>
      <c r="U91" s="13"/>
      <c r="V91" s="13"/>
      <c r="W91" s="13"/>
      <c r="Y91" s="2">
        <f t="shared" si="25"/>
        <v>46286</v>
      </c>
      <c r="AB91">
        <f t="shared" si="26"/>
        <v>39</v>
      </c>
      <c r="AC91" s="13">
        <f t="shared" si="15"/>
        <v>0</v>
      </c>
      <c r="AD91" s="13">
        <f t="shared" si="15"/>
        <v>0</v>
      </c>
      <c r="AE91" s="13">
        <f t="shared" si="16"/>
        <v>0</v>
      </c>
      <c r="AF91" s="13">
        <f t="shared" si="16"/>
        <v>0</v>
      </c>
      <c r="AG91" s="13">
        <f t="shared" si="16"/>
        <v>0</v>
      </c>
      <c r="AH91" s="13"/>
      <c r="AI91" s="13"/>
      <c r="AJ91" s="13"/>
      <c r="AK91" s="13"/>
      <c r="AM91" s="2">
        <f t="shared" si="27"/>
        <v>46286</v>
      </c>
      <c r="AN91">
        <f t="shared" si="28"/>
        <v>39</v>
      </c>
      <c r="AO91" s="18">
        <f>('Raw Data - Production'!D119/100)/60</f>
        <v>0</v>
      </c>
      <c r="AP91" s="18">
        <f>('Raw Data - Production'!E119/100)/60</f>
        <v>0</v>
      </c>
      <c r="AQ91" s="18">
        <f>('Raw Data - Production'!F119/50)/60</f>
        <v>0</v>
      </c>
      <c r="AR91" s="18">
        <f>('Raw Data - Production'!G119/50)/60</f>
        <v>0</v>
      </c>
      <c r="AS91" s="18">
        <f>('Raw Data - Production'!H119/50)/60</f>
        <v>0</v>
      </c>
      <c r="AT91" s="18"/>
      <c r="AU91" s="18"/>
      <c r="AV91" s="18"/>
      <c r="AW91" s="18"/>
    </row>
    <row r="92" spans="1:49" x14ac:dyDescent="0.3">
      <c r="A92" s="2">
        <f t="shared" si="17"/>
        <v>46287</v>
      </c>
      <c r="B92">
        <f t="shared" si="18"/>
        <v>39</v>
      </c>
      <c r="C92" s="13" t="str">
        <f t="shared" si="19"/>
        <v/>
      </c>
      <c r="D92" s="13" t="str">
        <f t="shared" si="20"/>
        <v/>
      </c>
      <c r="E92" s="13" t="str">
        <f t="shared" si="21"/>
        <v/>
      </c>
      <c r="F92" s="13" t="str">
        <f t="shared" si="22"/>
        <v/>
      </c>
      <c r="G92" s="13" t="str">
        <f t="shared" si="23"/>
        <v/>
      </c>
      <c r="H92" s="13"/>
      <c r="I92" s="13"/>
      <c r="J92" s="13"/>
      <c r="K92" s="13"/>
      <c r="M92" s="2">
        <f>+'Daily Summary'!A119</f>
        <v>46287</v>
      </c>
      <c r="N92">
        <f t="shared" si="24"/>
        <v>39</v>
      </c>
      <c r="O92" s="13" t="str">
        <f>+IFERROR('Raw Data - Production'!J120/('Raw Data - Production'!D120*Weights!$B$2),"")</f>
        <v/>
      </c>
      <c r="P92" s="13" t="str">
        <f>+IFERROR('Raw Data - Production'!K120/('Raw Data - Production'!E120*Weights!$B$2),"")</f>
        <v/>
      </c>
      <c r="Q92" s="13" t="str">
        <f>+IFERROR('Raw Data - Production'!L120/('Raw Data - Production'!F120*Weights!$B$2),"")</f>
        <v/>
      </c>
      <c r="R92" s="13" t="str">
        <f>+IFERROR('Raw Data - Production'!M120/('Raw Data - Production'!G120*Weights!$B$2),"")</f>
        <v/>
      </c>
      <c r="S92" s="13" t="str">
        <f>+IFERROR('Raw Data - Production'!N120/('Raw Data - Production'!H120*Weights!$B$2),"")</f>
        <v/>
      </c>
      <c r="T92" s="13"/>
      <c r="U92" s="13"/>
      <c r="V92" s="13"/>
      <c r="W92" s="13"/>
      <c r="Y92" s="2">
        <f t="shared" si="25"/>
        <v>46287</v>
      </c>
      <c r="AB92">
        <f t="shared" si="26"/>
        <v>39</v>
      </c>
      <c r="AC92" s="13">
        <f t="shared" si="15"/>
        <v>0</v>
      </c>
      <c r="AD92" s="13">
        <f t="shared" si="15"/>
        <v>0</v>
      </c>
      <c r="AE92" s="13">
        <f t="shared" si="16"/>
        <v>0</v>
      </c>
      <c r="AF92" s="13">
        <f t="shared" si="16"/>
        <v>0</v>
      </c>
      <c r="AG92" s="13">
        <f t="shared" si="16"/>
        <v>0</v>
      </c>
      <c r="AH92" s="13"/>
      <c r="AI92" s="13"/>
      <c r="AJ92" s="13"/>
      <c r="AK92" s="13"/>
      <c r="AM92" s="2">
        <f t="shared" si="27"/>
        <v>46287</v>
      </c>
      <c r="AN92">
        <f t="shared" si="28"/>
        <v>39</v>
      </c>
      <c r="AO92" s="18">
        <f>('Raw Data - Production'!D120/100)/60</f>
        <v>0</v>
      </c>
      <c r="AP92" s="18">
        <f>('Raw Data - Production'!E120/100)/60</f>
        <v>0</v>
      </c>
      <c r="AQ92" s="18">
        <f>('Raw Data - Production'!F120/50)/60</f>
        <v>0</v>
      </c>
      <c r="AR92" s="18">
        <f>('Raw Data - Production'!G120/50)/60</f>
        <v>0</v>
      </c>
      <c r="AS92" s="18">
        <f>('Raw Data - Production'!H120/50)/60</f>
        <v>0</v>
      </c>
      <c r="AT92" s="18"/>
      <c r="AU92" s="18"/>
      <c r="AV92" s="18"/>
      <c r="AW92" s="18"/>
    </row>
    <row r="93" spans="1:49" x14ac:dyDescent="0.3">
      <c r="A93" s="2">
        <f t="shared" si="17"/>
        <v>46288</v>
      </c>
      <c r="B93">
        <f t="shared" si="18"/>
        <v>39</v>
      </c>
      <c r="C93" s="13" t="str">
        <f t="shared" si="19"/>
        <v/>
      </c>
      <c r="D93" s="13" t="str">
        <f t="shared" si="20"/>
        <v/>
      </c>
      <c r="E93" s="13" t="str">
        <f t="shared" si="21"/>
        <v/>
      </c>
      <c r="F93" s="13" t="str">
        <f t="shared" si="22"/>
        <v/>
      </c>
      <c r="G93" s="13" t="str">
        <f t="shared" si="23"/>
        <v/>
      </c>
      <c r="H93" s="13"/>
      <c r="I93" s="13"/>
      <c r="J93" s="13"/>
      <c r="K93" s="13"/>
      <c r="M93" s="2">
        <f>+'Daily Summary'!A120</f>
        <v>46288</v>
      </c>
      <c r="N93">
        <f t="shared" si="24"/>
        <v>39</v>
      </c>
      <c r="O93" s="13" t="str">
        <f>+IFERROR('Raw Data - Production'!J121/('Raw Data - Production'!D121*Weights!$B$2),"")</f>
        <v/>
      </c>
      <c r="P93" s="13" t="str">
        <f>+IFERROR('Raw Data - Production'!K121/('Raw Data - Production'!E121*Weights!$B$2),"")</f>
        <v/>
      </c>
      <c r="Q93" s="13" t="str">
        <f>+IFERROR('Raw Data - Production'!L121/('Raw Data - Production'!F121*Weights!$B$2),"")</f>
        <v/>
      </c>
      <c r="R93" s="13" t="str">
        <f>+IFERROR('Raw Data - Production'!M121/('Raw Data - Production'!G121*Weights!$B$2),"")</f>
        <v/>
      </c>
      <c r="S93" s="13" t="str">
        <f>+IFERROR('Raw Data - Production'!N121/('Raw Data - Production'!H121*Weights!$B$2),"")</f>
        <v/>
      </c>
      <c r="T93" s="13"/>
      <c r="U93" s="13"/>
      <c r="V93" s="13"/>
      <c r="W93" s="13"/>
      <c r="Y93" s="2">
        <f t="shared" si="25"/>
        <v>46288</v>
      </c>
      <c r="AB93">
        <f t="shared" si="26"/>
        <v>39</v>
      </c>
      <c r="AC93" s="13">
        <f t="shared" si="15"/>
        <v>0</v>
      </c>
      <c r="AD93" s="13">
        <f t="shared" si="15"/>
        <v>0</v>
      </c>
      <c r="AE93" s="13">
        <f t="shared" si="16"/>
        <v>0</v>
      </c>
      <c r="AF93" s="13">
        <f t="shared" si="16"/>
        <v>0</v>
      </c>
      <c r="AG93" s="13">
        <f t="shared" si="16"/>
        <v>0</v>
      </c>
      <c r="AH93" s="13"/>
      <c r="AI93" s="13"/>
      <c r="AJ93" s="13"/>
      <c r="AK93" s="13"/>
      <c r="AM93" s="2">
        <f t="shared" si="27"/>
        <v>46288</v>
      </c>
      <c r="AN93">
        <f t="shared" si="28"/>
        <v>39</v>
      </c>
      <c r="AO93" s="18">
        <f>('Raw Data - Production'!D121/100)/60</f>
        <v>0</v>
      </c>
      <c r="AP93" s="18">
        <f>('Raw Data - Production'!E121/100)/60</f>
        <v>0</v>
      </c>
      <c r="AQ93" s="18">
        <f>('Raw Data - Production'!F121/50)/60</f>
        <v>0</v>
      </c>
      <c r="AR93" s="18">
        <f>('Raw Data - Production'!G121/50)/60</f>
        <v>0</v>
      </c>
      <c r="AS93" s="18">
        <f>('Raw Data - Production'!H121/50)/60</f>
        <v>0</v>
      </c>
      <c r="AT93" s="18"/>
      <c r="AU93" s="18"/>
      <c r="AV93" s="18"/>
      <c r="AW93" s="18"/>
    </row>
    <row r="94" spans="1:49" x14ac:dyDescent="0.3">
      <c r="A94" s="2">
        <f t="shared" si="17"/>
        <v>46289</v>
      </c>
      <c r="B94">
        <f t="shared" si="18"/>
        <v>39</v>
      </c>
      <c r="C94" s="13" t="str">
        <f t="shared" si="19"/>
        <v/>
      </c>
      <c r="D94" s="13" t="str">
        <f t="shared" si="20"/>
        <v/>
      </c>
      <c r="E94" s="13" t="str">
        <f t="shared" si="21"/>
        <v/>
      </c>
      <c r="F94" s="13" t="str">
        <f t="shared" si="22"/>
        <v/>
      </c>
      <c r="G94" s="13" t="str">
        <f t="shared" si="23"/>
        <v/>
      </c>
      <c r="H94" s="13"/>
      <c r="I94" s="13"/>
      <c r="J94" s="13"/>
      <c r="K94" s="13"/>
      <c r="M94" s="2">
        <f>+'Daily Summary'!A121</f>
        <v>46289</v>
      </c>
      <c r="N94">
        <f t="shared" si="24"/>
        <v>39</v>
      </c>
      <c r="O94" s="13" t="str">
        <f>+IFERROR('Raw Data - Production'!J122/('Raw Data - Production'!D122*Weights!$B$2),"")</f>
        <v/>
      </c>
      <c r="P94" s="13" t="str">
        <f>+IFERROR('Raw Data - Production'!K122/('Raw Data - Production'!E122*Weights!$B$2),"")</f>
        <v/>
      </c>
      <c r="Q94" s="13" t="str">
        <f>+IFERROR('Raw Data - Production'!L122/('Raw Data - Production'!F122*Weights!$B$2),"")</f>
        <v/>
      </c>
      <c r="R94" s="13" t="str">
        <f>+IFERROR('Raw Data - Production'!M122/('Raw Data - Production'!G122*Weights!$B$2),"")</f>
        <v/>
      </c>
      <c r="S94" s="13" t="str">
        <f>+IFERROR('Raw Data - Production'!N122/('Raw Data - Production'!H122*Weights!$B$2),"")</f>
        <v/>
      </c>
      <c r="T94" s="13"/>
      <c r="U94" s="13"/>
      <c r="V94" s="13"/>
      <c r="W94" s="13"/>
      <c r="Y94" s="2">
        <f t="shared" si="25"/>
        <v>46289</v>
      </c>
      <c r="AB94">
        <f t="shared" si="26"/>
        <v>39</v>
      </c>
      <c r="AC94" s="13">
        <f t="shared" si="15"/>
        <v>0</v>
      </c>
      <c r="AD94" s="13">
        <f t="shared" si="15"/>
        <v>0</v>
      </c>
      <c r="AE94" s="13">
        <f t="shared" si="16"/>
        <v>0</v>
      </c>
      <c r="AF94" s="13">
        <f t="shared" si="16"/>
        <v>0</v>
      </c>
      <c r="AG94" s="13">
        <f t="shared" si="16"/>
        <v>0</v>
      </c>
      <c r="AH94" s="13"/>
      <c r="AI94" s="13"/>
      <c r="AJ94" s="13"/>
      <c r="AK94" s="13"/>
      <c r="AM94" s="2">
        <f t="shared" si="27"/>
        <v>46289</v>
      </c>
      <c r="AN94">
        <f t="shared" si="28"/>
        <v>39</v>
      </c>
      <c r="AO94" s="18">
        <f>('Raw Data - Production'!D122/100)/60</f>
        <v>0</v>
      </c>
      <c r="AP94" s="18">
        <f>('Raw Data - Production'!E122/100)/60</f>
        <v>0</v>
      </c>
      <c r="AQ94" s="18">
        <f>('Raw Data - Production'!F122/50)/60</f>
        <v>0</v>
      </c>
      <c r="AR94" s="18">
        <f>('Raw Data - Production'!G122/50)/60</f>
        <v>0</v>
      </c>
      <c r="AS94" s="18">
        <f>('Raw Data - Production'!H122/50)/60</f>
        <v>0</v>
      </c>
      <c r="AT94" s="18"/>
      <c r="AU94" s="18"/>
      <c r="AV94" s="18"/>
      <c r="AW94" s="18"/>
    </row>
    <row r="95" spans="1:49" x14ac:dyDescent="0.3">
      <c r="A95" s="2">
        <f t="shared" si="17"/>
        <v>46290</v>
      </c>
      <c r="B95">
        <f t="shared" si="18"/>
        <v>39</v>
      </c>
      <c r="C95" s="13" t="str">
        <f t="shared" si="19"/>
        <v/>
      </c>
      <c r="D95" s="13" t="str">
        <f t="shared" si="20"/>
        <v/>
      </c>
      <c r="E95" s="13" t="str">
        <f t="shared" si="21"/>
        <v/>
      </c>
      <c r="F95" s="13" t="str">
        <f t="shared" si="22"/>
        <v/>
      </c>
      <c r="G95" s="13" t="str">
        <f t="shared" si="23"/>
        <v/>
      </c>
      <c r="H95" s="13"/>
      <c r="I95" s="13"/>
      <c r="J95" s="13"/>
      <c r="K95" s="13"/>
      <c r="M95" s="2">
        <f>+'Daily Summary'!A122</f>
        <v>46290</v>
      </c>
      <c r="N95">
        <f t="shared" si="24"/>
        <v>39</v>
      </c>
      <c r="O95" s="13" t="str">
        <f>+IFERROR('Raw Data - Production'!J123/('Raw Data - Production'!D123*Weights!$B$2),"")</f>
        <v/>
      </c>
      <c r="P95" s="13" t="str">
        <f>+IFERROR('Raw Data - Production'!K123/('Raw Data - Production'!E123*Weights!$B$2),"")</f>
        <v/>
      </c>
      <c r="Q95" s="13" t="str">
        <f>+IFERROR('Raw Data - Production'!L123/('Raw Data - Production'!F123*Weights!$B$2),"")</f>
        <v/>
      </c>
      <c r="R95" s="13" t="str">
        <f>+IFERROR('Raw Data - Production'!M123/('Raw Data - Production'!G123*Weights!$B$2),"")</f>
        <v/>
      </c>
      <c r="S95" s="13" t="str">
        <f>+IFERROR('Raw Data - Production'!N123/('Raw Data - Production'!H123*Weights!$B$2),"")</f>
        <v/>
      </c>
      <c r="T95" s="13"/>
      <c r="U95" s="13"/>
      <c r="V95" s="13"/>
      <c r="W95" s="13"/>
      <c r="Y95" s="2">
        <f t="shared" si="25"/>
        <v>46290</v>
      </c>
      <c r="AB95">
        <f t="shared" si="26"/>
        <v>39</v>
      </c>
      <c r="AC95" s="13">
        <f t="shared" si="15"/>
        <v>0</v>
      </c>
      <c r="AD95" s="13">
        <f t="shared" si="15"/>
        <v>0</v>
      </c>
      <c r="AE95" s="13">
        <f t="shared" si="16"/>
        <v>0</v>
      </c>
      <c r="AF95" s="13">
        <f t="shared" si="16"/>
        <v>0</v>
      </c>
      <c r="AG95" s="13">
        <f t="shared" si="16"/>
        <v>0</v>
      </c>
      <c r="AH95" s="13"/>
      <c r="AI95" s="13"/>
      <c r="AJ95" s="13"/>
      <c r="AK95" s="13"/>
      <c r="AM95" s="2">
        <f t="shared" si="27"/>
        <v>46290</v>
      </c>
      <c r="AN95">
        <f t="shared" si="28"/>
        <v>39</v>
      </c>
      <c r="AO95" s="18">
        <f>('Raw Data - Production'!D123/100)/60</f>
        <v>0</v>
      </c>
      <c r="AP95" s="18">
        <f>('Raw Data - Production'!E123/100)/60</f>
        <v>0</v>
      </c>
      <c r="AQ95" s="18">
        <f>('Raw Data - Production'!F123/50)/60</f>
        <v>0</v>
      </c>
      <c r="AR95" s="18">
        <f>('Raw Data - Production'!G123/50)/60</f>
        <v>0</v>
      </c>
      <c r="AS95" s="18">
        <f>('Raw Data - Production'!H123/50)/60</f>
        <v>0</v>
      </c>
      <c r="AT95" s="18"/>
      <c r="AU95" s="18"/>
      <c r="AV95" s="18"/>
      <c r="AW95" s="18"/>
    </row>
    <row r="96" spans="1:49" x14ac:dyDescent="0.3">
      <c r="A96" s="2">
        <f t="shared" si="17"/>
        <v>46293</v>
      </c>
      <c r="B96">
        <f t="shared" si="18"/>
        <v>40</v>
      </c>
      <c r="C96" s="13" t="str">
        <f t="shared" si="19"/>
        <v/>
      </c>
      <c r="D96" s="13" t="str">
        <f t="shared" si="20"/>
        <v/>
      </c>
      <c r="E96" s="13" t="str">
        <f t="shared" si="21"/>
        <v/>
      </c>
      <c r="F96" s="13" t="str">
        <f t="shared" si="22"/>
        <v/>
      </c>
      <c r="G96" s="13" t="str">
        <f t="shared" si="23"/>
        <v/>
      </c>
      <c r="H96" s="13"/>
      <c r="I96" s="13"/>
      <c r="J96" s="13"/>
      <c r="K96" s="13"/>
      <c r="M96" s="2">
        <f>+'Daily Summary'!A123</f>
        <v>46293</v>
      </c>
      <c r="N96">
        <f t="shared" si="24"/>
        <v>40</v>
      </c>
      <c r="O96" s="13" t="str">
        <f>+IFERROR('Raw Data - Production'!J124/('Raw Data - Production'!D124*Weights!$B$2),"")</f>
        <v/>
      </c>
      <c r="P96" s="13" t="str">
        <f>+IFERROR('Raw Data - Production'!K124/('Raw Data - Production'!E124*Weights!$B$2),"")</f>
        <v/>
      </c>
      <c r="Q96" s="13" t="str">
        <f>+IFERROR('Raw Data - Production'!L124/('Raw Data - Production'!F124*Weights!$B$2),"")</f>
        <v/>
      </c>
      <c r="R96" s="13" t="str">
        <f>+IFERROR('Raw Data - Production'!M124/('Raw Data - Production'!G124*Weights!$B$2),"")</f>
        <v/>
      </c>
      <c r="S96" s="13" t="str">
        <f>+IFERROR('Raw Data - Production'!N124/('Raw Data - Production'!H124*Weights!$B$2),"")</f>
        <v/>
      </c>
      <c r="T96" s="13"/>
      <c r="U96" s="13"/>
      <c r="V96" s="13"/>
      <c r="W96" s="13"/>
      <c r="Y96" s="2">
        <f t="shared" si="25"/>
        <v>46293</v>
      </c>
      <c r="AB96">
        <f t="shared" si="26"/>
        <v>40</v>
      </c>
      <c r="AC96" s="13">
        <f t="shared" si="15"/>
        <v>0</v>
      </c>
      <c r="AD96" s="13">
        <f t="shared" si="15"/>
        <v>0</v>
      </c>
      <c r="AE96" s="13">
        <f t="shared" si="16"/>
        <v>0</v>
      </c>
      <c r="AF96" s="13">
        <f t="shared" si="16"/>
        <v>0</v>
      </c>
      <c r="AG96" s="13">
        <f t="shared" si="16"/>
        <v>0</v>
      </c>
      <c r="AH96" s="13"/>
      <c r="AI96" s="13"/>
      <c r="AJ96" s="13"/>
      <c r="AK96" s="13"/>
      <c r="AM96" s="2">
        <f t="shared" si="27"/>
        <v>46293</v>
      </c>
      <c r="AN96">
        <f t="shared" si="28"/>
        <v>40</v>
      </c>
      <c r="AO96" s="18">
        <f>('Raw Data - Production'!D124/100)/60</f>
        <v>0</v>
      </c>
      <c r="AP96" s="18">
        <f>('Raw Data - Production'!E124/100)/60</f>
        <v>0</v>
      </c>
      <c r="AQ96" s="18">
        <f>('Raw Data - Production'!F124/50)/60</f>
        <v>0</v>
      </c>
      <c r="AR96" s="18">
        <f>('Raw Data - Production'!G124/50)/60</f>
        <v>0</v>
      </c>
      <c r="AS96" s="18">
        <f>('Raw Data - Production'!H124/50)/60</f>
        <v>0</v>
      </c>
      <c r="AT96" s="18"/>
      <c r="AU96" s="18"/>
      <c r="AV96" s="18"/>
      <c r="AW96" s="18"/>
    </row>
    <row r="97" spans="1:49" x14ac:dyDescent="0.3">
      <c r="A97" s="2">
        <f t="shared" si="17"/>
        <v>46294</v>
      </c>
      <c r="B97">
        <f t="shared" si="18"/>
        <v>40</v>
      </c>
      <c r="C97" s="13" t="str">
        <f t="shared" si="19"/>
        <v/>
      </c>
      <c r="D97" s="13" t="str">
        <f t="shared" si="20"/>
        <v/>
      </c>
      <c r="E97" s="13" t="str">
        <f t="shared" si="21"/>
        <v/>
      </c>
      <c r="F97" s="13" t="str">
        <f t="shared" si="22"/>
        <v/>
      </c>
      <c r="G97" s="13" t="str">
        <f t="shared" si="23"/>
        <v/>
      </c>
      <c r="H97" s="13"/>
      <c r="I97" s="13"/>
      <c r="J97" s="13"/>
      <c r="K97" s="13"/>
      <c r="M97" s="2">
        <f>+'Daily Summary'!A124</f>
        <v>46294</v>
      </c>
      <c r="N97">
        <f t="shared" si="24"/>
        <v>40</v>
      </c>
      <c r="O97" s="13" t="str">
        <f>+IFERROR('Raw Data - Production'!J125/('Raw Data - Production'!D125*Weights!$B$2),"")</f>
        <v/>
      </c>
      <c r="P97" s="13" t="str">
        <f>+IFERROR('Raw Data - Production'!K125/('Raw Data - Production'!E125*Weights!$B$2),"")</f>
        <v/>
      </c>
      <c r="Q97" s="13" t="str">
        <f>+IFERROR('Raw Data - Production'!L125/('Raw Data - Production'!F125*Weights!$B$2),"")</f>
        <v/>
      </c>
      <c r="R97" s="13" t="str">
        <f>+IFERROR('Raw Data - Production'!M125/('Raw Data - Production'!G125*Weights!$B$2),"")</f>
        <v/>
      </c>
      <c r="S97" s="13" t="str">
        <f>+IFERROR('Raw Data - Production'!N125/('Raw Data - Production'!H125*Weights!$B$2),"")</f>
        <v/>
      </c>
      <c r="T97" s="13"/>
      <c r="U97" s="13"/>
      <c r="V97" s="13"/>
      <c r="W97" s="13"/>
      <c r="Y97" s="2">
        <f t="shared" si="25"/>
        <v>46294</v>
      </c>
      <c r="AB97">
        <f t="shared" si="26"/>
        <v>40</v>
      </c>
      <c r="AC97" s="13">
        <f t="shared" si="15"/>
        <v>0</v>
      </c>
      <c r="AD97" s="13">
        <f t="shared" si="15"/>
        <v>0</v>
      </c>
      <c r="AE97" s="13">
        <f t="shared" si="16"/>
        <v>0</v>
      </c>
      <c r="AF97" s="13">
        <f t="shared" si="16"/>
        <v>0</v>
      </c>
      <c r="AG97" s="13">
        <f t="shared" si="16"/>
        <v>0</v>
      </c>
      <c r="AH97" s="13"/>
      <c r="AI97" s="13"/>
      <c r="AJ97" s="13"/>
      <c r="AK97" s="13"/>
      <c r="AM97" s="2">
        <f t="shared" si="27"/>
        <v>46294</v>
      </c>
      <c r="AN97">
        <f t="shared" si="28"/>
        <v>40</v>
      </c>
      <c r="AO97" s="18">
        <f>('Raw Data - Production'!D125/100)/60</f>
        <v>0</v>
      </c>
      <c r="AP97" s="18">
        <f>('Raw Data - Production'!E125/100)/60</f>
        <v>0</v>
      </c>
      <c r="AQ97" s="18">
        <f>('Raw Data - Production'!F125/50)/60</f>
        <v>0</v>
      </c>
      <c r="AR97" s="18">
        <f>('Raw Data - Production'!G125/50)/60</f>
        <v>0</v>
      </c>
      <c r="AS97" s="18">
        <f>('Raw Data - Production'!H125/50)/60</f>
        <v>0</v>
      </c>
      <c r="AT97" s="18"/>
      <c r="AU97" s="18"/>
      <c r="AV97" s="18"/>
      <c r="AW97" s="18"/>
    </row>
    <row r="98" spans="1:49" x14ac:dyDescent="0.3">
      <c r="A98" s="2">
        <f t="shared" si="17"/>
        <v>46295</v>
      </c>
      <c r="B98">
        <f t="shared" si="18"/>
        <v>40</v>
      </c>
      <c r="C98" s="13" t="str">
        <f t="shared" si="19"/>
        <v/>
      </c>
      <c r="D98" s="13" t="str">
        <f t="shared" si="20"/>
        <v/>
      </c>
      <c r="E98" s="13" t="str">
        <f t="shared" si="21"/>
        <v/>
      </c>
      <c r="F98" s="13" t="str">
        <f t="shared" si="22"/>
        <v/>
      </c>
      <c r="G98" s="13" t="str">
        <f t="shared" si="23"/>
        <v/>
      </c>
      <c r="H98" s="13"/>
      <c r="I98" s="13"/>
      <c r="J98" s="13"/>
      <c r="K98" s="13"/>
      <c r="M98" s="2">
        <f>+'Daily Summary'!A125</f>
        <v>46295</v>
      </c>
      <c r="N98">
        <f t="shared" si="24"/>
        <v>40</v>
      </c>
      <c r="O98" s="13" t="str">
        <f>+IFERROR('Raw Data - Production'!J126/('Raw Data - Production'!D126*Weights!$B$2),"")</f>
        <v/>
      </c>
      <c r="P98" s="13" t="str">
        <f>+IFERROR('Raw Data - Production'!K126/('Raw Data - Production'!E126*Weights!$B$2),"")</f>
        <v/>
      </c>
      <c r="Q98" s="13" t="str">
        <f>+IFERROR('Raw Data - Production'!L126/('Raw Data - Production'!F126*Weights!$B$2),"")</f>
        <v/>
      </c>
      <c r="R98" s="13" t="str">
        <f>+IFERROR('Raw Data - Production'!M126/('Raw Data - Production'!G126*Weights!$B$2),"")</f>
        <v/>
      </c>
      <c r="S98" s="13" t="str">
        <f>+IFERROR('Raw Data - Production'!N126/('Raw Data - Production'!H126*Weights!$B$2),"")</f>
        <v/>
      </c>
      <c r="T98" s="13"/>
      <c r="U98" s="13"/>
      <c r="V98" s="13"/>
      <c r="W98" s="13"/>
      <c r="Y98" s="2">
        <f t="shared" si="25"/>
        <v>46295</v>
      </c>
      <c r="AB98">
        <f t="shared" si="26"/>
        <v>40</v>
      </c>
      <c r="AC98" s="13">
        <f t="shared" si="15"/>
        <v>0</v>
      </c>
      <c r="AD98" s="13">
        <f t="shared" si="15"/>
        <v>0</v>
      </c>
      <c r="AE98" s="13">
        <f t="shared" si="16"/>
        <v>0</v>
      </c>
      <c r="AF98" s="13">
        <f t="shared" si="16"/>
        <v>0</v>
      </c>
      <c r="AG98" s="13">
        <f t="shared" si="16"/>
        <v>0</v>
      </c>
      <c r="AH98" s="13"/>
      <c r="AI98" s="13"/>
      <c r="AJ98" s="13"/>
      <c r="AK98" s="13"/>
      <c r="AM98" s="2">
        <f t="shared" si="27"/>
        <v>46295</v>
      </c>
      <c r="AN98">
        <f t="shared" si="28"/>
        <v>40</v>
      </c>
      <c r="AO98" s="18">
        <f>('Raw Data - Production'!D126/100)/60</f>
        <v>0</v>
      </c>
      <c r="AP98" s="18">
        <f>('Raw Data - Production'!E126/100)/60</f>
        <v>0</v>
      </c>
      <c r="AQ98" s="18">
        <f>('Raw Data - Production'!F126/50)/60</f>
        <v>0</v>
      </c>
      <c r="AR98" s="18">
        <f>('Raw Data - Production'!G126/50)/60</f>
        <v>0</v>
      </c>
      <c r="AS98" s="18">
        <f>('Raw Data - Production'!H126/50)/60</f>
        <v>0</v>
      </c>
      <c r="AT98" s="18"/>
      <c r="AU98" s="18"/>
      <c r="AV98" s="18"/>
      <c r="AW98" s="18"/>
    </row>
    <row r="99" spans="1:49" x14ac:dyDescent="0.3">
      <c r="A99" s="2">
        <f t="shared" si="17"/>
        <v>46296</v>
      </c>
      <c r="B99">
        <f t="shared" si="18"/>
        <v>40</v>
      </c>
      <c r="C99" s="13" t="str">
        <f t="shared" si="19"/>
        <v/>
      </c>
      <c r="D99" s="13" t="str">
        <f t="shared" si="20"/>
        <v/>
      </c>
      <c r="E99" s="13" t="str">
        <f t="shared" si="21"/>
        <v/>
      </c>
      <c r="F99" s="13" t="str">
        <f t="shared" si="22"/>
        <v/>
      </c>
      <c r="G99" s="13" t="str">
        <f t="shared" si="23"/>
        <v/>
      </c>
      <c r="H99" s="13"/>
      <c r="I99" s="13"/>
      <c r="J99" s="13"/>
      <c r="K99" s="13"/>
      <c r="M99" s="2">
        <f>+'Daily Summary'!A126</f>
        <v>46296</v>
      </c>
      <c r="N99">
        <f t="shared" si="24"/>
        <v>40</v>
      </c>
      <c r="O99" s="13" t="str">
        <f>+IFERROR('Raw Data - Production'!J127/('Raw Data - Production'!D127*Weights!$B$2),"")</f>
        <v/>
      </c>
      <c r="P99" s="13" t="str">
        <f>+IFERROR('Raw Data - Production'!K127/('Raw Data - Production'!E127*Weights!$B$2),"")</f>
        <v/>
      </c>
      <c r="Q99" s="13" t="str">
        <f>+IFERROR('Raw Data - Production'!L127/('Raw Data - Production'!F127*Weights!$B$2),"")</f>
        <v/>
      </c>
      <c r="R99" s="13" t="str">
        <f>+IFERROR('Raw Data - Production'!M127/('Raw Data - Production'!G127*Weights!$B$2),"")</f>
        <v/>
      </c>
      <c r="S99" s="13" t="str">
        <f>+IFERROR('Raw Data - Production'!N127/('Raw Data - Production'!H127*Weights!$B$2),"")</f>
        <v/>
      </c>
      <c r="T99" s="13"/>
      <c r="U99" s="13"/>
      <c r="V99" s="13"/>
      <c r="W99" s="13"/>
      <c r="Y99" s="2">
        <f t="shared" si="25"/>
        <v>46296</v>
      </c>
      <c r="AB99">
        <f t="shared" si="26"/>
        <v>40</v>
      </c>
      <c r="AC99" s="13">
        <f t="shared" si="15"/>
        <v>0</v>
      </c>
      <c r="AD99" s="13">
        <f t="shared" si="15"/>
        <v>0</v>
      </c>
      <c r="AE99" s="13">
        <f t="shared" si="16"/>
        <v>0</v>
      </c>
      <c r="AF99" s="13">
        <f t="shared" si="16"/>
        <v>0</v>
      </c>
      <c r="AG99" s="13">
        <f t="shared" si="16"/>
        <v>0</v>
      </c>
      <c r="AH99" s="13"/>
      <c r="AI99" s="13"/>
      <c r="AJ99" s="13"/>
      <c r="AK99" s="13"/>
      <c r="AM99" s="2">
        <f t="shared" si="27"/>
        <v>46296</v>
      </c>
      <c r="AN99">
        <f t="shared" si="28"/>
        <v>40</v>
      </c>
      <c r="AO99" s="18">
        <f>('Raw Data - Production'!D127/100)/60</f>
        <v>0</v>
      </c>
      <c r="AP99" s="18">
        <f>('Raw Data - Production'!E127/100)/60</f>
        <v>0</v>
      </c>
      <c r="AQ99" s="18">
        <f>('Raw Data - Production'!F127/50)/60</f>
        <v>0</v>
      </c>
      <c r="AR99" s="18">
        <f>('Raw Data - Production'!G127/50)/60</f>
        <v>0</v>
      </c>
      <c r="AS99" s="18">
        <f>('Raw Data - Production'!H127/50)/60</f>
        <v>0</v>
      </c>
      <c r="AT99" s="18"/>
      <c r="AU99" s="18"/>
      <c r="AV99" s="18"/>
      <c r="AW99" s="18"/>
    </row>
    <row r="100" spans="1:49" x14ac:dyDescent="0.3">
      <c r="A100" s="2">
        <f t="shared" si="17"/>
        <v>46297</v>
      </c>
      <c r="B100">
        <f t="shared" si="18"/>
        <v>40</v>
      </c>
      <c r="C100" s="13" t="str">
        <f t="shared" si="19"/>
        <v/>
      </c>
      <c r="D100" s="13" t="str">
        <f t="shared" si="20"/>
        <v/>
      </c>
      <c r="E100" s="13" t="str">
        <f t="shared" si="21"/>
        <v/>
      </c>
      <c r="F100" s="13" t="str">
        <f t="shared" si="22"/>
        <v/>
      </c>
      <c r="G100" s="13" t="str">
        <f t="shared" si="23"/>
        <v/>
      </c>
      <c r="H100" s="13"/>
      <c r="I100" s="13"/>
      <c r="J100" s="13"/>
      <c r="K100" s="13"/>
      <c r="M100" s="2">
        <f>+'Daily Summary'!A127</f>
        <v>46297</v>
      </c>
      <c r="N100">
        <f t="shared" si="24"/>
        <v>40</v>
      </c>
      <c r="O100" s="13" t="str">
        <f>+IFERROR('Raw Data - Production'!J128/('Raw Data - Production'!D128*Weights!$B$2),"")</f>
        <v/>
      </c>
      <c r="P100" s="13" t="str">
        <f>+IFERROR('Raw Data - Production'!K128/('Raw Data - Production'!E128*Weights!$B$2),"")</f>
        <v/>
      </c>
      <c r="Q100" s="13" t="str">
        <f>+IFERROR('Raw Data - Production'!L128/('Raw Data - Production'!F128*Weights!$B$2),"")</f>
        <v/>
      </c>
      <c r="R100" s="13" t="str">
        <f>+IFERROR('Raw Data - Production'!M128/('Raw Data - Production'!G128*Weights!$B$2),"")</f>
        <v/>
      </c>
      <c r="S100" s="13" t="str">
        <f>+IFERROR('Raw Data - Production'!N128/('Raw Data - Production'!H128*Weights!$B$2),"")</f>
        <v/>
      </c>
      <c r="T100" s="13"/>
      <c r="U100" s="13"/>
      <c r="V100" s="13"/>
      <c r="W100" s="13"/>
      <c r="Y100" s="2">
        <f t="shared" si="25"/>
        <v>46297</v>
      </c>
      <c r="AB100">
        <f t="shared" si="26"/>
        <v>40</v>
      </c>
      <c r="AC100" s="13">
        <f t="shared" si="15"/>
        <v>0</v>
      </c>
      <c r="AD100" s="13">
        <f t="shared" si="15"/>
        <v>0</v>
      </c>
      <c r="AE100" s="13">
        <f t="shared" si="16"/>
        <v>0</v>
      </c>
      <c r="AF100" s="13">
        <f t="shared" si="16"/>
        <v>0</v>
      </c>
      <c r="AG100" s="13">
        <f t="shared" si="16"/>
        <v>0</v>
      </c>
      <c r="AH100" s="13"/>
      <c r="AI100" s="13"/>
      <c r="AJ100" s="13"/>
      <c r="AK100" s="13"/>
      <c r="AM100" s="2">
        <f t="shared" si="27"/>
        <v>46297</v>
      </c>
      <c r="AN100">
        <f t="shared" si="28"/>
        <v>40</v>
      </c>
      <c r="AO100" s="18">
        <f>('Raw Data - Production'!D128/100)/60</f>
        <v>0</v>
      </c>
      <c r="AP100" s="18">
        <f>('Raw Data - Production'!E128/100)/60</f>
        <v>0</v>
      </c>
      <c r="AQ100" s="18">
        <f>('Raw Data - Production'!F128/50)/60</f>
        <v>0</v>
      </c>
      <c r="AR100" s="18">
        <f>('Raw Data - Production'!G128/50)/60</f>
        <v>0</v>
      </c>
      <c r="AS100" s="18">
        <f>('Raw Data - Production'!H128/50)/60</f>
        <v>0</v>
      </c>
      <c r="AT100" s="18"/>
      <c r="AU100" s="18"/>
      <c r="AV100" s="18"/>
      <c r="AW100" s="18"/>
    </row>
    <row r="101" spans="1:49" x14ac:dyDescent="0.3">
      <c r="A101" s="2">
        <f t="shared" si="17"/>
        <v>46300</v>
      </c>
      <c r="B101">
        <f t="shared" si="18"/>
        <v>41</v>
      </c>
      <c r="C101" s="13" t="str">
        <f t="shared" si="19"/>
        <v/>
      </c>
      <c r="D101" s="13" t="str">
        <f t="shared" si="20"/>
        <v/>
      </c>
      <c r="E101" s="13" t="str">
        <f t="shared" si="21"/>
        <v/>
      </c>
      <c r="F101" s="13" t="str">
        <f t="shared" si="22"/>
        <v/>
      </c>
      <c r="G101" s="13" t="str">
        <f t="shared" si="23"/>
        <v/>
      </c>
      <c r="H101" s="13"/>
      <c r="I101" s="13"/>
      <c r="J101" s="13"/>
      <c r="K101" s="13"/>
      <c r="M101" s="2">
        <f>+'Daily Summary'!A128</f>
        <v>46300</v>
      </c>
      <c r="N101">
        <f t="shared" si="24"/>
        <v>41</v>
      </c>
      <c r="O101" s="13" t="str">
        <f>+IFERROR('Raw Data - Production'!J129/('Raw Data - Production'!D129*Weights!$B$2),"")</f>
        <v/>
      </c>
      <c r="P101" s="13" t="str">
        <f>+IFERROR('Raw Data - Production'!K129/('Raw Data - Production'!E129*Weights!$B$2),"")</f>
        <v/>
      </c>
      <c r="Q101" s="13" t="str">
        <f>+IFERROR('Raw Data - Production'!L129/('Raw Data - Production'!F129*Weights!$B$2),"")</f>
        <v/>
      </c>
      <c r="R101" s="13" t="str">
        <f>+IFERROR('Raw Data - Production'!M129/('Raw Data - Production'!G129*Weights!$B$2),"")</f>
        <v/>
      </c>
      <c r="S101" s="13" t="str">
        <f>+IFERROR('Raw Data - Production'!N129/('Raw Data - Production'!H129*Weights!$B$2),"")</f>
        <v/>
      </c>
      <c r="T101" s="13"/>
      <c r="U101" s="13"/>
      <c r="V101" s="13"/>
      <c r="W101" s="13"/>
      <c r="Y101" s="2">
        <f t="shared" si="25"/>
        <v>46300</v>
      </c>
      <c r="AB101">
        <f t="shared" si="26"/>
        <v>41</v>
      </c>
      <c r="AC101" s="13">
        <f t="shared" si="15"/>
        <v>0</v>
      </c>
      <c r="AD101" s="13">
        <f t="shared" si="15"/>
        <v>0</v>
      </c>
      <c r="AE101" s="13">
        <f t="shared" si="16"/>
        <v>0</v>
      </c>
      <c r="AF101" s="13">
        <f t="shared" si="16"/>
        <v>0</v>
      </c>
      <c r="AG101" s="13">
        <f t="shared" si="16"/>
        <v>0</v>
      </c>
      <c r="AH101" s="13"/>
      <c r="AI101" s="13"/>
      <c r="AJ101" s="13"/>
      <c r="AK101" s="13"/>
      <c r="AM101" s="2">
        <f t="shared" si="27"/>
        <v>46300</v>
      </c>
      <c r="AN101">
        <f t="shared" si="28"/>
        <v>41</v>
      </c>
      <c r="AO101" s="18">
        <f>('Raw Data - Production'!D129/100)/60</f>
        <v>0</v>
      </c>
      <c r="AP101" s="18">
        <f>('Raw Data - Production'!E129/100)/60</f>
        <v>0</v>
      </c>
      <c r="AQ101" s="18">
        <f>('Raw Data - Production'!F129/50)/60</f>
        <v>0</v>
      </c>
      <c r="AR101" s="18">
        <f>('Raw Data - Production'!G129/50)/60</f>
        <v>0</v>
      </c>
      <c r="AS101" s="18">
        <f>('Raw Data - Production'!H129/50)/60</f>
        <v>0</v>
      </c>
      <c r="AT101" s="18"/>
      <c r="AU101" s="18"/>
      <c r="AV101" s="18"/>
      <c r="AW101" s="18"/>
    </row>
    <row r="102" spans="1:49" x14ac:dyDescent="0.3">
      <c r="A102" s="2">
        <f t="shared" si="17"/>
        <v>46301</v>
      </c>
      <c r="B102">
        <f t="shared" si="18"/>
        <v>41</v>
      </c>
      <c r="C102" s="13" t="str">
        <f t="shared" si="19"/>
        <v/>
      </c>
      <c r="D102" s="13" t="str">
        <f t="shared" si="20"/>
        <v/>
      </c>
      <c r="E102" s="13" t="str">
        <f t="shared" si="21"/>
        <v/>
      </c>
      <c r="F102" s="13" t="str">
        <f t="shared" si="22"/>
        <v/>
      </c>
      <c r="G102" s="13" t="str">
        <f t="shared" si="23"/>
        <v/>
      </c>
      <c r="H102" s="13"/>
      <c r="I102" s="13"/>
      <c r="J102" s="13"/>
      <c r="K102" s="13"/>
      <c r="M102" s="2">
        <f>+'Daily Summary'!A129</f>
        <v>46301</v>
      </c>
      <c r="N102">
        <f t="shared" si="24"/>
        <v>41</v>
      </c>
      <c r="O102" s="13" t="str">
        <f>+IFERROR('Raw Data - Production'!J130/('Raw Data - Production'!D130*Weights!$B$2),"")</f>
        <v/>
      </c>
      <c r="P102" s="13" t="str">
        <f>+IFERROR('Raw Data - Production'!K130/('Raw Data - Production'!E130*Weights!$B$2),"")</f>
        <v/>
      </c>
      <c r="Q102" s="13" t="str">
        <f>+IFERROR('Raw Data - Production'!L130/('Raw Data - Production'!F130*Weights!$B$2),"")</f>
        <v/>
      </c>
      <c r="R102" s="13" t="str">
        <f>+IFERROR('Raw Data - Production'!M130/('Raw Data - Production'!G130*Weights!$B$2),"")</f>
        <v/>
      </c>
      <c r="S102" s="13" t="str">
        <f>+IFERROR('Raw Data - Production'!N130/('Raw Data - Production'!H130*Weights!$B$2),"")</f>
        <v/>
      </c>
      <c r="T102" s="13"/>
      <c r="U102" s="13"/>
      <c r="V102" s="13"/>
      <c r="W102" s="13"/>
      <c r="Y102" s="2">
        <f t="shared" si="25"/>
        <v>46301</v>
      </c>
      <c r="AB102">
        <f t="shared" si="26"/>
        <v>41</v>
      </c>
      <c r="AC102" s="13">
        <f t="shared" si="15"/>
        <v>0</v>
      </c>
      <c r="AD102" s="13">
        <f t="shared" si="15"/>
        <v>0</v>
      </c>
      <c r="AE102" s="13">
        <f t="shared" si="16"/>
        <v>0</v>
      </c>
      <c r="AF102" s="13">
        <f t="shared" si="16"/>
        <v>0</v>
      </c>
      <c r="AG102" s="13">
        <f t="shared" si="16"/>
        <v>0</v>
      </c>
      <c r="AH102" s="13"/>
      <c r="AI102" s="13"/>
      <c r="AJ102" s="13"/>
      <c r="AK102" s="13"/>
      <c r="AM102" s="2">
        <f t="shared" si="27"/>
        <v>46301</v>
      </c>
      <c r="AN102">
        <f t="shared" si="28"/>
        <v>41</v>
      </c>
      <c r="AO102" s="18">
        <f>('Raw Data - Production'!D130/100)/60</f>
        <v>0</v>
      </c>
      <c r="AP102" s="18">
        <f>('Raw Data - Production'!E130/100)/60</f>
        <v>0</v>
      </c>
      <c r="AQ102" s="18">
        <f>('Raw Data - Production'!F130/50)/60</f>
        <v>0</v>
      </c>
      <c r="AR102" s="18">
        <f>('Raw Data - Production'!G130/50)/60</f>
        <v>0</v>
      </c>
      <c r="AS102" s="18">
        <f>('Raw Data - Production'!H130/50)/60</f>
        <v>0</v>
      </c>
      <c r="AT102" s="18"/>
      <c r="AU102" s="18"/>
      <c r="AV102" s="18"/>
      <c r="AW102" s="18"/>
    </row>
    <row r="103" spans="1:49" x14ac:dyDescent="0.3">
      <c r="A103" s="2">
        <f t="shared" si="17"/>
        <v>46302</v>
      </c>
      <c r="B103">
        <f t="shared" si="18"/>
        <v>41</v>
      </c>
      <c r="C103" s="13" t="str">
        <f t="shared" si="19"/>
        <v/>
      </c>
      <c r="D103" s="13" t="str">
        <f t="shared" si="20"/>
        <v/>
      </c>
      <c r="E103" s="13" t="str">
        <f t="shared" si="21"/>
        <v/>
      </c>
      <c r="F103" s="13" t="str">
        <f t="shared" si="22"/>
        <v/>
      </c>
      <c r="G103" s="13" t="str">
        <f t="shared" si="23"/>
        <v/>
      </c>
      <c r="H103" s="13"/>
      <c r="I103" s="13"/>
      <c r="J103" s="13"/>
      <c r="K103" s="13"/>
      <c r="M103" s="2">
        <f>+'Daily Summary'!A130</f>
        <v>46302</v>
      </c>
      <c r="N103">
        <f t="shared" si="24"/>
        <v>41</v>
      </c>
      <c r="O103" s="13" t="str">
        <f>+IFERROR('Raw Data - Production'!J131/('Raw Data - Production'!D131*Weights!$B$2),"")</f>
        <v/>
      </c>
      <c r="P103" s="13" t="str">
        <f>+IFERROR('Raw Data - Production'!K131/('Raw Data - Production'!E131*Weights!$B$2),"")</f>
        <v/>
      </c>
      <c r="Q103" s="13" t="str">
        <f>+IFERROR('Raw Data - Production'!L131/('Raw Data - Production'!F131*Weights!$B$2),"")</f>
        <v/>
      </c>
      <c r="R103" s="13" t="str">
        <f>+IFERROR('Raw Data - Production'!M131/('Raw Data - Production'!G131*Weights!$B$2),"")</f>
        <v/>
      </c>
      <c r="S103" s="13" t="str">
        <f>+IFERROR('Raw Data - Production'!N131/('Raw Data - Production'!H131*Weights!$B$2),"")</f>
        <v/>
      </c>
      <c r="T103" s="13"/>
      <c r="U103" s="13"/>
      <c r="V103" s="13"/>
      <c r="W103" s="13"/>
      <c r="Y103" s="2">
        <f t="shared" si="25"/>
        <v>46302</v>
      </c>
      <c r="AB103">
        <f t="shared" si="26"/>
        <v>41</v>
      </c>
      <c r="AC103" s="13">
        <f t="shared" si="15"/>
        <v>0</v>
      </c>
      <c r="AD103" s="13">
        <f t="shared" si="15"/>
        <v>0</v>
      </c>
      <c r="AE103" s="13">
        <f t="shared" si="16"/>
        <v>0</v>
      </c>
      <c r="AF103" s="13">
        <f t="shared" si="16"/>
        <v>0</v>
      </c>
      <c r="AG103" s="13">
        <f t="shared" si="16"/>
        <v>0</v>
      </c>
      <c r="AH103" s="13"/>
      <c r="AI103" s="13"/>
      <c r="AJ103" s="13"/>
      <c r="AK103" s="13"/>
      <c r="AM103" s="2">
        <f t="shared" si="27"/>
        <v>46302</v>
      </c>
      <c r="AN103">
        <f t="shared" si="28"/>
        <v>41</v>
      </c>
      <c r="AO103" s="18">
        <f>('Raw Data - Production'!D131/100)/60</f>
        <v>0</v>
      </c>
      <c r="AP103" s="18">
        <f>('Raw Data - Production'!E131/100)/60</f>
        <v>0</v>
      </c>
      <c r="AQ103" s="18">
        <f>('Raw Data - Production'!F131/50)/60</f>
        <v>0</v>
      </c>
      <c r="AR103" s="18">
        <f>('Raw Data - Production'!G131/50)/60</f>
        <v>0</v>
      </c>
      <c r="AS103" s="18">
        <f>('Raw Data - Production'!H131/50)/60</f>
        <v>0</v>
      </c>
      <c r="AT103" s="18"/>
      <c r="AU103" s="18"/>
      <c r="AV103" s="18"/>
      <c r="AW103" s="18"/>
    </row>
    <row r="104" spans="1:49" x14ac:dyDescent="0.3">
      <c r="A104" s="2">
        <f t="shared" si="17"/>
        <v>46303</v>
      </c>
      <c r="B104">
        <f t="shared" si="18"/>
        <v>41</v>
      </c>
      <c r="C104" s="13" t="str">
        <f t="shared" si="19"/>
        <v/>
      </c>
      <c r="D104" s="13" t="str">
        <f t="shared" si="20"/>
        <v/>
      </c>
      <c r="E104" s="13" t="str">
        <f t="shared" si="21"/>
        <v/>
      </c>
      <c r="F104" s="13" t="str">
        <f t="shared" si="22"/>
        <v/>
      </c>
      <c r="G104" s="13" t="str">
        <f t="shared" si="23"/>
        <v/>
      </c>
      <c r="H104" s="13"/>
      <c r="I104" s="13"/>
      <c r="J104" s="13"/>
      <c r="K104" s="13"/>
      <c r="M104" s="2">
        <f>+'Daily Summary'!A131</f>
        <v>46303</v>
      </c>
      <c r="N104">
        <f t="shared" si="24"/>
        <v>41</v>
      </c>
      <c r="O104" s="13" t="str">
        <f>+IFERROR('Raw Data - Production'!J132/('Raw Data - Production'!D132*Weights!$B$2),"")</f>
        <v/>
      </c>
      <c r="P104" s="13" t="str">
        <f>+IFERROR('Raw Data - Production'!K132/('Raw Data - Production'!E132*Weights!$B$2),"")</f>
        <v/>
      </c>
      <c r="Q104" s="13" t="str">
        <f>+IFERROR('Raw Data - Production'!L132/('Raw Data - Production'!F132*Weights!$B$2),"")</f>
        <v/>
      </c>
      <c r="R104" s="13" t="str">
        <f>+IFERROR('Raw Data - Production'!M132/('Raw Data - Production'!G132*Weights!$B$2),"")</f>
        <v/>
      </c>
      <c r="S104" s="13" t="str">
        <f>+IFERROR('Raw Data - Production'!N132/('Raw Data - Production'!H132*Weights!$B$2),"")</f>
        <v/>
      </c>
      <c r="T104" s="13"/>
      <c r="U104" s="13"/>
      <c r="V104" s="13"/>
      <c r="W104" s="13"/>
      <c r="Y104" s="2">
        <f t="shared" si="25"/>
        <v>46303</v>
      </c>
      <c r="AB104">
        <f t="shared" si="26"/>
        <v>41</v>
      </c>
      <c r="AC104" s="13">
        <f t="shared" si="15"/>
        <v>0</v>
      </c>
      <c r="AD104" s="13">
        <f t="shared" si="15"/>
        <v>0</v>
      </c>
      <c r="AE104" s="13">
        <f t="shared" si="16"/>
        <v>0</v>
      </c>
      <c r="AF104" s="13">
        <f t="shared" si="16"/>
        <v>0</v>
      </c>
      <c r="AG104" s="13">
        <f t="shared" si="16"/>
        <v>0</v>
      </c>
      <c r="AH104" s="13"/>
      <c r="AI104" s="13"/>
      <c r="AJ104" s="13"/>
      <c r="AK104" s="13"/>
      <c r="AM104" s="2">
        <f t="shared" si="27"/>
        <v>46303</v>
      </c>
      <c r="AN104">
        <f t="shared" si="28"/>
        <v>41</v>
      </c>
      <c r="AO104" s="18">
        <f>('Raw Data - Production'!D132/100)/60</f>
        <v>0</v>
      </c>
      <c r="AP104" s="18">
        <f>('Raw Data - Production'!E132/100)/60</f>
        <v>0</v>
      </c>
      <c r="AQ104" s="18">
        <f>('Raw Data - Production'!F132/50)/60</f>
        <v>0</v>
      </c>
      <c r="AR104" s="18">
        <f>('Raw Data - Production'!G132/50)/60</f>
        <v>0</v>
      </c>
      <c r="AS104" s="18">
        <f>('Raw Data - Production'!H132/50)/60</f>
        <v>0</v>
      </c>
      <c r="AT104" s="18"/>
      <c r="AU104" s="18"/>
      <c r="AV104" s="18"/>
      <c r="AW104" s="18"/>
    </row>
    <row r="105" spans="1:49" x14ac:dyDescent="0.3">
      <c r="A105" s="2">
        <f t="shared" si="17"/>
        <v>46304</v>
      </c>
      <c r="B105">
        <f t="shared" si="18"/>
        <v>41</v>
      </c>
      <c r="C105" s="13" t="str">
        <f t="shared" si="19"/>
        <v/>
      </c>
      <c r="D105" s="13" t="str">
        <f t="shared" si="20"/>
        <v/>
      </c>
      <c r="E105" s="13" t="str">
        <f t="shared" si="21"/>
        <v/>
      </c>
      <c r="F105" s="13" t="str">
        <f t="shared" si="22"/>
        <v/>
      </c>
      <c r="G105" s="13" t="str">
        <f t="shared" si="23"/>
        <v/>
      </c>
      <c r="H105" s="13"/>
      <c r="I105" s="13"/>
      <c r="J105" s="13"/>
      <c r="K105" s="13"/>
      <c r="M105" s="2">
        <f>+'Daily Summary'!A132</f>
        <v>46304</v>
      </c>
      <c r="N105">
        <f t="shared" si="24"/>
        <v>41</v>
      </c>
      <c r="O105" s="13" t="str">
        <f>+IFERROR('Raw Data - Production'!J133/('Raw Data - Production'!D133*Weights!$B$2),"")</f>
        <v/>
      </c>
      <c r="P105" s="13" t="str">
        <f>+IFERROR('Raw Data - Production'!K133/('Raw Data - Production'!E133*Weights!$B$2),"")</f>
        <v/>
      </c>
      <c r="Q105" s="13" t="str">
        <f>+IFERROR('Raw Data - Production'!L133/('Raw Data - Production'!F133*Weights!$B$2),"")</f>
        <v/>
      </c>
      <c r="R105" s="13" t="str">
        <f>+IFERROR('Raw Data - Production'!M133/('Raw Data - Production'!G133*Weights!$B$2),"")</f>
        <v/>
      </c>
      <c r="S105" s="13" t="str">
        <f>+IFERROR('Raw Data - Production'!N133/('Raw Data - Production'!H133*Weights!$B$2),"")</f>
        <v/>
      </c>
      <c r="T105" s="13"/>
      <c r="U105" s="13"/>
      <c r="V105" s="13"/>
      <c r="W105" s="13"/>
      <c r="Y105" s="2">
        <f t="shared" si="25"/>
        <v>46304</v>
      </c>
      <c r="AB105">
        <f t="shared" si="26"/>
        <v>41</v>
      </c>
      <c r="AC105" s="13">
        <f t="shared" ref="AC105:AD161" si="29">$Z105/$Z$1</f>
        <v>0</v>
      </c>
      <c r="AD105" s="13">
        <f t="shared" si="29"/>
        <v>0</v>
      </c>
      <c r="AE105" s="13">
        <f t="shared" ref="AE105:AG161" si="30">+$AA105/$AA$1</f>
        <v>0</v>
      </c>
      <c r="AF105" s="13">
        <f t="shared" si="30"/>
        <v>0</v>
      </c>
      <c r="AG105" s="13">
        <f t="shared" si="30"/>
        <v>0</v>
      </c>
      <c r="AH105" s="13"/>
      <c r="AI105" s="13"/>
      <c r="AJ105" s="13"/>
      <c r="AK105" s="13"/>
      <c r="AM105" s="2">
        <f t="shared" si="27"/>
        <v>46304</v>
      </c>
      <c r="AN105">
        <f t="shared" si="28"/>
        <v>41</v>
      </c>
      <c r="AO105" s="18">
        <f>('Raw Data - Production'!D133/100)/60</f>
        <v>0</v>
      </c>
      <c r="AP105" s="18">
        <f>('Raw Data - Production'!E133/100)/60</f>
        <v>0</v>
      </c>
      <c r="AQ105" s="18">
        <f>('Raw Data - Production'!F133/50)/60</f>
        <v>0</v>
      </c>
      <c r="AR105" s="18">
        <f>('Raw Data - Production'!G133/50)/60</f>
        <v>0</v>
      </c>
      <c r="AS105" s="18">
        <f>('Raw Data - Production'!H133/50)/60</f>
        <v>0</v>
      </c>
      <c r="AT105" s="18"/>
      <c r="AU105" s="18"/>
      <c r="AV105" s="18"/>
      <c r="AW105" s="18"/>
    </row>
    <row r="106" spans="1:49" x14ac:dyDescent="0.3">
      <c r="A106" s="2">
        <f t="shared" si="17"/>
        <v>46307</v>
      </c>
      <c r="B106">
        <f t="shared" si="18"/>
        <v>42</v>
      </c>
      <c r="C106" s="13" t="str">
        <f t="shared" si="19"/>
        <v/>
      </c>
      <c r="D106" s="13" t="str">
        <f t="shared" si="20"/>
        <v/>
      </c>
      <c r="E106" s="13" t="str">
        <f t="shared" si="21"/>
        <v/>
      </c>
      <c r="F106" s="13" t="str">
        <f t="shared" si="22"/>
        <v/>
      </c>
      <c r="G106" s="13" t="str">
        <f t="shared" si="23"/>
        <v/>
      </c>
      <c r="H106" s="13"/>
      <c r="I106" s="13"/>
      <c r="J106" s="13"/>
      <c r="K106" s="13"/>
      <c r="M106" s="2">
        <f>+'Daily Summary'!A133</f>
        <v>46307</v>
      </c>
      <c r="N106">
        <f t="shared" si="24"/>
        <v>42</v>
      </c>
      <c r="O106" s="13" t="str">
        <f>+IFERROR('Raw Data - Production'!J134/('Raw Data - Production'!D134*Weights!$B$2),"")</f>
        <v/>
      </c>
      <c r="P106" s="13" t="str">
        <f>+IFERROR('Raw Data - Production'!K134/('Raw Data - Production'!E134*Weights!$B$2),"")</f>
        <v/>
      </c>
      <c r="Q106" s="13" t="str">
        <f>+IFERROR('Raw Data - Production'!L134/('Raw Data - Production'!F134*Weights!$B$2),"")</f>
        <v/>
      </c>
      <c r="R106" s="13" t="str">
        <f>+IFERROR('Raw Data - Production'!M134/('Raw Data - Production'!G134*Weights!$B$2),"")</f>
        <v/>
      </c>
      <c r="S106" s="13" t="str">
        <f>+IFERROR('Raw Data - Production'!N134/('Raw Data - Production'!H134*Weights!$B$2),"")</f>
        <v/>
      </c>
      <c r="T106" s="13"/>
      <c r="U106" s="13"/>
      <c r="V106" s="13"/>
      <c r="W106" s="13"/>
      <c r="Y106" s="2">
        <f t="shared" si="25"/>
        <v>46307</v>
      </c>
      <c r="AB106">
        <f t="shared" si="26"/>
        <v>42</v>
      </c>
      <c r="AC106" s="13">
        <f t="shared" si="29"/>
        <v>0</v>
      </c>
      <c r="AD106" s="13">
        <f t="shared" si="29"/>
        <v>0</v>
      </c>
      <c r="AE106" s="13">
        <f t="shared" si="30"/>
        <v>0</v>
      </c>
      <c r="AF106" s="13">
        <f t="shared" si="30"/>
        <v>0</v>
      </c>
      <c r="AG106" s="13">
        <f t="shared" si="30"/>
        <v>0</v>
      </c>
      <c r="AH106" s="13"/>
      <c r="AI106" s="13"/>
      <c r="AJ106" s="13"/>
      <c r="AK106" s="13"/>
      <c r="AM106" s="2">
        <f t="shared" si="27"/>
        <v>46307</v>
      </c>
      <c r="AN106">
        <f t="shared" si="28"/>
        <v>42</v>
      </c>
      <c r="AO106" s="18">
        <f>('Raw Data - Production'!D134/100)/60</f>
        <v>0</v>
      </c>
      <c r="AP106" s="18">
        <f>('Raw Data - Production'!E134/100)/60</f>
        <v>0</v>
      </c>
      <c r="AQ106" s="18">
        <f>('Raw Data - Production'!F134/50)/60</f>
        <v>0</v>
      </c>
      <c r="AR106" s="18">
        <f>('Raw Data - Production'!G134/50)/60</f>
        <v>0</v>
      </c>
      <c r="AS106" s="18">
        <f>('Raw Data - Production'!H134/50)/60</f>
        <v>0</v>
      </c>
      <c r="AT106" s="18"/>
      <c r="AU106" s="18"/>
      <c r="AV106" s="18"/>
      <c r="AW106" s="18"/>
    </row>
    <row r="107" spans="1:49" x14ac:dyDescent="0.3">
      <c r="A107" s="2">
        <f t="shared" si="17"/>
        <v>46308</v>
      </c>
      <c r="B107">
        <f t="shared" si="18"/>
        <v>42</v>
      </c>
      <c r="C107" s="13" t="str">
        <f t="shared" si="19"/>
        <v/>
      </c>
      <c r="D107" s="13" t="str">
        <f t="shared" si="20"/>
        <v/>
      </c>
      <c r="E107" s="13" t="str">
        <f t="shared" si="21"/>
        <v/>
      </c>
      <c r="F107" s="13" t="str">
        <f t="shared" si="22"/>
        <v/>
      </c>
      <c r="G107" s="13" t="str">
        <f t="shared" si="23"/>
        <v/>
      </c>
      <c r="H107" s="13"/>
      <c r="I107" s="13"/>
      <c r="J107" s="13"/>
      <c r="K107" s="13"/>
      <c r="M107" s="2">
        <f>+'Daily Summary'!A134</f>
        <v>46308</v>
      </c>
      <c r="N107">
        <f t="shared" si="24"/>
        <v>42</v>
      </c>
      <c r="O107" s="13" t="str">
        <f>+IFERROR('Raw Data - Production'!J135/('Raw Data - Production'!D135*Weights!$B$2),"")</f>
        <v/>
      </c>
      <c r="P107" s="13" t="str">
        <f>+IFERROR('Raw Data - Production'!K135/('Raw Data - Production'!E135*Weights!$B$2),"")</f>
        <v/>
      </c>
      <c r="Q107" s="13" t="str">
        <f>+IFERROR('Raw Data - Production'!L135/('Raw Data - Production'!F135*Weights!$B$2),"")</f>
        <v/>
      </c>
      <c r="R107" s="13" t="str">
        <f>+IFERROR('Raw Data - Production'!M135/('Raw Data - Production'!G135*Weights!$B$2),"")</f>
        <v/>
      </c>
      <c r="S107" s="13" t="str">
        <f>+IFERROR('Raw Data - Production'!N135/('Raw Data - Production'!H135*Weights!$B$2),"")</f>
        <v/>
      </c>
      <c r="T107" s="13"/>
      <c r="U107" s="13"/>
      <c r="V107" s="13"/>
      <c r="W107" s="13"/>
      <c r="Y107" s="2">
        <f t="shared" si="25"/>
        <v>46308</v>
      </c>
      <c r="AB107">
        <f t="shared" si="26"/>
        <v>42</v>
      </c>
      <c r="AC107" s="13">
        <f t="shared" si="29"/>
        <v>0</v>
      </c>
      <c r="AD107" s="13">
        <f t="shared" si="29"/>
        <v>0</v>
      </c>
      <c r="AE107" s="13">
        <f t="shared" si="30"/>
        <v>0</v>
      </c>
      <c r="AF107" s="13">
        <f t="shared" si="30"/>
        <v>0</v>
      </c>
      <c r="AG107" s="13">
        <f t="shared" si="30"/>
        <v>0</v>
      </c>
      <c r="AH107" s="13"/>
      <c r="AI107" s="13"/>
      <c r="AJ107" s="13"/>
      <c r="AK107" s="13"/>
      <c r="AM107" s="2">
        <f t="shared" si="27"/>
        <v>46308</v>
      </c>
      <c r="AN107">
        <f t="shared" si="28"/>
        <v>42</v>
      </c>
      <c r="AO107" s="18">
        <f>('Raw Data - Production'!D135/100)/60</f>
        <v>0</v>
      </c>
      <c r="AP107" s="18">
        <f>('Raw Data - Production'!E135/100)/60</f>
        <v>0</v>
      </c>
      <c r="AQ107" s="18">
        <f>('Raw Data - Production'!F135/50)/60</f>
        <v>0</v>
      </c>
      <c r="AR107" s="18">
        <f>('Raw Data - Production'!G135/50)/60</f>
        <v>0</v>
      </c>
      <c r="AS107" s="18">
        <f>('Raw Data - Production'!H135/50)/60</f>
        <v>0</v>
      </c>
      <c r="AT107" s="18"/>
      <c r="AU107" s="18"/>
      <c r="AV107" s="18"/>
      <c r="AW107" s="18"/>
    </row>
    <row r="108" spans="1:49" x14ac:dyDescent="0.3">
      <c r="A108" s="2">
        <f t="shared" si="17"/>
        <v>46309</v>
      </c>
      <c r="B108">
        <f t="shared" si="18"/>
        <v>42</v>
      </c>
      <c r="C108" s="13" t="str">
        <f t="shared" si="19"/>
        <v/>
      </c>
      <c r="D108" s="13" t="str">
        <f t="shared" si="20"/>
        <v/>
      </c>
      <c r="E108" s="13" t="str">
        <f t="shared" si="21"/>
        <v/>
      </c>
      <c r="F108" s="13" t="str">
        <f t="shared" si="22"/>
        <v/>
      </c>
      <c r="G108" s="13" t="str">
        <f t="shared" si="23"/>
        <v/>
      </c>
      <c r="H108" s="13"/>
      <c r="I108" s="13"/>
      <c r="J108" s="13"/>
      <c r="K108" s="13"/>
      <c r="M108" s="2">
        <f>+'Daily Summary'!A135</f>
        <v>46309</v>
      </c>
      <c r="N108">
        <f t="shared" si="24"/>
        <v>42</v>
      </c>
      <c r="O108" s="13" t="str">
        <f>+IFERROR('Raw Data - Production'!J136/('Raw Data - Production'!D136*Weights!$B$2),"")</f>
        <v/>
      </c>
      <c r="P108" s="13" t="str">
        <f>+IFERROR('Raw Data - Production'!K136/('Raw Data - Production'!E136*Weights!$B$2),"")</f>
        <v/>
      </c>
      <c r="Q108" s="13" t="str">
        <f>+IFERROR('Raw Data - Production'!L136/('Raw Data - Production'!F136*Weights!$B$2),"")</f>
        <v/>
      </c>
      <c r="R108" s="13" t="str">
        <f>+IFERROR('Raw Data - Production'!M136/('Raw Data - Production'!G136*Weights!$B$2),"")</f>
        <v/>
      </c>
      <c r="S108" s="13" t="str">
        <f>+IFERROR('Raw Data - Production'!N136/('Raw Data - Production'!H136*Weights!$B$2),"")</f>
        <v/>
      </c>
      <c r="T108" s="13"/>
      <c r="U108" s="13"/>
      <c r="V108" s="13"/>
      <c r="W108" s="13"/>
      <c r="Y108" s="2">
        <f t="shared" si="25"/>
        <v>46309</v>
      </c>
      <c r="AB108">
        <f t="shared" si="26"/>
        <v>42</v>
      </c>
      <c r="AC108" s="13">
        <f t="shared" si="29"/>
        <v>0</v>
      </c>
      <c r="AD108" s="13">
        <f t="shared" si="29"/>
        <v>0</v>
      </c>
      <c r="AE108" s="13">
        <f t="shared" si="30"/>
        <v>0</v>
      </c>
      <c r="AF108" s="13">
        <f t="shared" si="30"/>
        <v>0</v>
      </c>
      <c r="AG108" s="13">
        <f t="shared" si="30"/>
        <v>0</v>
      </c>
      <c r="AH108" s="13"/>
      <c r="AI108" s="13"/>
      <c r="AJ108" s="13"/>
      <c r="AK108" s="13"/>
      <c r="AM108" s="2">
        <f t="shared" si="27"/>
        <v>46309</v>
      </c>
      <c r="AN108">
        <f t="shared" si="28"/>
        <v>42</v>
      </c>
      <c r="AO108" s="18">
        <f>('Raw Data - Production'!D136/100)/60</f>
        <v>0</v>
      </c>
      <c r="AP108" s="18">
        <f>('Raw Data - Production'!E136/100)/60</f>
        <v>0</v>
      </c>
      <c r="AQ108" s="18">
        <f>('Raw Data - Production'!F136/50)/60</f>
        <v>0</v>
      </c>
      <c r="AR108" s="18">
        <f>('Raw Data - Production'!G136/50)/60</f>
        <v>0</v>
      </c>
      <c r="AS108" s="18">
        <f>('Raw Data - Production'!H136/50)/60</f>
        <v>0</v>
      </c>
      <c r="AT108" s="18"/>
      <c r="AU108" s="18"/>
      <c r="AV108" s="18"/>
      <c r="AW108" s="18"/>
    </row>
    <row r="109" spans="1:49" x14ac:dyDescent="0.3">
      <c r="A109" s="2">
        <f t="shared" si="17"/>
        <v>46310</v>
      </c>
      <c r="B109">
        <f t="shared" si="18"/>
        <v>42</v>
      </c>
      <c r="C109" s="13" t="str">
        <f t="shared" si="19"/>
        <v/>
      </c>
      <c r="D109" s="13" t="str">
        <f t="shared" si="20"/>
        <v/>
      </c>
      <c r="E109" s="13" t="str">
        <f t="shared" si="21"/>
        <v/>
      </c>
      <c r="F109" s="13" t="str">
        <f t="shared" si="22"/>
        <v/>
      </c>
      <c r="G109" s="13" t="str">
        <f t="shared" si="23"/>
        <v/>
      </c>
      <c r="H109" s="13"/>
      <c r="I109" s="13"/>
      <c r="J109" s="13"/>
      <c r="K109" s="13"/>
      <c r="M109" s="2">
        <f>+'Daily Summary'!A136</f>
        <v>46310</v>
      </c>
      <c r="N109">
        <f t="shared" si="24"/>
        <v>42</v>
      </c>
      <c r="O109" s="13" t="str">
        <f>+IFERROR('Raw Data - Production'!J137/('Raw Data - Production'!D137*Weights!$B$2),"")</f>
        <v/>
      </c>
      <c r="P109" s="13" t="str">
        <f>+IFERROR('Raw Data - Production'!K137/('Raw Data - Production'!E137*Weights!$B$2),"")</f>
        <v/>
      </c>
      <c r="Q109" s="13" t="str">
        <f>+IFERROR('Raw Data - Production'!L137/('Raw Data - Production'!F137*Weights!$B$2),"")</f>
        <v/>
      </c>
      <c r="R109" s="13" t="str">
        <f>+IFERROR('Raw Data - Production'!M137/('Raw Data - Production'!G137*Weights!$B$2),"")</f>
        <v/>
      </c>
      <c r="S109" s="13" t="str">
        <f>+IFERROR('Raw Data - Production'!N137/('Raw Data - Production'!H137*Weights!$B$2),"")</f>
        <v/>
      </c>
      <c r="T109" s="13"/>
      <c r="U109" s="13"/>
      <c r="V109" s="13"/>
      <c r="W109" s="13"/>
      <c r="Y109" s="2">
        <f t="shared" si="25"/>
        <v>46310</v>
      </c>
      <c r="AB109">
        <f t="shared" si="26"/>
        <v>42</v>
      </c>
      <c r="AC109" s="13">
        <f t="shared" si="29"/>
        <v>0</v>
      </c>
      <c r="AD109" s="13">
        <f t="shared" si="29"/>
        <v>0</v>
      </c>
      <c r="AE109" s="13">
        <f t="shared" si="30"/>
        <v>0</v>
      </c>
      <c r="AF109" s="13">
        <f t="shared" si="30"/>
        <v>0</v>
      </c>
      <c r="AG109" s="13">
        <f t="shared" si="30"/>
        <v>0</v>
      </c>
      <c r="AH109" s="13"/>
      <c r="AI109" s="13"/>
      <c r="AJ109" s="13"/>
      <c r="AK109" s="13"/>
      <c r="AM109" s="2">
        <f t="shared" si="27"/>
        <v>46310</v>
      </c>
      <c r="AN109">
        <f t="shared" si="28"/>
        <v>42</v>
      </c>
      <c r="AO109" s="18">
        <f>('Raw Data - Production'!D137/100)/60</f>
        <v>0</v>
      </c>
      <c r="AP109" s="18">
        <f>('Raw Data - Production'!E137/100)/60</f>
        <v>0</v>
      </c>
      <c r="AQ109" s="18">
        <f>('Raw Data - Production'!F137/50)/60</f>
        <v>0</v>
      </c>
      <c r="AR109" s="18">
        <f>('Raw Data - Production'!G137/50)/60</f>
        <v>0</v>
      </c>
      <c r="AS109" s="18">
        <f>('Raw Data - Production'!H137/50)/60</f>
        <v>0</v>
      </c>
      <c r="AT109" s="18"/>
      <c r="AU109" s="18"/>
      <c r="AV109" s="18"/>
      <c r="AW109" s="18"/>
    </row>
    <row r="110" spans="1:49" x14ac:dyDescent="0.3">
      <c r="A110" s="2">
        <f t="shared" si="17"/>
        <v>46311</v>
      </c>
      <c r="B110">
        <f t="shared" si="18"/>
        <v>42</v>
      </c>
      <c r="C110" s="13" t="str">
        <f t="shared" si="19"/>
        <v/>
      </c>
      <c r="D110" s="13" t="str">
        <f t="shared" si="20"/>
        <v/>
      </c>
      <c r="E110" s="13" t="str">
        <f t="shared" si="21"/>
        <v/>
      </c>
      <c r="F110" s="13" t="str">
        <f t="shared" si="22"/>
        <v/>
      </c>
      <c r="G110" s="13" t="str">
        <f t="shared" si="23"/>
        <v/>
      </c>
      <c r="H110" s="13"/>
      <c r="I110" s="13"/>
      <c r="J110" s="13"/>
      <c r="K110" s="13"/>
      <c r="M110" s="2">
        <f>+'Daily Summary'!A137</f>
        <v>46311</v>
      </c>
      <c r="N110">
        <f t="shared" si="24"/>
        <v>42</v>
      </c>
      <c r="O110" s="13" t="str">
        <f>+IFERROR('Raw Data - Production'!J138/('Raw Data - Production'!D138*Weights!$B$2),"")</f>
        <v/>
      </c>
      <c r="P110" s="13" t="str">
        <f>+IFERROR('Raw Data - Production'!K138/('Raw Data - Production'!E138*Weights!$B$2),"")</f>
        <v/>
      </c>
      <c r="Q110" s="13" t="str">
        <f>+IFERROR('Raw Data - Production'!L138/('Raw Data - Production'!F138*Weights!$B$2),"")</f>
        <v/>
      </c>
      <c r="R110" s="13" t="str">
        <f>+IFERROR('Raw Data - Production'!M138/('Raw Data - Production'!G138*Weights!$B$2),"")</f>
        <v/>
      </c>
      <c r="S110" s="13" t="str">
        <f>+IFERROR('Raw Data - Production'!N138/('Raw Data - Production'!H138*Weights!$B$2),"")</f>
        <v/>
      </c>
      <c r="T110" s="13"/>
      <c r="U110" s="13"/>
      <c r="V110" s="13"/>
      <c r="W110" s="13"/>
      <c r="Y110" s="2">
        <f t="shared" si="25"/>
        <v>46311</v>
      </c>
      <c r="AB110">
        <f t="shared" si="26"/>
        <v>42</v>
      </c>
      <c r="AC110" s="13">
        <f t="shared" si="29"/>
        <v>0</v>
      </c>
      <c r="AD110" s="13">
        <f t="shared" si="29"/>
        <v>0</v>
      </c>
      <c r="AE110" s="13">
        <f t="shared" si="30"/>
        <v>0</v>
      </c>
      <c r="AF110" s="13">
        <f t="shared" si="30"/>
        <v>0</v>
      </c>
      <c r="AG110" s="13">
        <f t="shared" si="30"/>
        <v>0</v>
      </c>
      <c r="AH110" s="13"/>
      <c r="AI110" s="13"/>
      <c r="AJ110" s="13"/>
      <c r="AK110" s="13"/>
      <c r="AM110" s="2">
        <f t="shared" si="27"/>
        <v>46311</v>
      </c>
      <c r="AN110">
        <f t="shared" si="28"/>
        <v>42</v>
      </c>
      <c r="AO110" s="18">
        <f>('Raw Data - Production'!D138/100)/60</f>
        <v>0</v>
      </c>
      <c r="AP110" s="18">
        <f>('Raw Data - Production'!E138/100)/60</f>
        <v>0</v>
      </c>
      <c r="AQ110" s="18">
        <f>('Raw Data - Production'!F138/50)/60</f>
        <v>0</v>
      </c>
      <c r="AR110" s="18">
        <f>('Raw Data - Production'!G138/50)/60</f>
        <v>0</v>
      </c>
      <c r="AS110" s="18">
        <f>('Raw Data - Production'!H138/50)/60</f>
        <v>0</v>
      </c>
      <c r="AT110" s="18"/>
      <c r="AU110" s="18"/>
      <c r="AV110" s="18"/>
      <c r="AW110" s="18"/>
    </row>
    <row r="111" spans="1:49" x14ac:dyDescent="0.3">
      <c r="A111" s="2">
        <f t="shared" si="17"/>
        <v>46314</v>
      </c>
      <c r="B111">
        <f t="shared" si="18"/>
        <v>43</v>
      </c>
      <c r="C111" s="13" t="str">
        <f t="shared" si="19"/>
        <v/>
      </c>
      <c r="D111" s="13" t="str">
        <f t="shared" si="20"/>
        <v/>
      </c>
      <c r="E111" s="13" t="str">
        <f t="shared" si="21"/>
        <v/>
      </c>
      <c r="F111" s="13" t="str">
        <f t="shared" si="22"/>
        <v/>
      </c>
      <c r="G111" s="13" t="str">
        <f t="shared" si="23"/>
        <v/>
      </c>
      <c r="H111" s="13"/>
      <c r="I111" s="13"/>
      <c r="J111" s="13"/>
      <c r="K111" s="13"/>
      <c r="M111" s="2">
        <f>+'Daily Summary'!A138</f>
        <v>46314</v>
      </c>
      <c r="N111">
        <f t="shared" si="24"/>
        <v>43</v>
      </c>
      <c r="O111" s="13" t="str">
        <f>+IFERROR('Raw Data - Production'!J139/('Raw Data - Production'!D139*Weights!$B$2),"")</f>
        <v/>
      </c>
      <c r="P111" s="13" t="str">
        <f>+IFERROR('Raw Data - Production'!K139/('Raw Data - Production'!E139*Weights!$B$2),"")</f>
        <v/>
      </c>
      <c r="Q111" s="13" t="str">
        <f>+IFERROR('Raw Data - Production'!L139/('Raw Data - Production'!F139*Weights!$B$2),"")</f>
        <v/>
      </c>
      <c r="R111" s="13" t="str">
        <f>+IFERROR('Raw Data - Production'!M139/('Raw Data - Production'!G139*Weights!$B$2),"")</f>
        <v/>
      </c>
      <c r="S111" s="13" t="str">
        <f>+IFERROR('Raw Data - Production'!N139/('Raw Data - Production'!H139*Weights!$B$2),"")</f>
        <v/>
      </c>
      <c r="T111" s="13"/>
      <c r="U111" s="13"/>
      <c r="V111" s="13"/>
      <c r="W111" s="13"/>
      <c r="Y111" s="2">
        <f t="shared" si="25"/>
        <v>46314</v>
      </c>
      <c r="AB111">
        <f t="shared" si="26"/>
        <v>43</v>
      </c>
      <c r="AC111" s="13">
        <f t="shared" si="29"/>
        <v>0</v>
      </c>
      <c r="AD111" s="13">
        <f t="shared" si="29"/>
        <v>0</v>
      </c>
      <c r="AE111" s="13">
        <f t="shared" si="30"/>
        <v>0</v>
      </c>
      <c r="AF111" s="13">
        <f t="shared" si="30"/>
        <v>0</v>
      </c>
      <c r="AG111" s="13">
        <f t="shared" si="30"/>
        <v>0</v>
      </c>
      <c r="AH111" s="13"/>
      <c r="AI111" s="13"/>
      <c r="AJ111" s="13"/>
      <c r="AK111" s="13"/>
      <c r="AM111" s="2">
        <f t="shared" si="27"/>
        <v>46314</v>
      </c>
      <c r="AN111">
        <f t="shared" si="28"/>
        <v>43</v>
      </c>
      <c r="AO111" s="18">
        <f>('Raw Data - Production'!D139/100)/60</f>
        <v>0</v>
      </c>
      <c r="AP111" s="18">
        <f>('Raw Data - Production'!E139/100)/60</f>
        <v>0</v>
      </c>
      <c r="AQ111" s="18">
        <f>('Raw Data - Production'!F139/50)/60</f>
        <v>0</v>
      </c>
      <c r="AR111" s="18">
        <f>('Raw Data - Production'!G139/50)/60</f>
        <v>0</v>
      </c>
      <c r="AS111" s="18">
        <f>('Raw Data - Production'!H139/50)/60</f>
        <v>0</v>
      </c>
      <c r="AT111" s="18"/>
      <c r="AU111" s="18"/>
      <c r="AV111" s="18"/>
      <c r="AW111" s="18"/>
    </row>
    <row r="112" spans="1:49" x14ac:dyDescent="0.3">
      <c r="A112" s="2">
        <f t="shared" si="17"/>
        <v>46315</v>
      </c>
      <c r="B112">
        <f t="shared" si="18"/>
        <v>43</v>
      </c>
      <c r="C112" s="13" t="str">
        <f t="shared" si="19"/>
        <v/>
      </c>
      <c r="D112" s="13" t="str">
        <f t="shared" si="20"/>
        <v/>
      </c>
      <c r="E112" s="13" t="str">
        <f t="shared" si="21"/>
        <v/>
      </c>
      <c r="F112" s="13" t="str">
        <f t="shared" si="22"/>
        <v/>
      </c>
      <c r="G112" s="13" t="str">
        <f t="shared" si="23"/>
        <v/>
      </c>
      <c r="H112" s="13"/>
      <c r="I112" s="13"/>
      <c r="J112" s="13"/>
      <c r="K112" s="13"/>
      <c r="M112" s="2">
        <f>+'Daily Summary'!A139</f>
        <v>46315</v>
      </c>
      <c r="N112">
        <f t="shared" si="24"/>
        <v>43</v>
      </c>
      <c r="O112" s="13" t="str">
        <f>+IFERROR('Raw Data - Production'!J140/('Raw Data - Production'!D140*Weights!$B$2),"")</f>
        <v/>
      </c>
      <c r="P112" s="13" t="str">
        <f>+IFERROR('Raw Data - Production'!K140/('Raw Data - Production'!E140*Weights!$B$2),"")</f>
        <v/>
      </c>
      <c r="Q112" s="13" t="str">
        <f>+IFERROR('Raw Data - Production'!L140/('Raw Data - Production'!F140*Weights!$B$2),"")</f>
        <v/>
      </c>
      <c r="R112" s="13" t="str">
        <f>+IFERROR('Raw Data - Production'!M140/('Raw Data - Production'!G140*Weights!$B$2),"")</f>
        <v/>
      </c>
      <c r="S112" s="13" t="str">
        <f>+IFERROR('Raw Data - Production'!N140/('Raw Data - Production'!H140*Weights!$B$2),"")</f>
        <v/>
      </c>
      <c r="T112" s="13"/>
      <c r="U112" s="13"/>
      <c r="V112" s="13"/>
      <c r="W112" s="13"/>
      <c r="Y112" s="2">
        <f t="shared" si="25"/>
        <v>46315</v>
      </c>
      <c r="AB112">
        <f t="shared" si="26"/>
        <v>43</v>
      </c>
      <c r="AC112" s="13">
        <f t="shared" si="29"/>
        <v>0</v>
      </c>
      <c r="AD112" s="13">
        <f t="shared" si="29"/>
        <v>0</v>
      </c>
      <c r="AE112" s="13">
        <f t="shared" si="30"/>
        <v>0</v>
      </c>
      <c r="AF112" s="13">
        <f t="shared" si="30"/>
        <v>0</v>
      </c>
      <c r="AG112" s="13">
        <f t="shared" si="30"/>
        <v>0</v>
      </c>
      <c r="AH112" s="13"/>
      <c r="AI112" s="13"/>
      <c r="AJ112" s="13"/>
      <c r="AK112" s="13"/>
      <c r="AM112" s="2">
        <f t="shared" si="27"/>
        <v>46315</v>
      </c>
      <c r="AN112">
        <f t="shared" si="28"/>
        <v>43</v>
      </c>
      <c r="AO112" s="18">
        <f>('Raw Data - Production'!D140/100)/60</f>
        <v>0</v>
      </c>
      <c r="AP112" s="18">
        <f>('Raw Data - Production'!E140/100)/60</f>
        <v>0</v>
      </c>
      <c r="AQ112" s="18">
        <f>('Raw Data - Production'!F140/50)/60</f>
        <v>0</v>
      </c>
      <c r="AR112" s="18">
        <f>('Raw Data - Production'!G140/50)/60</f>
        <v>0</v>
      </c>
      <c r="AS112" s="18">
        <f>('Raw Data - Production'!H140/50)/60</f>
        <v>0</v>
      </c>
      <c r="AT112" s="18"/>
      <c r="AU112" s="18"/>
      <c r="AV112" s="18"/>
      <c r="AW112" s="18"/>
    </row>
    <row r="113" spans="1:49" x14ac:dyDescent="0.3">
      <c r="A113" s="2">
        <f t="shared" si="17"/>
        <v>46316</v>
      </c>
      <c r="B113">
        <f t="shared" si="18"/>
        <v>43</v>
      </c>
      <c r="C113" s="13" t="str">
        <f t="shared" si="19"/>
        <v/>
      </c>
      <c r="D113" s="13" t="str">
        <f t="shared" si="20"/>
        <v/>
      </c>
      <c r="E113" s="13" t="str">
        <f t="shared" si="21"/>
        <v/>
      </c>
      <c r="F113" s="13" t="str">
        <f t="shared" si="22"/>
        <v/>
      </c>
      <c r="G113" s="13" t="str">
        <f t="shared" si="23"/>
        <v/>
      </c>
      <c r="H113" s="13"/>
      <c r="I113" s="13"/>
      <c r="J113" s="13"/>
      <c r="K113" s="13"/>
      <c r="M113" s="2">
        <f>+'Daily Summary'!A140</f>
        <v>46316</v>
      </c>
      <c r="N113">
        <f t="shared" si="24"/>
        <v>43</v>
      </c>
      <c r="O113" s="13" t="str">
        <f>+IFERROR('Raw Data - Production'!J141/('Raw Data - Production'!D141*Weights!$B$2),"")</f>
        <v/>
      </c>
      <c r="P113" s="13" t="str">
        <f>+IFERROR('Raw Data - Production'!K141/('Raw Data - Production'!E141*Weights!$B$2),"")</f>
        <v/>
      </c>
      <c r="Q113" s="13" t="str">
        <f>+IFERROR('Raw Data - Production'!L141/('Raw Data - Production'!F141*Weights!$B$2),"")</f>
        <v/>
      </c>
      <c r="R113" s="13" t="str">
        <f>+IFERROR('Raw Data - Production'!M141/('Raw Data - Production'!G141*Weights!$B$2),"")</f>
        <v/>
      </c>
      <c r="S113" s="13" t="str">
        <f>+IFERROR('Raw Data - Production'!N141/('Raw Data - Production'!H141*Weights!$B$2),"")</f>
        <v/>
      </c>
      <c r="T113" s="13"/>
      <c r="U113" s="13"/>
      <c r="V113" s="13"/>
      <c r="W113" s="13"/>
      <c r="Y113" s="2">
        <f t="shared" si="25"/>
        <v>46316</v>
      </c>
      <c r="AB113">
        <f t="shared" si="26"/>
        <v>43</v>
      </c>
      <c r="AC113" s="13">
        <f t="shared" si="29"/>
        <v>0</v>
      </c>
      <c r="AD113" s="13">
        <f t="shared" si="29"/>
        <v>0</v>
      </c>
      <c r="AE113" s="13">
        <f t="shared" si="30"/>
        <v>0</v>
      </c>
      <c r="AF113" s="13">
        <f t="shared" si="30"/>
        <v>0</v>
      </c>
      <c r="AG113" s="13">
        <f t="shared" si="30"/>
        <v>0</v>
      </c>
      <c r="AH113" s="13"/>
      <c r="AI113" s="13"/>
      <c r="AJ113" s="13"/>
      <c r="AK113" s="13"/>
      <c r="AM113" s="2">
        <f t="shared" si="27"/>
        <v>46316</v>
      </c>
      <c r="AN113">
        <f t="shared" si="28"/>
        <v>43</v>
      </c>
      <c r="AO113" s="18">
        <f>('Raw Data - Production'!D141/100)/60</f>
        <v>0</v>
      </c>
      <c r="AP113" s="18">
        <f>('Raw Data - Production'!E141/100)/60</f>
        <v>0</v>
      </c>
      <c r="AQ113" s="18">
        <f>('Raw Data - Production'!F141/50)/60</f>
        <v>0</v>
      </c>
      <c r="AR113" s="18">
        <f>('Raw Data - Production'!G141/50)/60</f>
        <v>0</v>
      </c>
      <c r="AS113" s="18">
        <f>('Raw Data - Production'!H141/50)/60</f>
        <v>0</v>
      </c>
      <c r="AT113" s="18"/>
      <c r="AU113" s="18"/>
      <c r="AV113" s="18"/>
      <c r="AW113" s="18"/>
    </row>
    <row r="114" spans="1:49" x14ac:dyDescent="0.3">
      <c r="A114" s="2">
        <f t="shared" si="17"/>
        <v>46317</v>
      </c>
      <c r="B114">
        <f t="shared" si="18"/>
        <v>43</v>
      </c>
      <c r="C114" s="13" t="str">
        <f t="shared" si="19"/>
        <v/>
      </c>
      <c r="D114" s="13" t="str">
        <f t="shared" si="20"/>
        <v/>
      </c>
      <c r="E114" s="13" t="str">
        <f t="shared" si="21"/>
        <v/>
      </c>
      <c r="F114" s="13" t="str">
        <f t="shared" si="22"/>
        <v/>
      </c>
      <c r="G114" s="13" t="str">
        <f t="shared" si="23"/>
        <v/>
      </c>
      <c r="H114" s="13"/>
      <c r="I114" s="13"/>
      <c r="J114" s="13"/>
      <c r="K114" s="13"/>
      <c r="M114" s="2">
        <f>+'Daily Summary'!A141</f>
        <v>46317</v>
      </c>
      <c r="N114">
        <f t="shared" si="24"/>
        <v>43</v>
      </c>
      <c r="O114" s="13" t="str">
        <f>+IFERROR('Raw Data - Production'!J142/('Raw Data - Production'!D142*Weights!$B$2),"")</f>
        <v/>
      </c>
      <c r="P114" s="13" t="str">
        <f>+IFERROR('Raw Data - Production'!K142/('Raw Data - Production'!E142*Weights!$B$2),"")</f>
        <v/>
      </c>
      <c r="Q114" s="13" t="str">
        <f>+IFERROR('Raw Data - Production'!L142/('Raw Data - Production'!F142*Weights!$B$2),"")</f>
        <v/>
      </c>
      <c r="R114" s="13" t="str">
        <f>+IFERROR('Raw Data - Production'!M142/('Raw Data - Production'!G142*Weights!$B$2),"")</f>
        <v/>
      </c>
      <c r="S114" s="13" t="str">
        <f>+IFERROR('Raw Data - Production'!N142/('Raw Data - Production'!H142*Weights!$B$2),"")</f>
        <v/>
      </c>
      <c r="T114" s="13"/>
      <c r="U114" s="13"/>
      <c r="V114" s="13"/>
      <c r="W114" s="13"/>
      <c r="Y114" s="2">
        <f t="shared" si="25"/>
        <v>46317</v>
      </c>
      <c r="AB114">
        <f t="shared" si="26"/>
        <v>43</v>
      </c>
      <c r="AC114" s="13">
        <f t="shared" si="29"/>
        <v>0</v>
      </c>
      <c r="AD114" s="13">
        <f t="shared" si="29"/>
        <v>0</v>
      </c>
      <c r="AE114" s="13">
        <f t="shared" si="30"/>
        <v>0</v>
      </c>
      <c r="AF114" s="13">
        <f t="shared" si="30"/>
        <v>0</v>
      </c>
      <c r="AG114" s="13">
        <f t="shared" si="30"/>
        <v>0</v>
      </c>
      <c r="AH114" s="13"/>
      <c r="AI114" s="13"/>
      <c r="AJ114" s="13"/>
      <c r="AK114" s="13"/>
      <c r="AM114" s="2">
        <f t="shared" si="27"/>
        <v>46317</v>
      </c>
      <c r="AN114">
        <f t="shared" si="28"/>
        <v>43</v>
      </c>
      <c r="AO114" s="18">
        <f>('Raw Data - Production'!D142/100)/60</f>
        <v>0</v>
      </c>
      <c r="AP114" s="18">
        <f>('Raw Data - Production'!E142/100)/60</f>
        <v>0</v>
      </c>
      <c r="AQ114" s="18">
        <f>('Raw Data - Production'!F142/50)/60</f>
        <v>0</v>
      </c>
      <c r="AR114" s="18">
        <f>('Raw Data - Production'!G142/50)/60</f>
        <v>0</v>
      </c>
      <c r="AS114" s="18">
        <f>('Raw Data - Production'!H142/50)/60</f>
        <v>0</v>
      </c>
      <c r="AT114" s="18"/>
      <c r="AU114" s="18"/>
      <c r="AV114" s="18"/>
      <c r="AW114" s="18"/>
    </row>
    <row r="115" spans="1:49" x14ac:dyDescent="0.3">
      <c r="A115" s="2">
        <f t="shared" si="17"/>
        <v>46318</v>
      </c>
      <c r="B115">
        <f t="shared" si="18"/>
        <v>43</v>
      </c>
      <c r="C115" s="13" t="str">
        <f t="shared" si="19"/>
        <v/>
      </c>
      <c r="D115" s="13" t="str">
        <f t="shared" si="20"/>
        <v/>
      </c>
      <c r="E115" s="13" t="str">
        <f t="shared" si="21"/>
        <v/>
      </c>
      <c r="F115" s="13" t="str">
        <f t="shared" si="22"/>
        <v/>
      </c>
      <c r="G115" s="13" t="str">
        <f t="shared" si="23"/>
        <v/>
      </c>
      <c r="H115" s="13"/>
      <c r="I115" s="13"/>
      <c r="J115" s="13"/>
      <c r="K115" s="13"/>
      <c r="M115" s="2">
        <f>+'Daily Summary'!A142</f>
        <v>46318</v>
      </c>
      <c r="N115">
        <f t="shared" si="24"/>
        <v>43</v>
      </c>
      <c r="O115" s="13" t="str">
        <f>+IFERROR('Raw Data - Production'!J143/('Raw Data - Production'!D143*Weights!$B$2),"")</f>
        <v/>
      </c>
      <c r="P115" s="13" t="str">
        <f>+IFERROR('Raw Data - Production'!K143/('Raw Data - Production'!E143*Weights!$B$2),"")</f>
        <v/>
      </c>
      <c r="Q115" s="13" t="str">
        <f>+IFERROR('Raw Data - Production'!L143/('Raw Data - Production'!F143*Weights!$B$2),"")</f>
        <v/>
      </c>
      <c r="R115" s="13" t="str">
        <f>+IFERROR('Raw Data - Production'!M143/('Raw Data - Production'!G143*Weights!$B$2),"")</f>
        <v/>
      </c>
      <c r="S115" s="13" t="str">
        <f>+IFERROR('Raw Data - Production'!N143/('Raw Data - Production'!H143*Weights!$B$2),"")</f>
        <v/>
      </c>
      <c r="T115" s="13"/>
      <c r="U115" s="13"/>
      <c r="V115" s="13"/>
      <c r="W115" s="13"/>
      <c r="Y115" s="2">
        <f t="shared" si="25"/>
        <v>46318</v>
      </c>
      <c r="AB115">
        <f t="shared" si="26"/>
        <v>43</v>
      </c>
      <c r="AC115" s="13">
        <f t="shared" si="29"/>
        <v>0</v>
      </c>
      <c r="AD115" s="13">
        <f t="shared" si="29"/>
        <v>0</v>
      </c>
      <c r="AE115" s="13">
        <f t="shared" si="30"/>
        <v>0</v>
      </c>
      <c r="AF115" s="13">
        <f t="shared" si="30"/>
        <v>0</v>
      </c>
      <c r="AG115" s="13">
        <f t="shared" si="30"/>
        <v>0</v>
      </c>
      <c r="AH115" s="13"/>
      <c r="AI115" s="13"/>
      <c r="AJ115" s="13"/>
      <c r="AK115" s="13"/>
      <c r="AM115" s="2">
        <f t="shared" si="27"/>
        <v>46318</v>
      </c>
      <c r="AN115">
        <f t="shared" si="28"/>
        <v>43</v>
      </c>
      <c r="AO115" s="18">
        <f>('Raw Data - Production'!D143/100)/60</f>
        <v>0</v>
      </c>
      <c r="AP115" s="18">
        <f>('Raw Data - Production'!E143/100)/60</f>
        <v>0</v>
      </c>
      <c r="AQ115" s="18">
        <f>('Raw Data - Production'!F143/50)/60</f>
        <v>0</v>
      </c>
      <c r="AR115" s="18">
        <f>('Raw Data - Production'!G143/50)/60</f>
        <v>0</v>
      </c>
      <c r="AS115" s="18">
        <f>('Raw Data - Production'!H143/50)/60</f>
        <v>0</v>
      </c>
      <c r="AT115" s="18"/>
      <c r="AU115" s="18"/>
      <c r="AV115" s="18"/>
      <c r="AW115" s="18"/>
    </row>
    <row r="116" spans="1:49" x14ac:dyDescent="0.3">
      <c r="A116" s="2">
        <f t="shared" si="17"/>
        <v>46321</v>
      </c>
      <c r="B116">
        <f t="shared" si="18"/>
        <v>44</v>
      </c>
      <c r="C116" s="13" t="str">
        <f t="shared" si="19"/>
        <v/>
      </c>
      <c r="D116" s="13" t="str">
        <f t="shared" si="20"/>
        <v/>
      </c>
      <c r="E116" s="13" t="str">
        <f t="shared" si="21"/>
        <v/>
      </c>
      <c r="F116" s="13" t="str">
        <f t="shared" si="22"/>
        <v/>
      </c>
      <c r="G116" s="13" t="str">
        <f t="shared" si="23"/>
        <v/>
      </c>
      <c r="H116" s="13"/>
      <c r="I116" s="13"/>
      <c r="J116" s="13"/>
      <c r="K116" s="13"/>
      <c r="M116" s="2">
        <f>+'Daily Summary'!A143</f>
        <v>46321</v>
      </c>
      <c r="N116">
        <f t="shared" si="24"/>
        <v>44</v>
      </c>
      <c r="O116" s="13" t="str">
        <f>+IFERROR('Raw Data - Production'!J144/('Raw Data - Production'!D144*Weights!$B$2),"")</f>
        <v/>
      </c>
      <c r="P116" s="13" t="str">
        <f>+IFERROR('Raw Data - Production'!K144/('Raw Data - Production'!E144*Weights!$B$2),"")</f>
        <v/>
      </c>
      <c r="Q116" s="13" t="str">
        <f>+IFERROR('Raw Data - Production'!L144/('Raw Data - Production'!F144*Weights!$B$2),"")</f>
        <v/>
      </c>
      <c r="R116" s="13" t="str">
        <f>+IFERROR('Raw Data - Production'!M144/('Raw Data - Production'!G144*Weights!$B$2),"")</f>
        <v/>
      </c>
      <c r="S116" s="13" t="str">
        <f>+IFERROR('Raw Data - Production'!N144/('Raw Data - Production'!H144*Weights!$B$2),"")</f>
        <v/>
      </c>
      <c r="T116" s="13"/>
      <c r="U116" s="13"/>
      <c r="V116" s="13"/>
      <c r="W116" s="13"/>
      <c r="Y116" s="2">
        <f t="shared" si="25"/>
        <v>46321</v>
      </c>
      <c r="AB116">
        <f t="shared" si="26"/>
        <v>44</v>
      </c>
      <c r="AC116" s="13">
        <f t="shared" si="29"/>
        <v>0</v>
      </c>
      <c r="AD116" s="13">
        <f t="shared" si="29"/>
        <v>0</v>
      </c>
      <c r="AE116" s="13">
        <f t="shared" si="30"/>
        <v>0</v>
      </c>
      <c r="AF116" s="13">
        <f t="shared" si="30"/>
        <v>0</v>
      </c>
      <c r="AG116" s="13">
        <f t="shared" si="30"/>
        <v>0</v>
      </c>
      <c r="AH116" s="13"/>
      <c r="AI116" s="13"/>
      <c r="AJ116" s="13"/>
      <c r="AK116" s="13"/>
      <c r="AM116" s="2">
        <f t="shared" si="27"/>
        <v>46321</v>
      </c>
      <c r="AN116">
        <f t="shared" si="28"/>
        <v>44</v>
      </c>
      <c r="AO116" s="18">
        <f>('Raw Data - Production'!D144/100)/60</f>
        <v>0</v>
      </c>
      <c r="AP116" s="18">
        <f>('Raw Data - Production'!E144/100)/60</f>
        <v>0</v>
      </c>
      <c r="AQ116" s="18">
        <f>('Raw Data - Production'!F144/50)/60</f>
        <v>0</v>
      </c>
      <c r="AR116" s="18">
        <f>('Raw Data - Production'!G144/50)/60</f>
        <v>0</v>
      </c>
      <c r="AS116" s="18">
        <f>('Raw Data - Production'!H144/50)/60</f>
        <v>0</v>
      </c>
      <c r="AT116" s="18"/>
      <c r="AU116" s="18"/>
      <c r="AV116" s="18"/>
      <c r="AW116" s="18"/>
    </row>
    <row r="117" spans="1:49" x14ac:dyDescent="0.3">
      <c r="A117" s="2">
        <f t="shared" si="17"/>
        <v>46322</v>
      </c>
      <c r="B117">
        <f t="shared" si="18"/>
        <v>44</v>
      </c>
      <c r="C117" s="13" t="str">
        <f t="shared" si="19"/>
        <v/>
      </c>
      <c r="D117" s="13" t="str">
        <f t="shared" si="20"/>
        <v/>
      </c>
      <c r="E117" s="13" t="str">
        <f t="shared" si="21"/>
        <v/>
      </c>
      <c r="F117" s="13" t="str">
        <f t="shared" si="22"/>
        <v/>
      </c>
      <c r="G117" s="13" t="str">
        <f t="shared" si="23"/>
        <v/>
      </c>
      <c r="H117" s="13"/>
      <c r="I117" s="13"/>
      <c r="J117" s="13"/>
      <c r="K117" s="13"/>
      <c r="M117" s="2">
        <f>+'Daily Summary'!A144</f>
        <v>46322</v>
      </c>
      <c r="N117">
        <f t="shared" si="24"/>
        <v>44</v>
      </c>
      <c r="O117" s="13" t="str">
        <f>+IFERROR('Raw Data - Production'!J145/('Raw Data - Production'!D145*Weights!$B$2),"")</f>
        <v/>
      </c>
      <c r="P117" s="13" t="str">
        <f>+IFERROR('Raw Data - Production'!K145/('Raw Data - Production'!E145*Weights!$B$2),"")</f>
        <v/>
      </c>
      <c r="Q117" s="13" t="str">
        <f>+IFERROR('Raw Data - Production'!L145/('Raw Data - Production'!F145*Weights!$B$2),"")</f>
        <v/>
      </c>
      <c r="R117" s="13" t="str">
        <f>+IFERROR('Raw Data - Production'!M145/('Raw Data - Production'!G145*Weights!$B$2),"")</f>
        <v/>
      </c>
      <c r="S117" s="13" t="str">
        <f>+IFERROR('Raw Data - Production'!N145/('Raw Data - Production'!H145*Weights!$B$2),"")</f>
        <v/>
      </c>
      <c r="T117" s="13"/>
      <c r="U117" s="13"/>
      <c r="V117" s="13"/>
      <c r="W117" s="13"/>
      <c r="Y117" s="2">
        <f t="shared" si="25"/>
        <v>46322</v>
      </c>
      <c r="AB117">
        <f t="shared" si="26"/>
        <v>44</v>
      </c>
      <c r="AC117" s="13">
        <f t="shared" si="29"/>
        <v>0</v>
      </c>
      <c r="AD117" s="13">
        <f t="shared" si="29"/>
        <v>0</v>
      </c>
      <c r="AE117" s="13">
        <f t="shared" si="30"/>
        <v>0</v>
      </c>
      <c r="AF117" s="13">
        <f t="shared" si="30"/>
        <v>0</v>
      </c>
      <c r="AG117" s="13">
        <f t="shared" si="30"/>
        <v>0</v>
      </c>
      <c r="AH117" s="13"/>
      <c r="AI117" s="13"/>
      <c r="AJ117" s="13"/>
      <c r="AK117" s="13"/>
      <c r="AM117" s="2">
        <f t="shared" si="27"/>
        <v>46322</v>
      </c>
      <c r="AN117">
        <f t="shared" si="28"/>
        <v>44</v>
      </c>
      <c r="AO117" s="18">
        <f>('Raw Data - Production'!D145/100)/60</f>
        <v>0</v>
      </c>
      <c r="AP117" s="18">
        <f>('Raw Data - Production'!E145/100)/60</f>
        <v>0</v>
      </c>
      <c r="AQ117" s="18">
        <f>('Raw Data - Production'!F145/50)/60</f>
        <v>0</v>
      </c>
      <c r="AR117" s="18">
        <f>('Raw Data - Production'!G145/50)/60</f>
        <v>0</v>
      </c>
      <c r="AS117" s="18">
        <f>('Raw Data - Production'!H145/50)/60</f>
        <v>0</v>
      </c>
      <c r="AT117" s="18"/>
      <c r="AU117" s="18"/>
      <c r="AV117" s="18"/>
      <c r="AW117" s="18"/>
    </row>
    <row r="118" spans="1:49" x14ac:dyDescent="0.3">
      <c r="A118" s="2">
        <f t="shared" si="17"/>
        <v>46323</v>
      </c>
      <c r="B118">
        <f t="shared" si="18"/>
        <v>44</v>
      </c>
      <c r="C118" s="13" t="str">
        <f t="shared" si="19"/>
        <v/>
      </c>
      <c r="D118" s="13" t="str">
        <f t="shared" si="20"/>
        <v/>
      </c>
      <c r="E118" s="13" t="str">
        <f t="shared" si="21"/>
        <v/>
      </c>
      <c r="F118" s="13" t="str">
        <f t="shared" si="22"/>
        <v/>
      </c>
      <c r="G118" s="13" t="str">
        <f t="shared" si="23"/>
        <v/>
      </c>
      <c r="H118" s="13"/>
      <c r="I118" s="13"/>
      <c r="J118" s="13"/>
      <c r="K118" s="13"/>
      <c r="M118" s="2">
        <f>+'Daily Summary'!A145</f>
        <v>46323</v>
      </c>
      <c r="N118">
        <f t="shared" si="24"/>
        <v>44</v>
      </c>
      <c r="O118" s="13" t="str">
        <f>+IFERROR('Raw Data - Production'!J146/('Raw Data - Production'!D146*Weights!$B$2),"")</f>
        <v/>
      </c>
      <c r="P118" s="13" t="str">
        <f>+IFERROR('Raw Data - Production'!K146/('Raw Data - Production'!E146*Weights!$B$2),"")</f>
        <v/>
      </c>
      <c r="Q118" s="13" t="str">
        <f>+IFERROR('Raw Data - Production'!L146/('Raw Data - Production'!F146*Weights!$B$2),"")</f>
        <v/>
      </c>
      <c r="R118" s="13" t="str">
        <f>+IFERROR('Raw Data - Production'!M146/('Raw Data - Production'!G146*Weights!$B$2),"")</f>
        <v/>
      </c>
      <c r="S118" s="13" t="str">
        <f>+IFERROR('Raw Data - Production'!N146/('Raw Data - Production'!H146*Weights!$B$2),"")</f>
        <v/>
      </c>
      <c r="T118" s="13"/>
      <c r="U118" s="13"/>
      <c r="V118" s="13"/>
      <c r="W118" s="13"/>
      <c r="Y118" s="2">
        <f t="shared" si="25"/>
        <v>46323</v>
      </c>
      <c r="AB118">
        <f t="shared" si="26"/>
        <v>44</v>
      </c>
      <c r="AC118" s="13">
        <f t="shared" si="29"/>
        <v>0</v>
      </c>
      <c r="AD118" s="13">
        <f t="shared" si="29"/>
        <v>0</v>
      </c>
      <c r="AE118" s="13">
        <f t="shared" si="30"/>
        <v>0</v>
      </c>
      <c r="AF118" s="13">
        <f t="shared" si="30"/>
        <v>0</v>
      </c>
      <c r="AG118" s="13">
        <f t="shared" si="30"/>
        <v>0</v>
      </c>
      <c r="AH118" s="13"/>
      <c r="AI118" s="13"/>
      <c r="AJ118" s="13"/>
      <c r="AK118" s="13"/>
      <c r="AM118" s="2">
        <f t="shared" si="27"/>
        <v>46323</v>
      </c>
      <c r="AN118">
        <f t="shared" si="28"/>
        <v>44</v>
      </c>
      <c r="AO118" s="18">
        <f>('Raw Data - Production'!D146/100)/60</f>
        <v>0</v>
      </c>
      <c r="AP118" s="18">
        <f>('Raw Data - Production'!E146/100)/60</f>
        <v>0</v>
      </c>
      <c r="AQ118" s="18">
        <f>('Raw Data - Production'!F146/50)/60</f>
        <v>0</v>
      </c>
      <c r="AR118" s="18">
        <f>('Raw Data - Production'!G146/50)/60</f>
        <v>0</v>
      </c>
      <c r="AS118" s="18">
        <f>('Raw Data - Production'!H146/50)/60</f>
        <v>0</v>
      </c>
      <c r="AT118" s="18"/>
      <c r="AU118" s="18"/>
      <c r="AV118" s="18"/>
      <c r="AW118" s="18"/>
    </row>
    <row r="119" spans="1:49" x14ac:dyDescent="0.3">
      <c r="A119" s="2">
        <f t="shared" si="17"/>
        <v>46324</v>
      </c>
      <c r="B119">
        <f t="shared" si="18"/>
        <v>44</v>
      </c>
      <c r="C119" s="13" t="str">
        <f t="shared" si="19"/>
        <v/>
      </c>
      <c r="D119" s="13" t="str">
        <f t="shared" si="20"/>
        <v/>
      </c>
      <c r="E119" s="13" t="str">
        <f t="shared" si="21"/>
        <v/>
      </c>
      <c r="F119" s="13" t="str">
        <f t="shared" si="22"/>
        <v/>
      </c>
      <c r="G119" s="13" t="str">
        <f t="shared" si="23"/>
        <v/>
      </c>
      <c r="H119" s="13"/>
      <c r="I119" s="13"/>
      <c r="J119" s="13"/>
      <c r="K119" s="13"/>
      <c r="M119" s="2">
        <f>+'Daily Summary'!A146</f>
        <v>46324</v>
      </c>
      <c r="N119">
        <f t="shared" si="24"/>
        <v>44</v>
      </c>
      <c r="O119" s="13" t="str">
        <f>+IFERROR('Raw Data - Production'!J147/('Raw Data - Production'!D147*Weights!$B$2),"")</f>
        <v/>
      </c>
      <c r="P119" s="13" t="str">
        <f>+IFERROR('Raw Data - Production'!K147/('Raw Data - Production'!E147*Weights!$B$2),"")</f>
        <v/>
      </c>
      <c r="Q119" s="13" t="str">
        <f>+IFERROR('Raw Data - Production'!L147/('Raw Data - Production'!F147*Weights!$B$2),"")</f>
        <v/>
      </c>
      <c r="R119" s="13" t="str">
        <f>+IFERROR('Raw Data - Production'!M147/('Raw Data - Production'!G147*Weights!$B$2),"")</f>
        <v/>
      </c>
      <c r="S119" s="13" t="str">
        <f>+IFERROR('Raw Data - Production'!N147/('Raw Data - Production'!H147*Weights!$B$2),"")</f>
        <v/>
      </c>
      <c r="T119" s="13"/>
      <c r="U119" s="13"/>
      <c r="V119" s="13"/>
      <c r="W119" s="13"/>
      <c r="Y119" s="2">
        <f t="shared" si="25"/>
        <v>46324</v>
      </c>
      <c r="AB119">
        <f t="shared" si="26"/>
        <v>44</v>
      </c>
      <c r="AC119" s="13">
        <f t="shared" si="29"/>
        <v>0</v>
      </c>
      <c r="AD119" s="13">
        <f t="shared" si="29"/>
        <v>0</v>
      </c>
      <c r="AE119" s="13">
        <f t="shared" si="30"/>
        <v>0</v>
      </c>
      <c r="AF119" s="13">
        <f t="shared" si="30"/>
        <v>0</v>
      </c>
      <c r="AG119" s="13">
        <f t="shared" si="30"/>
        <v>0</v>
      </c>
      <c r="AH119" s="13"/>
      <c r="AI119" s="13"/>
      <c r="AJ119" s="13"/>
      <c r="AK119" s="13"/>
      <c r="AM119" s="2">
        <f t="shared" si="27"/>
        <v>46324</v>
      </c>
      <c r="AN119">
        <f t="shared" si="28"/>
        <v>44</v>
      </c>
      <c r="AO119" s="18">
        <f>('Raw Data - Production'!D147/100)/60</f>
        <v>0</v>
      </c>
      <c r="AP119" s="18">
        <f>('Raw Data - Production'!E147/100)/60</f>
        <v>0</v>
      </c>
      <c r="AQ119" s="18">
        <f>('Raw Data - Production'!F147/50)/60</f>
        <v>0</v>
      </c>
      <c r="AR119" s="18">
        <f>('Raw Data - Production'!G147/50)/60</f>
        <v>0</v>
      </c>
      <c r="AS119" s="18">
        <f>('Raw Data - Production'!H147/50)/60</f>
        <v>0</v>
      </c>
      <c r="AT119" s="18"/>
      <c r="AU119" s="18"/>
      <c r="AV119" s="18"/>
      <c r="AW119" s="18"/>
    </row>
    <row r="120" spans="1:49" x14ac:dyDescent="0.3">
      <c r="A120" s="2">
        <f t="shared" si="17"/>
        <v>46325</v>
      </c>
      <c r="B120">
        <f t="shared" si="18"/>
        <v>44</v>
      </c>
      <c r="C120" s="13" t="str">
        <f t="shared" si="19"/>
        <v/>
      </c>
      <c r="D120" s="13" t="str">
        <f t="shared" si="20"/>
        <v/>
      </c>
      <c r="E120" s="13" t="str">
        <f t="shared" si="21"/>
        <v/>
      </c>
      <c r="F120" s="13" t="str">
        <f t="shared" si="22"/>
        <v/>
      </c>
      <c r="G120" s="13" t="str">
        <f t="shared" si="23"/>
        <v/>
      </c>
      <c r="H120" s="13"/>
      <c r="I120" s="13"/>
      <c r="J120" s="13"/>
      <c r="K120" s="13"/>
      <c r="M120" s="2">
        <f>+'Daily Summary'!A147</f>
        <v>46325</v>
      </c>
      <c r="N120">
        <f t="shared" si="24"/>
        <v>44</v>
      </c>
      <c r="O120" s="13" t="str">
        <f>+IFERROR('Raw Data - Production'!J148/('Raw Data - Production'!D148*Weights!$B$2),"")</f>
        <v/>
      </c>
      <c r="P120" s="13" t="str">
        <f>+IFERROR('Raw Data - Production'!K148/('Raw Data - Production'!E148*Weights!$B$2),"")</f>
        <v/>
      </c>
      <c r="Q120" s="13" t="str">
        <f>+IFERROR('Raw Data - Production'!L148/('Raw Data - Production'!F148*Weights!$B$2),"")</f>
        <v/>
      </c>
      <c r="R120" s="13" t="str">
        <f>+IFERROR('Raw Data - Production'!M148/('Raw Data - Production'!G148*Weights!$B$2),"")</f>
        <v/>
      </c>
      <c r="S120" s="13" t="str">
        <f>+IFERROR('Raw Data - Production'!N148/('Raw Data - Production'!H148*Weights!$B$2),"")</f>
        <v/>
      </c>
      <c r="T120" s="13"/>
      <c r="U120" s="13"/>
      <c r="V120" s="13"/>
      <c r="W120" s="13"/>
      <c r="Y120" s="2">
        <f t="shared" si="25"/>
        <v>46325</v>
      </c>
      <c r="AB120">
        <f t="shared" si="26"/>
        <v>44</v>
      </c>
      <c r="AC120" s="13">
        <f t="shared" si="29"/>
        <v>0</v>
      </c>
      <c r="AD120" s="13">
        <f t="shared" si="29"/>
        <v>0</v>
      </c>
      <c r="AE120" s="13">
        <f t="shared" si="30"/>
        <v>0</v>
      </c>
      <c r="AF120" s="13">
        <f t="shared" si="30"/>
        <v>0</v>
      </c>
      <c r="AG120" s="13">
        <f t="shared" si="30"/>
        <v>0</v>
      </c>
      <c r="AH120" s="13"/>
      <c r="AI120" s="13"/>
      <c r="AJ120" s="13"/>
      <c r="AK120" s="13"/>
      <c r="AM120" s="2">
        <f t="shared" si="27"/>
        <v>46325</v>
      </c>
      <c r="AN120">
        <f t="shared" si="28"/>
        <v>44</v>
      </c>
      <c r="AO120" s="18">
        <f>('Raw Data - Production'!D148/100)/60</f>
        <v>0</v>
      </c>
      <c r="AP120" s="18">
        <f>('Raw Data - Production'!E148/100)/60</f>
        <v>0</v>
      </c>
      <c r="AQ120" s="18">
        <f>('Raw Data - Production'!F148/50)/60</f>
        <v>0</v>
      </c>
      <c r="AR120" s="18">
        <f>('Raw Data - Production'!G148/50)/60</f>
        <v>0</v>
      </c>
      <c r="AS120" s="18">
        <f>('Raw Data - Production'!H148/50)/60</f>
        <v>0</v>
      </c>
      <c r="AT120" s="18"/>
      <c r="AU120" s="18"/>
      <c r="AV120" s="18"/>
      <c r="AW120" s="18"/>
    </row>
    <row r="121" spans="1:49" x14ac:dyDescent="0.3">
      <c r="A121" s="2">
        <f t="shared" si="17"/>
        <v>46328</v>
      </c>
      <c r="B121">
        <f t="shared" si="18"/>
        <v>45</v>
      </c>
      <c r="C121" s="13" t="str">
        <f t="shared" si="19"/>
        <v/>
      </c>
      <c r="D121" s="13" t="str">
        <f t="shared" si="20"/>
        <v/>
      </c>
      <c r="E121" s="13" t="str">
        <f t="shared" si="21"/>
        <v/>
      </c>
      <c r="F121" s="13" t="str">
        <f t="shared" si="22"/>
        <v/>
      </c>
      <c r="G121" s="13" t="str">
        <f t="shared" si="23"/>
        <v/>
      </c>
      <c r="H121" s="13"/>
      <c r="I121" s="13"/>
      <c r="J121" s="13"/>
      <c r="K121" s="13"/>
      <c r="M121" s="2">
        <f>+'Daily Summary'!A148</f>
        <v>46328</v>
      </c>
      <c r="N121">
        <f t="shared" si="24"/>
        <v>45</v>
      </c>
      <c r="O121" s="13" t="str">
        <f>+IFERROR('Raw Data - Production'!J149/('Raw Data - Production'!D149*Weights!$B$2),"")</f>
        <v/>
      </c>
      <c r="P121" s="13" t="str">
        <f>+IFERROR('Raw Data - Production'!K149/('Raw Data - Production'!E149*Weights!$B$2),"")</f>
        <v/>
      </c>
      <c r="Q121" s="13" t="str">
        <f>+IFERROR('Raw Data - Production'!L149/('Raw Data - Production'!F149*Weights!$B$2),"")</f>
        <v/>
      </c>
      <c r="R121" s="13" t="str">
        <f>+IFERROR('Raw Data - Production'!M149/('Raw Data - Production'!G149*Weights!$B$2),"")</f>
        <v/>
      </c>
      <c r="S121" s="13" t="str">
        <f>+IFERROR('Raw Data - Production'!N149/('Raw Data - Production'!H149*Weights!$B$2),"")</f>
        <v/>
      </c>
      <c r="T121" s="13"/>
      <c r="U121" s="13"/>
      <c r="V121" s="13"/>
      <c r="W121" s="13"/>
      <c r="Y121" s="2">
        <f t="shared" si="25"/>
        <v>46328</v>
      </c>
      <c r="AB121">
        <f t="shared" si="26"/>
        <v>45</v>
      </c>
      <c r="AC121" s="13">
        <f t="shared" si="29"/>
        <v>0</v>
      </c>
      <c r="AD121" s="13">
        <f t="shared" si="29"/>
        <v>0</v>
      </c>
      <c r="AE121" s="13">
        <f t="shared" si="30"/>
        <v>0</v>
      </c>
      <c r="AF121" s="13">
        <f t="shared" si="30"/>
        <v>0</v>
      </c>
      <c r="AG121" s="13">
        <f t="shared" si="30"/>
        <v>0</v>
      </c>
      <c r="AH121" s="13"/>
      <c r="AI121" s="13"/>
      <c r="AJ121" s="13"/>
      <c r="AK121" s="13"/>
      <c r="AM121" s="2">
        <f t="shared" si="27"/>
        <v>46328</v>
      </c>
      <c r="AN121">
        <f t="shared" si="28"/>
        <v>45</v>
      </c>
      <c r="AO121" s="18">
        <f>('Raw Data - Production'!D149/100)/60</f>
        <v>0</v>
      </c>
      <c r="AP121" s="18">
        <f>('Raw Data - Production'!E149/100)/60</f>
        <v>0</v>
      </c>
      <c r="AQ121" s="18">
        <f>('Raw Data - Production'!F149/50)/60</f>
        <v>0</v>
      </c>
      <c r="AR121" s="18">
        <f>('Raw Data - Production'!G149/50)/60</f>
        <v>0</v>
      </c>
      <c r="AS121" s="18">
        <f>('Raw Data - Production'!H149/50)/60</f>
        <v>0</v>
      </c>
      <c r="AT121" s="18"/>
      <c r="AU121" s="18"/>
      <c r="AV121" s="18"/>
      <c r="AW121" s="18"/>
    </row>
    <row r="122" spans="1:49" x14ac:dyDescent="0.3">
      <c r="A122" s="2">
        <f t="shared" si="17"/>
        <v>46329</v>
      </c>
      <c r="B122">
        <f t="shared" si="18"/>
        <v>45</v>
      </c>
      <c r="C122" s="13" t="str">
        <f t="shared" si="19"/>
        <v/>
      </c>
      <c r="D122" s="13" t="str">
        <f t="shared" si="20"/>
        <v/>
      </c>
      <c r="E122" s="13" t="str">
        <f t="shared" si="21"/>
        <v/>
      </c>
      <c r="F122" s="13" t="str">
        <f t="shared" si="22"/>
        <v/>
      </c>
      <c r="G122" s="13" t="str">
        <f t="shared" si="23"/>
        <v/>
      </c>
      <c r="H122" s="13"/>
      <c r="I122" s="13"/>
      <c r="J122" s="13"/>
      <c r="K122" s="13"/>
      <c r="M122" s="2">
        <f>+'Daily Summary'!A149</f>
        <v>46329</v>
      </c>
      <c r="N122">
        <f t="shared" si="24"/>
        <v>45</v>
      </c>
      <c r="O122" s="13" t="str">
        <f>+IFERROR('Raw Data - Production'!J150/('Raw Data - Production'!D150*Weights!$B$2),"")</f>
        <v/>
      </c>
      <c r="P122" s="13" t="str">
        <f>+IFERROR('Raw Data - Production'!K150/('Raw Data - Production'!E150*Weights!$B$2),"")</f>
        <v/>
      </c>
      <c r="Q122" s="13" t="str">
        <f>+IFERROR('Raw Data - Production'!L150/('Raw Data - Production'!F150*Weights!$B$2),"")</f>
        <v/>
      </c>
      <c r="R122" s="13" t="str">
        <f>+IFERROR('Raw Data - Production'!M150/('Raw Data - Production'!G150*Weights!$B$2),"")</f>
        <v/>
      </c>
      <c r="S122" s="13" t="str">
        <f>+IFERROR('Raw Data - Production'!N150/('Raw Data - Production'!H150*Weights!$B$2),"")</f>
        <v/>
      </c>
      <c r="T122" s="13"/>
      <c r="U122" s="13"/>
      <c r="V122" s="13"/>
      <c r="W122" s="13"/>
      <c r="Y122" s="2">
        <f t="shared" si="25"/>
        <v>46329</v>
      </c>
      <c r="AB122">
        <f t="shared" si="26"/>
        <v>45</v>
      </c>
      <c r="AC122" s="13">
        <f t="shared" si="29"/>
        <v>0</v>
      </c>
      <c r="AD122" s="13">
        <f t="shared" si="29"/>
        <v>0</v>
      </c>
      <c r="AE122" s="13">
        <f t="shared" si="30"/>
        <v>0</v>
      </c>
      <c r="AF122" s="13">
        <f t="shared" si="30"/>
        <v>0</v>
      </c>
      <c r="AG122" s="13">
        <f t="shared" si="30"/>
        <v>0</v>
      </c>
      <c r="AH122" s="13"/>
      <c r="AI122" s="13"/>
      <c r="AJ122" s="13"/>
      <c r="AK122" s="13"/>
      <c r="AM122" s="2">
        <f t="shared" si="27"/>
        <v>46329</v>
      </c>
      <c r="AN122">
        <f t="shared" si="28"/>
        <v>45</v>
      </c>
      <c r="AO122" s="18">
        <f>('Raw Data - Production'!D150/100)/60</f>
        <v>0</v>
      </c>
      <c r="AP122" s="18">
        <f>('Raw Data - Production'!E150/100)/60</f>
        <v>0</v>
      </c>
      <c r="AQ122" s="18">
        <f>('Raw Data - Production'!F150/50)/60</f>
        <v>0</v>
      </c>
      <c r="AR122" s="18">
        <f>('Raw Data - Production'!G150/50)/60</f>
        <v>0</v>
      </c>
      <c r="AS122" s="18">
        <f>('Raw Data - Production'!H150/50)/60</f>
        <v>0</v>
      </c>
      <c r="AT122" s="18"/>
      <c r="AU122" s="18"/>
      <c r="AV122" s="18"/>
      <c r="AW122" s="18"/>
    </row>
    <row r="123" spans="1:49" x14ac:dyDescent="0.3">
      <c r="A123" s="2">
        <f t="shared" si="17"/>
        <v>46330</v>
      </c>
      <c r="B123">
        <f t="shared" si="18"/>
        <v>45</v>
      </c>
      <c r="C123" s="13" t="str">
        <f t="shared" si="19"/>
        <v/>
      </c>
      <c r="D123" s="13" t="str">
        <f t="shared" si="20"/>
        <v/>
      </c>
      <c r="E123" s="13" t="str">
        <f t="shared" si="21"/>
        <v/>
      </c>
      <c r="F123" s="13" t="str">
        <f t="shared" si="22"/>
        <v/>
      </c>
      <c r="G123" s="13" t="str">
        <f t="shared" si="23"/>
        <v/>
      </c>
      <c r="H123" s="13"/>
      <c r="I123" s="13"/>
      <c r="J123" s="13"/>
      <c r="K123" s="13"/>
      <c r="M123" s="2">
        <f>+'Daily Summary'!A150</f>
        <v>46330</v>
      </c>
      <c r="N123">
        <f t="shared" si="24"/>
        <v>45</v>
      </c>
      <c r="O123" s="13" t="str">
        <f>+IFERROR('Raw Data - Production'!J151/('Raw Data - Production'!D151*Weights!$B$2),"")</f>
        <v/>
      </c>
      <c r="P123" s="13" t="str">
        <f>+IFERROR('Raw Data - Production'!K151/('Raw Data - Production'!E151*Weights!$B$2),"")</f>
        <v/>
      </c>
      <c r="Q123" s="13" t="str">
        <f>+IFERROR('Raw Data - Production'!L151/('Raw Data - Production'!F151*Weights!$B$2),"")</f>
        <v/>
      </c>
      <c r="R123" s="13" t="str">
        <f>+IFERROR('Raw Data - Production'!M151/('Raw Data - Production'!G151*Weights!$B$2),"")</f>
        <v/>
      </c>
      <c r="S123" s="13" t="str">
        <f>+IFERROR('Raw Data - Production'!N151/('Raw Data - Production'!H151*Weights!$B$2),"")</f>
        <v/>
      </c>
      <c r="T123" s="13"/>
      <c r="U123" s="13"/>
      <c r="V123" s="13"/>
      <c r="W123" s="13"/>
      <c r="Y123" s="2">
        <f t="shared" si="25"/>
        <v>46330</v>
      </c>
      <c r="AB123">
        <f t="shared" si="26"/>
        <v>45</v>
      </c>
      <c r="AC123" s="13">
        <f t="shared" si="29"/>
        <v>0</v>
      </c>
      <c r="AD123" s="13">
        <f t="shared" si="29"/>
        <v>0</v>
      </c>
      <c r="AE123" s="13">
        <f t="shared" si="30"/>
        <v>0</v>
      </c>
      <c r="AF123" s="13">
        <f t="shared" si="30"/>
        <v>0</v>
      </c>
      <c r="AG123" s="13">
        <f t="shared" si="30"/>
        <v>0</v>
      </c>
      <c r="AH123" s="13"/>
      <c r="AI123" s="13"/>
      <c r="AJ123" s="13"/>
      <c r="AK123" s="13"/>
      <c r="AM123" s="2">
        <f t="shared" si="27"/>
        <v>46330</v>
      </c>
      <c r="AN123">
        <f t="shared" si="28"/>
        <v>45</v>
      </c>
      <c r="AO123" s="18">
        <f>('Raw Data - Production'!D151/100)/60</f>
        <v>0</v>
      </c>
      <c r="AP123" s="18">
        <f>('Raw Data - Production'!E151/100)/60</f>
        <v>0</v>
      </c>
      <c r="AQ123" s="18">
        <f>('Raw Data - Production'!F151/50)/60</f>
        <v>0</v>
      </c>
      <c r="AR123" s="18">
        <f>('Raw Data - Production'!G151/50)/60</f>
        <v>0</v>
      </c>
      <c r="AS123" s="18">
        <f>('Raw Data - Production'!H151/50)/60</f>
        <v>0</v>
      </c>
      <c r="AT123" s="18"/>
      <c r="AU123" s="18"/>
      <c r="AV123" s="18"/>
      <c r="AW123" s="18"/>
    </row>
    <row r="124" spans="1:49" x14ac:dyDescent="0.3">
      <c r="A124" s="2">
        <f t="shared" si="17"/>
        <v>46331</v>
      </c>
      <c r="B124">
        <f t="shared" si="18"/>
        <v>45</v>
      </c>
      <c r="C124" s="13" t="str">
        <f t="shared" si="19"/>
        <v/>
      </c>
      <c r="D124" s="13" t="str">
        <f t="shared" si="20"/>
        <v/>
      </c>
      <c r="E124" s="13" t="str">
        <f t="shared" si="21"/>
        <v/>
      </c>
      <c r="F124" s="13" t="str">
        <f t="shared" si="22"/>
        <v/>
      </c>
      <c r="G124" s="13" t="str">
        <f t="shared" si="23"/>
        <v/>
      </c>
      <c r="H124" s="13"/>
      <c r="I124" s="13"/>
      <c r="J124" s="13"/>
      <c r="K124" s="13"/>
      <c r="M124" s="2">
        <f>+'Daily Summary'!A151</f>
        <v>46331</v>
      </c>
      <c r="N124">
        <f t="shared" si="24"/>
        <v>45</v>
      </c>
      <c r="O124" s="13" t="str">
        <f>+IFERROR('Raw Data - Production'!J152/('Raw Data - Production'!D152*Weights!$B$2),"")</f>
        <v/>
      </c>
      <c r="P124" s="13" t="str">
        <f>+IFERROR('Raw Data - Production'!K152/('Raw Data - Production'!E152*Weights!$B$2),"")</f>
        <v/>
      </c>
      <c r="Q124" s="13" t="str">
        <f>+IFERROR('Raw Data - Production'!L152/('Raw Data - Production'!F152*Weights!$B$2),"")</f>
        <v/>
      </c>
      <c r="R124" s="13" t="str">
        <f>+IFERROR('Raw Data - Production'!M152/('Raw Data - Production'!G152*Weights!$B$2),"")</f>
        <v/>
      </c>
      <c r="S124" s="13" t="str">
        <f>+IFERROR('Raw Data - Production'!N152/('Raw Data - Production'!H152*Weights!$B$2),"")</f>
        <v/>
      </c>
      <c r="T124" s="13"/>
      <c r="U124" s="13"/>
      <c r="V124" s="13"/>
      <c r="W124" s="13"/>
      <c r="Y124" s="2">
        <f t="shared" si="25"/>
        <v>46331</v>
      </c>
      <c r="AB124">
        <f t="shared" si="26"/>
        <v>45</v>
      </c>
      <c r="AC124" s="13">
        <f t="shared" si="29"/>
        <v>0</v>
      </c>
      <c r="AD124" s="13">
        <f t="shared" si="29"/>
        <v>0</v>
      </c>
      <c r="AE124" s="13">
        <f t="shared" si="30"/>
        <v>0</v>
      </c>
      <c r="AF124" s="13">
        <f t="shared" si="30"/>
        <v>0</v>
      </c>
      <c r="AG124" s="13">
        <f t="shared" si="30"/>
        <v>0</v>
      </c>
      <c r="AH124" s="13"/>
      <c r="AI124" s="13"/>
      <c r="AJ124" s="13"/>
      <c r="AK124" s="13"/>
      <c r="AM124" s="2">
        <f t="shared" si="27"/>
        <v>46331</v>
      </c>
      <c r="AN124">
        <f t="shared" si="28"/>
        <v>45</v>
      </c>
      <c r="AO124" s="18">
        <f>('Raw Data - Production'!D152/100)/60</f>
        <v>0</v>
      </c>
      <c r="AP124" s="18">
        <f>('Raw Data - Production'!E152/100)/60</f>
        <v>0</v>
      </c>
      <c r="AQ124" s="18">
        <f>('Raw Data - Production'!F152/50)/60</f>
        <v>0</v>
      </c>
      <c r="AR124" s="18">
        <f>('Raw Data - Production'!G152/50)/60</f>
        <v>0</v>
      </c>
      <c r="AS124" s="18">
        <f>('Raw Data - Production'!H152/50)/60</f>
        <v>0</v>
      </c>
      <c r="AT124" s="18"/>
      <c r="AU124" s="18"/>
      <c r="AV124" s="18"/>
      <c r="AW124" s="18"/>
    </row>
    <row r="125" spans="1:49" x14ac:dyDescent="0.3">
      <c r="A125" s="2">
        <f t="shared" si="17"/>
        <v>46332</v>
      </c>
      <c r="B125">
        <f t="shared" si="18"/>
        <v>45</v>
      </c>
      <c r="C125" s="13" t="str">
        <f t="shared" si="19"/>
        <v/>
      </c>
      <c r="D125" s="13" t="str">
        <f t="shared" si="20"/>
        <v/>
      </c>
      <c r="E125" s="13" t="str">
        <f t="shared" si="21"/>
        <v/>
      </c>
      <c r="F125" s="13" t="str">
        <f t="shared" si="22"/>
        <v/>
      </c>
      <c r="G125" s="13" t="str">
        <f t="shared" si="23"/>
        <v/>
      </c>
      <c r="H125" s="13"/>
      <c r="I125" s="13"/>
      <c r="J125" s="13"/>
      <c r="K125" s="13"/>
      <c r="M125" s="2">
        <f>+'Daily Summary'!A152</f>
        <v>46332</v>
      </c>
      <c r="N125">
        <f t="shared" si="24"/>
        <v>45</v>
      </c>
      <c r="O125" s="13" t="str">
        <f>+IFERROR('Raw Data - Production'!J153/('Raw Data - Production'!D153*Weights!$B$2),"")</f>
        <v/>
      </c>
      <c r="P125" s="13" t="str">
        <f>+IFERROR('Raw Data - Production'!K153/('Raw Data - Production'!E153*Weights!$B$2),"")</f>
        <v/>
      </c>
      <c r="Q125" s="13" t="str">
        <f>+IFERROR('Raw Data - Production'!L153/('Raw Data - Production'!F153*Weights!$B$2),"")</f>
        <v/>
      </c>
      <c r="R125" s="13" t="str">
        <f>+IFERROR('Raw Data - Production'!M153/('Raw Data - Production'!G153*Weights!$B$2),"")</f>
        <v/>
      </c>
      <c r="S125" s="13" t="str">
        <f>+IFERROR('Raw Data - Production'!N153/('Raw Data - Production'!H153*Weights!$B$2),"")</f>
        <v/>
      </c>
      <c r="T125" s="13"/>
      <c r="U125" s="13"/>
      <c r="V125" s="13"/>
      <c r="W125" s="13"/>
      <c r="Y125" s="2">
        <f t="shared" si="25"/>
        <v>46332</v>
      </c>
      <c r="AB125">
        <f t="shared" si="26"/>
        <v>45</v>
      </c>
      <c r="AC125" s="13">
        <f t="shared" si="29"/>
        <v>0</v>
      </c>
      <c r="AD125" s="13">
        <f t="shared" si="29"/>
        <v>0</v>
      </c>
      <c r="AE125" s="13">
        <f t="shared" si="30"/>
        <v>0</v>
      </c>
      <c r="AF125" s="13">
        <f t="shared" si="30"/>
        <v>0</v>
      </c>
      <c r="AG125" s="13">
        <f t="shared" si="30"/>
        <v>0</v>
      </c>
      <c r="AH125" s="13"/>
      <c r="AI125" s="13"/>
      <c r="AJ125" s="13"/>
      <c r="AK125" s="13"/>
      <c r="AM125" s="2">
        <f t="shared" si="27"/>
        <v>46332</v>
      </c>
      <c r="AN125">
        <f t="shared" si="28"/>
        <v>45</v>
      </c>
      <c r="AO125" s="18">
        <f>('Raw Data - Production'!D153/100)/60</f>
        <v>0</v>
      </c>
      <c r="AP125" s="18">
        <f>('Raw Data - Production'!E153/100)/60</f>
        <v>0</v>
      </c>
      <c r="AQ125" s="18">
        <f>('Raw Data - Production'!F153/50)/60</f>
        <v>0</v>
      </c>
      <c r="AR125" s="18">
        <f>('Raw Data - Production'!G153/50)/60</f>
        <v>0</v>
      </c>
      <c r="AS125" s="18">
        <f>('Raw Data - Production'!H153/50)/60</f>
        <v>0</v>
      </c>
      <c r="AT125" s="18"/>
      <c r="AU125" s="18"/>
      <c r="AV125" s="18"/>
      <c r="AW125" s="18"/>
    </row>
    <row r="126" spans="1:49" x14ac:dyDescent="0.3">
      <c r="A126" s="2">
        <f t="shared" si="17"/>
        <v>46335</v>
      </c>
      <c r="B126">
        <f t="shared" si="18"/>
        <v>46</v>
      </c>
      <c r="C126" s="13" t="str">
        <f t="shared" si="19"/>
        <v/>
      </c>
      <c r="D126" s="13" t="str">
        <f t="shared" si="20"/>
        <v/>
      </c>
      <c r="E126" s="13" t="str">
        <f t="shared" si="21"/>
        <v/>
      </c>
      <c r="F126" s="13" t="str">
        <f t="shared" si="22"/>
        <v/>
      </c>
      <c r="G126" s="13" t="str">
        <f t="shared" si="23"/>
        <v/>
      </c>
      <c r="H126" s="13"/>
      <c r="I126" s="13"/>
      <c r="J126" s="13"/>
      <c r="K126" s="13"/>
      <c r="M126" s="2">
        <f>+'Daily Summary'!A153</f>
        <v>46335</v>
      </c>
      <c r="N126">
        <f t="shared" si="24"/>
        <v>46</v>
      </c>
      <c r="O126" s="13" t="str">
        <f>+IFERROR('Raw Data - Production'!J154/('Raw Data - Production'!D154*Weights!$B$2),"")</f>
        <v/>
      </c>
      <c r="P126" s="13" t="str">
        <f>+IFERROR('Raw Data - Production'!K154/('Raw Data - Production'!E154*Weights!$B$2),"")</f>
        <v/>
      </c>
      <c r="Q126" s="13" t="str">
        <f>+IFERROR('Raw Data - Production'!L154/('Raw Data - Production'!F154*Weights!$B$2),"")</f>
        <v/>
      </c>
      <c r="R126" s="13" t="str">
        <f>+IFERROR('Raw Data - Production'!M154/('Raw Data - Production'!G154*Weights!$B$2),"")</f>
        <v/>
      </c>
      <c r="S126" s="13" t="str">
        <f>+IFERROR('Raw Data - Production'!N154/('Raw Data - Production'!H154*Weights!$B$2),"")</f>
        <v/>
      </c>
      <c r="T126" s="13"/>
      <c r="U126" s="13"/>
      <c r="V126" s="13"/>
      <c r="W126" s="13"/>
      <c r="Y126" s="2">
        <f t="shared" si="25"/>
        <v>46335</v>
      </c>
      <c r="AB126">
        <f t="shared" si="26"/>
        <v>46</v>
      </c>
      <c r="AC126" s="13">
        <f t="shared" si="29"/>
        <v>0</v>
      </c>
      <c r="AD126" s="13">
        <f t="shared" si="29"/>
        <v>0</v>
      </c>
      <c r="AE126" s="13">
        <f t="shared" si="30"/>
        <v>0</v>
      </c>
      <c r="AF126" s="13">
        <f t="shared" si="30"/>
        <v>0</v>
      </c>
      <c r="AG126" s="13">
        <f t="shared" si="30"/>
        <v>0</v>
      </c>
      <c r="AH126" s="13"/>
      <c r="AI126" s="13"/>
      <c r="AJ126" s="13"/>
      <c r="AK126" s="13"/>
      <c r="AM126" s="2">
        <f t="shared" si="27"/>
        <v>46335</v>
      </c>
      <c r="AN126">
        <f t="shared" si="28"/>
        <v>46</v>
      </c>
      <c r="AO126" s="18">
        <f>('Raw Data - Production'!D154/100)/60</f>
        <v>0</v>
      </c>
      <c r="AP126" s="18">
        <f>('Raw Data - Production'!E154/100)/60</f>
        <v>0</v>
      </c>
      <c r="AQ126" s="18">
        <f>('Raw Data - Production'!F154/50)/60</f>
        <v>0</v>
      </c>
      <c r="AR126" s="18">
        <f>('Raw Data - Production'!G154/50)/60</f>
        <v>0</v>
      </c>
      <c r="AS126" s="18">
        <f>('Raw Data - Production'!H154/50)/60</f>
        <v>0</v>
      </c>
      <c r="AT126" s="18"/>
      <c r="AU126" s="18"/>
      <c r="AV126" s="18"/>
      <c r="AW126" s="18"/>
    </row>
    <row r="127" spans="1:49" x14ac:dyDescent="0.3">
      <c r="A127" s="2">
        <f t="shared" si="17"/>
        <v>46336</v>
      </c>
      <c r="B127">
        <f t="shared" si="18"/>
        <v>46</v>
      </c>
      <c r="C127" s="13" t="str">
        <f t="shared" si="19"/>
        <v/>
      </c>
      <c r="D127" s="13" t="str">
        <f t="shared" si="20"/>
        <v/>
      </c>
      <c r="E127" s="13" t="str">
        <f t="shared" si="21"/>
        <v/>
      </c>
      <c r="F127" s="13" t="str">
        <f t="shared" si="22"/>
        <v/>
      </c>
      <c r="G127" s="13" t="str">
        <f t="shared" si="23"/>
        <v/>
      </c>
      <c r="H127" s="13"/>
      <c r="I127" s="13"/>
      <c r="J127" s="13"/>
      <c r="K127" s="13"/>
      <c r="M127" s="2">
        <f>+'Daily Summary'!A154</f>
        <v>46336</v>
      </c>
      <c r="N127">
        <f t="shared" si="24"/>
        <v>46</v>
      </c>
      <c r="O127" s="13" t="str">
        <f>+IFERROR('Raw Data - Production'!J155/('Raw Data - Production'!D155*Weights!$B$2),"")</f>
        <v/>
      </c>
      <c r="P127" s="13" t="str">
        <f>+IFERROR('Raw Data - Production'!K155/('Raw Data - Production'!E155*Weights!$B$2),"")</f>
        <v/>
      </c>
      <c r="Q127" s="13" t="str">
        <f>+IFERROR('Raw Data - Production'!L155/('Raw Data - Production'!F155*Weights!$B$2),"")</f>
        <v/>
      </c>
      <c r="R127" s="13" t="str">
        <f>+IFERROR('Raw Data - Production'!M155/('Raw Data - Production'!G155*Weights!$B$2),"")</f>
        <v/>
      </c>
      <c r="S127" s="13" t="str">
        <f>+IFERROR('Raw Data - Production'!N155/('Raw Data - Production'!H155*Weights!$B$2),"")</f>
        <v/>
      </c>
      <c r="T127" s="13"/>
      <c r="U127" s="13"/>
      <c r="V127" s="13"/>
      <c r="W127" s="13"/>
      <c r="Y127" s="2">
        <f t="shared" si="25"/>
        <v>46336</v>
      </c>
      <c r="AB127">
        <f t="shared" si="26"/>
        <v>46</v>
      </c>
      <c r="AC127" s="13">
        <f t="shared" si="29"/>
        <v>0</v>
      </c>
      <c r="AD127" s="13">
        <f t="shared" si="29"/>
        <v>0</v>
      </c>
      <c r="AE127" s="13">
        <f t="shared" si="30"/>
        <v>0</v>
      </c>
      <c r="AF127" s="13">
        <f t="shared" si="30"/>
        <v>0</v>
      </c>
      <c r="AG127" s="13">
        <f t="shared" si="30"/>
        <v>0</v>
      </c>
      <c r="AH127" s="13"/>
      <c r="AI127" s="13"/>
      <c r="AJ127" s="13"/>
      <c r="AK127" s="13"/>
      <c r="AM127" s="2">
        <f t="shared" si="27"/>
        <v>46336</v>
      </c>
      <c r="AN127">
        <f t="shared" si="28"/>
        <v>46</v>
      </c>
      <c r="AO127" s="18">
        <f>('Raw Data - Production'!D155/100)/60</f>
        <v>0</v>
      </c>
      <c r="AP127" s="18">
        <f>('Raw Data - Production'!E155/100)/60</f>
        <v>0</v>
      </c>
      <c r="AQ127" s="18">
        <f>('Raw Data - Production'!F155/50)/60</f>
        <v>0</v>
      </c>
      <c r="AR127" s="18">
        <f>('Raw Data - Production'!G155/50)/60</f>
        <v>0</v>
      </c>
      <c r="AS127" s="18">
        <f>('Raw Data - Production'!H155/50)/60</f>
        <v>0</v>
      </c>
      <c r="AT127" s="18"/>
      <c r="AU127" s="18"/>
      <c r="AV127" s="18"/>
      <c r="AW127" s="18"/>
    </row>
    <row r="128" spans="1:49" x14ac:dyDescent="0.3">
      <c r="A128" s="2">
        <f t="shared" si="17"/>
        <v>46337</v>
      </c>
      <c r="B128">
        <f t="shared" si="18"/>
        <v>46</v>
      </c>
      <c r="C128" s="13" t="str">
        <f t="shared" si="19"/>
        <v/>
      </c>
      <c r="D128" s="13" t="str">
        <f t="shared" si="20"/>
        <v/>
      </c>
      <c r="E128" s="13" t="str">
        <f t="shared" si="21"/>
        <v/>
      </c>
      <c r="F128" s="13" t="str">
        <f t="shared" si="22"/>
        <v/>
      </c>
      <c r="G128" s="13" t="str">
        <f t="shared" si="23"/>
        <v/>
      </c>
      <c r="H128" s="13"/>
      <c r="I128" s="13"/>
      <c r="J128" s="13"/>
      <c r="K128" s="13"/>
      <c r="M128" s="2">
        <f>+'Daily Summary'!A155</f>
        <v>46337</v>
      </c>
      <c r="N128">
        <f t="shared" si="24"/>
        <v>46</v>
      </c>
      <c r="O128" s="13" t="str">
        <f>+IFERROR('Raw Data - Production'!J156/('Raw Data - Production'!D156*Weights!$B$2),"")</f>
        <v/>
      </c>
      <c r="P128" s="13" t="str">
        <f>+IFERROR('Raw Data - Production'!K156/('Raw Data - Production'!E156*Weights!$B$2),"")</f>
        <v/>
      </c>
      <c r="Q128" s="13" t="str">
        <f>+IFERROR('Raw Data - Production'!L156/('Raw Data - Production'!F156*Weights!$B$2),"")</f>
        <v/>
      </c>
      <c r="R128" s="13" t="str">
        <f>+IFERROR('Raw Data - Production'!M156/('Raw Data - Production'!G156*Weights!$B$2),"")</f>
        <v/>
      </c>
      <c r="S128" s="13" t="str">
        <f>+IFERROR('Raw Data - Production'!N156/('Raw Data - Production'!H156*Weights!$B$2),"")</f>
        <v/>
      </c>
      <c r="T128" s="13"/>
      <c r="U128" s="13"/>
      <c r="V128" s="13"/>
      <c r="W128" s="13"/>
      <c r="Y128" s="2">
        <f t="shared" si="25"/>
        <v>46337</v>
      </c>
      <c r="AB128">
        <f t="shared" si="26"/>
        <v>46</v>
      </c>
      <c r="AC128" s="13">
        <f t="shared" si="29"/>
        <v>0</v>
      </c>
      <c r="AD128" s="13">
        <f t="shared" si="29"/>
        <v>0</v>
      </c>
      <c r="AE128" s="13">
        <f t="shared" si="30"/>
        <v>0</v>
      </c>
      <c r="AF128" s="13">
        <f t="shared" si="30"/>
        <v>0</v>
      </c>
      <c r="AG128" s="13">
        <f t="shared" si="30"/>
        <v>0</v>
      </c>
      <c r="AH128" s="13"/>
      <c r="AI128" s="13"/>
      <c r="AJ128" s="13"/>
      <c r="AK128" s="13"/>
      <c r="AM128" s="2">
        <f t="shared" si="27"/>
        <v>46337</v>
      </c>
      <c r="AN128">
        <f t="shared" si="28"/>
        <v>46</v>
      </c>
      <c r="AO128" s="18">
        <f>('Raw Data - Production'!D156/100)/60</f>
        <v>0</v>
      </c>
      <c r="AP128" s="18">
        <f>('Raw Data - Production'!E156/100)/60</f>
        <v>0</v>
      </c>
      <c r="AQ128" s="18">
        <f>('Raw Data - Production'!F156/50)/60</f>
        <v>0</v>
      </c>
      <c r="AR128" s="18">
        <f>('Raw Data - Production'!G156/50)/60</f>
        <v>0</v>
      </c>
      <c r="AS128" s="18">
        <f>('Raw Data - Production'!H156/50)/60</f>
        <v>0</v>
      </c>
      <c r="AT128" s="18"/>
      <c r="AU128" s="18"/>
      <c r="AV128" s="18"/>
      <c r="AW128" s="18"/>
    </row>
    <row r="129" spans="1:49" x14ac:dyDescent="0.3">
      <c r="A129" s="2">
        <f t="shared" si="17"/>
        <v>46338</v>
      </c>
      <c r="B129">
        <f t="shared" si="18"/>
        <v>46</v>
      </c>
      <c r="C129" s="13" t="str">
        <f t="shared" si="19"/>
        <v/>
      </c>
      <c r="D129" s="13" t="str">
        <f t="shared" si="20"/>
        <v/>
      </c>
      <c r="E129" s="13" t="str">
        <f t="shared" si="21"/>
        <v/>
      </c>
      <c r="F129" s="13" t="str">
        <f t="shared" si="22"/>
        <v/>
      </c>
      <c r="G129" s="13" t="str">
        <f t="shared" si="23"/>
        <v/>
      </c>
      <c r="H129" s="13"/>
      <c r="I129" s="13"/>
      <c r="J129" s="13"/>
      <c r="K129" s="13"/>
      <c r="M129" s="2">
        <f>+'Daily Summary'!A156</f>
        <v>46338</v>
      </c>
      <c r="N129">
        <f t="shared" si="24"/>
        <v>46</v>
      </c>
      <c r="O129" s="13" t="str">
        <f>+IFERROR('Raw Data - Production'!J157/('Raw Data - Production'!D157*Weights!$B$2),"")</f>
        <v/>
      </c>
      <c r="P129" s="13" t="str">
        <f>+IFERROR('Raw Data - Production'!K157/('Raw Data - Production'!E157*Weights!$B$2),"")</f>
        <v/>
      </c>
      <c r="Q129" s="13" t="str">
        <f>+IFERROR('Raw Data - Production'!L157/('Raw Data - Production'!F157*Weights!$B$2),"")</f>
        <v/>
      </c>
      <c r="R129" s="13" t="str">
        <f>+IFERROR('Raw Data - Production'!M157/('Raw Data - Production'!G157*Weights!$B$2),"")</f>
        <v/>
      </c>
      <c r="S129" s="13" t="str">
        <f>+IFERROR('Raw Data - Production'!N157/('Raw Data - Production'!H157*Weights!$B$2),"")</f>
        <v/>
      </c>
      <c r="T129" s="13"/>
      <c r="U129" s="13"/>
      <c r="V129" s="13"/>
      <c r="W129" s="13"/>
      <c r="Y129" s="2">
        <f t="shared" si="25"/>
        <v>46338</v>
      </c>
      <c r="AB129">
        <f t="shared" si="26"/>
        <v>46</v>
      </c>
      <c r="AC129" s="13">
        <f t="shared" si="29"/>
        <v>0</v>
      </c>
      <c r="AD129" s="13">
        <f t="shared" si="29"/>
        <v>0</v>
      </c>
      <c r="AE129" s="13">
        <f t="shared" si="30"/>
        <v>0</v>
      </c>
      <c r="AF129" s="13">
        <f t="shared" si="30"/>
        <v>0</v>
      </c>
      <c r="AG129" s="13">
        <f t="shared" si="30"/>
        <v>0</v>
      </c>
      <c r="AH129" s="13"/>
      <c r="AI129" s="13"/>
      <c r="AJ129" s="13"/>
      <c r="AK129" s="13"/>
      <c r="AM129" s="2">
        <f t="shared" si="27"/>
        <v>46338</v>
      </c>
      <c r="AN129">
        <f t="shared" si="28"/>
        <v>46</v>
      </c>
      <c r="AO129" s="18">
        <f>('Raw Data - Production'!D157/100)/60</f>
        <v>0</v>
      </c>
      <c r="AP129" s="18">
        <f>('Raw Data - Production'!E157/100)/60</f>
        <v>0</v>
      </c>
      <c r="AQ129" s="18">
        <f>('Raw Data - Production'!F157/50)/60</f>
        <v>0</v>
      </c>
      <c r="AR129" s="18">
        <f>('Raw Data - Production'!G157/50)/60</f>
        <v>0</v>
      </c>
      <c r="AS129" s="18">
        <f>('Raw Data - Production'!H157/50)/60</f>
        <v>0</v>
      </c>
      <c r="AT129" s="18"/>
      <c r="AU129" s="18"/>
      <c r="AV129" s="18"/>
      <c r="AW129" s="18"/>
    </row>
    <row r="130" spans="1:49" x14ac:dyDescent="0.3">
      <c r="A130" s="2">
        <f t="shared" si="17"/>
        <v>46339</v>
      </c>
      <c r="B130">
        <f t="shared" si="18"/>
        <v>46</v>
      </c>
      <c r="C130" s="13" t="str">
        <f t="shared" si="19"/>
        <v/>
      </c>
      <c r="D130" s="13" t="str">
        <f t="shared" si="20"/>
        <v/>
      </c>
      <c r="E130" s="13" t="str">
        <f t="shared" si="21"/>
        <v/>
      </c>
      <c r="F130" s="13" t="str">
        <f t="shared" si="22"/>
        <v/>
      </c>
      <c r="G130" s="13" t="str">
        <f t="shared" si="23"/>
        <v/>
      </c>
      <c r="H130" s="13"/>
      <c r="I130" s="13"/>
      <c r="J130" s="13"/>
      <c r="K130" s="13"/>
      <c r="M130" s="2">
        <f>+'Daily Summary'!A157</f>
        <v>46339</v>
      </c>
      <c r="N130">
        <f t="shared" si="24"/>
        <v>46</v>
      </c>
      <c r="O130" s="13" t="str">
        <f>+IFERROR('Raw Data - Production'!J158/('Raw Data - Production'!D158*Weights!$B$2),"")</f>
        <v/>
      </c>
      <c r="P130" s="13" t="str">
        <f>+IFERROR('Raw Data - Production'!K158/('Raw Data - Production'!E158*Weights!$B$2),"")</f>
        <v/>
      </c>
      <c r="Q130" s="13" t="str">
        <f>+IFERROR('Raw Data - Production'!L158/('Raw Data - Production'!F158*Weights!$B$2),"")</f>
        <v/>
      </c>
      <c r="R130" s="13" t="str">
        <f>+IFERROR('Raw Data - Production'!M158/('Raw Data - Production'!G158*Weights!$B$2),"")</f>
        <v/>
      </c>
      <c r="S130" s="13" t="str">
        <f>+IFERROR('Raw Data - Production'!N158/('Raw Data - Production'!H158*Weights!$B$2),"")</f>
        <v/>
      </c>
      <c r="T130" s="13"/>
      <c r="U130" s="13"/>
      <c r="V130" s="13"/>
      <c r="W130" s="13"/>
      <c r="Y130" s="2">
        <f t="shared" si="25"/>
        <v>46339</v>
      </c>
      <c r="AB130">
        <f t="shared" si="26"/>
        <v>46</v>
      </c>
      <c r="AC130" s="13">
        <f t="shared" si="29"/>
        <v>0</v>
      </c>
      <c r="AD130" s="13">
        <f t="shared" si="29"/>
        <v>0</v>
      </c>
      <c r="AE130" s="13">
        <f t="shared" si="30"/>
        <v>0</v>
      </c>
      <c r="AF130" s="13">
        <f t="shared" si="30"/>
        <v>0</v>
      </c>
      <c r="AG130" s="13">
        <f t="shared" si="30"/>
        <v>0</v>
      </c>
      <c r="AH130" s="13"/>
      <c r="AI130" s="13"/>
      <c r="AJ130" s="13"/>
      <c r="AK130" s="13"/>
      <c r="AM130" s="2">
        <f t="shared" si="27"/>
        <v>46339</v>
      </c>
      <c r="AN130">
        <f t="shared" si="28"/>
        <v>46</v>
      </c>
      <c r="AO130" s="18">
        <f>('Raw Data - Production'!D158/100)/60</f>
        <v>0</v>
      </c>
      <c r="AP130" s="18">
        <f>('Raw Data - Production'!E158/100)/60</f>
        <v>0</v>
      </c>
      <c r="AQ130" s="18">
        <f>('Raw Data - Production'!F158/50)/60</f>
        <v>0</v>
      </c>
      <c r="AR130" s="18">
        <f>('Raw Data - Production'!G158/50)/60</f>
        <v>0</v>
      </c>
      <c r="AS130" s="18">
        <f>('Raw Data - Production'!H158/50)/60</f>
        <v>0</v>
      </c>
      <c r="AT130" s="18"/>
      <c r="AU130" s="18"/>
      <c r="AV130" s="18"/>
      <c r="AW130" s="18"/>
    </row>
    <row r="131" spans="1:49" x14ac:dyDescent="0.3">
      <c r="A131" s="2">
        <f t="shared" si="17"/>
        <v>46342</v>
      </c>
      <c r="B131">
        <f t="shared" si="18"/>
        <v>47</v>
      </c>
      <c r="C131" s="13" t="str">
        <f t="shared" si="19"/>
        <v/>
      </c>
      <c r="D131" s="13" t="str">
        <f t="shared" si="20"/>
        <v/>
      </c>
      <c r="E131" s="13" t="str">
        <f t="shared" si="21"/>
        <v/>
      </c>
      <c r="F131" s="13" t="str">
        <f t="shared" si="22"/>
        <v/>
      </c>
      <c r="G131" s="13" t="str">
        <f t="shared" si="23"/>
        <v/>
      </c>
      <c r="H131" s="13"/>
      <c r="I131" s="13"/>
      <c r="J131" s="13"/>
      <c r="K131" s="13"/>
      <c r="M131" s="2">
        <f>+'Daily Summary'!A158</f>
        <v>46342</v>
      </c>
      <c r="N131">
        <f t="shared" si="24"/>
        <v>47</v>
      </c>
      <c r="O131" s="13" t="str">
        <f>+IFERROR('Raw Data - Production'!J159/('Raw Data - Production'!D159*Weights!$B$2),"")</f>
        <v/>
      </c>
      <c r="P131" s="13" t="str">
        <f>+IFERROR('Raw Data - Production'!K159/('Raw Data - Production'!E159*Weights!$B$2),"")</f>
        <v/>
      </c>
      <c r="Q131" s="13" t="str">
        <f>+IFERROR('Raw Data - Production'!L159/('Raw Data - Production'!F159*Weights!$B$2),"")</f>
        <v/>
      </c>
      <c r="R131" s="13" t="str">
        <f>+IFERROR('Raw Data - Production'!M159/('Raw Data - Production'!G159*Weights!$B$2),"")</f>
        <v/>
      </c>
      <c r="S131" s="13" t="str">
        <f>+IFERROR('Raw Data - Production'!N159/('Raw Data - Production'!H159*Weights!$B$2),"")</f>
        <v/>
      </c>
      <c r="T131" s="13"/>
      <c r="U131" s="13"/>
      <c r="V131" s="13"/>
      <c r="W131" s="13"/>
      <c r="Y131" s="2">
        <f t="shared" si="25"/>
        <v>46342</v>
      </c>
      <c r="AB131">
        <f t="shared" si="26"/>
        <v>47</v>
      </c>
      <c r="AC131" s="13">
        <f t="shared" si="29"/>
        <v>0</v>
      </c>
      <c r="AD131" s="13">
        <f t="shared" si="29"/>
        <v>0</v>
      </c>
      <c r="AE131" s="13">
        <f t="shared" si="30"/>
        <v>0</v>
      </c>
      <c r="AF131" s="13">
        <f t="shared" si="30"/>
        <v>0</v>
      </c>
      <c r="AG131" s="13">
        <f t="shared" si="30"/>
        <v>0</v>
      </c>
      <c r="AH131" s="13"/>
      <c r="AI131" s="13"/>
      <c r="AJ131" s="13"/>
      <c r="AK131" s="13"/>
      <c r="AM131" s="2">
        <f t="shared" si="27"/>
        <v>46342</v>
      </c>
      <c r="AN131">
        <f t="shared" si="28"/>
        <v>47</v>
      </c>
      <c r="AO131" s="18">
        <f>('Raw Data - Production'!D159/100)/60</f>
        <v>0</v>
      </c>
      <c r="AP131" s="18">
        <f>('Raw Data - Production'!E159/100)/60</f>
        <v>0</v>
      </c>
      <c r="AQ131" s="18">
        <f>('Raw Data - Production'!F159/50)/60</f>
        <v>0</v>
      </c>
      <c r="AR131" s="18">
        <f>('Raw Data - Production'!G159/50)/60</f>
        <v>0</v>
      </c>
      <c r="AS131" s="18">
        <f>('Raw Data - Production'!H159/50)/60</f>
        <v>0</v>
      </c>
      <c r="AT131" s="18"/>
      <c r="AU131" s="18"/>
      <c r="AV131" s="18"/>
      <c r="AW131" s="18"/>
    </row>
    <row r="132" spans="1:49" x14ac:dyDescent="0.3">
      <c r="A132" s="2">
        <f t="shared" ref="A132:A161" si="31">M132</f>
        <v>46343</v>
      </c>
      <c r="B132">
        <f t="shared" ref="B132:B161" si="32">+WEEKNUM(A132)</f>
        <v>47</v>
      </c>
      <c r="C132" s="13" t="str">
        <f t="shared" ref="C132:C161" si="33">IFERROR(AC132*(100%-O132)*(AO132/7.5),"")</f>
        <v/>
      </c>
      <c r="D132" s="13" t="str">
        <f t="shared" ref="D132:D161" si="34">IFERROR(AD132*(100%-P132)*(AP132/7.5),"")</f>
        <v/>
      </c>
      <c r="E132" s="13" t="str">
        <f t="shared" ref="E132:E161" si="35">IFERROR(AE132*(100%-Q132)*(AQ132/7.5),"")</f>
        <v/>
      </c>
      <c r="F132" s="13" t="str">
        <f t="shared" ref="F132:F161" si="36">IFERROR(AF132*(100%-R132)*(AR132/7.5),"")</f>
        <v/>
      </c>
      <c r="G132" s="13" t="str">
        <f t="shared" ref="G132:G161" si="37">IFERROR(AG132*(100%-S132)*(AS132/7.5),"")</f>
        <v/>
      </c>
      <c r="H132" s="13"/>
      <c r="I132" s="13"/>
      <c r="J132" s="13"/>
      <c r="K132" s="13"/>
      <c r="M132" s="2">
        <f>+'Daily Summary'!A159</f>
        <v>46343</v>
      </c>
      <c r="N132">
        <f t="shared" ref="N132:N161" si="38">+WEEKNUM(M132)</f>
        <v>47</v>
      </c>
      <c r="O132" s="13" t="str">
        <f>+IFERROR('Raw Data - Production'!J160/('Raw Data - Production'!D160*Weights!$B$2),"")</f>
        <v/>
      </c>
      <c r="P132" s="13" t="str">
        <f>+IFERROR('Raw Data - Production'!K160/('Raw Data - Production'!E160*Weights!$B$2),"")</f>
        <v/>
      </c>
      <c r="Q132" s="13" t="str">
        <f>+IFERROR('Raw Data - Production'!L160/('Raw Data - Production'!F160*Weights!$B$2),"")</f>
        <v/>
      </c>
      <c r="R132" s="13" t="str">
        <f>+IFERROR('Raw Data - Production'!M160/('Raw Data - Production'!G160*Weights!$B$2),"")</f>
        <v/>
      </c>
      <c r="S132" s="13" t="str">
        <f>+IFERROR('Raw Data - Production'!N160/('Raw Data - Production'!H160*Weights!$B$2),"")</f>
        <v/>
      </c>
      <c r="T132" s="13"/>
      <c r="U132" s="13"/>
      <c r="V132" s="13"/>
      <c r="W132" s="13"/>
      <c r="Y132" s="2">
        <f t="shared" ref="Y132:Y161" si="39">+M132</f>
        <v>46343</v>
      </c>
      <c r="AB132">
        <f t="shared" ref="AB132:AB161" si="40">+WEEKNUM(Y132)</f>
        <v>47</v>
      </c>
      <c r="AC132" s="13">
        <f t="shared" si="29"/>
        <v>0</v>
      </c>
      <c r="AD132" s="13">
        <f t="shared" si="29"/>
        <v>0</v>
      </c>
      <c r="AE132" s="13">
        <f t="shared" si="30"/>
        <v>0</v>
      </c>
      <c r="AF132" s="13">
        <f t="shared" si="30"/>
        <v>0</v>
      </c>
      <c r="AG132" s="13">
        <f t="shared" si="30"/>
        <v>0</v>
      </c>
      <c r="AH132" s="13"/>
      <c r="AI132" s="13"/>
      <c r="AJ132" s="13"/>
      <c r="AK132" s="13"/>
      <c r="AM132" s="2">
        <f t="shared" ref="AM132:AM161" si="41">+Y132</f>
        <v>46343</v>
      </c>
      <c r="AN132">
        <f t="shared" ref="AN132:AN161" si="42">+WEEKNUM(AM132)</f>
        <v>47</v>
      </c>
      <c r="AO132" s="18">
        <f>('Raw Data - Production'!D160/100)/60</f>
        <v>0</v>
      </c>
      <c r="AP132" s="18">
        <f>('Raw Data - Production'!E160/100)/60</f>
        <v>0</v>
      </c>
      <c r="AQ132" s="18">
        <f>('Raw Data - Production'!F160/50)/60</f>
        <v>0</v>
      </c>
      <c r="AR132" s="18">
        <f>('Raw Data - Production'!G160/50)/60</f>
        <v>0</v>
      </c>
      <c r="AS132" s="18">
        <f>('Raw Data - Production'!H160/50)/60</f>
        <v>0</v>
      </c>
      <c r="AT132" s="18"/>
      <c r="AU132" s="18"/>
      <c r="AV132" s="18"/>
      <c r="AW132" s="18"/>
    </row>
    <row r="133" spans="1:49" x14ac:dyDescent="0.3">
      <c r="A133" s="2">
        <f t="shared" si="31"/>
        <v>46344</v>
      </c>
      <c r="B133">
        <f t="shared" si="32"/>
        <v>47</v>
      </c>
      <c r="C133" s="13" t="str">
        <f t="shared" si="33"/>
        <v/>
      </c>
      <c r="D133" s="13" t="str">
        <f t="shared" si="34"/>
        <v/>
      </c>
      <c r="E133" s="13" t="str">
        <f t="shared" si="35"/>
        <v/>
      </c>
      <c r="F133" s="13" t="str">
        <f t="shared" si="36"/>
        <v/>
      </c>
      <c r="G133" s="13" t="str">
        <f t="shared" si="37"/>
        <v/>
      </c>
      <c r="H133" s="13"/>
      <c r="I133" s="13"/>
      <c r="J133" s="13"/>
      <c r="K133" s="13"/>
      <c r="M133" s="2">
        <f>+'Daily Summary'!A160</f>
        <v>46344</v>
      </c>
      <c r="N133">
        <f t="shared" si="38"/>
        <v>47</v>
      </c>
      <c r="O133" s="13" t="str">
        <f>+IFERROR('Raw Data - Production'!J161/('Raw Data - Production'!D161*Weights!$B$2),"")</f>
        <v/>
      </c>
      <c r="P133" s="13" t="str">
        <f>+IFERROR('Raw Data - Production'!K161/('Raw Data - Production'!E161*Weights!$B$2),"")</f>
        <v/>
      </c>
      <c r="Q133" s="13" t="str">
        <f>+IFERROR('Raw Data - Production'!L161/('Raw Data - Production'!F161*Weights!$B$2),"")</f>
        <v/>
      </c>
      <c r="R133" s="13" t="str">
        <f>+IFERROR('Raw Data - Production'!M161/('Raw Data - Production'!G161*Weights!$B$2),"")</f>
        <v/>
      </c>
      <c r="S133" s="13" t="str">
        <f>+IFERROR('Raw Data - Production'!N161/('Raw Data - Production'!H161*Weights!$B$2),"")</f>
        <v/>
      </c>
      <c r="T133" s="13"/>
      <c r="U133" s="13"/>
      <c r="V133" s="13"/>
      <c r="W133" s="13"/>
      <c r="Y133" s="2">
        <f t="shared" si="39"/>
        <v>46344</v>
      </c>
      <c r="AB133">
        <f t="shared" si="40"/>
        <v>47</v>
      </c>
      <c r="AC133" s="13">
        <f t="shared" si="29"/>
        <v>0</v>
      </c>
      <c r="AD133" s="13">
        <f t="shared" si="29"/>
        <v>0</v>
      </c>
      <c r="AE133" s="13">
        <f t="shared" si="30"/>
        <v>0</v>
      </c>
      <c r="AF133" s="13">
        <f t="shared" si="30"/>
        <v>0</v>
      </c>
      <c r="AG133" s="13">
        <f t="shared" si="30"/>
        <v>0</v>
      </c>
      <c r="AH133" s="13"/>
      <c r="AI133" s="13"/>
      <c r="AJ133" s="13"/>
      <c r="AK133" s="13"/>
      <c r="AM133" s="2">
        <f t="shared" si="41"/>
        <v>46344</v>
      </c>
      <c r="AN133">
        <f t="shared" si="42"/>
        <v>47</v>
      </c>
      <c r="AO133" s="18">
        <f>('Raw Data - Production'!D161/100)/60</f>
        <v>0</v>
      </c>
      <c r="AP133" s="18">
        <f>('Raw Data - Production'!E161/100)/60</f>
        <v>0</v>
      </c>
      <c r="AQ133" s="18">
        <f>('Raw Data - Production'!F161/50)/60</f>
        <v>0</v>
      </c>
      <c r="AR133" s="18">
        <f>('Raw Data - Production'!G161/50)/60</f>
        <v>0</v>
      </c>
      <c r="AS133" s="18">
        <f>('Raw Data - Production'!H161/50)/60</f>
        <v>0</v>
      </c>
      <c r="AT133" s="18"/>
      <c r="AU133" s="18"/>
      <c r="AV133" s="18"/>
      <c r="AW133" s="18"/>
    </row>
    <row r="134" spans="1:49" x14ac:dyDescent="0.3">
      <c r="A134" s="2">
        <f t="shared" si="31"/>
        <v>46345</v>
      </c>
      <c r="B134">
        <f t="shared" si="32"/>
        <v>47</v>
      </c>
      <c r="C134" s="13" t="str">
        <f t="shared" si="33"/>
        <v/>
      </c>
      <c r="D134" s="13" t="str">
        <f t="shared" si="34"/>
        <v/>
      </c>
      <c r="E134" s="13" t="str">
        <f t="shared" si="35"/>
        <v/>
      </c>
      <c r="F134" s="13" t="str">
        <f t="shared" si="36"/>
        <v/>
      </c>
      <c r="G134" s="13" t="str">
        <f t="shared" si="37"/>
        <v/>
      </c>
      <c r="H134" s="13"/>
      <c r="I134" s="13"/>
      <c r="J134" s="13"/>
      <c r="K134" s="13"/>
      <c r="M134" s="2">
        <f>+'Daily Summary'!A161</f>
        <v>46345</v>
      </c>
      <c r="N134">
        <f t="shared" si="38"/>
        <v>47</v>
      </c>
      <c r="O134" s="13" t="str">
        <f>+IFERROR('Raw Data - Production'!J162/('Raw Data - Production'!D162*Weights!$B$2),"")</f>
        <v/>
      </c>
      <c r="P134" s="13" t="str">
        <f>+IFERROR('Raw Data - Production'!K162/('Raw Data - Production'!E162*Weights!$B$2),"")</f>
        <v/>
      </c>
      <c r="Q134" s="13" t="str">
        <f>+IFERROR('Raw Data - Production'!L162/('Raw Data - Production'!F162*Weights!$B$2),"")</f>
        <v/>
      </c>
      <c r="R134" s="13" t="str">
        <f>+IFERROR('Raw Data - Production'!M162/('Raw Data - Production'!G162*Weights!$B$2),"")</f>
        <v/>
      </c>
      <c r="S134" s="13" t="str">
        <f>+IFERROR('Raw Data - Production'!N162/('Raw Data - Production'!H162*Weights!$B$2),"")</f>
        <v/>
      </c>
      <c r="T134" s="13"/>
      <c r="U134" s="13"/>
      <c r="V134" s="13"/>
      <c r="W134" s="13"/>
      <c r="Y134" s="2">
        <f t="shared" si="39"/>
        <v>46345</v>
      </c>
      <c r="AB134">
        <f t="shared" si="40"/>
        <v>47</v>
      </c>
      <c r="AC134" s="13">
        <f t="shared" si="29"/>
        <v>0</v>
      </c>
      <c r="AD134" s="13">
        <f t="shared" si="29"/>
        <v>0</v>
      </c>
      <c r="AE134" s="13">
        <f t="shared" si="30"/>
        <v>0</v>
      </c>
      <c r="AF134" s="13">
        <f t="shared" si="30"/>
        <v>0</v>
      </c>
      <c r="AG134" s="13">
        <f t="shared" si="30"/>
        <v>0</v>
      </c>
      <c r="AH134" s="13"/>
      <c r="AI134" s="13"/>
      <c r="AJ134" s="13"/>
      <c r="AK134" s="13"/>
      <c r="AM134" s="2">
        <f t="shared" si="41"/>
        <v>46345</v>
      </c>
      <c r="AN134">
        <f t="shared" si="42"/>
        <v>47</v>
      </c>
      <c r="AO134" s="18">
        <f>('Raw Data - Production'!D162/100)/60</f>
        <v>0</v>
      </c>
      <c r="AP134" s="18">
        <f>('Raw Data - Production'!E162/100)/60</f>
        <v>0</v>
      </c>
      <c r="AQ134" s="18">
        <f>('Raw Data - Production'!F162/50)/60</f>
        <v>0</v>
      </c>
      <c r="AR134" s="18">
        <f>('Raw Data - Production'!G162/50)/60</f>
        <v>0</v>
      </c>
      <c r="AS134" s="18">
        <f>('Raw Data - Production'!H162/50)/60</f>
        <v>0</v>
      </c>
      <c r="AT134" s="18"/>
      <c r="AU134" s="18"/>
      <c r="AV134" s="18"/>
      <c r="AW134" s="18"/>
    </row>
    <row r="135" spans="1:49" x14ac:dyDescent="0.3">
      <c r="A135" s="2">
        <f t="shared" si="31"/>
        <v>46346</v>
      </c>
      <c r="B135">
        <f t="shared" si="32"/>
        <v>47</v>
      </c>
      <c r="C135" s="13" t="str">
        <f t="shared" si="33"/>
        <v/>
      </c>
      <c r="D135" s="13" t="str">
        <f t="shared" si="34"/>
        <v/>
      </c>
      <c r="E135" s="13" t="str">
        <f t="shared" si="35"/>
        <v/>
      </c>
      <c r="F135" s="13" t="str">
        <f t="shared" si="36"/>
        <v/>
      </c>
      <c r="G135" s="13" t="str">
        <f t="shared" si="37"/>
        <v/>
      </c>
      <c r="H135" s="13"/>
      <c r="I135" s="13"/>
      <c r="J135" s="13"/>
      <c r="K135" s="13"/>
      <c r="M135" s="2">
        <f>+'Daily Summary'!A162</f>
        <v>46346</v>
      </c>
      <c r="N135">
        <f t="shared" si="38"/>
        <v>47</v>
      </c>
      <c r="O135" s="13" t="str">
        <f>+IFERROR('Raw Data - Production'!J163/('Raw Data - Production'!D163*Weights!$B$2),"")</f>
        <v/>
      </c>
      <c r="P135" s="13" t="str">
        <f>+IFERROR('Raw Data - Production'!K163/('Raw Data - Production'!E163*Weights!$B$2),"")</f>
        <v/>
      </c>
      <c r="Q135" s="13" t="str">
        <f>+IFERROR('Raw Data - Production'!L163/('Raw Data - Production'!F163*Weights!$B$2),"")</f>
        <v/>
      </c>
      <c r="R135" s="13" t="str">
        <f>+IFERROR('Raw Data - Production'!M163/('Raw Data - Production'!G163*Weights!$B$2),"")</f>
        <v/>
      </c>
      <c r="S135" s="13" t="str">
        <f>+IFERROR('Raw Data - Production'!N163/('Raw Data - Production'!H163*Weights!$B$2),"")</f>
        <v/>
      </c>
      <c r="T135" s="13"/>
      <c r="U135" s="13"/>
      <c r="V135" s="13"/>
      <c r="W135" s="13"/>
      <c r="Y135" s="2">
        <f t="shared" si="39"/>
        <v>46346</v>
      </c>
      <c r="AB135">
        <f t="shared" si="40"/>
        <v>47</v>
      </c>
      <c r="AC135" s="13">
        <f t="shared" si="29"/>
        <v>0</v>
      </c>
      <c r="AD135" s="13">
        <f t="shared" si="29"/>
        <v>0</v>
      </c>
      <c r="AE135" s="13">
        <f t="shared" si="30"/>
        <v>0</v>
      </c>
      <c r="AF135" s="13">
        <f t="shared" si="30"/>
        <v>0</v>
      </c>
      <c r="AG135" s="13">
        <f t="shared" si="30"/>
        <v>0</v>
      </c>
      <c r="AH135" s="13"/>
      <c r="AI135" s="13"/>
      <c r="AJ135" s="13"/>
      <c r="AK135" s="13"/>
      <c r="AM135" s="2">
        <f t="shared" si="41"/>
        <v>46346</v>
      </c>
      <c r="AN135">
        <f t="shared" si="42"/>
        <v>47</v>
      </c>
      <c r="AO135" s="18">
        <f>('Raw Data - Production'!D163/100)/60</f>
        <v>0</v>
      </c>
      <c r="AP135" s="18">
        <f>('Raw Data - Production'!E163/100)/60</f>
        <v>0</v>
      </c>
      <c r="AQ135" s="18">
        <f>('Raw Data - Production'!F163/50)/60</f>
        <v>0</v>
      </c>
      <c r="AR135" s="18">
        <f>('Raw Data - Production'!G163/50)/60</f>
        <v>0</v>
      </c>
      <c r="AS135" s="18">
        <f>('Raw Data - Production'!H163/50)/60</f>
        <v>0</v>
      </c>
      <c r="AT135" s="18"/>
      <c r="AU135" s="18"/>
      <c r="AV135" s="18"/>
      <c r="AW135" s="18"/>
    </row>
    <row r="136" spans="1:49" x14ac:dyDescent="0.3">
      <c r="A136" s="2">
        <f t="shared" si="31"/>
        <v>46349</v>
      </c>
      <c r="B136">
        <f t="shared" si="32"/>
        <v>48</v>
      </c>
      <c r="C136" s="13" t="str">
        <f t="shared" si="33"/>
        <v/>
      </c>
      <c r="D136" s="13" t="str">
        <f t="shared" si="34"/>
        <v/>
      </c>
      <c r="E136" s="13" t="str">
        <f t="shared" si="35"/>
        <v/>
      </c>
      <c r="F136" s="13" t="str">
        <f t="shared" si="36"/>
        <v/>
      </c>
      <c r="G136" s="13" t="str">
        <f t="shared" si="37"/>
        <v/>
      </c>
      <c r="H136" s="13"/>
      <c r="I136" s="13"/>
      <c r="J136" s="13"/>
      <c r="K136" s="13"/>
      <c r="M136" s="2">
        <f>+'Daily Summary'!A163</f>
        <v>46349</v>
      </c>
      <c r="N136">
        <f t="shared" si="38"/>
        <v>48</v>
      </c>
      <c r="O136" s="13" t="str">
        <f>+IFERROR('Raw Data - Production'!J164/('Raw Data - Production'!D164*Weights!$B$2),"")</f>
        <v/>
      </c>
      <c r="P136" s="13" t="str">
        <f>+IFERROR('Raw Data - Production'!K164/('Raw Data - Production'!E164*Weights!$B$2),"")</f>
        <v/>
      </c>
      <c r="Q136" s="13" t="str">
        <f>+IFERROR('Raw Data - Production'!L164/('Raw Data - Production'!F164*Weights!$B$2),"")</f>
        <v/>
      </c>
      <c r="R136" s="13" t="str">
        <f>+IFERROR('Raw Data - Production'!M164/('Raw Data - Production'!G164*Weights!$B$2),"")</f>
        <v/>
      </c>
      <c r="S136" s="13" t="str">
        <f>+IFERROR('Raw Data - Production'!N164/('Raw Data - Production'!H164*Weights!$B$2),"")</f>
        <v/>
      </c>
      <c r="T136" s="13"/>
      <c r="U136" s="13"/>
      <c r="V136" s="13"/>
      <c r="W136" s="13"/>
      <c r="Y136" s="2">
        <f t="shared" si="39"/>
        <v>46349</v>
      </c>
      <c r="AB136">
        <f t="shared" si="40"/>
        <v>48</v>
      </c>
      <c r="AC136" s="13">
        <f t="shared" si="29"/>
        <v>0</v>
      </c>
      <c r="AD136" s="13">
        <f t="shared" si="29"/>
        <v>0</v>
      </c>
      <c r="AE136" s="13">
        <f t="shared" si="30"/>
        <v>0</v>
      </c>
      <c r="AF136" s="13">
        <f t="shared" si="30"/>
        <v>0</v>
      </c>
      <c r="AG136" s="13">
        <f t="shared" si="30"/>
        <v>0</v>
      </c>
      <c r="AH136" s="13"/>
      <c r="AI136" s="13"/>
      <c r="AJ136" s="13"/>
      <c r="AK136" s="13"/>
      <c r="AM136" s="2">
        <f t="shared" si="41"/>
        <v>46349</v>
      </c>
      <c r="AN136">
        <f t="shared" si="42"/>
        <v>48</v>
      </c>
      <c r="AO136" s="18">
        <f>('Raw Data - Production'!D164/100)/60</f>
        <v>0</v>
      </c>
      <c r="AP136" s="18">
        <f>('Raw Data - Production'!E164/100)/60</f>
        <v>0</v>
      </c>
      <c r="AQ136" s="18">
        <f>('Raw Data - Production'!F164/50)/60</f>
        <v>0</v>
      </c>
      <c r="AR136" s="18">
        <f>('Raw Data - Production'!G164/50)/60</f>
        <v>0</v>
      </c>
      <c r="AS136" s="18">
        <f>('Raw Data - Production'!H164/50)/60</f>
        <v>0</v>
      </c>
      <c r="AT136" s="18"/>
      <c r="AU136" s="18"/>
      <c r="AV136" s="18"/>
      <c r="AW136" s="18"/>
    </row>
    <row r="137" spans="1:49" x14ac:dyDescent="0.3">
      <c r="A137" s="2">
        <f t="shared" si="31"/>
        <v>46350</v>
      </c>
      <c r="B137">
        <f t="shared" si="32"/>
        <v>48</v>
      </c>
      <c r="C137" s="13" t="str">
        <f t="shared" si="33"/>
        <v/>
      </c>
      <c r="D137" s="13" t="str">
        <f t="shared" si="34"/>
        <v/>
      </c>
      <c r="E137" s="13" t="str">
        <f t="shared" si="35"/>
        <v/>
      </c>
      <c r="F137" s="13" t="str">
        <f t="shared" si="36"/>
        <v/>
      </c>
      <c r="G137" s="13" t="str">
        <f t="shared" si="37"/>
        <v/>
      </c>
      <c r="H137" s="13"/>
      <c r="I137" s="13"/>
      <c r="J137" s="13"/>
      <c r="K137" s="13"/>
      <c r="M137" s="2">
        <f>+'Daily Summary'!A164</f>
        <v>46350</v>
      </c>
      <c r="N137">
        <f t="shared" si="38"/>
        <v>48</v>
      </c>
      <c r="O137" s="13" t="str">
        <f>+IFERROR('Raw Data - Production'!J165/('Raw Data - Production'!D165*Weights!$B$2),"")</f>
        <v/>
      </c>
      <c r="P137" s="13" t="str">
        <f>+IFERROR('Raw Data - Production'!K165/('Raw Data - Production'!E165*Weights!$B$2),"")</f>
        <v/>
      </c>
      <c r="Q137" s="13" t="str">
        <f>+IFERROR('Raw Data - Production'!L165/('Raw Data - Production'!F165*Weights!$B$2),"")</f>
        <v/>
      </c>
      <c r="R137" s="13" t="str">
        <f>+IFERROR('Raw Data - Production'!M165/('Raw Data - Production'!G165*Weights!$B$2),"")</f>
        <v/>
      </c>
      <c r="S137" s="13" t="str">
        <f>+IFERROR('Raw Data - Production'!N165/('Raw Data - Production'!H165*Weights!$B$2),"")</f>
        <v/>
      </c>
      <c r="T137" s="13"/>
      <c r="U137" s="13"/>
      <c r="V137" s="13"/>
      <c r="W137" s="13"/>
      <c r="Y137" s="2">
        <f t="shared" si="39"/>
        <v>46350</v>
      </c>
      <c r="AB137">
        <f t="shared" si="40"/>
        <v>48</v>
      </c>
      <c r="AC137" s="13">
        <f t="shared" si="29"/>
        <v>0</v>
      </c>
      <c r="AD137" s="13">
        <f t="shared" si="29"/>
        <v>0</v>
      </c>
      <c r="AE137" s="13">
        <f t="shared" si="30"/>
        <v>0</v>
      </c>
      <c r="AF137" s="13">
        <f t="shared" si="30"/>
        <v>0</v>
      </c>
      <c r="AG137" s="13">
        <f t="shared" si="30"/>
        <v>0</v>
      </c>
      <c r="AH137" s="13"/>
      <c r="AI137" s="13"/>
      <c r="AJ137" s="13"/>
      <c r="AK137" s="13"/>
      <c r="AM137" s="2">
        <f t="shared" si="41"/>
        <v>46350</v>
      </c>
      <c r="AN137">
        <f t="shared" si="42"/>
        <v>48</v>
      </c>
      <c r="AO137" s="18">
        <f>('Raw Data - Production'!D165/100)/60</f>
        <v>0</v>
      </c>
      <c r="AP137" s="18">
        <f>('Raw Data - Production'!E165/100)/60</f>
        <v>0</v>
      </c>
      <c r="AQ137" s="18">
        <f>('Raw Data - Production'!F165/50)/60</f>
        <v>0</v>
      </c>
      <c r="AR137" s="18">
        <f>('Raw Data - Production'!G165/50)/60</f>
        <v>0</v>
      </c>
      <c r="AS137" s="18">
        <f>('Raw Data - Production'!H165/50)/60</f>
        <v>0</v>
      </c>
      <c r="AT137" s="18"/>
      <c r="AU137" s="18"/>
      <c r="AV137" s="18"/>
      <c r="AW137" s="18"/>
    </row>
    <row r="138" spans="1:49" x14ac:dyDescent="0.3">
      <c r="A138" s="2">
        <f t="shared" si="31"/>
        <v>46351</v>
      </c>
      <c r="B138">
        <f t="shared" si="32"/>
        <v>48</v>
      </c>
      <c r="C138" s="13" t="str">
        <f t="shared" si="33"/>
        <v/>
      </c>
      <c r="D138" s="13" t="str">
        <f t="shared" si="34"/>
        <v/>
      </c>
      <c r="E138" s="13" t="str">
        <f t="shared" si="35"/>
        <v/>
      </c>
      <c r="F138" s="13" t="str">
        <f t="shared" si="36"/>
        <v/>
      </c>
      <c r="G138" s="13" t="str">
        <f t="shared" si="37"/>
        <v/>
      </c>
      <c r="H138" s="13"/>
      <c r="I138" s="13"/>
      <c r="J138" s="13"/>
      <c r="K138" s="13"/>
      <c r="M138" s="2">
        <f>+'Daily Summary'!A165</f>
        <v>46351</v>
      </c>
      <c r="N138">
        <f t="shared" si="38"/>
        <v>48</v>
      </c>
      <c r="O138" s="13" t="str">
        <f>+IFERROR('Raw Data - Production'!J166/('Raw Data - Production'!D166*Weights!$B$2),"")</f>
        <v/>
      </c>
      <c r="P138" s="13" t="str">
        <f>+IFERROR('Raw Data - Production'!K166/('Raw Data - Production'!E166*Weights!$B$2),"")</f>
        <v/>
      </c>
      <c r="Q138" s="13" t="str">
        <f>+IFERROR('Raw Data - Production'!L166/('Raw Data - Production'!F166*Weights!$B$2),"")</f>
        <v/>
      </c>
      <c r="R138" s="13" t="str">
        <f>+IFERROR('Raw Data - Production'!M166/('Raw Data - Production'!G166*Weights!$B$2),"")</f>
        <v/>
      </c>
      <c r="S138" s="13" t="str">
        <f>+IFERROR('Raw Data - Production'!N166/('Raw Data - Production'!H166*Weights!$B$2),"")</f>
        <v/>
      </c>
      <c r="T138" s="13"/>
      <c r="U138" s="13"/>
      <c r="V138" s="13"/>
      <c r="W138" s="13"/>
      <c r="Y138" s="2">
        <f t="shared" si="39"/>
        <v>46351</v>
      </c>
      <c r="AB138">
        <f t="shared" si="40"/>
        <v>48</v>
      </c>
      <c r="AC138" s="13">
        <f t="shared" si="29"/>
        <v>0</v>
      </c>
      <c r="AD138" s="13">
        <f t="shared" si="29"/>
        <v>0</v>
      </c>
      <c r="AE138" s="13">
        <f t="shared" si="30"/>
        <v>0</v>
      </c>
      <c r="AF138" s="13">
        <f t="shared" si="30"/>
        <v>0</v>
      </c>
      <c r="AG138" s="13">
        <f t="shared" si="30"/>
        <v>0</v>
      </c>
      <c r="AH138" s="13"/>
      <c r="AI138" s="13"/>
      <c r="AJ138" s="13"/>
      <c r="AK138" s="13"/>
      <c r="AM138" s="2">
        <f t="shared" si="41"/>
        <v>46351</v>
      </c>
      <c r="AN138">
        <f t="shared" si="42"/>
        <v>48</v>
      </c>
      <c r="AO138" s="18">
        <f>('Raw Data - Production'!D166/100)/60</f>
        <v>0</v>
      </c>
      <c r="AP138" s="18">
        <f>('Raw Data - Production'!E166/100)/60</f>
        <v>0</v>
      </c>
      <c r="AQ138" s="18">
        <f>('Raw Data - Production'!F166/50)/60</f>
        <v>0</v>
      </c>
      <c r="AR138" s="18">
        <f>('Raw Data - Production'!G166/50)/60</f>
        <v>0</v>
      </c>
      <c r="AS138" s="18">
        <f>('Raw Data - Production'!H166/50)/60</f>
        <v>0</v>
      </c>
      <c r="AT138" s="18"/>
      <c r="AU138" s="18"/>
      <c r="AV138" s="18"/>
      <c r="AW138" s="18"/>
    </row>
    <row r="139" spans="1:49" x14ac:dyDescent="0.3">
      <c r="A139" s="2">
        <f t="shared" si="31"/>
        <v>46353</v>
      </c>
      <c r="B139">
        <f t="shared" si="32"/>
        <v>48</v>
      </c>
      <c r="C139" s="13" t="str">
        <f t="shared" si="33"/>
        <v/>
      </c>
      <c r="D139" s="13" t="str">
        <f t="shared" si="34"/>
        <v/>
      </c>
      <c r="E139" s="13" t="str">
        <f t="shared" si="35"/>
        <v/>
      </c>
      <c r="F139" s="13" t="str">
        <f t="shared" si="36"/>
        <v/>
      </c>
      <c r="G139" s="13" t="str">
        <f t="shared" si="37"/>
        <v/>
      </c>
      <c r="H139" s="13"/>
      <c r="I139" s="13"/>
      <c r="J139" s="13"/>
      <c r="K139" s="13"/>
      <c r="M139" s="2">
        <f>+'Daily Summary'!A166</f>
        <v>46353</v>
      </c>
      <c r="N139">
        <f t="shared" si="38"/>
        <v>48</v>
      </c>
      <c r="O139" s="13" t="str">
        <f>+IFERROR('Raw Data - Production'!J167/('Raw Data - Production'!D167*Weights!$B$2),"")</f>
        <v/>
      </c>
      <c r="P139" s="13" t="str">
        <f>+IFERROR('Raw Data - Production'!K167/('Raw Data - Production'!E167*Weights!$B$2),"")</f>
        <v/>
      </c>
      <c r="Q139" s="13" t="str">
        <f>+IFERROR('Raw Data - Production'!L167/('Raw Data - Production'!F167*Weights!$B$2),"")</f>
        <v/>
      </c>
      <c r="R139" s="13" t="str">
        <f>+IFERROR('Raw Data - Production'!M167/('Raw Data - Production'!G167*Weights!$B$2),"")</f>
        <v/>
      </c>
      <c r="S139" s="13" t="str">
        <f>+IFERROR('Raw Data - Production'!N167/('Raw Data - Production'!H167*Weights!$B$2),"")</f>
        <v/>
      </c>
      <c r="T139" s="13"/>
      <c r="U139" s="13"/>
      <c r="V139" s="13"/>
      <c r="W139" s="13"/>
      <c r="Y139" s="2">
        <f t="shared" si="39"/>
        <v>46353</v>
      </c>
      <c r="AB139">
        <f t="shared" si="40"/>
        <v>48</v>
      </c>
      <c r="AC139" s="13">
        <f t="shared" si="29"/>
        <v>0</v>
      </c>
      <c r="AD139" s="13">
        <f t="shared" si="29"/>
        <v>0</v>
      </c>
      <c r="AE139" s="13">
        <f t="shared" si="30"/>
        <v>0</v>
      </c>
      <c r="AF139" s="13">
        <f t="shared" si="30"/>
        <v>0</v>
      </c>
      <c r="AG139" s="13">
        <f t="shared" si="30"/>
        <v>0</v>
      </c>
      <c r="AH139" s="13"/>
      <c r="AI139" s="13"/>
      <c r="AJ139" s="13"/>
      <c r="AK139" s="13"/>
      <c r="AM139" s="2">
        <f t="shared" si="41"/>
        <v>46353</v>
      </c>
      <c r="AN139">
        <f t="shared" si="42"/>
        <v>48</v>
      </c>
      <c r="AO139" s="18">
        <f>('Raw Data - Production'!D167/100)/60</f>
        <v>0</v>
      </c>
      <c r="AP139" s="18">
        <f>('Raw Data - Production'!E167/100)/60</f>
        <v>0</v>
      </c>
      <c r="AQ139" s="18">
        <f>('Raw Data - Production'!F167/50)/60</f>
        <v>0</v>
      </c>
      <c r="AR139" s="18">
        <f>('Raw Data - Production'!G167/50)/60</f>
        <v>0</v>
      </c>
      <c r="AS139" s="18">
        <f>('Raw Data - Production'!H167/50)/60</f>
        <v>0</v>
      </c>
      <c r="AT139" s="18"/>
      <c r="AU139" s="18"/>
      <c r="AV139" s="18"/>
      <c r="AW139" s="18"/>
    </row>
    <row r="140" spans="1:49" x14ac:dyDescent="0.3">
      <c r="A140" s="2">
        <f t="shared" si="31"/>
        <v>46356</v>
      </c>
      <c r="B140">
        <f t="shared" si="32"/>
        <v>49</v>
      </c>
      <c r="C140" s="13" t="str">
        <f t="shared" si="33"/>
        <v/>
      </c>
      <c r="D140" s="13" t="str">
        <f t="shared" si="34"/>
        <v/>
      </c>
      <c r="E140" s="13" t="str">
        <f t="shared" si="35"/>
        <v/>
      </c>
      <c r="F140" s="13" t="str">
        <f t="shared" si="36"/>
        <v/>
      </c>
      <c r="G140" s="13" t="str">
        <f t="shared" si="37"/>
        <v/>
      </c>
      <c r="H140" s="13"/>
      <c r="I140" s="13"/>
      <c r="J140" s="13"/>
      <c r="K140" s="13"/>
      <c r="M140" s="2">
        <f>+'Daily Summary'!A167</f>
        <v>46356</v>
      </c>
      <c r="N140">
        <f t="shared" si="38"/>
        <v>49</v>
      </c>
      <c r="O140" s="13" t="str">
        <f>+IFERROR('Raw Data - Production'!J168/('Raw Data - Production'!D168*Weights!$B$2),"")</f>
        <v/>
      </c>
      <c r="P140" s="13" t="str">
        <f>+IFERROR('Raw Data - Production'!K168/('Raw Data - Production'!E168*Weights!$B$2),"")</f>
        <v/>
      </c>
      <c r="Q140" s="13" t="str">
        <f>+IFERROR('Raw Data - Production'!L168/('Raw Data - Production'!F168*Weights!$B$2),"")</f>
        <v/>
      </c>
      <c r="R140" s="13" t="str">
        <f>+IFERROR('Raw Data - Production'!M168/('Raw Data - Production'!G168*Weights!$B$2),"")</f>
        <v/>
      </c>
      <c r="S140" s="13" t="str">
        <f>+IFERROR('Raw Data - Production'!N168/('Raw Data - Production'!H168*Weights!$B$2),"")</f>
        <v/>
      </c>
      <c r="T140" s="13"/>
      <c r="U140" s="13"/>
      <c r="V140" s="13"/>
      <c r="W140" s="13"/>
      <c r="Y140" s="2">
        <f t="shared" si="39"/>
        <v>46356</v>
      </c>
      <c r="AB140">
        <f t="shared" si="40"/>
        <v>49</v>
      </c>
      <c r="AC140" s="13">
        <f t="shared" si="29"/>
        <v>0</v>
      </c>
      <c r="AD140" s="13">
        <f t="shared" si="29"/>
        <v>0</v>
      </c>
      <c r="AE140" s="13">
        <f t="shared" si="30"/>
        <v>0</v>
      </c>
      <c r="AF140" s="13">
        <f t="shared" si="30"/>
        <v>0</v>
      </c>
      <c r="AG140" s="13">
        <f t="shared" si="30"/>
        <v>0</v>
      </c>
      <c r="AH140" s="13"/>
      <c r="AI140" s="13"/>
      <c r="AJ140" s="13"/>
      <c r="AK140" s="13"/>
      <c r="AM140" s="2">
        <f t="shared" si="41"/>
        <v>46356</v>
      </c>
      <c r="AN140">
        <f t="shared" si="42"/>
        <v>49</v>
      </c>
      <c r="AO140" s="18">
        <f>('Raw Data - Production'!D168/100)/60</f>
        <v>0</v>
      </c>
      <c r="AP140" s="18">
        <f>('Raw Data - Production'!E168/100)/60</f>
        <v>0</v>
      </c>
      <c r="AQ140" s="18">
        <f>('Raw Data - Production'!F168/50)/60</f>
        <v>0</v>
      </c>
      <c r="AR140" s="18">
        <f>('Raw Data - Production'!G168/50)/60</f>
        <v>0</v>
      </c>
      <c r="AS140" s="18">
        <f>('Raw Data - Production'!H168/50)/60</f>
        <v>0</v>
      </c>
      <c r="AT140" s="18"/>
      <c r="AU140" s="18"/>
      <c r="AV140" s="18"/>
      <c r="AW140" s="18"/>
    </row>
    <row r="141" spans="1:49" x14ac:dyDescent="0.3">
      <c r="A141" s="2">
        <f t="shared" si="31"/>
        <v>46357</v>
      </c>
      <c r="B141">
        <f t="shared" si="32"/>
        <v>49</v>
      </c>
      <c r="C141" s="13" t="str">
        <f t="shared" si="33"/>
        <v/>
      </c>
      <c r="D141" s="13" t="str">
        <f t="shared" si="34"/>
        <v/>
      </c>
      <c r="E141" s="13" t="str">
        <f t="shared" si="35"/>
        <v/>
      </c>
      <c r="F141" s="13" t="str">
        <f t="shared" si="36"/>
        <v/>
      </c>
      <c r="G141" s="13" t="str">
        <f t="shared" si="37"/>
        <v/>
      </c>
      <c r="H141" s="13"/>
      <c r="I141" s="13"/>
      <c r="J141" s="13"/>
      <c r="K141" s="13"/>
      <c r="M141" s="2">
        <f>+'Daily Summary'!A168</f>
        <v>46357</v>
      </c>
      <c r="N141">
        <f t="shared" si="38"/>
        <v>49</v>
      </c>
      <c r="O141" s="13" t="str">
        <f>+IFERROR('Raw Data - Production'!J169/('Raw Data - Production'!D169*Weights!$B$2),"")</f>
        <v/>
      </c>
      <c r="P141" s="13" t="str">
        <f>+IFERROR('Raw Data - Production'!K169/('Raw Data - Production'!E169*Weights!$B$2),"")</f>
        <v/>
      </c>
      <c r="Q141" s="13" t="str">
        <f>+IFERROR('Raw Data - Production'!L169/('Raw Data - Production'!F169*Weights!$B$2),"")</f>
        <v/>
      </c>
      <c r="R141" s="13" t="str">
        <f>+IFERROR('Raw Data - Production'!M169/('Raw Data - Production'!G169*Weights!$B$2),"")</f>
        <v/>
      </c>
      <c r="S141" s="13" t="str">
        <f>+IFERROR('Raw Data - Production'!N169/('Raw Data - Production'!H169*Weights!$B$2),"")</f>
        <v/>
      </c>
      <c r="T141" s="13"/>
      <c r="U141" s="13"/>
      <c r="V141" s="13"/>
      <c r="W141" s="13"/>
      <c r="Y141" s="2">
        <f t="shared" si="39"/>
        <v>46357</v>
      </c>
      <c r="AB141">
        <f t="shared" si="40"/>
        <v>49</v>
      </c>
      <c r="AC141" s="13">
        <f t="shared" si="29"/>
        <v>0</v>
      </c>
      <c r="AD141" s="13">
        <f t="shared" si="29"/>
        <v>0</v>
      </c>
      <c r="AE141" s="13">
        <f t="shared" si="30"/>
        <v>0</v>
      </c>
      <c r="AF141" s="13">
        <f t="shared" si="30"/>
        <v>0</v>
      </c>
      <c r="AG141" s="13">
        <f t="shared" si="30"/>
        <v>0</v>
      </c>
      <c r="AH141" s="13"/>
      <c r="AI141" s="13"/>
      <c r="AJ141" s="13"/>
      <c r="AK141" s="13"/>
      <c r="AM141" s="2">
        <f t="shared" si="41"/>
        <v>46357</v>
      </c>
      <c r="AN141">
        <f t="shared" si="42"/>
        <v>49</v>
      </c>
      <c r="AO141" s="18">
        <f>('Raw Data - Production'!D169/100)/60</f>
        <v>0</v>
      </c>
      <c r="AP141" s="18">
        <f>('Raw Data - Production'!E169/100)/60</f>
        <v>0</v>
      </c>
      <c r="AQ141" s="18">
        <f>('Raw Data - Production'!F169/50)/60</f>
        <v>0</v>
      </c>
      <c r="AR141" s="18">
        <f>('Raw Data - Production'!G169/50)/60</f>
        <v>0</v>
      </c>
      <c r="AS141" s="18">
        <f>('Raw Data - Production'!H169/50)/60</f>
        <v>0</v>
      </c>
      <c r="AT141" s="18"/>
      <c r="AU141" s="18"/>
      <c r="AV141" s="18"/>
      <c r="AW141" s="18"/>
    </row>
    <row r="142" spans="1:49" x14ac:dyDescent="0.3">
      <c r="A142" s="2">
        <f t="shared" si="31"/>
        <v>46358</v>
      </c>
      <c r="B142">
        <f t="shared" si="32"/>
        <v>49</v>
      </c>
      <c r="C142" s="13" t="str">
        <f t="shared" si="33"/>
        <v/>
      </c>
      <c r="D142" s="13" t="str">
        <f t="shared" si="34"/>
        <v/>
      </c>
      <c r="E142" s="13" t="str">
        <f t="shared" si="35"/>
        <v/>
      </c>
      <c r="F142" s="13" t="str">
        <f t="shared" si="36"/>
        <v/>
      </c>
      <c r="G142" s="13" t="str">
        <f t="shared" si="37"/>
        <v/>
      </c>
      <c r="H142" s="13"/>
      <c r="I142" s="13"/>
      <c r="J142" s="13"/>
      <c r="K142" s="13"/>
      <c r="M142" s="2">
        <f>+'Daily Summary'!A169</f>
        <v>46358</v>
      </c>
      <c r="N142">
        <f t="shared" si="38"/>
        <v>49</v>
      </c>
      <c r="O142" s="13" t="str">
        <f>+IFERROR('Raw Data - Production'!J170/('Raw Data - Production'!D170*Weights!$B$2),"")</f>
        <v/>
      </c>
      <c r="P142" s="13" t="str">
        <f>+IFERROR('Raw Data - Production'!K170/('Raw Data - Production'!E170*Weights!$B$2),"")</f>
        <v/>
      </c>
      <c r="Q142" s="13" t="str">
        <f>+IFERROR('Raw Data - Production'!L170/('Raw Data - Production'!F170*Weights!$B$2),"")</f>
        <v/>
      </c>
      <c r="R142" s="13" t="str">
        <f>+IFERROR('Raw Data - Production'!M170/('Raw Data - Production'!G170*Weights!$B$2),"")</f>
        <v/>
      </c>
      <c r="S142" s="13" t="str">
        <f>+IFERROR('Raw Data - Production'!N170/('Raw Data - Production'!H170*Weights!$B$2),"")</f>
        <v/>
      </c>
      <c r="T142" s="13"/>
      <c r="U142" s="13"/>
      <c r="V142" s="13"/>
      <c r="W142" s="13"/>
      <c r="Y142" s="2">
        <f t="shared" si="39"/>
        <v>46358</v>
      </c>
      <c r="AB142">
        <f t="shared" si="40"/>
        <v>49</v>
      </c>
      <c r="AC142" s="13">
        <f t="shared" si="29"/>
        <v>0</v>
      </c>
      <c r="AD142" s="13">
        <f t="shared" si="29"/>
        <v>0</v>
      </c>
      <c r="AE142" s="13">
        <f t="shared" si="30"/>
        <v>0</v>
      </c>
      <c r="AF142" s="13">
        <f t="shared" si="30"/>
        <v>0</v>
      </c>
      <c r="AG142" s="13">
        <f t="shared" si="30"/>
        <v>0</v>
      </c>
      <c r="AH142" s="13"/>
      <c r="AI142" s="13"/>
      <c r="AJ142" s="13"/>
      <c r="AK142" s="13"/>
      <c r="AM142" s="2">
        <f t="shared" si="41"/>
        <v>46358</v>
      </c>
      <c r="AN142">
        <f t="shared" si="42"/>
        <v>49</v>
      </c>
      <c r="AO142" s="18">
        <f>('Raw Data - Production'!D170/100)/60</f>
        <v>0</v>
      </c>
      <c r="AP142" s="18">
        <f>('Raw Data - Production'!E170/100)/60</f>
        <v>0</v>
      </c>
      <c r="AQ142" s="18">
        <f>('Raw Data - Production'!F170/50)/60</f>
        <v>0</v>
      </c>
      <c r="AR142" s="18">
        <f>('Raw Data - Production'!G170/50)/60</f>
        <v>0</v>
      </c>
      <c r="AS142" s="18">
        <f>('Raw Data - Production'!H170/50)/60</f>
        <v>0</v>
      </c>
      <c r="AT142" s="18"/>
      <c r="AU142" s="18"/>
      <c r="AV142" s="18"/>
      <c r="AW142" s="18"/>
    </row>
    <row r="143" spans="1:49" x14ac:dyDescent="0.3">
      <c r="A143" s="2">
        <f t="shared" si="31"/>
        <v>46359</v>
      </c>
      <c r="B143">
        <f t="shared" si="32"/>
        <v>49</v>
      </c>
      <c r="C143" s="13" t="str">
        <f t="shared" si="33"/>
        <v/>
      </c>
      <c r="D143" s="13" t="str">
        <f t="shared" si="34"/>
        <v/>
      </c>
      <c r="E143" s="13" t="str">
        <f t="shared" si="35"/>
        <v/>
      </c>
      <c r="F143" s="13" t="str">
        <f t="shared" si="36"/>
        <v/>
      </c>
      <c r="G143" s="13" t="str">
        <f t="shared" si="37"/>
        <v/>
      </c>
      <c r="H143" s="13"/>
      <c r="I143" s="13"/>
      <c r="J143" s="13"/>
      <c r="K143" s="13"/>
      <c r="M143" s="2">
        <f>+'Daily Summary'!A170</f>
        <v>46359</v>
      </c>
      <c r="N143">
        <f t="shared" si="38"/>
        <v>49</v>
      </c>
      <c r="O143" s="13" t="str">
        <f>+IFERROR('Raw Data - Production'!J171/('Raw Data - Production'!D171*Weights!$B$2),"")</f>
        <v/>
      </c>
      <c r="P143" s="13" t="str">
        <f>+IFERROR('Raw Data - Production'!K171/('Raw Data - Production'!E171*Weights!$B$2),"")</f>
        <v/>
      </c>
      <c r="Q143" s="13" t="str">
        <f>+IFERROR('Raw Data - Production'!L171/('Raw Data - Production'!F171*Weights!$B$2),"")</f>
        <v/>
      </c>
      <c r="R143" s="13" t="str">
        <f>+IFERROR('Raw Data - Production'!M171/('Raw Data - Production'!G171*Weights!$B$2),"")</f>
        <v/>
      </c>
      <c r="S143" s="13" t="str">
        <f>+IFERROR('Raw Data - Production'!N171/('Raw Data - Production'!H171*Weights!$B$2),"")</f>
        <v/>
      </c>
      <c r="T143" s="13"/>
      <c r="U143" s="13"/>
      <c r="V143" s="13"/>
      <c r="W143" s="13"/>
      <c r="Y143" s="2">
        <f t="shared" si="39"/>
        <v>46359</v>
      </c>
      <c r="AB143">
        <f t="shared" si="40"/>
        <v>49</v>
      </c>
      <c r="AC143" s="13">
        <f t="shared" si="29"/>
        <v>0</v>
      </c>
      <c r="AD143" s="13">
        <f t="shared" si="29"/>
        <v>0</v>
      </c>
      <c r="AE143" s="13">
        <f t="shared" si="30"/>
        <v>0</v>
      </c>
      <c r="AF143" s="13">
        <f t="shared" si="30"/>
        <v>0</v>
      </c>
      <c r="AG143" s="13">
        <f t="shared" si="30"/>
        <v>0</v>
      </c>
      <c r="AH143" s="13"/>
      <c r="AI143" s="13"/>
      <c r="AJ143" s="13"/>
      <c r="AK143" s="13"/>
      <c r="AM143" s="2">
        <f t="shared" si="41"/>
        <v>46359</v>
      </c>
      <c r="AN143">
        <f t="shared" si="42"/>
        <v>49</v>
      </c>
      <c r="AO143" s="18">
        <f>('Raw Data - Production'!D171/100)/60</f>
        <v>0</v>
      </c>
      <c r="AP143" s="18">
        <f>('Raw Data - Production'!E171/100)/60</f>
        <v>0</v>
      </c>
      <c r="AQ143" s="18">
        <f>('Raw Data - Production'!F171/50)/60</f>
        <v>0</v>
      </c>
      <c r="AR143" s="18">
        <f>('Raw Data - Production'!G171/50)/60</f>
        <v>0</v>
      </c>
      <c r="AS143" s="18">
        <f>('Raw Data - Production'!H171/50)/60</f>
        <v>0</v>
      </c>
      <c r="AT143" s="18"/>
      <c r="AU143" s="18"/>
      <c r="AV143" s="18"/>
      <c r="AW143" s="18"/>
    </row>
    <row r="144" spans="1:49" x14ac:dyDescent="0.3">
      <c r="A144" s="2">
        <f t="shared" si="31"/>
        <v>46360</v>
      </c>
      <c r="B144">
        <f t="shared" si="32"/>
        <v>49</v>
      </c>
      <c r="C144" s="13" t="str">
        <f t="shared" si="33"/>
        <v/>
      </c>
      <c r="D144" s="13" t="str">
        <f t="shared" si="34"/>
        <v/>
      </c>
      <c r="E144" s="13" t="str">
        <f t="shared" si="35"/>
        <v/>
      </c>
      <c r="F144" s="13" t="str">
        <f t="shared" si="36"/>
        <v/>
      </c>
      <c r="G144" s="13" t="str">
        <f t="shared" si="37"/>
        <v/>
      </c>
      <c r="H144" s="13"/>
      <c r="I144" s="13"/>
      <c r="J144" s="13"/>
      <c r="K144" s="13"/>
      <c r="M144" s="2">
        <f>+'Daily Summary'!A171</f>
        <v>46360</v>
      </c>
      <c r="N144">
        <f t="shared" si="38"/>
        <v>49</v>
      </c>
      <c r="O144" s="13" t="str">
        <f>+IFERROR('Raw Data - Production'!J172/('Raw Data - Production'!D172*Weights!$B$2),"")</f>
        <v/>
      </c>
      <c r="P144" s="13" t="str">
        <f>+IFERROR('Raw Data - Production'!K172/('Raw Data - Production'!E172*Weights!$B$2),"")</f>
        <v/>
      </c>
      <c r="Q144" s="13" t="str">
        <f>+IFERROR('Raw Data - Production'!L172/('Raw Data - Production'!F172*Weights!$B$2),"")</f>
        <v/>
      </c>
      <c r="R144" s="13" t="str">
        <f>+IFERROR('Raw Data - Production'!M172/('Raw Data - Production'!G172*Weights!$B$2),"")</f>
        <v/>
      </c>
      <c r="S144" s="13" t="str">
        <f>+IFERROR('Raw Data - Production'!N172/('Raw Data - Production'!H172*Weights!$B$2),"")</f>
        <v/>
      </c>
      <c r="T144" s="13"/>
      <c r="U144" s="13"/>
      <c r="V144" s="13"/>
      <c r="W144" s="13"/>
      <c r="Y144" s="2">
        <f t="shared" si="39"/>
        <v>46360</v>
      </c>
      <c r="AB144">
        <f t="shared" si="40"/>
        <v>49</v>
      </c>
      <c r="AC144" s="13">
        <f t="shared" si="29"/>
        <v>0</v>
      </c>
      <c r="AD144" s="13">
        <f t="shared" si="29"/>
        <v>0</v>
      </c>
      <c r="AE144" s="13">
        <f t="shared" si="30"/>
        <v>0</v>
      </c>
      <c r="AF144" s="13">
        <f t="shared" si="30"/>
        <v>0</v>
      </c>
      <c r="AG144" s="13">
        <f t="shared" si="30"/>
        <v>0</v>
      </c>
      <c r="AH144" s="13"/>
      <c r="AI144" s="13"/>
      <c r="AJ144" s="13"/>
      <c r="AK144" s="13"/>
      <c r="AM144" s="2">
        <f t="shared" si="41"/>
        <v>46360</v>
      </c>
      <c r="AN144">
        <f t="shared" si="42"/>
        <v>49</v>
      </c>
      <c r="AO144" s="18">
        <f>('Raw Data - Production'!D172/100)/60</f>
        <v>0</v>
      </c>
      <c r="AP144" s="18">
        <f>('Raw Data - Production'!E172/100)/60</f>
        <v>0</v>
      </c>
      <c r="AQ144" s="18">
        <f>('Raw Data - Production'!F172/50)/60</f>
        <v>0</v>
      </c>
      <c r="AR144" s="18">
        <f>('Raw Data - Production'!G172/50)/60</f>
        <v>0</v>
      </c>
      <c r="AS144" s="18">
        <f>('Raw Data - Production'!H172/50)/60</f>
        <v>0</v>
      </c>
      <c r="AT144" s="18"/>
      <c r="AU144" s="18"/>
      <c r="AV144" s="18"/>
      <c r="AW144" s="18"/>
    </row>
    <row r="145" spans="1:49" x14ac:dyDescent="0.3">
      <c r="A145" s="2">
        <f t="shared" si="31"/>
        <v>46363</v>
      </c>
      <c r="B145">
        <f t="shared" si="32"/>
        <v>50</v>
      </c>
      <c r="C145" s="13" t="str">
        <f t="shared" si="33"/>
        <v/>
      </c>
      <c r="D145" s="13" t="str">
        <f t="shared" si="34"/>
        <v/>
      </c>
      <c r="E145" s="13" t="str">
        <f t="shared" si="35"/>
        <v/>
      </c>
      <c r="F145" s="13" t="str">
        <f t="shared" si="36"/>
        <v/>
      </c>
      <c r="G145" s="13" t="str">
        <f t="shared" si="37"/>
        <v/>
      </c>
      <c r="H145" s="13"/>
      <c r="I145" s="13"/>
      <c r="J145" s="13"/>
      <c r="K145" s="13"/>
      <c r="M145" s="2">
        <f>+'Daily Summary'!A172</f>
        <v>46363</v>
      </c>
      <c r="N145">
        <f t="shared" si="38"/>
        <v>50</v>
      </c>
      <c r="O145" s="13" t="str">
        <f>+IFERROR('Raw Data - Production'!J173/('Raw Data - Production'!D173*Weights!$B$2),"")</f>
        <v/>
      </c>
      <c r="P145" s="13" t="str">
        <f>+IFERROR('Raw Data - Production'!K173/('Raw Data - Production'!E173*Weights!$B$2),"")</f>
        <v/>
      </c>
      <c r="Q145" s="13" t="str">
        <f>+IFERROR('Raw Data - Production'!L173/('Raw Data - Production'!F173*Weights!$B$2),"")</f>
        <v/>
      </c>
      <c r="R145" s="13" t="str">
        <f>+IFERROR('Raw Data - Production'!M173/('Raw Data - Production'!G173*Weights!$B$2),"")</f>
        <v/>
      </c>
      <c r="S145" s="13" t="str">
        <f>+IFERROR('Raw Data - Production'!N173/('Raw Data - Production'!H173*Weights!$B$2),"")</f>
        <v/>
      </c>
      <c r="T145" s="13"/>
      <c r="U145" s="13"/>
      <c r="V145" s="13"/>
      <c r="W145" s="13"/>
      <c r="Y145" s="2">
        <f t="shared" si="39"/>
        <v>46363</v>
      </c>
      <c r="AB145">
        <f t="shared" si="40"/>
        <v>50</v>
      </c>
      <c r="AC145" s="13">
        <f t="shared" si="29"/>
        <v>0</v>
      </c>
      <c r="AD145" s="13">
        <f t="shared" si="29"/>
        <v>0</v>
      </c>
      <c r="AE145" s="13">
        <f t="shared" si="30"/>
        <v>0</v>
      </c>
      <c r="AF145" s="13">
        <f t="shared" si="30"/>
        <v>0</v>
      </c>
      <c r="AG145" s="13">
        <f t="shared" si="30"/>
        <v>0</v>
      </c>
      <c r="AH145" s="13"/>
      <c r="AI145" s="13"/>
      <c r="AJ145" s="13"/>
      <c r="AK145" s="13"/>
      <c r="AM145" s="2">
        <f t="shared" si="41"/>
        <v>46363</v>
      </c>
      <c r="AN145">
        <f t="shared" si="42"/>
        <v>50</v>
      </c>
      <c r="AO145" s="18">
        <f>('Raw Data - Production'!D173/100)/60</f>
        <v>0</v>
      </c>
      <c r="AP145" s="18">
        <f>('Raw Data - Production'!E173/100)/60</f>
        <v>0</v>
      </c>
      <c r="AQ145" s="18">
        <f>('Raw Data - Production'!F173/50)/60</f>
        <v>0</v>
      </c>
      <c r="AR145" s="18">
        <f>('Raw Data - Production'!G173/50)/60</f>
        <v>0</v>
      </c>
      <c r="AS145" s="18">
        <f>('Raw Data - Production'!H173/50)/60</f>
        <v>0</v>
      </c>
      <c r="AT145" s="18"/>
      <c r="AU145" s="18"/>
      <c r="AV145" s="18"/>
      <c r="AW145" s="18"/>
    </row>
    <row r="146" spans="1:49" x14ac:dyDescent="0.3">
      <c r="A146" s="2">
        <f t="shared" si="31"/>
        <v>46364</v>
      </c>
      <c r="B146">
        <f t="shared" si="32"/>
        <v>50</v>
      </c>
      <c r="C146" s="13" t="str">
        <f t="shared" si="33"/>
        <v/>
      </c>
      <c r="D146" s="13" t="str">
        <f t="shared" si="34"/>
        <v/>
      </c>
      <c r="E146" s="13" t="str">
        <f t="shared" si="35"/>
        <v/>
      </c>
      <c r="F146" s="13" t="str">
        <f t="shared" si="36"/>
        <v/>
      </c>
      <c r="G146" s="13" t="str">
        <f t="shared" si="37"/>
        <v/>
      </c>
      <c r="H146" s="13"/>
      <c r="I146" s="13"/>
      <c r="J146" s="13"/>
      <c r="K146" s="13"/>
      <c r="M146" s="2">
        <f>+'Daily Summary'!A173</f>
        <v>46364</v>
      </c>
      <c r="N146">
        <f t="shared" si="38"/>
        <v>50</v>
      </c>
      <c r="O146" s="13" t="str">
        <f>+IFERROR('Raw Data - Production'!J174/('Raw Data - Production'!D174*Weights!$B$2),"")</f>
        <v/>
      </c>
      <c r="P146" s="13" t="str">
        <f>+IFERROR('Raw Data - Production'!K174/('Raw Data - Production'!E174*Weights!$B$2),"")</f>
        <v/>
      </c>
      <c r="Q146" s="13" t="str">
        <f>+IFERROR('Raw Data - Production'!L174/('Raw Data - Production'!F174*Weights!$B$2),"")</f>
        <v/>
      </c>
      <c r="R146" s="13" t="str">
        <f>+IFERROR('Raw Data - Production'!M174/('Raw Data - Production'!G174*Weights!$B$2),"")</f>
        <v/>
      </c>
      <c r="S146" s="13" t="str">
        <f>+IFERROR('Raw Data - Production'!N174/('Raw Data - Production'!H174*Weights!$B$2),"")</f>
        <v/>
      </c>
      <c r="T146" s="13"/>
      <c r="U146" s="13"/>
      <c r="V146" s="13"/>
      <c r="W146" s="13"/>
      <c r="Y146" s="2">
        <f t="shared" si="39"/>
        <v>46364</v>
      </c>
      <c r="AB146">
        <f t="shared" si="40"/>
        <v>50</v>
      </c>
      <c r="AC146" s="13">
        <f t="shared" si="29"/>
        <v>0</v>
      </c>
      <c r="AD146" s="13">
        <f t="shared" si="29"/>
        <v>0</v>
      </c>
      <c r="AE146" s="13">
        <f t="shared" si="30"/>
        <v>0</v>
      </c>
      <c r="AF146" s="13">
        <f t="shared" si="30"/>
        <v>0</v>
      </c>
      <c r="AG146" s="13">
        <f t="shared" si="30"/>
        <v>0</v>
      </c>
      <c r="AH146" s="13"/>
      <c r="AI146" s="13"/>
      <c r="AJ146" s="13"/>
      <c r="AK146" s="13"/>
      <c r="AM146" s="2">
        <f t="shared" si="41"/>
        <v>46364</v>
      </c>
      <c r="AN146">
        <f t="shared" si="42"/>
        <v>50</v>
      </c>
      <c r="AO146" s="18">
        <f>('Raw Data - Production'!D174/100)/60</f>
        <v>0</v>
      </c>
      <c r="AP146" s="18">
        <f>('Raw Data - Production'!E174/100)/60</f>
        <v>0</v>
      </c>
      <c r="AQ146" s="18">
        <f>('Raw Data - Production'!F174/50)/60</f>
        <v>0</v>
      </c>
      <c r="AR146" s="18">
        <f>('Raw Data - Production'!G174/50)/60</f>
        <v>0</v>
      </c>
      <c r="AS146" s="18">
        <f>('Raw Data - Production'!H174/50)/60</f>
        <v>0</v>
      </c>
      <c r="AT146" s="18"/>
      <c r="AU146" s="18"/>
      <c r="AV146" s="18"/>
      <c r="AW146" s="18"/>
    </row>
    <row r="147" spans="1:49" x14ac:dyDescent="0.3">
      <c r="A147" s="2">
        <f t="shared" si="31"/>
        <v>46365</v>
      </c>
      <c r="B147">
        <f t="shared" si="32"/>
        <v>50</v>
      </c>
      <c r="C147" s="13" t="str">
        <f t="shared" si="33"/>
        <v/>
      </c>
      <c r="D147" s="13" t="str">
        <f t="shared" si="34"/>
        <v/>
      </c>
      <c r="E147" s="13" t="str">
        <f t="shared" si="35"/>
        <v/>
      </c>
      <c r="F147" s="13" t="str">
        <f t="shared" si="36"/>
        <v/>
      </c>
      <c r="G147" s="13" t="str">
        <f t="shared" si="37"/>
        <v/>
      </c>
      <c r="H147" s="13"/>
      <c r="I147" s="13"/>
      <c r="J147" s="13"/>
      <c r="K147" s="13"/>
      <c r="M147" s="2">
        <f>+'Daily Summary'!A174</f>
        <v>46365</v>
      </c>
      <c r="N147">
        <f t="shared" si="38"/>
        <v>50</v>
      </c>
      <c r="O147" s="13" t="str">
        <f>+IFERROR('Raw Data - Production'!J175/('Raw Data - Production'!D175*Weights!$B$2),"")</f>
        <v/>
      </c>
      <c r="P147" s="13" t="str">
        <f>+IFERROR('Raw Data - Production'!K175/('Raw Data - Production'!E175*Weights!$B$2),"")</f>
        <v/>
      </c>
      <c r="Q147" s="13" t="str">
        <f>+IFERROR('Raw Data - Production'!L175/('Raw Data - Production'!F175*Weights!$B$2),"")</f>
        <v/>
      </c>
      <c r="R147" s="13" t="str">
        <f>+IFERROR('Raw Data - Production'!M175/('Raw Data - Production'!G175*Weights!$B$2),"")</f>
        <v/>
      </c>
      <c r="S147" s="13" t="str">
        <f>+IFERROR('Raw Data - Production'!N175/('Raw Data - Production'!H175*Weights!$B$2),"")</f>
        <v/>
      </c>
      <c r="T147" s="13"/>
      <c r="U147" s="13"/>
      <c r="V147" s="13"/>
      <c r="W147" s="13"/>
      <c r="Y147" s="2">
        <f t="shared" si="39"/>
        <v>46365</v>
      </c>
      <c r="AB147">
        <f t="shared" si="40"/>
        <v>50</v>
      </c>
      <c r="AC147" s="13">
        <f t="shared" si="29"/>
        <v>0</v>
      </c>
      <c r="AD147" s="13">
        <f t="shared" si="29"/>
        <v>0</v>
      </c>
      <c r="AE147" s="13">
        <f t="shared" si="30"/>
        <v>0</v>
      </c>
      <c r="AF147" s="13">
        <f t="shared" si="30"/>
        <v>0</v>
      </c>
      <c r="AG147" s="13">
        <f t="shared" si="30"/>
        <v>0</v>
      </c>
      <c r="AH147" s="13"/>
      <c r="AI147" s="13"/>
      <c r="AJ147" s="13"/>
      <c r="AK147" s="13"/>
      <c r="AM147" s="2">
        <f t="shared" si="41"/>
        <v>46365</v>
      </c>
      <c r="AN147">
        <f t="shared" si="42"/>
        <v>50</v>
      </c>
      <c r="AO147" s="18">
        <f>('Raw Data - Production'!D175/100)/60</f>
        <v>0</v>
      </c>
      <c r="AP147" s="18">
        <f>('Raw Data - Production'!E175/100)/60</f>
        <v>0</v>
      </c>
      <c r="AQ147" s="18">
        <f>('Raw Data - Production'!F175/50)/60</f>
        <v>0</v>
      </c>
      <c r="AR147" s="18">
        <f>('Raw Data - Production'!G175/50)/60</f>
        <v>0</v>
      </c>
      <c r="AS147" s="18">
        <f>('Raw Data - Production'!H175/50)/60</f>
        <v>0</v>
      </c>
      <c r="AT147" s="18"/>
      <c r="AU147" s="18"/>
      <c r="AV147" s="18"/>
      <c r="AW147" s="18"/>
    </row>
    <row r="148" spans="1:49" x14ac:dyDescent="0.3">
      <c r="A148" s="2">
        <f t="shared" si="31"/>
        <v>46366</v>
      </c>
      <c r="B148">
        <f t="shared" si="32"/>
        <v>50</v>
      </c>
      <c r="C148" s="13" t="str">
        <f t="shared" si="33"/>
        <v/>
      </c>
      <c r="D148" s="13" t="str">
        <f t="shared" si="34"/>
        <v/>
      </c>
      <c r="E148" s="13" t="str">
        <f t="shared" si="35"/>
        <v/>
      </c>
      <c r="F148" s="13" t="str">
        <f t="shared" si="36"/>
        <v/>
      </c>
      <c r="G148" s="13" t="str">
        <f t="shared" si="37"/>
        <v/>
      </c>
      <c r="H148" s="13"/>
      <c r="I148" s="13"/>
      <c r="J148" s="13"/>
      <c r="K148" s="13"/>
      <c r="M148" s="2">
        <f>+'Daily Summary'!A175</f>
        <v>46366</v>
      </c>
      <c r="N148">
        <f t="shared" si="38"/>
        <v>50</v>
      </c>
      <c r="O148" s="13" t="str">
        <f>+IFERROR('Raw Data - Production'!J176/('Raw Data - Production'!D176*Weights!$B$2),"")</f>
        <v/>
      </c>
      <c r="P148" s="13" t="str">
        <f>+IFERROR('Raw Data - Production'!K176/('Raw Data - Production'!E176*Weights!$B$2),"")</f>
        <v/>
      </c>
      <c r="Q148" s="13" t="str">
        <f>+IFERROR('Raw Data - Production'!L176/('Raw Data - Production'!F176*Weights!$B$2),"")</f>
        <v/>
      </c>
      <c r="R148" s="13" t="str">
        <f>+IFERROR('Raw Data - Production'!M176/('Raw Data - Production'!G176*Weights!$B$2),"")</f>
        <v/>
      </c>
      <c r="S148" s="13" t="str">
        <f>+IFERROR('Raw Data - Production'!N176/('Raw Data - Production'!H176*Weights!$B$2),"")</f>
        <v/>
      </c>
      <c r="T148" s="13"/>
      <c r="U148" s="13"/>
      <c r="V148" s="13"/>
      <c r="W148" s="13"/>
      <c r="Y148" s="2">
        <f t="shared" si="39"/>
        <v>46366</v>
      </c>
      <c r="AB148">
        <f t="shared" si="40"/>
        <v>50</v>
      </c>
      <c r="AC148" s="13">
        <f t="shared" si="29"/>
        <v>0</v>
      </c>
      <c r="AD148" s="13">
        <f t="shared" si="29"/>
        <v>0</v>
      </c>
      <c r="AE148" s="13">
        <f t="shared" si="30"/>
        <v>0</v>
      </c>
      <c r="AF148" s="13">
        <f t="shared" si="30"/>
        <v>0</v>
      </c>
      <c r="AG148" s="13">
        <f t="shared" si="30"/>
        <v>0</v>
      </c>
      <c r="AH148" s="13"/>
      <c r="AI148" s="13"/>
      <c r="AJ148" s="13"/>
      <c r="AK148" s="13"/>
      <c r="AM148" s="2">
        <f t="shared" si="41"/>
        <v>46366</v>
      </c>
      <c r="AN148">
        <f t="shared" si="42"/>
        <v>50</v>
      </c>
      <c r="AO148" s="18">
        <f>('Raw Data - Production'!D176/100)/60</f>
        <v>0</v>
      </c>
      <c r="AP148" s="18">
        <f>('Raw Data - Production'!E176/100)/60</f>
        <v>0</v>
      </c>
      <c r="AQ148" s="18">
        <f>('Raw Data - Production'!F176/50)/60</f>
        <v>0</v>
      </c>
      <c r="AR148" s="18">
        <f>('Raw Data - Production'!G176/50)/60</f>
        <v>0</v>
      </c>
      <c r="AS148" s="18">
        <f>('Raw Data - Production'!H176/50)/60</f>
        <v>0</v>
      </c>
      <c r="AT148" s="18"/>
      <c r="AU148" s="18"/>
      <c r="AV148" s="18"/>
      <c r="AW148" s="18"/>
    </row>
    <row r="149" spans="1:49" x14ac:dyDescent="0.3">
      <c r="A149" s="2">
        <f t="shared" si="31"/>
        <v>46367</v>
      </c>
      <c r="B149">
        <f t="shared" si="32"/>
        <v>50</v>
      </c>
      <c r="C149" s="13" t="str">
        <f t="shared" si="33"/>
        <v/>
      </c>
      <c r="D149" s="13" t="str">
        <f t="shared" si="34"/>
        <v/>
      </c>
      <c r="E149" s="13" t="str">
        <f t="shared" si="35"/>
        <v/>
      </c>
      <c r="F149" s="13" t="str">
        <f t="shared" si="36"/>
        <v/>
      </c>
      <c r="G149" s="13" t="str">
        <f t="shared" si="37"/>
        <v/>
      </c>
      <c r="H149" s="13"/>
      <c r="I149" s="13"/>
      <c r="J149" s="13"/>
      <c r="K149" s="13"/>
      <c r="M149" s="2">
        <f>+'Daily Summary'!A176</f>
        <v>46367</v>
      </c>
      <c r="N149">
        <f t="shared" si="38"/>
        <v>50</v>
      </c>
      <c r="O149" s="13" t="str">
        <f>+IFERROR('Raw Data - Production'!J177/('Raw Data - Production'!D177*Weights!$B$2),"")</f>
        <v/>
      </c>
      <c r="P149" s="13" t="str">
        <f>+IFERROR('Raw Data - Production'!K177/('Raw Data - Production'!E177*Weights!$B$2),"")</f>
        <v/>
      </c>
      <c r="Q149" s="13" t="str">
        <f>+IFERROR('Raw Data - Production'!L177/('Raw Data - Production'!F177*Weights!$B$2),"")</f>
        <v/>
      </c>
      <c r="R149" s="13" t="str">
        <f>+IFERROR('Raw Data - Production'!M177/('Raw Data - Production'!G177*Weights!$B$2),"")</f>
        <v/>
      </c>
      <c r="S149" s="13" t="str">
        <f>+IFERROR('Raw Data - Production'!N177/('Raw Data - Production'!H177*Weights!$B$2),"")</f>
        <v/>
      </c>
      <c r="T149" s="13"/>
      <c r="U149" s="13"/>
      <c r="V149" s="13"/>
      <c r="W149" s="13"/>
      <c r="Y149" s="2">
        <f t="shared" si="39"/>
        <v>46367</v>
      </c>
      <c r="AB149">
        <f t="shared" si="40"/>
        <v>50</v>
      </c>
      <c r="AC149" s="13">
        <f t="shared" si="29"/>
        <v>0</v>
      </c>
      <c r="AD149" s="13">
        <f t="shared" si="29"/>
        <v>0</v>
      </c>
      <c r="AE149" s="13">
        <f t="shared" si="30"/>
        <v>0</v>
      </c>
      <c r="AF149" s="13">
        <f t="shared" si="30"/>
        <v>0</v>
      </c>
      <c r="AG149" s="13">
        <f t="shared" si="30"/>
        <v>0</v>
      </c>
      <c r="AH149" s="13"/>
      <c r="AI149" s="13"/>
      <c r="AJ149" s="13"/>
      <c r="AK149" s="13"/>
      <c r="AM149" s="2">
        <f t="shared" si="41"/>
        <v>46367</v>
      </c>
      <c r="AN149">
        <f t="shared" si="42"/>
        <v>50</v>
      </c>
      <c r="AO149" s="18">
        <f>('Raw Data - Production'!D177/100)/60</f>
        <v>0</v>
      </c>
      <c r="AP149" s="18">
        <f>('Raw Data - Production'!E177/100)/60</f>
        <v>0</v>
      </c>
      <c r="AQ149" s="18">
        <f>('Raw Data - Production'!F177/50)/60</f>
        <v>0</v>
      </c>
      <c r="AR149" s="18">
        <f>('Raw Data - Production'!G177/50)/60</f>
        <v>0</v>
      </c>
      <c r="AS149" s="18">
        <f>('Raw Data - Production'!H177/50)/60</f>
        <v>0</v>
      </c>
      <c r="AT149" s="18"/>
      <c r="AU149" s="18"/>
      <c r="AV149" s="18"/>
      <c r="AW149" s="18"/>
    </row>
    <row r="150" spans="1:49" x14ac:dyDescent="0.3">
      <c r="A150" s="2">
        <f t="shared" si="31"/>
        <v>46370</v>
      </c>
      <c r="B150">
        <f t="shared" si="32"/>
        <v>51</v>
      </c>
      <c r="C150" s="13" t="str">
        <f t="shared" si="33"/>
        <v/>
      </c>
      <c r="D150" s="13" t="str">
        <f t="shared" si="34"/>
        <v/>
      </c>
      <c r="E150" s="13" t="str">
        <f t="shared" si="35"/>
        <v/>
      </c>
      <c r="F150" s="13" t="str">
        <f t="shared" si="36"/>
        <v/>
      </c>
      <c r="G150" s="13" t="str">
        <f t="shared" si="37"/>
        <v/>
      </c>
      <c r="H150" s="13"/>
      <c r="I150" s="13"/>
      <c r="J150" s="13"/>
      <c r="K150" s="13"/>
      <c r="M150" s="2">
        <f>+'Daily Summary'!A177</f>
        <v>46370</v>
      </c>
      <c r="N150">
        <f t="shared" si="38"/>
        <v>51</v>
      </c>
      <c r="O150" s="13" t="str">
        <f>+IFERROR('Raw Data - Production'!J178/('Raw Data - Production'!D178*Weights!$B$2),"")</f>
        <v/>
      </c>
      <c r="P150" s="13" t="str">
        <f>+IFERROR('Raw Data - Production'!K178/('Raw Data - Production'!E178*Weights!$B$2),"")</f>
        <v/>
      </c>
      <c r="Q150" s="13" t="str">
        <f>+IFERROR('Raw Data - Production'!L178/('Raw Data - Production'!F178*Weights!$B$2),"")</f>
        <v/>
      </c>
      <c r="R150" s="13" t="str">
        <f>+IFERROR('Raw Data - Production'!M178/('Raw Data - Production'!G178*Weights!$B$2),"")</f>
        <v/>
      </c>
      <c r="S150" s="13" t="str">
        <f>+IFERROR('Raw Data - Production'!N178/('Raw Data - Production'!H178*Weights!$B$2),"")</f>
        <v/>
      </c>
      <c r="T150" s="13"/>
      <c r="U150" s="13"/>
      <c r="V150" s="13"/>
      <c r="W150" s="13"/>
      <c r="Y150" s="2">
        <f t="shared" si="39"/>
        <v>46370</v>
      </c>
      <c r="AB150">
        <f t="shared" si="40"/>
        <v>51</v>
      </c>
      <c r="AC150" s="13">
        <f t="shared" si="29"/>
        <v>0</v>
      </c>
      <c r="AD150" s="13">
        <f t="shared" si="29"/>
        <v>0</v>
      </c>
      <c r="AE150" s="13">
        <f t="shared" si="30"/>
        <v>0</v>
      </c>
      <c r="AF150" s="13">
        <f t="shared" si="30"/>
        <v>0</v>
      </c>
      <c r="AG150" s="13">
        <f t="shared" si="30"/>
        <v>0</v>
      </c>
      <c r="AH150" s="13"/>
      <c r="AI150" s="13"/>
      <c r="AJ150" s="13"/>
      <c r="AK150" s="13"/>
      <c r="AM150" s="2">
        <f t="shared" si="41"/>
        <v>46370</v>
      </c>
      <c r="AN150">
        <f t="shared" si="42"/>
        <v>51</v>
      </c>
      <c r="AO150" s="18">
        <f>('Raw Data - Production'!D178/100)/60</f>
        <v>0</v>
      </c>
      <c r="AP150" s="18">
        <f>('Raw Data - Production'!E178/100)/60</f>
        <v>0</v>
      </c>
      <c r="AQ150" s="18">
        <f>('Raw Data - Production'!F178/50)/60</f>
        <v>0</v>
      </c>
      <c r="AR150" s="18">
        <f>('Raw Data - Production'!G178/50)/60</f>
        <v>0</v>
      </c>
      <c r="AS150" s="18">
        <f>('Raw Data - Production'!H178/50)/60</f>
        <v>0</v>
      </c>
      <c r="AT150" s="18"/>
      <c r="AU150" s="18"/>
      <c r="AV150" s="18"/>
      <c r="AW150" s="18"/>
    </row>
    <row r="151" spans="1:49" x14ac:dyDescent="0.3">
      <c r="A151" s="2">
        <f t="shared" si="31"/>
        <v>46371</v>
      </c>
      <c r="B151">
        <f t="shared" si="32"/>
        <v>51</v>
      </c>
      <c r="C151" s="13" t="str">
        <f t="shared" si="33"/>
        <v/>
      </c>
      <c r="D151" s="13" t="str">
        <f t="shared" si="34"/>
        <v/>
      </c>
      <c r="E151" s="13" t="str">
        <f t="shared" si="35"/>
        <v/>
      </c>
      <c r="F151" s="13" t="str">
        <f t="shared" si="36"/>
        <v/>
      </c>
      <c r="G151" s="13" t="str">
        <f t="shared" si="37"/>
        <v/>
      </c>
      <c r="H151" s="13"/>
      <c r="I151" s="13"/>
      <c r="J151" s="13"/>
      <c r="K151" s="13"/>
      <c r="M151" s="2">
        <f>+'Daily Summary'!A178</f>
        <v>46371</v>
      </c>
      <c r="N151">
        <f t="shared" si="38"/>
        <v>51</v>
      </c>
      <c r="O151" s="13" t="str">
        <f>+IFERROR('Raw Data - Production'!J179/('Raw Data - Production'!D179*Weights!$B$2),"")</f>
        <v/>
      </c>
      <c r="P151" s="13" t="str">
        <f>+IFERROR('Raw Data - Production'!K179/('Raw Data - Production'!E179*Weights!$B$2),"")</f>
        <v/>
      </c>
      <c r="Q151" s="13" t="str">
        <f>+IFERROR('Raw Data - Production'!L179/('Raw Data - Production'!F179*Weights!$B$2),"")</f>
        <v/>
      </c>
      <c r="R151" s="13" t="str">
        <f>+IFERROR('Raw Data - Production'!M179/('Raw Data - Production'!G179*Weights!$B$2),"")</f>
        <v/>
      </c>
      <c r="S151" s="13" t="str">
        <f>+IFERROR('Raw Data - Production'!N179/('Raw Data - Production'!H179*Weights!$B$2),"")</f>
        <v/>
      </c>
      <c r="T151" s="13"/>
      <c r="U151" s="13"/>
      <c r="V151" s="13"/>
      <c r="W151" s="13"/>
      <c r="Y151" s="2">
        <f t="shared" si="39"/>
        <v>46371</v>
      </c>
      <c r="AB151">
        <f t="shared" si="40"/>
        <v>51</v>
      </c>
      <c r="AC151" s="13">
        <f t="shared" si="29"/>
        <v>0</v>
      </c>
      <c r="AD151" s="13">
        <f t="shared" si="29"/>
        <v>0</v>
      </c>
      <c r="AE151" s="13">
        <f t="shared" si="30"/>
        <v>0</v>
      </c>
      <c r="AF151" s="13">
        <f t="shared" si="30"/>
        <v>0</v>
      </c>
      <c r="AG151" s="13">
        <f t="shared" si="30"/>
        <v>0</v>
      </c>
      <c r="AH151" s="13"/>
      <c r="AI151" s="13"/>
      <c r="AJ151" s="13"/>
      <c r="AK151" s="13"/>
      <c r="AM151" s="2">
        <f t="shared" si="41"/>
        <v>46371</v>
      </c>
      <c r="AN151">
        <f t="shared" si="42"/>
        <v>51</v>
      </c>
      <c r="AO151" s="18">
        <f>('Raw Data - Production'!D179/100)/60</f>
        <v>0</v>
      </c>
      <c r="AP151" s="18">
        <f>('Raw Data - Production'!E179/100)/60</f>
        <v>0</v>
      </c>
      <c r="AQ151" s="18">
        <f>('Raw Data - Production'!F179/50)/60</f>
        <v>0</v>
      </c>
      <c r="AR151" s="18">
        <f>('Raw Data - Production'!G179/50)/60</f>
        <v>0</v>
      </c>
      <c r="AS151" s="18">
        <f>('Raw Data - Production'!H179/50)/60</f>
        <v>0</v>
      </c>
      <c r="AT151" s="18"/>
      <c r="AU151" s="18"/>
      <c r="AV151" s="18"/>
      <c r="AW151" s="18"/>
    </row>
    <row r="152" spans="1:49" x14ac:dyDescent="0.3">
      <c r="A152" s="2">
        <f t="shared" si="31"/>
        <v>46372</v>
      </c>
      <c r="B152">
        <f t="shared" si="32"/>
        <v>51</v>
      </c>
      <c r="C152" s="13" t="str">
        <f t="shared" si="33"/>
        <v/>
      </c>
      <c r="D152" s="13" t="str">
        <f t="shared" si="34"/>
        <v/>
      </c>
      <c r="E152" s="13" t="str">
        <f t="shared" si="35"/>
        <v/>
      </c>
      <c r="F152" s="13" t="str">
        <f t="shared" si="36"/>
        <v/>
      </c>
      <c r="G152" s="13" t="str">
        <f t="shared" si="37"/>
        <v/>
      </c>
      <c r="H152" s="13"/>
      <c r="I152" s="13"/>
      <c r="J152" s="13"/>
      <c r="K152" s="13"/>
      <c r="M152" s="2">
        <f>+'Daily Summary'!A179</f>
        <v>46372</v>
      </c>
      <c r="N152">
        <f t="shared" si="38"/>
        <v>51</v>
      </c>
      <c r="O152" s="13" t="str">
        <f>+IFERROR('Raw Data - Production'!J180/('Raw Data - Production'!D180*Weights!$B$2),"")</f>
        <v/>
      </c>
      <c r="P152" s="13" t="str">
        <f>+IFERROR('Raw Data - Production'!K180/('Raw Data - Production'!E180*Weights!$B$2),"")</f>
        <v/>
      </c>
      <c r="Q152" s="13" t="str">
        <f>+IFERROR('Raw Data - Production'!L180/('Raw Data - Production'!F180*Weights!$B$2),"")</f>
        <v/>
      </c>
      <c r="R152" s="13" t="str">
        <f>+IFERROR('Raw Data - Production'!M180/('Raw Data - Production'!G180*Weights!$B$2),"")</f>
        <v/>
      </c>
      <c r="S152" s="13" t="str">
        <f>+IFERROR('Raw Data - Production'!N180/('Raw Data - Production'!H180*Weights!$B$2),"")</f>
        <v/>
      </c>
      <c r="T152" s="13"/>
      <c r="U152" s="13"/>
      <c r="V152" s="13"/>
      <c r="W152" s="13"/>
      <c r="Y152" s="2">
        <f t="shared" si="39"/>
        <v>46372</v>
      </c>
      <c r="AB152">
        <f t="shared" si="40"/>
        <v>51</v>
      </c>
      <c r="AC152" s="13">
        <f t="shared" si="29"/>
        <v>0</v>
      </c>
      <c r="AD152" s="13">
        <f t="shared" si="29"/>
        <v>0</v>
      </c>
      <c r="AE152" s="13">
        <f t="shared" si="30"/>
        <v>0</v>
      </c>
      <c r="AF152" s="13">
        <f t="shared" si="30"/>
        <v>0</v>
      </c>
      <c r="AG152" s="13">
        <f t="shared" si="30"/>
        <v>0</v>
      </c>
      <c r="AH152" s="13"/>
      <c r="AI152" s="13"/>
      <c r="AJ152" s="13"/>
      <c r="AK152" s="13"/>
      <c r="AM152" s="2">
        <f t="shared" si="41"/>
        <v>46372</v>
      </c>
      <c r="AN152">
        <f t="shared" si="42"/>
        <v>51</v>
      </c>
      <c r="AO152" s="18">
        <f>('Raw Data - Production'!D180/100)/60</f>
        <v>0</v>
      </c>
      <c r="AP152" s="18">
        <f>('Raw Data - Production'!E180/100)/60</f>
        <v>0</v>
      </c>
      <c r="AQ152" s="18">
        <f>('Raw Data - Production'!F180/50)/60</f>
        <v>0</v>
      </c>
      <c r="AR152" s="18">
        <f>('Raw Data - Production'!G180/50)/60</f>
        <v>0</v>
      </c>
      <c r="AS152" s="18">
        <f>('Raw Data - Production'!H180/50)/60</f>
        <v>0</v>
      </c>
      <c r="AT152" s="18"/>
      <c r="AU152" s="18"/>
      <c r="AV152" s="18"/>
      <c r="AW152" s="18"/>
    </row>
    <row r="153" spans="1:49" x14ac:dyDescent="0.3">
      <c r="A153" s="2">
        <f t="shared" si="31"/>
        <v>46373</v>
      </c>
      <c r="B153">
        <f t="shared" si="32"/>
        <v>51</v>
      </c>
      <c r="C153" s="13" t="str">
        <f t="shared" si="33"/>
        <v/>
      </c>
      <c r="D153" s="13" t="str">
        <f t="shared" si="34"/>
        <v/>
      </c>
      <c r="E153" s="13" t="str">
        <f t="shared" si="35"/>
        <v/>
      </c>
      <c r="F153" s="13" t="str">
        <f t="shared" si="36"/>
        <v/>
      </c>
      <c r="G153" s="13" t="str">
        <f t="shared" si="37"/>
        <v/>
      </c>
      <c r="H153" s="13"/>
      <c r="I153" s="13"/>
      <c r="J153" s="13"/>
      <c r="K153" s="13"/>
      <c r="M153" s="2">
        <f>+'Daily Summary'!A180</f>
        <v>46373</v>
      </c>
      <c r="N153">
        <f t="shared" si="38"/>
        <v>51</v>
      </c>
      <c r="O153" s="13" t="str">
        <f>+IFERROR('Raw Data - Production'!J181/('Raw Data - Production'!D181*Weights!$B$2),"")</f>
        <v/>
      </c>
      <c r="P153" s="13" t="str">
        <f>+IFERROR('Raw Data - Production'!K181/('Raw Data - Production'!E181*Weights!$B$2),"")</f>
        <v/>
      </c>
      <c r="Q153" s="13" t="str">
        <f>+IFERROR('Raw Data - Production'!L181/('Raw Data - Production'!F181*Weights!$B$2),"")</f>
        <v/>
      </c>
      <c r="R153" s="13" t="str">
        <f>+IFERROR('Raw Data - Production'!M181/('Raw Data - Production'!G181*Weights!$B$2),"")</f>
        <v/>
      </c>
      <c r="S153" s="13" t="str">
        <f>+IFERROR('Raw Data - Production'!N181/('Raw Data - Production'!H181*Weights!$B$2),"")</f>
        <v/>
      </c>
      <c r="T153" s="13"/>
      <c r="U153" s="13"/>
      <c r="V153" s="13"/>
      <c r="W153" s="13"/>
      <c r="Y153" s="2">
        <f t="shared" si="39"/>
        <v>46373</v>
      </c>
      <c r="AB153">
        <f t="shared" si="40"/>
        <v>51</v>
      </c>
      <c r="AC153" s="13">
        <f t="shared" si="29"/>
        <v>0</v>
      </c>
      <c r="AD153" s="13">
        <f t="shared" si="29"/>
        <v>0</v>
      </c>
      <c r="AE153" s="13">
        <f t="shared" si="30"/>
        <v>0</v>
      </c>
      <c r="AF153" s="13">
        <f t="shared" si="30"/>
        <v>0</v>
      </c>
      <c r="AG153" s="13">
        <f t="shared" si="30"/>
        <v>0</v>
      </c>
      <c r="AH153" s="13"/>
      <c r="AI153" s="13"/>
      <c r="AJ153" s="13"/>
      <c r="AK153" s="13"/>
      <c r="AM153" s="2">
        <f t="shared" si="41"/>
        <v>46373</v>
      </c>
      <c r="AN153">
        <f t="shared" si="42"/>
        <v>51</v>
      </c>
      <c r="AO153" s="18">
        <f>('Raw Data - Production'!D181/100)/60</f>
        <v>0</v>
      </c>
      <c r="AP153" s="18">
        <f>('Raw Data - Production'!E181/100)/60</f>
        <v>0</v>
      </c>
      <c r="AQ153" s="18">
        <f>('Raw Data - Production'!F181/50)/60</f>
        <v>0</v>
      </c>
      <c r="AR153" s="18">
        <f>('Raw Data - Production'!G181/50)/60</f>
        <v>0</v>
      </c>
      <c r="AS153" s="18">
        <f>('Raw Data - Production'!H181/50)/60</f>
        <v>0</v>
      </c>
      <c r="AT153" s="18"/>
      <c r="AU153" s="18"/>
      <c r="AV153" s="18"/>
      <c r="AW153" s="18"/>
    </row>
    <row r="154" spans="1:49" x14ac:dyDescent="0.3">
      <c r="A154" s="2">
        <f t="shared" si="31"/>
        <v>46374</v>
      </c>
      <c r="B154">
        <f t="shared" si="32"/>
        <v>51</v>
      </c>
      <c r="C154" s="13" t="str">
        <f t="shared" si="33"/>
        <v/>
      </c>
      <c r="D154" s="13" t="str">
        <f t="shared" si="34"/>
        <v/>
      </c>
      <c r="E154" s="13" t="str">
        <f t="shared" si="35"/>
        <v/>
      </c>
      <c r="F154" s="13" t="str">
        <f t="shared" si="36"/>
        <v/>
      </c>
      <c r="G154" s="13" t="str">
        <f t="shared" si="37"/>
        <v/>
      </c>
      <c r="H154" s="13"/>
      <c r="I154" s="13"/>
      <c r="J154" s="13"/>
      <c r="K154" s="13"/>
      <c r="M154" s="2">
        <f>+'Daily Summary'!A181</f>
        <v>46374</v>
      </c>
      <c r="N154">
        <f t="shared" si="38"/>
        <v>51</v>
      </c>
      <c r="O154" s="13" t="str">
        <f>+IFERROR('Raw Data - Production'!J182/('Raw Data - Production'!D182*Weights!$B$2),"")</f>
        <v/>
      </c>
      <c r="P154" s="13" t="str">
        <f>+IFERROR('Raw Data - Production'!K182/('Raw Data - Production'!E182*Weights!$B$2),"")</f>
        <v/>
      </c>
      <c r="Q154" s="13" t="str">
        <f>+IFERROR('Raw Data - Production'!L182/('Raw Data - Production'!F182*Weights!$B$2),"")</f>
        <v/>
      </c>
      <c r="R154" s="13" t="str">
        <f>+IFERROR('Raw Data - Production'!M182/('Raw Data - Production'!G182*Weights!$B$2),"")</f>
        <v/>
      </c>
      <c r="S154" s="13" t="str">
        <f>+IFERROR('Raw Data - Production'!N182/('Raw Data - Production'!H182*Weights!$B$2),"")</f>
        <v/>
      </c>
      <c r="T154" s="13"/>
      <c r="U154" s="13"/>
      <c r="V154" s="13"/>
      <c r="W154" s="13"/>
      <c r="Y154" s="2">
        <f t="shared" si="39"/>
        <v>46374</v>
      </c>
      <c r="AB154">
        <f t="shared" si="40"/>
        <v>51</v>
      </c>
      <c r="AC154" s="13">
        <f t="shared" si="29"/>
        <v>0</v>
      </c>
      <c r="AD154" s="13">
        <f t="shared" si="29"/>
        <v>0</v>
      </c>
      <c r="AE154" s="13">
        <f t="shared" si="30"/>
        <v>0</v>
      </c>
      <c r="AF154" s="13">
        <f t="shared" si="30"/>
        <v>0</v>
      </c>
      <c r="AG154" s="13">
        <f t="shared" si="30"/>
        <v>0</v>
      </c>
      <c r="AH154" s="13"/>
      <c r="AI154" s="13"/>
      <c r="AJ154" s="13"/>
      <c r="AK154" s="13"/>
      <c r="AM154" s="2">
        <f t="shared" si="41"/>
        <v>46374</v>
      </c>
      <c r="AN154">
        <f t="shared" si="42"/>
        <v>51</v>
      </c>
      <c r="AO154" s="18">
        <f>('Raw Data - Production'!D182/100)/60</f>
        <v>0</v>
      </c>
      <c r="AP154" s="18">
        <f>('Raw Data - Production'!E182/100)/60</f>
        <v>0</v>
      </c>
      <c r="AQ154" s="18">
        <f>('Raw Data - Production'!F182/50)/60</f>
        <v>0</v>
      </c>
      <c r="AR154" s="18">
        <f>('Raw Data - Production'!G182/50)/60</f>
        <v>0</v>
      </c>
      <c r="AS154" s="18">
        <f>('Raw Data - Production'!H182/50)/60</f>
        <v>0</v>
      </c>
      <c r="AT154" s="18"/>
      <c r="AU154" s="18"/>
      <c r="AV154" s="18"/>
      <c r="AW154" s="18"/>
    </row>
    <row r="155" spans="1:49" x14ac:dyDescent="0.3">
      <c r="A155" s="2">
        <f t="shared" si="31"/>
        <v>46377</v>
      </c>
      <c r="B155">
        <f t="shared" si="32"/>
        <v>52</v>
      </c>
      <c r="C155" s="13" t="str">
        <f t="shared" si="33"/>
        <v/>
      </c>
      <c r="D155" s="13" t="str">
        <f t="shared" si="34"/>
        <v/>
      </c>
      <c r="E155" s="13" t="str">
        <f t="shared" si="35"/>
        <v/>
      </c>
      <c r="F155" s="13" t="str">
        <f t="shared" si="36"/>
        <v/>
      </c>
      <c r="G155" s="13" t="str">
        <f t="shared" si="37"/>
        <v/>
      </c>
      <c r="H155" s="13"/>
      <c r="I155" s="13"/>
      <c r="J155" s="13"/>
      <c r="K155" s="13"/>
      <c r="M155" s="2">
        <f>+'Daily Summary'!A182</f>
        <v>46377</v>
      </c>
      <c r="N155">
        <f t="shared" si="38"/>
        <v>52</v>
      </c>
      <c r="O155" s="13" t="str">
        <f>+IFERROR('Raw Data - Production'!J183/('Raw Data - Production'!D183*Weights!$B$2),"")</f>
        <v/>
      </c>
      <c r="P155" s="13" t="str">
        <f>+IFERROR('Raw Data - Production'!K183/('Raw Data - Production'!E183*Weights!$B$2),"")</f>
        <v/>
      </c>
      <c r="Q155" s="13" t="str">
        <f>+IFERROR('Raw Data - Production'!L183/('Raw Data - Production'!F183*Weights!$B$2),"")</f>
        <v/>
      </c>
      <c r="R155" s="13" t="str">
        <f>+IFERROR('Raw Data - Production'!M183/('Raw Data - Production'!G183*Weights!$B$2),"")</f>
        <v/>
      </c>
      <c r="S155" s="13" t="str">
        <f>+IFERROR('Raw Data - Production'!N183/('Raw Data - Production'!H183*Weights!$B$2),"")</f>
        <v/>
      </c>
      <c r="T155" s="13"/>
      <c r="U155" s="13"/>
      <c r="V155" s="13"/>
      <c r="W155" s="13"/>
      <c r="Y155" s="2">
        <f t="shared" si="39"/>
        <v>46377</v>
      </c>
      <c r="AB155">
        <f t="shared" si="40"/>
        <v>52</v>
      </c>
      <c r="AC155" s="13">
        <f t="shared" si="29"/>
        <v>0</v>
      </c>
      <c r="AD155" s="13">
        <f t="shared" si="29"/>
        <v>0</v>
      </c>
      <c r="AE155" s="13">
        <f t="shared" si="30"/>
        <v>0</v>
      </c>
      <c r="AF155" s="13">
        <f t="shared" si="30"/>
        <v>0</v>
      </c>
      <c r="AG155" s="13">
        <f t="shared" si="30"/>
        <v>0</v>
      </c>
      <c r="AH155" s="13"/>
      <c r="AI155" s="13"/>
      <c r="AJ155" s="13"/>
      <c r="AK155" s="13"/>
      <c r="AM155" s="2">
        <f t="shared" si="41"/>
        <v>46377</v>
      </c>
      <c r="AN155">
        <f t="shared" si="42"/>
        <v>52</v>
      </c>
      <c r="AO155" s="18">
        <f>('Raw Data - Production'!D183/100)/60</f>
        <v>0</v>
      </c>
      <c r="AP155" s="18">
        <f>('Raw Data - Production'!E183/100)/60</f>
        <v>0</v>
      </c>
      <c r="AQ155" s="18">
        <f>('Raw Data - Production'!F183/50)/60</f>
        <v>0</v>
      </c>
      <c r="AR155" s="18">
        <f>('Raw Data - Production'!G183/50)/60</f>
        <v>0</v>
      </c>
      <c r="AS155" s="18">
        <f>('Raw Data - Production'!H183/50)/60</f>
        <v>0</v>
      </c>
      <c r="AT155" s="18"/>
      <c r="AU155" s="18"/>
      <c r="AV155" s="18"/>
      <c r="AW155" s="18"/>
    </row>
    <row r="156" spans="1:49" x14ac:dyDescent="0.3">
      <c r="A156" s="2">
        <f t="shared" si="31"/>
        <v>46378</v>
      </c>
      <c r="B156">
        <f t="shared" si="32"/>
        <v>52</v>
      </c>
      <c r="C156" s="13" t="str">
        <f t="shared" si="33"/>
        <v/>
      </c>
      <c r="D156" s="13" t="str">
        <f t="shared" si="34"/>
        <v/>
      </c>
      <c r="E156" s="13" t="str">
        <f t="shared" si="35"/>
        <v/>
      </c>
      <c r="F156" s="13" t="str">
        <f t="shared" si="36"/>
        <v/>
      </c>
      <c r="G156" s="13" t="str">
        <f t="shared" si="37"/>
        <v/>
      </c>
      <c r="H156" s="13"/>
      <c r="I156" s="13"/>
      <c r="J156" s="13"/>
      <c r="K156" s="13"/>
      <c r="M156" s="2">
        <f>+'Daily Summary'!A183</f>
        <v>46378</v>
      </c>
      <c r="N156">
        <f t="shared" si="38"/>
        <v>52</v>
      </c>
      <c r="O156" s="13" t="str">
        <f>+IFERROR('Raw Data - Production'!J184/('Raw Data - Production'!D184*Weights!$B$2),"")</f>
        <v/>
      </c>
      <c r="P156" s="13" t="str">
        <f>+IFERROR('Raw Data - Production'!K184/('Raw Data - Production'!E184*Weights!$B$2),"")</f>
        <v/>
      </c>
      <c r="Q156" s="13" t="str">
        <f>+IFERROR('Raw Data - Production'!L184/('Raw Data - Production'!F184*Weights!$B$2),"")</f>
        <v/>
      </c>
      <c r="R156" s="13" t="str">
        <f>+IFERROR('Raw Data - Production'!M184/('Raw Data - Production'!G184*Weights!$B$2),"")</f>
        <v/>
      </c>
      <c r="S156" s="13" t="str">
        <f>+IFERROR('Raw Data - Production'!N184/('Raw Data - Production'!H184*Weights!$B$2),"")</f>
        <v/>
      </c>
      <c r="T156" s="13"/>
      <c r="U156" s="13"/>
      <c r="V156" s="13"/>
      <c r="W156" s="13"/>
      <c r="Y156" s="2">
        <f t="shared" si="39"/>
        <v>46378</v>
      </c>
      <c r="AB156">
        <f t="shared" si="40"/>
        <v>52</v>
      </c>
      <c r="AC156" s="13">
        <f t="shared" si="29"/>
        <v>0</v>
      </c>
      <c r="AD156" s="13">
        <f t="shared" si="29"/>
        <v>0</v>
      </c>
      <c r="AE156" s="13">
        <f t="shared" si="30"/>
        <v>0</v>
      </c>
      <c r="AF156" s="13">
        <f t="shared" si="30"/>
        <v>0</v>
      </c>
      <c r="AG156" s="13">
        <f t="shared" si="30"/>
        <v>0</v>
      </c>
      <c r="AH156" s="13"/>
      <c r="AI156" s="13"/>
      <c r="AJ156" s="13"/>
      <c r="AK156" s="13"/>
      <c r="AM156" s="2">
        <f t="shared" si="41"/>
        <v>46378</v>
      </c>
      <c r="AN156">
        <f t="shared" si="42"/>
        <v>52</v>
      </c>
      <c r="AO156" s="18">
        <f>('Raw Data - Production'!D184/100)/60</f>
        <v>0</v>
      </c>
      <c r="AP156" s="18">
        <f>('Raw Data - Production'!E184/100)/60</f>
        <v>0</v>
      </c>
      <c r="AQ156" s="18">
        <f>('Raw Data - Production'!F184/50)/60</f>
        <v>0</v>
      </c>
      <c r="AR156" s="18">
        <f>('Raw Data - Production'!G184/50)/60</f>
        <v>0</v>
      </c>
      <c r="AS156" s="18">
        <f>('Raw Data - Production'!H184/50)/60</f>
        <v>0</v>
      </c>
      <c r="AT156" s="18"/>
      <c r="AU156" s="18"/>
      <c r="AV156" s="18"/>
      <c r="AW156" s="18"/>
    </row>
    <row r="157" spans="1:49" x14ac:dyDescent="0.3">
      <c r="A157" s="2">
        <f t="shared" si="31"/>
        <v>46379</v>
      </c>
      <c r="B157">
        <f t="shared" si="32"/>
        <v>52</v>
      </c>
      <c r="C157" s="13" t="str">
        <f t="shared" si="33"/>
        <v/>
      </c>
      <c r="D157" s="13" t="str">
        <f t="shared" si="34"/>
        <v/>
      </c>
      <c r="E157" s="13" t="str">
        <f t="shared" si="35"/>
        <v/>
      </c>
      <c r="F157" s="13" t="str">
        <f t="shared" si="36"/>
        <v/>
      </c>
      <c r="G157" s="13" t="str">
        <f t="shared" si="37"/>
        <v/>
      </c>
      <c r="H157" s="13"/>
      <c r="I157" s="13"/>
      <c r="J157" s="13"/>
      <c r="K157" s="13"/>
      <c r="M157" s="2">
        <f>+'Daily Summary'!A184</f>
        <v>46379</v>
      </c>
      <c r="N157">
        <f t="shared" si="38"/>
        <v>52</v>
      </c>
      <c r="O157" s="13" t="str">
        <f>+IFERROR('Raw Data - Production'!J185/('Raw Data - Production'!D185*Weights!$B$2),"")</f>
        <v/>
      </c>
      <c r="P157" s="13" t="str">
        <f>+IFERROR('Raw Data - Production'!K185/('Raw Data - Production'!E185*Weights!$B$2),"")</f>
        <v/>
      </c>
      <c r="Q157" s="13" t="str">
        <f>+IFERROR('Raw Data - Production'!L185/('Raw Data - Production'!F185*Weights!$B$2),"")</f>
        <v/>
      </c>
      <c r="R157" s="13" t="str">
        <f>+IFERROR('Raw Data - Production'!M185/('Raw Data - Production'!G185*Weights!$B$2),"")</f>
        <v/>
      </c>
      <c r="S157" s="13" t="str">
        <f>+IFERROR('Raw Data - Production'!N185/('Raw Data - Production'!H185*Weights!$B$2),"")</f>
        <v/>
      </c>
      <c r="T157" s="13"/>
      <c r="U157" s="13"/>
      <c r="V157" s="13"/>
      <c r="W157" s="13"/>
      <c r="Y157" s="2">
        <f t="shared" si="39"/>
        <v>46379</v>
      </c>
      <c r="AB157">
        <f t="shared" si="40"/>
        <v>52</v>
      </c>
      <c r="AC157" s="13">
        <f t="shared" si="29"/>
        <v>0</v>
      </c>
      <c r="AD157" s="13">
        <f t="shared" si="29"/>
        <v>0</v>
      </c>
      <c r="AE157" s="13">
        <f t="shared" si="30"/>
        <v>0</v>
      </c>
      <c r="AF157" s="13">
        <f t="shared" si="30"/>
        <v>0</v>
      </c>
      <c r="AG157" s="13">
        <f t="shared" si="30"/>
        <v>0</v>
      </c>
      <c r="AH157" s="13"/>
      <c r="AI157" s="13"/>
      <c r="AJ157" s="13"/>
      <c r="AK157" s="13"/>
      <c r="AM157" s="2">
        <f t="shared" si="41"/>
        <v>46379</v>
      </c>
      <c r="AN157">
        <f t="shared" si="42"/>
        <v>52</v>
      </c>
      <c r="AO157" s="18">
        <f>('Raw Data - Production'!D185/100)/60</f>
        <v>0</v>
      </c>
      <c r="AP157" s="18">
        <f>('Raw Data - Production'!E185/100)/60</f>
        <v>0</v>
      </c>
      <c r="AQ157" s="18">
        <f>('Raw Data - Production'!F185/50)/60</f>
        <v>0</v>
      </c>
      <c r="AR157" s="18">
        <f>('Raw Data - Production'!G185/50)/60</f>
        <v>0</v>
      </c>
      <c r="AS157" s="18">
        <f>('Raw Data - Production'!H185/50)/60</f>
        <v>0</v>
      </c>
      <c r="AT157" s="18"/>
      <c r="AU157" s="18"/>
      <c r="AV157" s="18"/>
      <c r="AW157" s="18"/>
    </row>
    <row r="158" spans="1:49" x14ac:dyDescent="0.3">
      <c r="A158" s="2">
        <f t="shared" si="31"/>
        <v>46381</v>
      </c>
      <c r="B158">
        <f t="shared" si="32"/>
        <v>52</v>
      </c>
      <c r="C158" s="13" t="str">
        <f t="shared" si="33"/>
        <v/>
      </c>
      <c r="D158" s="13" t="str">
        <f t="shared" si="34"/>
        <v/>
      </c>
      <c r="E158" s="13" t="str">
        <f t="shared" si="35"/>
        <v/>
      </c>
      <c r="F158" s="13" t="str">
        <f t="shared" si="36"/>
        <v/>
      </c>
      <c r="G158" s="13" t="str">
        <f t="shared" si="37"/>
        <v/>
      </c>
      <c r="H158" s="13"/>
      <c r="I158" s="13"/>
      <c r="J158" s="13"/>
      <c r="K158" s="13"/>
      <c r="M158" s="2">
        <f>+'Daily Summary'!A185</f>
        <v>46381</v>
      </c>
      <c r="N158">
        <f t="shared" si="38"/>
        <v>52</v>
      </c>
      <c r="O158" s="13" t="str">
        <f>+IFERROR('Raw Data - Production'!J186/('Raw Data - Production'!D186*Weights!$B$2),"")</f>
        <v/>
      </c>
      <c r="P158" s="13" t="str">
        <f>+IFERROR('Raw Data - Production'!K186/('Raw Data - Production'!E186*Weights!$B$2),"")</f>
        <v/>
      </c>
      <c r="Q158" s="13" t="str">
        <f>+IFERROR('Raw Data - Production'!L186/('Raw Data - Production'!F186*Weights!$B$2),"")</f>
        <v/>
      </c>
      <c r="R158" s="13" t="str">
        <f>+IFERROR('Raw Data - Production'!M186/('Raw Data - Production'!G186*Weights!$B$2),"")</f>
        <v/>
      </c>
      <c r="S158" s="13" t="str">
        <f>+IFERROR('Raw Data - Production'!N186/('Raw Data - Production'!H186*Weights!$B$2),"")</f>
        <v/>
      </c>
      <c r="T158" s="13"/>
      <c r="U158" s="13"/>
      <c r="V158" s="13"/>
      <c r="W158" s="13"/>
      <c r="Y158" s="2">
        <f t="shared" si="39"/>
        <v>46381</v>
      </c>
      <c r="AB158">
        <f t="shared" si="40"/>
        <v>52</v>
      </c>
      <c r="AC158" s="13">
        <f t="shared" si="29"/>
        <v>0</v>
      </c>
      <c r="AD158" s="13">
        <f t="shared" si="29"/>
        <v>0</v>
      </c>
      <c r="AE158" s="13">
        <f t="shared" si="30"/>
        <v>0</v>
      </c>
      <c r="AF158" s="13">
        <f t="shared" si="30"/>
        <v>0</v>
      </c>
      <c r="AG158" s="13">
        <f t="shared" si="30"/>
        <v>0</v>
      </c>
      <c r="AH158" s="13"/>
      <c r="AI158" s="13"/>
      <c r="AJ158" s="13"/>
      <c r="AK158" s="13"/>
      <c r="AM158" s="2">
        <f t="shared" si="41"/>
        <v>46381</v>
      </c>
      <c r="AN158">
        <f t="shared" si="42"/>
        <v>52</v>
      </c>
      <c r="AO158" s="18">
        <f>('Raw Data - Production'!D186/100)/60</f>
        <v>0</v>
      </c>
      <c r="AP158" s="18">
        <f>('Raw Data - Production'!E186/100)/60</f>
        <v>0</v>
      </c>
      <c r="AQ158" s="18">
        <f>('Raw Data - Production'!F186/50)/60</f>
        <v>0</v>
      </c>
      <c r="AR158" s="18">
        <f>('Raw Data - Production'!G186/50)/60</f>
        <v>0</v>
      </c>
      <c r="AS158" s="18">
        <f>('Raw Data - Production'!H186/50)/60</f>
        <v>0</v>
      </c>
      <c r="AT158" s="18"/>
      <c r="AU158" s="18"/>
      <c r="AV158" s="18"/>
      <c r="AW158" s="18"/>
    </row>
    <row r="159" spans="1:49" x14ac:dyDescent="0.3">
      <c r="A159" s="2">
        <f t="shared" si="31"/>
        <v>46384</v>
      </c>
      <c r="B159">
        <f t="shared" si="32"/>
        <v>53</v>
      </c>
      <c r="C159" s="13" t="str">
        <f t="shared" si="33"/>
        <v/>
      </c>
      <c r="D159" s="13" t="str">
        <f t="shared" si="34"/>
        <v/>
      </c>
      <c r="E159" s="13" t="str">
        <f t="shared" si="35"/>
        <v/>
      </c>
      <c r="F159" s="13" t="str">
        <f t="shared" si="36"/>
        <v/>
      </c>
      <c r="G159" s="13" t="str">
        <f t="shared" si="37"/>
        <v/>
      </c>
      <c r="H159" s="13"/>
      <c r="I159" s="13"/>
      <c r="J159" s="13"/>
      <c r="K159" s="13"/>
      <c r="M159" s="2">
        <f>+'Daily Summary'!A186</f>
        <v>46384</v>
      </c>
      <c r="N159">
        <f t="shared" si="38"/>
        <v>53</v>
      </c>
      <c r="O159" s="13" t="str">
        <f>+IFERROR('Raw Data - Production'!J187/('Raw Data - Production'!D187*Weights!$B$2),"")</f>
        <v/>
      </c>
      <c r="P159" s="13" t="str">
        <f>+IFERROR('Raw Data - Production'!K187/('Raw Data - Production'!E187*Weights!$B$2),"")</f>
        <v/>
      </c>
      <c r="Q159" s="13" t="str">
        <f>+IFERROR('Raw Data - Production'!L187/('Raw Data - Production'!F187*Weights!$B$2),"")</f>
        <v/>
      </c>
      <c r="R159" s="13" t="str">
        <f>+IFERROR('Raw Data - Production'!M187/('Raw Data - Production'!G187*Weights!$B$2),"")</f>
        <v/>
      </c>
      <c r="S159" s="13" t="str">
        <f>+IFERROR('Raw Data - Production'!N187/('Raw Data - Production'!H187*Weights!$B$2),"")</f>
        <v/>
      </c>
      <c r="T159" s="13"/>
      <c r="U159" s="13"/>
      <c r="V159" s="13"/>
      <c r="W159" s="13"/>
      <c r="Y159" s="2">
        <f t="shared" si="39"/>
        <v>46384</v>
      </c>
      <c r="AB159">
        <f t="shared" si="40"/>
        <v>53</v>
      </c>
      <c r="AC159" s="13">
        <f t="shared" si="29"/>
        <v>0</v>
      </c>
      <c r="AD159" s="13">
        <f t="shared" si="29"/>
        <v>0</v>
      </c>
      <c r="AE159" s="13">
        <f t="shared" si="30"/>
        <v>0</v>
      </c>
      <c r="AF159" s="13">
        <f t="shared" si="30"/>
        <v>0</v>
      </c>
      <c r="AG159" s="13">
        <f t="shared" si="30"/>
        <v>0</v>
      </c>
      <c r="AH159" s="13"/>
      <c r="AI159" s="13"/>
      <c r="AJ159" s="13"/>
      <c r="AK159" s="13"/>
      <c r="AM159" s="2">
        <f t="shared" si="41"/>
        <v>46384</v>
      </c>
      <c r="AN159">
        <f t="shared" si="42"/>
        <v>53</v>
      </c>
      <c r="AO159" s="18">
        <f>('Raw Data - Production'!D187/100)/60</f>
        <v>0</v>
      </c>
      <c r="AP159" s="18">
        <f>('Raw Data - Production'!E187/100)/60</f>
        <v>0</v>
      </c>
      <c r="AQ159" s="18">
        <f>('Raw Data - Production'!F187/50)/60</f>
        <v>0</v>
      </c>
      <c r="AR159" s="18">
        <f>('Raw Data - Production'!G187/50)/60</f>
        <v>0</v>
      </c>
      <c r="AS159" s="18">
        <f>('Raw Data - Production'!H187/50)/60</f>
        <v>0</v>
      </c>
      <c r="AT159" s="18"/>
      <c r="AU159" s="18"/>
      <c r="AV159" s="18"/>
      <c r="AW159" s="18"/>
    </row>
    <row r="160" spans="1:49" x14ac:dyDescent="0.3">
      <c r="A160" s="2">
        <f t="shared" si="31"/>
        <v>46385</v>
      </c>
      <c r="B160">
        <f t="shared" si="32"/>
        <v>53</v>
      </c>
      <c r="C160" s="13" t="str">
        <f t="shared" si="33"/>
        <v/>
      </c>
      <c r="D160" s="13" t="str">
        <f t="shared" si="34"/>
        <v/>
      </c>
      <c r="E160" s="13" t="str">
        <f t="shared" si="35"/>
        <v/>
      </c>
      <c r="F160" s="13" t="str">
        <f t="shared" si="36"/>
        <v/>
      </c>
      <c r="G160" s="13" t="str">
        <f t="shared" si="37"/>
        <v/>
      </c>
      <c r="H160" s="13"/>
      <c r="I160" s="13"/>
      <c r="J160" s="13"/>
      <c r="K160" s="13"/>
      <c r="M160" s="2">
        <f>+'Daily Summary'!A187</f>
        <v>46385</v>
      </c>
      <c r="N160">
        <f t="shared" si="38"/>
        <v>53</v>
      </c>
      <c r="O160" s="13" t="str">
        <f>+IFERROR('Raw Data - Production'!J188/('Raw Data - Production'!D188*Weights!$B$2),"")</f>
        <v/>
      </c>
      <c r="P160" s="13" t="str">
        <f>+IFERROR('Raw Data - Production'!K188/('Raw Data - Production'!E188*Weights!$B$2),"")</f>
        <v/>
      </c>
      <c r="Q160" s="13" t="str">
        <f>+IFERROR('Raw Data - Production'!L188/('Raw Data - Production'!F188*Weights!$B$2),"")</f>
        <v/>
      </c>
      <c r="R160" s="13" t="str">
        <f>+IFERROR('Raw Data - Production'!M188/('Raw Data - Production'!G188*Weights!$B$2),"")</f>
        <v/>
      </c>
      <c r="S160" s="13" t="str">
        <f>+IFERROR('Raw Data - Production'!N188/('Raw Data - Production'!H188*Weights!$B$2),"")</f>
        <v/>
      </c>
      <c r="T160" s="13"/>
      <c r="U160" s="13"/>
      <c r="V160" s="13"/>
      <c r="W160" s="13"/>
      <c r="Y160" s="2">
        <f t="shared" si="39"/>
        <v>46385</v>
      </c>
      <c r="AB160">
        <f t="shared" si="40"/>
        <v>53</v>
      </c>
      <c r="AC160" s="13">
        <f t="shared" si="29"/>
        <v>0</v>
      </c>
      <c r="AD160" s="13">
        <f t="shared" si="29"/>
        <v>0</v>
      </c>
      <c r="AE160" s="13">
        <f t="shared" si="30"/>
        <v>0</v>
      </c>
      <c r="AF160" s="13">
        <f t="shared" si="30"/>
        <v>0</v>
      </c>
      <c r="AG160" s="13">
        <f t="shared" si="30"/>
        <v>0</v>
      </c>
      <c r="AH160" s="13"/>
      <c r="AI160" s="13"/>
      <c r="AJ160" s="13"/>
      <c r="AK160" s="13"/>
      <c r="AM160" s="2">
        <f t="shared" si="41"/>
        <v>46385</v>
      </c>
      <c r="AN160">
        <f t="shared" si="42"/>
        <v>53</v>
      </c>
      <c r="AO160" s="18">
        <f>('Raw Data - Production'!D188/100)/60</f>
        <v>0</v>
      </c>
      <c r="AP160" s="18">
        <f>('Raw Data - Production'!E188/100)/60</f>
        <v>0</v>
      </c>
      <c r="AQ160" s="18">
        <f>('Raw Data - Production'!F188/50)/60</f>
        <v>0</v>
      </c>
      <c r="AR160" s="18">
        <f>('Raw Data - Production'!G188/50)/60</f>
        <v>0</v>
      </c>
      <c r="AS160" s="18">
        <f>('Raw Data - Production'!H188/50)/60</f>
        <v>0</v>
      </c>
      <c r="AT160" s="18"/>
      <c r="AU160" s="18"/>
      <c r="AV160" s="18"/>
      <c r="AW160" s="18"/>
    </row>
    <row r="161" spans="1:49" x14ac:dyDescent="0.3">
      <c r="A161" s="2">
        <f t="shared" si="31"/>
        <v>0</v>
      </c>
      <c r="B161">
        <f t="shared" si="32"/>
        <v>0</v>
      </c>
      <c r="C161" s="13" t="str">
        <f t="shared" si="33"/>
        <v/>
      </c>
      <c r="D161" s="13" t="str">
        <f t="shared" si="34"/>
        <v/>
      </c>
      <c r="E161" s="13" t="str">
        <f t="shared" si="35"/>
        <v/>
      </c>
      <c r="F161" s="13" t="str">
        <f t="shared" si="36"/>
        <v/>
      </c>
      <c r="G161" s="13" t="str">
        <f t="shared" si="37"/>
        <v/>
      </c>
      <c r="H161" s="13"/>
      <c r="I161" s="13"/>
      <c r="J161" s="13"/>
      <c r="K161" s="13"/>
      <c r="M161" s="2">
        <f>+'Daily Summary'!A188</f>
        <v>0</v>
      </c>
      <c r="N161">
        <f t="shared" si="38"/>
        <v>0</v>
      </c>
      <c r="O161" s="13" t="str">
        <f>+IFERROR('Raw Data - Production'!J189/('Raw Data - Production'!D189*Weights!$B$2),"")</f>
        <v/>
      </c>
      <c r="P161" s="13" t="str">
        <f>+IFERROR('Raw Data - Production'!K189/('Raw Data - Production'!E189*Weights!$B$2),"")</f>
        <v/>
      </c>
      <c r="Q161" s="13" t="str">
        <f>+IFERROR('Raw Data - Production'!L189/('Raw Data - Production'!F189*Weights!$B$2),"")</f>
        <v/>
      </c>
      <c r="R161" s="13" t="str">
        <f>+IFERROR('Raw Data - Production'!M189/('Raw Data - Production'!G189*Weights!$B$2),"")</f>
        <v/>
      </c>
      <c r="S161" s="13" t="str">
        <f>+IFERROR('Raw Data - Production'!N189/('Raw Data - Production'!H189*Weights!$B$2),"")</f>
        <v/>
      </c>
      <c r="T161" s="13"/>
      <c r="U161" s="13"/>
      <c r="V161" s="13"/>
      <c r="W161" s="13"/>
      <c r="Y161" s="2">
        <f t="shared" si="39"/>
        <v>0</v>
      </c>
      <c r="AB161">
        <f t="shared" si="40"/>
        <v>0</v>
      </c>
      <c r="AC161" s="13">
        <f t="shared" si="29"/>
        <v>0</v>
      </c>
      <c r="AD161" s="13">
        <f t="shared" si="29"/>
        <v>0</v>
      </c>
      <c r="AE161" s="13">
        <f t="shared" si="30"/>
        <v>0</v>
      </c>
      <c r="AF161" s="13">
        <f t="shared" si="30"/>
        <v>0</v>
      </c>
      <c r="AG161" s="13">
        <f t="shared" si="30"/>
        <v>0</v>
      </c>
      <c r="AH161" s="13"/>
      <c r="AI161" s="13"/>
      <c r="AJ161" s="13"/>
      <c r="AK161" s="13"/>
      <c r="AM161" s="2">
        <f t="shared" si="41"/>
        <v>0</v>
      </c>
      <c r="AN161">
        <f t="shared" si="42"/>
        <v>0</v>
      </c>
      <c r="AO161" s="18">
        <f>('Raw Data - Production'!D189/100)/60</f>
        <v>0</v>
      </c>
      <c r="AP161" s="18">
        <f>('Raw Data - Production'!E189/100)/60</f>
        <v>0</v>
      </c>
      <c r="AQ161" s="18">
        <f>('Raw Data - Production'!F189/50)/60</f>
        <v>0</v>
      </c>
      <c r="AR161" s="18">
        <f>('Raw Data - Production'!G189/50)/60</f>
        <v>0</v>
      </c>
      <c r="AS161" s="18">
        <f>('Raw Data - Production'!H189/50)/60</f>
        <v>0</v>
      </c>
      <c r="AT161" s="11"/>
      <c r="AU161" s="11"/>
      <c r="AV161" s="11"/>
      <c r="AW161" s="11"/>
    </row>
    <row r="162" spans="1:49" x14ac:dyDescent="0.3">
      <c r="A162" s="2"/>
      <c r="M162" s="2"/>
      <c r="Y162" s="2"/>
      <c r="AM162" s="2"/>
    </row>
    <row r="163" spans="1:49" x14ac:dyDescent="0.3">
      <c r="A163" s="2"/>
      <c r="M163" s="2"/>
      <c r="Y163" s="2"/>
      <c r="AM163" s="2"/>
    </row>
  </sheetData>
  <mergeCells count="4">
    <mergeCell ref="O1:W1"/>
    <mergeCell ref="AC1:AK1"/>
    <mergeCell ref="AO1:AW1"/>
    <mergeCell ref="C1:K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0C9C2E-C0D9-44EF-88DB-E8858B492818}">
  <dimension ref="A1:D4"/>
  <sheetViews>
    <sheetView workbookViewId="0">
      <selection activeCell="D5" sqref="D5"/>
    </sheetView>
  </sheetViews>
  <sheetFormatPr defaultRowHeight="14.4" x14ac:dyDescent="0.3"/>
  <cols>
    <col min="1" max="1" width="12.5546875" bestFit="1" customWidth="1"/>
    <col min="2" max="2" width="13.88671875" bestFit="1" customWidth="1"/>
  </cols>
  <sheetData>
    <row r="1" spans="1:4" x14ac:dyDescent="0.3">
      <c r="A1" t="s">
        <v>80</v>
      </c>
      <c r="B1" t="s">
        <v>81</v>
      </c>
    </row>
    <row r="2" spans="1:4" x14ac:dyDescent="0.3">
      <c r="A2" t="s">
        <v>28</v>
      </c>
      <c r="B2">
        <f>1.0125/16</f>
        <v>6.3281249999999997E-2</v>
      </c>
    </row>
    <row r="3" spans="1:4" x14ac:dyDescent="0.3">
      <c r="A3" t="s">
        <v>29</v>
      </c>
      <c r="B3">
        <f>1.0125/16</f>
        <v>6.3281249999999997E-2</v>
      </c>
    </row>
    <row r="4" spans="1:4" x14ac:dyDescent="0.3">
      <c r="A4" t="s">
        <v>82</v>
      </c>
      <c r="B4">
        <f>2.5/16</f>
        <v>0.15625</v>
      </c>
      <c r="D4">
        <f>62/B4</f>
        <v>396.8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74934E-D309-401A-9292-1FA851B88BE2}">
  <dimension ref="A1:A6"/>
  <sheetViews>
    <sheetView workbookViewId="0">
      <selection activeCell="F30" sqref="F30"/>
    </sheetView>
  </sheetViews>
  <sheetFormatPr defaultRowHeight="14.4" x14ac:dyDescent="0.3"/>
  <sheetData>
    <row r="1" spans="1:1" x14ac:dyDescent="0.3">
      <c r="A1" t="s">
        <v>83</v>
      </c>
    </row>
    <row r="2" spans="1:1" x14ac:dyDescent="0.3">
      <c r="A2" s="1">
        <v>46167</v>
      </c>
    </row>
    <row r="3" spans="1:1" x14ac:dyDescent="0.3">
      <c r="A3" s="1">
        <v>46205</v>
      </c>
    </row>
    <row r="4" spans="1:1" x14ac:dyDescent="0.3">
      <c r="A4" s="1">
        <v>46272</v>
      </c>
    </row>
    <row r="5" spans="1:1" x14ac:dyDescent="0.3">
      <c r="A5" s="1">
        <v>46352</v>
      </c>
    </row>
    <row r="6" spans="1:1" x14ac:dyDescent="0.3">
      <c r="A6" s="1">
        <v>46380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6EF6EA-AB6D-4D5D-A9EA-2C67D7DFA116}">
  <dimension ref="A1:BA336"/>
  <sheetViews>
    <sheetView topLeftCell="B46" zoomScale="85" zoomScaleNormal="85" workbookViewId="0">
      <selection activeCell="U86" sqref="U86"/>
    </sheetView>
  </sheetViews>
  <sheetFormatPr defaultRowHeight="14.4" outlineLevelRow="1" outlineLevelCol="1" x14ac:dyDescent="0.3"/>
  <cols>
    <col min="1" max="1" width="14.5546875" bestFit="1" customWidth="1"/>
    <col min="2" max="2" width="24.88671875" bestFit="1" customWidth="1"/>
    <col min="3" max="3" width="52" bestFit="1" customWidth="1"/>
    <col min="4" max="11" width="9.109375" hidden="1" customWidth="1" outlineLevel="1"/>
    <col min="12" max="12" width="10.5546875" hidden="1" customWidth="1" outlineLevel="1"/>
    <col min="13" max="13" width="10.44140625" hidden="1" customWidth="1" outlineLevel="1"/>
    <col min="14" max="14" width="10.88671875" hidden="1" customWidth="1" outlineLevel="1" collapsed="1"/>
    <col min="15" max="15" width="12.109375" hidden="1" customWidth="1" outlineLevel="1"/>
    <col min="16" max="16" width="11.6640625" bestFit="1" customWidth="1" collapsed="1"/>
    <col min="17" max="17" width="12.109375" bestFit="1" customWidth="1"/>
    <col min="18" max="18" width="11.6640625" bestFit="1" customWidth="1"/>
    <col min="19" max="19" width="15.44140625" bestFit="1" customWidth="1"/>
    <col min="20" max="20" width="15" bestFit="1" customWidth="1"/>
    <col min="21" max="21" width="14.33203125" bestFit="1" customWidth="1"/>
    <col min="22" max="22" width="14.44140625" bestFit="1" customWidth="1"/>
    <col min="23" max="23" width="14.88671875" bestFit="1" customWidth="1"/>
    <col min="24" max="24" width="14.44140625" bestFit="1" customWidth="1"/>
    <col min="25" max="28" width="14.88671875" bestFit="1" customWidth="1"/>
    <col min="29" max="30" width="12" bestFit="1" customWidth="1"/>
    <col min="31" max="31" width="11" bestFit="1" customWidth="1"/>
    <col min="32" max="33" width="12" bestFit="1" customWidth="1"/>
    <col min="34" max="34" width="11" bestFit="1" customWidth="1"/>
    <col min="35" max="36" width="12" bestFit="1" customWidth="1"/>
    <col min="37" max="37" width="11" bestFit="1" customWidth="1"/>
    <col min="38" max="39" width="12" bestFit="1" customWidth="1"/>
    <col min="40" max="40" width="11" bestFit="1" customWidth="1"/>
    <col min="41" max="42" width="12" bestFit="1" customWidth="1"/>
    <col min="43" max="43" width="11" bestFit="1" customWidth="1"/>
    <col min="44" max="45" width="12" bestFit="1" customWidth="1"/>
    <col min="46" max="46" width="11" bestFit="1" customWidth="1"/>
    <col min="47" max="48" width="12" bestFit="1" customWidth="1"/>
    <col min="49" max="49" width="11" bestFit="1" customWidth="1"/>
    <col min="50" max="53" width="12" bestFit="1" customWidth="1"/>
  </cols>
  <sheetData>
    <row r="1" spans="2:53" s="123" customFormat="1" x14ac:dyDescent="0.3">
      <c r="D1" s="124">
        <v>5</v>
      </c>
      <c r="E1" s="124">
        <v>4</v>
      </c>
      <c r="F1" s="124">
        <v>4</v>
      </c>
      <c r="G1" s="124">
        <v>5</v>
      </c>
      <c r="H1" s="124">
        <v>4</v>
      </c>
      <c r="I1" s="124">
        <v>4</v>
      </c>
      <c r="J1" s="124">
        <v>5</v>
      </c>
      <c r="K1" s="124">
        <v>4</v>
      </c>
      <c r="L1" s="124">
        <v>4</v>
      </c>
      <c r="M1" s="124">
        <v>5</v>
      </c>
      <c r="N1" s="124">
        <v>4</v>
      </c>
      <c r="O1" s="124">
        <v>4</v>
      </c>
      <c r="P1" s="124">
        <v>5</v>
      </c>
      <c r="Q1" s="124">
        <v>4</v>
      </c>
      <c r="R1" s="124">
        <v>4</v>
      </c>
      <c r="S1" s="124">
        <v>5</v>
      </c>
      <c r="T1" s="124">
        <v>4</v>
      </c>
      <c r="U1" s="124">
        <v>4</v>
      </c>
      <c r="V1" s="124">
        <v>5</v>
      </c>
      <c r="W1" s="124">
        <v>4</v>
      </c>
      <c r="X1" s="124">
        <v>4</v>
      </c>
      <c r="Y1" s="124">
        <v>5</v>
      </c>
      <c r="Z1" s="124">
        <v>4</v>
      </c>
      <c r="AA1" s="124">
        <v>4</v>
      </c>
      <c r="AB1" s="124">
        <f>P1</f>
        <v>5</v>
      </c>
      <c r="AC1" s="124">
        <f t="shared" ref="AC1:BA1" si="0">Q1</f>
        <v>4</v>
      </c>
      <c r="AD1" s="124">
        <f t="shared" si="0"/>
        <v>4</v>
      </c>
      <c r="AE1" s="124">
        <f t="shared" si="0"/>
        <v>5</v>
      </c>
      <c r="AF1" s="124">
        <f t="shared" si="0"/>
        <v>4</v>
      </c>
      <c r="AG1" s="124">
        <f t="shared" si="0"/>
        <v>4</v>
      </c>
      <c r="AH1" s="124">
        <f t="shared" si="0"/>
        <v>5</v>
      </c>
      <c r="AI1" s="124">
        <f t="shared" si="0"/>
        <v>4</v>
      </c>
      <c r="AJ1" s="124">
        <f t="shared" si="0"/>
        <v>4</v>
      </c>
      <c r="AK1" s="124">
        <f t="shared" si="0"/>
        <v>5</v>
      </c>
      <c r="AL1" s="124">
        <f t="shared" si="0"/>
        <v>4</v>
      </c>
      <c r="AM1" s="124">
        <f t="shared" si="0"/>
        <v>4</v>
      </c>
      <c r="AN1" s="124">
        <f t="shared" si="0"/>
        <v>5</v>
      </c>
      <c r="AO1" s="124">
        <f t="shared" si="0"/>
        <v>4</v>
      </c>
      <c r="AP1" s="124">
        <f t="shared" si="0"/>
        <v>4</v>
      </c>
      <c r="AQ1" s="124">
        <f t="shared" si="0"/>
        <v>5</v>
      </c>
      <c r="AR1" s="124">
        <f t="shared" si="0"/>
        <v>4</v>
      </c>
      <c r="AS1" s="124">
        <f t="shared" si="0"/>
        <v>4</v>
      </c>
      <c r="AT1" s="124">
        <f t="shared" si="0"/>
        <v>5</v>
      </c>
      <c r="AU1" s="124">
        <f t="shared" si="0"/>
        <v>4</v>
      </c>
      <c r="AV1" s="124">
        <f t="shared" si="0"/>
        <v>4</v>
      </c>
      <c r="AW1" s="124">
        <f t="shared" si="0"/>
        <v>5</v>
      </c>
      <c r="AX1" s="124">
        <f t="shared" si="0"/>
        <v>4</v>
      </c>
      <c r="AY1" s="124">
        <f t="shared" si="0"/>
        <v>4</v>
      </c>
      <c r="AZ1" s="124">
        <f t="shared" si="0"/>
        <v>5</v>
      </c>
      <c r="BA1" s="124">
        <f t="shared" si="0"/>
        <v>4</v>
      </c>
    </row>
    <row r="2" spans="2:53" x14ac:dyDescent="0.3">
      <c r="D2" s="48">
        <v>2025</v>
      </c>
      <c r="E2" s="48">
        <v>2025</v>
      </c>
      <c r="F2" s="48">
        <v>2025</v>
      </c>
      <c r="G2" s="48">
        <v>2025</v>
      </c>
      <c r="H2" s="48">
        <v>2025</v>
      </c>
      <c r="I2" s="48">
        <v>2025</v>
      </c>
      <c r="J2" s="48">
        <v>2025</v>
      </c>
      <c r="K2" s="48">
        <v>2025</v>
      </c>
      <c r="L2" s="48">
        <v>2025</v>
      </c>
      <c r="M2" s="48">
        <v>2025</v>
      </c>
      <c r="N2" s="48">
        <v>2025</v>
      </c>
      <c r="O2" s="48">
        <v>2025</v>
      </c>
      <c r="P2" s="48">
        <v>2026</v>
      </c>
      <c r="Q2" s="48">
        <v>2026</v>
      </c>
      <c r="R2" s="48">
        <v>2026</v>
      </c>
      <c r="S2" s="48">
        <v>2026</v>
      </c>
      <c r="T2" s="48">
        <v>2026</v>
      </c>
      <c r="U2" s="48">
        <v>2026</v>
      </c>
      <c r="V2" s="48">
        <v>2026</v>
      </c>
      <c r="W2" s="48">
        <v>2026</v>
      </c>
      <c r="X2" s="48">
        <v>2026</v>
      </c>
      <c r="Y2" s="48">
        <v>2026</v>
      </c>
      <c r="Z2" s="48">
        <v>2026</v>
      </c>
      <c r="AA2" s="48">
        <v>2026</v>
      </c>
      <c r="AB2" s="48">
        <f>P2+1</f>
        <v>2027</v>
      </c>
      <c r="AC2" s="48">
        <f t="shared" ref="AC2:BA2" si="1">Q2+1</f>
        <v>2027</v>
      </c>
      <c r="AD2" s="48">
        <f t="shared" si="1"/>
        <v>2027</v>
      </c>
      <c r="AE2" s="48">
        <f t="shared" si="1"/>
        <v>2027</v>
      </c>
      <c r="AF2" s="48">
        <f t="shared" si="1"/>
        <v>2027</v>
      </c>
      <c r="AG2" s="48">
        <f t="shared" si="1"/>
        <v>2027</v>
      </c>
      <c r="AH2" s="48">
        <f t="shared" si="1"/>
        <v>2027</v>
      </c>
      <c r="AI2" s="48">
        <f t="shared" si="1"/>
        <v>2027</v>
      </c>
      <c r="AJ2" s="48">
        <f t="shared" si="1"/>
        <v>2027</v>
      </c>
      <c r="AK2" s="48">
        <f t="shared" si="1"/>
        <v>2027</v>
      </c>
      <c r="AL2" s="48">
        <f t="shared" si="1"/>
        <v>2027</v>
      </c>
      <c r="AM2" s="48">
        <f t="shared" si="1"/>
        <v>2027</v>
      </c>
      <c r="AN2" s="48">
        <f t="shared" si="1"/>
        <v>2028</v>
      </c>
      <c r="AO2" s="48">
        <f t="shared" si="1"/>
        <v>2028</v>
      </c>
      <c r="AP2" s="48">
        <f t="shared" si="1"/>
        <v>2028</v>
      </c>
      <c r="AQ2" s="48">
        <f t="shared" si="1"/>
        <v>2028</v>
      </c>
      <c r="AR2" s="48">
        <f t="shared" si="1"/>
        <v>2028</v>
      </c>
      <c r="AS2" s="48">
        <f t="shared" si="1"/>
        <v>2028</v>
      </c>
      <c r="AT2" s="48">
        <f t="shared" si="1"/>
        <v>2028</v>
      </c>
      <c r="AU2" s="48">
        <f t="shared" si="1"/>
        <v>2028</v>
      </c>
      <c r="AV2" s="48">
        <f t="shared" si="1"/>
        <v>2028</v>
      </c>
      <c r="AW2" s="48">
        <f t="shared" si="1"/>
        <v>2028</v>
      </c>
      <c r="AX2" s="48">
        <f t="shared" si="1"/>
        <v>2028</v>
      </c>
      <c r="AY2" s="48">
        <f t="shared" si="1"/>
        <v>2028</v>
      </c>
      <c r="AZ2" s="48">
        <f t="shared" si="1"/>
        <v>2029</v>
      </c>
      <c r="BA2" s="48">
        <f t="shared" si="1"/>
        <v>2029</v>
      </c>
    </row>
    <row r="3" spans="2:53" x14ac:dyDescent="0.3">
      <c r="D3" s="49">
        <v>1</v>
      </c>
      <c r="E3" s="49">
        <v>2</v>
      </c>
      <c r="F3" s="49">
        <v>3</v>
      </c>
      <c r="G3" s="49">
        <v>4</v>
      </c>
      <c r="H3" s="49">
        <v>5</v>
      </c>
      <c r="I3" s="49">
        <v>6</v>
      </c>
      <c r="J3" s="49">
        <v>7</v>
      </c>
      <c r="K3" s="49">
        <v>8</v>
      </c>
      <c r="L3" s="49">
        <v>9</v>
      </c>
      <c r="M3" s="49">
        <v>10</v>
      </c>
      <c r="N3" s="49">
        <v>11</v>
      </c>
      <c r="O3" s="49">
        <v>12</v>
      </c>
      <c r="P3" s="49">
        <v>1</v>
      </c>
      <c r="Q3" s="49">
        <v>2</v>
      </c>
      <c r="R3" s="49">
        <v>3</v>
      </c>
      <c r="S3" s="49">
        <v>4</v>
      </c>
      <c r="T3" s="49">
        <v>5</v>
      </c>
      <c r="U3" s="49">
        <v>6</v>
      </c>
      <c r="V3" s="49">
        <v>7</v>
      </c>
      <c r="W3" s="49">
        <v>8</v>
      </c>
      <c r="X3" s="49">
        <v>9</v>
      </c>
      <c r="Y3" s="49">
        <v>10</v>
      </c>
      <c r="Z3" s="49">
        <v>11</v>
      </c>
      <c r="AA3" s="49">
        <v>12</v>
      </c>
      <c r="AB3" s="49">
        <f>P3</f>
        <v>1</v>
      </c>
      <c r="AC3" s="49">
        <f t="shared" ref="AC3:BA3" si="2">Q3</f>
        <v>2</v>
      </c>
      <c r="AD3" s="49">
        <f t="shared" si="2"/>
        <v>3</v>
      </c>
      <c r="AE3" s="49">
        <f t="shared" si="2"/>
        <v>4</v>
      </c>
      <c r="AF3" s="49">
        <f t="shared" si="2"/>
        <v>5</v>
      </c>
      <c r="AG3" s="49">
        <f t="shared" si="2"/>
        <v>6</v>
      </c>
      <c r="AH3" s="49">
        <f t="shared" si="2"/>
        <v>7</v>
      </c>
      <c r="AI3" s="49">
        <f t="shared" si="2"/>
        <v>8</v>
      </c>
      <c r="AJ3" s="49">
        <f t="shared" si="2"/>
        <v>9</v>
      </c>
      <c r="AK3" s="49">
        <f t="shared" si="2"/>
        <v>10</v>
      </c>
      <c r="AL3" s="49">
        <f t="shared" si="2"/>
        <v>11</v>
      </c>
      <c r="AM3" s="49">
        <f t="shared" si="2"/>
        <v>12</v>
      </c>
      <c r="AN3" s="49">
        <f t="shared" si="2"/>
        <v>1</v>
      </c>
      <c r="AO3" s="49">
        <f t="shared" si="2"/>
        <v>2</v>
      </c>
      <c r="AP3" s="49">
        <f t="shared" si="2"/>
        <v>3</v>
      </c>
      <c r="AQ3" s="49">
        <f t="shared" si="2"/>
        <v>4</v>
      </c>
      <c r="AR3" s="49">
        <f t="shared" si="2"/>
        <v>5</v>
      </c>
      <c r="AS3" s="49">
        <f t="shared" si="2"/>
        <v>6</v>
      </c>
      <c r="AT3" s="49">
        <f t="shared" si="2"/>
        <v>7</v>
      </c>
      <c r="AU3" s="49">
        <f t="shared" si="2"/>
        <v>8</v>
      </c>
      <c r="AV3" s="49">
        <f t="shared" si="2"/>
        <v>9</v>
      </c>
      <c r="AW3" s="49">
        <f t="shared" si="2"/>
        <v>10</v>
      </c>
      <c r="AX3" s="49">
        <f t="shared" si="2"/>
        <v>11</v>
      </c>
      <c r="AY3" s="49">
        <f t="shared" si="2"/>
        <v>12</v>
      </c>
      <c r="AZ3" s="49">
        <f t="shared" si="2"/>
        <v>1</v>
      </c>
      <c r="BA3" s="49">
        <f t="shared" si="2"/>
        <v>2</v>
      </c>
    </row>
    <row r="4" spans="2:53" x14ac:dyDescent="0.3">
      <c r="B4" s="3" t="s">
        <v>84</v>
      </c>
    </row>
    <row r="5" spans="2:53" x14ac:dyDescent="0.3">
      <c r="C5" t="s">
        <v>85</v>
      </c>
    </row>
    <row r="6" spans="2:53" x14ac:dyDescent="0.3">
      <c r="C6" s="50" t="s">
        <v>52</v>
      </c>
      <c r="M6" s="51">
        <v>1266163.6644104067</v>
      </c>
      <c r="N6" s="51">
        <v>1083547.8056741804</v>
      </c>
      <c r="O6" s="51">
        <v>1057790.4439346965</v>
      </c>
      <c r="P6" s="51">
        <v>1871965.606803996</v>
      </c>
      <c r="Q6" s="51">
        <v>1095184.9199430179</v>
      </c>
      <c r="R6" s="51">
        <v>1185171.7819489613</v>
      </c>
      <c r="S6" s="51">
        <v>1144529.0733811308</v>
      </c>
      <c r="T6" s="51">
        <v>986224.73731600761</v>
      </c>
      <c r="U6" s="51">
        <v>1023030.1171324417</v>
      </c>
      <c r="V6" s="51">
        <v>1116891.479141077</v>
      </c>
      <c r="W6" s="51">
        <v>1017796.724005963</v>
      </c>
      <c r="X6" s="51">
        <v>874056.32756560086</v>
      </c>
      <c r="Y6" s="51">
        <v>1168080.2774983186</v>
      </c>
      <c r="Z6" s="51">
        <v>892164.95306255517</v>
      </c>
      <c r="AA6" s="51">
        <v>859002.45415805734</v>
      </c>
      <c r="AB6" s="51">
        <v>1508206.4543706863</v>
      </c>
      <c r="AC6" s="51">
        <v>1274869.7171042659</v>
      </c>
      <c r="AD6" s="51">
        <v>1111110.1364362505</v>
      </c>
      <c r="AE6" s="51">
        <v>1228432.2481189682</v>
      </c>
      <c r="AF6" s="51">
        <v>1062548.3372848467</v>
      </c>
      <c r="AG6" s="51">
        <v>1067568.3125914931</v>
      </c>
      <c r="AH6" s="51">
        <v>1249581.4891762324</v>
      </c>
      <c r="AI6" s="51">
        <v>1099176.2058173278</v>
      </c>
      <c r="AJ6" s="51">
        <v>1090772.3372848467</v>
      </c>
      <c r="AK6" s="51">
        <v>1334904.3193201865</v>
      </c>
      <c r="AL6" s="51">
        <v>1090772.3372848467</v>
      </c>
      <c r="AM6" s="51">
        <v>1078838.4066659245</v>
      </c>
      <c r="AN6" s="51">
        <v>1337622.9395007673</v>
      </c>
      <c r="AO6" s="51">
        <v>1303093.7171042659</v>
      </c>
      <c r="AP6" s="51">
        <v>1282910.6215663315</v>
      </c>
      <c r="AQ6" s="51">
        <v>1398112.2481189682</v>
      </c>
      <c r="AR6" s="51">
        <v>1225172.3372848467</v>
      </c>
      <c r="AS6" s="51">
        <v>1230192.3125914931</v>
      </c>
      <c r="AT6" s="51">
        <v>1419261.4891762324</v>
      </c>
      <c r="AU6" s="51">
        <v>1270976.690947409</v>
      </c>
      <c r="AV6" s="51">
        <v>1225172.3372848467</v>
      </c>
      <c r="AW6" s="51">
        <v>1469304.3193201865</v>
      </c>
      <c r="AX6" s="51">
        <v>1225172.3372848467</v>
      </c>
      <c r="AY6" s="51">
        <v>1213238.4066659245</v>
      </c>
      <c r="AZ6" s="52">
        <f t="shared" ref="AZ6:BA8" si="3">AY6</f>
        <v>1213238.4066659245</v>
      </c>
      <c r="BA6" s="52">
        <f t="shared" si="3"/>
        <v>1213238.4066659245</v>
      </c>
    </row>
    <row r="7" spans="2:53" x14ac:dyDescent="0.3">
      <c r="C7" s="50" t="s">
        <v>86</v>
      </c>
      <c r="M7" s="51">
        <v>0</v>
      </c>
      <c r="N7" s="51">
        <v>0</v>
      </c>
      <c r="O7" s="51">
        <v>0</v>
      </c>
      <c r="P7" s="51">
        <v>0</v>
      </c>
      <c r="Q7" s="51">
        <v>0</v>
      </c>
      <c r="R7" s="51">
        <v>0</v>
      </c>
      <c r="S7" s="51">
        <v>0</v>
      </c>
      <c r="T7" s="51">
        <v>298139.18821853894</v>
      </c>
      <c r="U7" s="51">
        <v>313206.98821289866</v>
      </c>
      <c r="V7" s="51">
        <v>511309.97642579745</v>
      </c>
      <c r="W7" s="51">
        <v>334705.59410926944</v>
      </c>
      <c r="X7" s="51">
        <v>357539.18821853888</v>
      </c>
      <c r="Y7" s="51">
        <v>412673.59410926944</v>
      </c>
      <c r="Z7" s="51">
        <v>357539.18821853888</v>
      </c>
      <c r="AA7" s="51">
        <v>334705.59410926944</v>
      </c>
      <c r="AB7" s="51">
        <v>435507.18821853894</v>
      </c>
      <c r="AC7" s="51">
        <v>334705.59410926944</v>
      </c>
      <c r="AD7" s="51">
        <v>357539.18821853888</v>
      </c>
      <c r="AE7" s="51">
        <v>412673.59410926944</v>
      </c>
      <c r="AF7" s="51">
        <v>371341.31610558496</v>
      </c>
      <c r="AG7" s="51">
        <v>923700.65805279242</v>
      </c>
      <c r="AH7" s="51">
        <v>1496731.3161055848</v>
      </c>
      <c r="AI7" s="51">
        <v>1194300.6580527923</v>
      </c>
      <c r="AJ7" s="51">
        <v>1852411.4794203821</v>
      </c>
      <c r="AK7" s="51">
        <v>2218106.3261228651</v>
      </c>
      <c r="AL7" s="51">
        <v>1794441.3161055848</v>
      </c>
      <c r="AM7" s="51">
        <v>1770550.6580527923</v>
      </c>
      <c r="AN7" s="51">
        <v>2312972.3701804788</v>
      </c>
      <c r="AO7" s="51">
        <v>1770550.6580527923</v>
      </c>
      <c r="AP7" s="51">
        <v>1852411.4794203821</v>
      </c>
      <c r="AQ7" s="51">
        <v>2231111.548812889</v>
      </c>
      <c r="AR7" s="51">
        <v>1794441.3161055848</v>
      </c>
      <c r="AS7" s="51">
        <v>2226800.6580527923</v>
      </c>
      <c r="AT7" s="51">
        <v>3388752.2068656818</v>
      </c>
      <c r="AU7" s="51">
        <v>2688800.6580527923</v>
      </c>
      <c r="AV7" s="51">
        <v>3466911.4794203821</v>
      </c>
      <c r="AW7" s="51">
        <v>4286137.6622630097</v>
      </c>
      <c r="AX7" s="51">
        <v>3408941.3161055846</v>
      </c>
      <c r="AY7" s="51">
        <v>3385050.6580527923</v>
      </c>
      <c r="AZ7" s="52">
        <f t="shared" si="3"/>
        <v>3385050.6580527923</v>
      </c>
      <c r="BA7" s="52">
        <f t="shared" si="3"/>
        <v>3385050.6580527923</v>
      </c>
    </row>
    <row r="8" spans="2:53" x14ac:dyDescent="0.3">
      <c r="C8" s="50" t="s">
        <v>87</v>
      </c>
      <c r="M8" s="51">
        <v>1481248.5732997661</v>
      </c>
      <c r="N8" s="51">
        <v>1329543.2640895348</v>
      </c>
      <c r="O8" s="51">
        <v>1524471.9051480072</v>
      </c>
      <c r="P8" s="51">
        <v>2337247.5256016636</v>
      </c>
      <c r="Q8" s="51">
        <v>1638484.1281490885</v>
      </c>
      <c r="R8" s="51">
        <v>2077402.3332812451</v>
      </c>
      <c r="S8" s="51">
        <v>2047275.2436426086</v>
      </c>
      <c r="T8" s="51">
        <v>1703358.370636892</v>
      </c>
      <c r="U8" s="51">
        <v>1735736.0278597623</v>
      </c>
      <c r="V8" s="51">
        <v>1941223.4761660662</v>
      </c>
      <c r="W8" s="51">
        <v>2473675.4535735543</v>
      </c>
      <c r="X8" s="51">
        <v>2763100.7137016663</v>
      </c>
      <c r="Y8" s="51">
        <v>3271888.5579727218</v>
      </c>
      <c r="Z8" s="51">
        <v>2583304.4336221544</v>
      </c>
      <c r="AA8" s="51">
        <v>2606431.8622601377</v>
      </c>
      <c r="AB8" s="51">
        <v>2565546.3895479543</v>
      </c>
      <c r="AC8" s="51">
        <v>2023642.1995929112</v>
      </c>
      <c r="AD8" s="51">
        <v>2083801.0226335214</v>
      </c>
      <c r="AE8" s="51">
        <v>2530901.5461229286</v>
      </c>
      <c r="AF8" s="51">
        <v>2100946.1703117848</v>
      </c>
      <c r="AG8" s="51">
        <v>2080502.7368280939</v>
      </c>
      <c r="AH8" s="51">
        <v>2823756.3423444838</v>
      </c>
      <c r="AI8" s="51">
        <v>2295149.5669444082</v>
      </c>
      <c r="AJ8" s="51">
        <v>2358010.1703117844</v>
      </c>
      <c r="AK8" s="51">
        <v>2973480.2958503896</v>
      </c>
      <c r="AL8" s="51">
        <v>2358010.1703117844</v>
      </c>
      <c r="AM8" s="51">
        <v>2328027.2860631659</v>
      </c>
      <c r="AN8" s="51">
        <v>2987715.1922895103</v>
      </c>
      <c r="AO8" s="51">
        <v>2343775.2738726637</v>
      </c>
      <c r="AP8" s="51">
        <v>2427752.1453750767</v>
      </c>
      <c r="AQ8" s="51">
        <v>2945807.9945847318</v>
      </c>
      <c r="AR8" s="51">
        <v>2358010.1703117844</v>
      </c>
      <c r="AS8" s="51">
        <v>2337566.7368280934</v>
      </c>
      <c r="AT8" s="51">
        <v>2931336.3423444838</v>
      </c>
      <c r="AU8" s="51">
        <v>2397769.2611264586</v>
      </c>
      <c r="AV8" s="51">
        <v>2358010.1703117844</v>
      </c>
      <c r="AW8" s="51">
        <v>2973480.2958503896</v>
      </c>
      <c r="AX8" s="51">
        <v>2358010.1703117844</v>
      </c>
      <c r="AY8" s="51">
        <v>2328027.2860631659</v>
      </c>
      <c r="AZ8" s="52">
        <f t="shared" si="3"/>
        <v>2328027.2860631659</v>
      </c>
      <c r="BA8" s="52">
        <f t="shared" si="3"/>
        <v>2328027.2860631659</v>
      </c>
    </row>
    <row r="10" spans="2:53" x14ac:dyDescent="0.3">
      <c r="C10" t="s">
        <v>88</v>
      </c>
    </row>
    <row r="11" spans="2:53" x14ac:dyDescent="0.3">
      <c r="C11" s="50" t="s">
        <v>52</v>
      </c>
      <c r="D11" s="51">
        <v>208800</v>
      </c>
      <c r="E11" s="51">
        <v>0</v>
      </c>
      <c r="F11" s="51">
        <v>93600</v>
      </c>
      <c r="G11" s="51">
        <v>252000</v>
      </c>
      <c r="H11" s="51">
        <v>115200</v>
      </c>
      <c r="I11" s="51">
        <v>93600</v>
      </c>
      <c r="J11" s="51">
        <v>0</v>
      </c>
      <c r="K11" s="51">
        <v>100800</v>
      </c>
      <c r="L11" s="51">
        <v>86400</v>
      </c>
      <c r="M11" s="51">
        <v>194400</v>
      </c>
      <c r="N11" s="51">
        <v>79200</v>
      </c>
      <c r="O11" s="51">
        <v>0</v>
      </c>
      <c r="P11" s="51">
        <v>243800</v>
      </c>
      <c r="Q11" s="51">
        <v>28000</v>
      </c>
      <c r="R11" s="51">
        <v>169100</v>
      </c>
      <c r="S11" s="51">
        <v>334500</v>
      </c>
      <c r="T11" s="51">
        <v>190700</v>
      </c>
      <c r="U11" s="51">
        <v>169100</v>
      </c>
      <c r="V11" s="51">
        <v>82500</v>
      </c>
      <c r="W11" s="51">
        <v>176300</v>
      </c>
      <c r="X11" s="51">
        <v>161900</v>
      </c>
      <c r="Y11" s="51">
        <v>776900</v>
      </c>
      <c r="Z11" s="51">
        <v>654700</v>
      </c>
      <c r="AA11" s="51">
        <v>575500</v>
      </c>
      <c r="AB11" s="51">
        <v>791300</v>
      </c>
      <c r="AC11" s="51">
        <v>575500</v>
      </c>
      <c r="AD11" s="51">
        <v>669100</v>
      </c>
      <c r="AE11" s="51">
        <v>834500</v>
      </c>
      <c r="AF11" s="51">
        <v>690700</v>
      </c>
      <c r="AG11" s="51">
        <v>669100</v>
      </c>
      <c r="AH11" s="51">
        <v>582500</v>
      </c>
      <c r="AI11" s="51">
        <v>676300</v>
      </c>
      <c r="AJ11" s="51">
        <v>661900</v>
      </c>
      <c r="AK11" s="51">
        <v>776900</v>
      </c>
      <c r="AL11" s="51">
        <v>654700</v>
      </c>
      <c r="AM11" s="51">
        <v>575500</v>
      </c>
      <c r="AN11" s="51">
        <v>1041300</v>
      </c>
      <c r="AO11" s="51">
        <v>825500</v>
      </c>
      <c r="AP11" s="51">
        <v>919100</v>
      </c>
      <c r="AQ11" s="51">
        <v>1084500</v>
      </c>
      <c r="AR11" s="51">
        <v>940700</v>
      </c>
      <c r="AS11" s="51">
        <v>919100</v>
      </c>
      <c r="AT11" s="51">
        <v>832500</v>
      </c>
      <c r="AU11" s="51">
        <v>926300</v>
      </c>
      <c r="AV11" s="51">
        <v>911900</v>
      </c>
      <c r="AW11" s="51">
        <v>1026900</v>
      </c>
      <c r="AX11" s="51">
        <v>904700</v>
      </c>
      <c r="AY11" s="51">
        <v>825500</v>
      </c>
      <c r="AZ11" s="52">
        <f t="shared" ref="AZ11:BA13" si="4">AY11</f>
        <v>825500</v>
      </c>
      <c r="BA11" s="52">
        <f t="shared" si="4"/>
        <v>825500</v>
      </c>
    </row>
    <row r="12" spans="2:53" x14ac:dyDescent="0.3">
      <c r="C12" s="50" t="s">
        <v>86</v>
      </c>
      <c r="D12" s="51">
        <v>0</v>
      </c>
      <c r="E12" s="51">
        <v>0</v>
      </c>
      <c r="F12" s="51">
        <v>0</v>
      </c>
      <c r="G12" s="51">
        <v>0</v>
      </c>
      <c r="H12" s="51">
        <v>0</v>
      </c>
      <c r="I12" s="51">
        <v>0</v>
      </c>
      <c r="J12" s="51">
        <v>0</v>
      </c>
      <c r="K12" s="51">
        <v>0</v>
      </c>
      <c r="L12" s="51">
        <v>0</v>
      </c>
      <c r="M12" s="51">
        <v>0</v>
      </c>
      <c r="N12" s="51">
        <v>0</v>
      </c>
      <c r="O12" s="51">
        <v>52500</v>
      </c>
      <c r="P12" s="51">
        <v>52500</v>
      </c>
      <c r="Q12" s="51">
        <v>52500</v>
      </c>
      <c r="R12" s="51">
        <v>63000</v>
      </c>
      <c r="S12" s="51">
        <v>63000</v>
      </c>
      <c r="T12" s="51">
        <v>63000</v>
      </c>
      <c r="U12" s="51">
        <v>0</v>
      </c>
      <c r="V12" s="51">
        <v>0</v>
      </c>
      <c r="W12" s="51">
        <v>0</v>
      </c>
      <c r="X12" s="51">
        <v>0</v>
      </c>
      <c r="Y12" s="51">
        <v>490000</v>
      </c>
      <c r="Z12" s="51">
        <v>490000</v>
      </c>
      <c r="AA12" s="51">
        <v>490000</v>
      </c>
      <c r="AB12" s="51">
        <v>0</v>
      </c>
      <c r="AC12" s="51">
        <v>0</v>
      </c>
      <c r="AD12" s="51">
        <v>0</v>
      </c>
      <c r="AE12" s="51">
        <v>0</v>
      </c>
      <c r="AF12" s="51">
        <v>0</v>
      </c>
      <c r="AG12" s="51">
        <v>0</v>
      </c>
      <c r="AH12" s="51">
        <v>0</v>
      </c>
      <c r="AI12" s="51">
        <v>0</v>
      </c>
      <c r="AJ12" s="51">
        <v>0</v>
      </c>
      <c r="AK12" s="51">
        <v>0</v>
      </c>
      <c r="AL12" s="51">
        <v>0</v>
      </c>
      <c r="AM12" s="51">
        <v>0</v>
      </c>
      <c r="AN12" s="51">
        <v>0</v>
      </c>
      <c r="AO12" s="51">
        <v>0</v>
      </c>
      <c r="AP12" s="51">
        <v>0</v>
      </c>
      <c r="AQ12" s="51">
        <v>0</v>
      </c>
      <c r="AR12" s="51">
        <v>0</v>
      </c>
      <c r="AS12" s="51">
        <v>0</v>
      </c>
      <c r="AT12" s="51">
        <v>0</v>
      </c>
      <c r="AU12" s="51">
        <v>0</v>
      </c>
      <c r="AV12" s="51">
        <v>0</v>
      </c>
      <c r="AW12" s="51">
        <v>0</v>
      </c>
      <c r="AX12" s="51">
        <v>0</v>
      </c>
      <c r="AY12" s="51">
        <v>0</v>
      </c>
      <c r="AZ12" s="52">
        <f t="shared" si="4"/>
        <v>0</v>
      </c>
      <c r="BA12" s="52">
        <f t="shared" si="4"/>
        <v>0</v>
      </c>
    </row>
    <row r="13" spans="2:53" x14ac:dyDescent="0.3">
      <c r="C13" s="50" t="s">
        <v>87</v>
      </c>
      <c r="D13" s="51">
        <v>0</v>
      </c>
      <c r="E13" s="51">
        <v>0</v>
      </c>
      <c r="F13" s="51">
        <v>0</v>
      </c>
      <c r="G13" s="51">
        <v>0</v>
      </c>
      <c r="H13" s="51">
        <v>0</v>
      </c>
      <c r="I13" s="51">
        <v>0</v>
      </c>
      <c r="J13" s="51">
        <v>0</v>
      </c>
      <c r="K13" s="51">
        <v>0</v>
      </c>
      <c r="L13" s="51">
        <v>0</v>
      </c>
      <c r="M13" s="51">
        <v>0</v>
      </c>
      <c r="N13" s="51">
        <v>0</v>
      </c>
      <c r="O13" s="51">
        <v>0</v>
      </c>
      <c r="P13" s="51">
        <v>0</v>
      </c>
      <c r="Q13" s="51">
        <v>0</v>
      </c>
      <c r="R13" s="51">
        <v>0</v>
      </c>
      <c r="S13" s="51">
        <v>0</v>
      </c>
      <c r="T13" s="51">
        <v>0</v>
      </c>
      <c r="U13" s="51">
        <v>0</v>
      </c>
      <c r="V13" s="51">
        <v>0</v>
      </c>
      <c r="W13" s="51">
        <v>0</v>
      </c>
      <c r="X13" s="51">
        <v>0</v>
      </c>
      <c r="Y13" s="51">
        <v>0</v>
      </c>
      <c r="Z13" s="51">
        <v>0</v>
      </c>
      <c r="AA13" s="51">
        <v>0</v>
      </c>
      <c r="AB13" s="51">
        <v>0</v>
      </c>
      <c r="AC13" s="51">
        <v>0</v>
      </c>
      <c r="AD13" s="51">
        <v>0</v>
      </c>
      <c r="AE13" s="51">
        <v>0</v>
      </c>
      <c r="AF13" s="51">
        <v>0</v>
      </c>
      <c r="AG13" s="51">
        <v>0</v>
      </c>
      <c r="AH13" s="51">
        <v>0</v>
      </c>
      <c r="AI13" s="51">
        <v>0</v>
      </c>
      <c r="AJ13" s="51">
        <v>0</v>
      </c>
      <c r="AK13" s="51">
        <v>0</v>
      </c>
      <c r="AL13" s="51">
        <v>0</v>
      </c>
      <c r="AM13" s="51">
        <v>0</v>
      </c>
      <c r="AN13" s="51">
        <v>0</v>
      </c>
      <c r="AO13" s="51">
        <v>0</v>
      </c>
      <c r="AP13" s="51">
        <v>0</v>
      </c>
      <c r="AQ13" s="51">
        <v>0</v>
      </c>
      <c r="AR13" s="51">
        <v>0</v>
      </c>
      <c r="AS13" s="51">
        <v>0</v>
      </c>
      <c r="AT13" s="51">
        <v>0</v>
      </c>
      <c r="AU13" s="51">
        <v>0</v>
      </c>
      <c r="AV13" s="51">
        <v>0</v>
      </c>
      <c r="AW13" s="51">
        <v>0</v>
      </c>
      <c r="AX13" s="51">
        <v>0</v>
      </c>
      <c r="AY13" s="51">
        <v>0</v>
      </c>
      <c r="AZ13" s="52">
        <f t="shared" si="4"/>
        <v>0</v>
      </c>
      <c r="BA13" s="52">
        <f t="shared" si="4"/>
        <v>0</v>
      </c>
    </row>
    <row r="15" spans="2:53" x14ac:dyDescent="0.3">
      <c r="C15" t="s">
        <v>89</v>
      </c>
    </row>
    <row r="16" spans="2:53" x14ac:dyDescent="0.3">
      <c r="C16" s="50" t="s">
        <v>52</v>
      </c>
      <c r="D16" s="51">
        <v>147426.39663238105</v>
      </c>
      <c r="E16" s="51">
        <v>109305.40284476198</v>
      </c>
      <c r="F16" s="51">
        <v>108219.82702095241</v>
      </c>
      <c r="G16" s="51">
        <v>129695.42941238101</v>
      </c>
      <c r="H16" s="51">
        <v>105574.85945619043</v>
      </c>
      <c r="I16" s="51">
        <v>114051.31191904764</v>
      </c>
      <c r="J16" s="51">
        <v>166444.75184476189</v>
      </c>
      <c r="K16" s="51">
        <v>98701.385610476165</v>
      </c>
      <c r="L16" s="51">
        <v>80262.877561904766</v>
      </c>
      <c r="M16" s="51">
        <v>97445.634571428556</v>
      </c>
      <c r="N16" s="51">
        <v>69581.312290843809</v>
      </c>
      <c r="O16" s="51">
        <v>73360.505223425396</v>
      </c>
      <c r="P16" s="51">
        <v>61399.771095238095</v>
      </c>
      <c r="Q16" s="51">
        <v>52580.067952380952</v>
      </c>
      <c r="R16" s="51">
        <v>58464.09723809523</v>
      </c>
      <c r="S16" s="51">
        <v>67019.429142857145</v>
      </c>
      <c r="T16" s="51">
        <v>60567.920142857132</v>
      </c>
      <c r="U16" s="51">
        <v>66218.247714285724</v>
      </c>
      <c r="V16" s="51">
        <v>114190.93538095237</v>
      </c>
      <c r="W16" s="51">
        <v>63702.190047619042</v>
      </c>
      <c r="X16" s="51">
        <v>53710.500619047627</v>
      </c>
      <c r="Y16" s="51">
        <v>66430.115047619052</v>
      </c>
      <c r="Z16" s="51">
        <v>47246.64332429647</v>
      </c>
      <c r="AA16" s="51">
        <v>50661.677321597803</v>
      </c>
      <c r="AB16" s="51">
        <v>44363.801809523808</v>
      </c>
      <c r="AC16" s="51">
        <v>39360.831523809524</v>
      </c>
      <c r="AD16" s="51">
        <v>44388.659142857141</v>
      </c>
      <c r="AE16" s="51">
        <v>59358.714857142855</v>
      </c>
      <c r="AF16" s="51">
        <v>54439.348714285712</v>
      </c>
      <c r="AG16" s="51">
        <v>60089.676285714289</v>
      </c>
      <c r="AH16" s="51">
        <v>106530.22109523808</v>
      </c>
      <c r="AI16" s="51">
        <v>57573.618619047615</v>
      </c>
      <c r="AJ16" s="51">
        <v>47581.929190476192</v>
      </c>
      <c r="AK16" s="51">
        <v>58769.400761904762</v>
      </c>
      <c r="AL16" s="51">
        <v>41118.07189572505</v>
      </c>
      <c r="AM16" s="51">
        <v>44533.105893026375</v>
      </c>
      <c r="AN16" s="51">
        <v>44363.801809523808</v>
      </c>
      <c r="AO16" s="51">
        <v>39360.831523809524</v>
      </c>
      <c r="AP16" s="51">
        <v>44388.659142857141</v>
      </c>
      <c r="AQ16" s="51">
        <v>59358.714857142855</v>
      </c>
      <c r="AR16" s="51">
        <v>54439.348714285712</v>
      </c>
      <c r="AS16" s="51">
        <v>60089.676285714289</v>
      </c>
      <c r="AT16" s="51">
        <v>91660.112761904762</v>
      </c>
      <c r="AU16" s="51">
        <v>43900.900285714284</v>
      </c>
      <c r="AV16" s="51">
        <v>36141.99085714286</v>
      </c>
      <c r="AW16" s="51">
        <v>43248.177428571427</v>
      </c>
      <c r="AX16" s="51">
        <v>31851.58856239172</v>
      </c>
      <c r="AY16" s="51">
        <v>34534.292559693044</v>
      </c>
      <c r="AZ16" s="52">
        <f>AY16</f>
        <v>34534.292559693044</v>
      </c>
      <c r="BA16" s="52">
        <f>AZ16</f>
        <v>34534.292559693044</v>
      </c>
    </row>
    <row r="17" spans="2:53" x14ac:dyDescent="0.3">
      <c r="C17" s="50" t="s">
        <v>86</v>
      </c>
      <c r="D17" s="51"/>
      <c r="E17" s="51"/>
      <c r="F17" s="51"/>
      <c r="G17" s="51"/>
      <c r="H17" s="51"/>
      <c r="I17" s="51"/>
      <c r="J17" s="51"/>
      <c r="K17" s="51"/>
      <c r="L17" s="51"/>
      <c r="M17" s="51"/>
      <c r="N17" s="51"/>
      <c r="O17" s="51"/>
      <c r="P17" s="51"/>
      <c r="Q17" s="51"/>
      <c r="R17" s="51"/>
      <c r="S17" s="51"/>
      <c r="T17" s="51"/>
      <c r="U17" s="51"/>
      <c r="V17" s="51"/>
      <c r="W17" s="51"/>
      <c r="X17" s="51"/>
      <c r="Y17" s="51"/>
      <c r="Z17" s="51"/>
      <c r="AA17" s="51"/>
    </row>
    <row r="18" spans="2:53" x14ac:dyDescent="0.3">
      <c r="C18" s="50" t="s">
        <v>87</v>
      </c>
      <c r="D18" s="51"/>
      <c r="E18" s="51"/>
      <c r="F18" s="51"/>
      <c r="G18" s="51"/>
      <c r="H18" s="51"/>
      <c r="I18" s="51"/>
      <c r="J18" s="51"/>
      <c r="K18" s="51"/>
      <c r="L18" s="51"/>
      <c r="M18" s="51"/>
      <c r="N18" s="51"/>
      <c r="O18" s="51"/>
      <c r="P18" s="51"/>
      <c r="Q18" s="51"/>
      <c r="R18" s="51"/>
      <c r="S18" s="51"/>
      <c r="T18" s="51"/>
      <c r="U18" s="51"/>
      <c r="V18" s="51"/>
      <c r="W18" s="51"/>
      <c r="X18" s="51"/>
      <c r="Y18" s="51"/>
      <c r="Z18" s="51"/>
      <c r="AA18" s="51"/>
    </row>
    <row r="20" spans="2:53" x14ac:dyDescent="0.3">
      <c r="C20" s="50" t="s">
        <v>90</v>
      </c>
      <c r="D20" s="50"/>
      <c r="E20" s="50"/>
      <c r="F20" s="50"/>
      <c r="G20" s="50"/>
      <c r="H20" s="50"/>
      <c r="I20" s="50"/>
      <c r="J20" s="50"/>
      <c r="K20" s="50"/>
      <c r="L20" s="50"/>
      <c r="M20" s="50"/>
      <c r="N20" s="50"/>
      <c r="O20" s="50"/>
      <c r="P20" s="53">
        <v>0</v>
      </c>
      <c r="Q20" s="53">
        <v>0</v>
      </c>
      <c r="R20" s="53">
        <v>0</v>
      </c>
      <c r="S20" s="53">
        <v>0</v>
      </c>
      <c r="T20" s="53">
        <v>0</v>
      </c>
      <c r="U20" s="53">
        <v>0</v>
      </c>
      <c r="V20" s="53">
        <v>0</v>
      </c>
      <c r="W20" s="53">
        <v>0</v>
      </c>
      <c r="X20" s="53">
        <v>0</v>
      </c>
      <c r="Y20" s="53">
        <v>0</v>
      </c>
      <c r="Z20" s="53">
        <v>0</v>
      </c>
      <c r="AA20" s="53">
        <v>0</v>
      </c>
      <c r="AB20" s="53">
        <v>0</v>
      </c>
      <c r="AC20" s="53">
        <v>0</v>
      </c>
      <c r="AD20" s="53">
        <v>0</v>
      </c>
      <c r="AE20" s="53">
        <v>0</v>
      </c>
      <c r="AF20" s="53">
        <v>0</v>
      </c>
      <c r="AG20" s="53">
        <v>0</v>
      </c>
      <c r="AH20" s="53">
        <v>0</v>
      </c>
      <c r="AI20" s="53">
        <v>0</v>
      </c>
      <c r="AJ20" s="53">
        <v>0</v>
      </c>
      <c r="AK20" s="53">
        <v>0</v>
      </c>
      <c r="AL20" s="53">
        <v>0</v>
      </c>
      <c r="AM20" s="53">
        <v>0</v>
      </c>
      <c r="AN20" s="53">
        <v>0.1</v>
      </c>
      <c r="AO20" s="53">
        <v>0.1</v>
      </c>
      <c r="AP20" s="53">
        <v>0.1</v>
      </c>
      <c r="AQ20" s="53">
        <v>0.1</v>
      </c>
      <c r="AR20" s="53">
        <v>0.1</v>
      </c>
      <c r="AS20" s="53">
        <v>0.1</v>
      </c>
      <c r="AT20" s="53">
        <v>0.1</v>
      </c>
      <c r="AU20" s="53">
        <v>0.1</v>
      </c>
      <c r="AV20" s="53">
        <v>0.1</v>
      </c>
      <c r="AW20" s="53">
        <v>0.1</v>
      </c>
      <c r="AX20" s="53">
        <v>0.1</v>
      </c>
      <c r="AY20" s="53">
        <v>0.1</v>
      </c>
      <c r="AZ20" s="53">
        <v>0.1</v>
      </c>
      <c r="BA20" s="53">
        <v>0.1</v>
      </c>
    </row>
    <row r="21" spans="2:53" x14ac:dyDescent="0.3">
      <c r="B21" s="3" t="s">
        <v>91</v>
      </c>
    </row>
    <row r="22" spans="2:53" x14ac:dyDescent="0.3">
      <c r="C22" t="s">
        <v>85</v>
      </c>
    </row>
    <row r="23" spans="2:53" x14ac:dyDescent="0.3">
      <c r="B23" s="54">
        <v>0.75</v>
      </c>
      <c r="C23" s="50" t="s">
        <v>52</v>
      </c>
      <c r="D23" s="55">
        <v>0.23</v>
      </c>
      <c r="E23" s="55">
        <v>0.23</v>
      </c>
      <c r="F23" s="55">
        <v>0.23</v>
      </c>
      <c r="G23" s="55">
        <v>0.23</v>
      </c>
      <c r="H23" s="55">
        <v>0.23</v>
      </c>
      <c r="I23" s="55">
        <v>0.23</v>
      </c>
      <c r="J23" s="55">
        <v>0.23</v>
      </c>
      <c r="K23" s="55">
        <v>0.23</v>
      </c>
      <c r="L23" s="55">
        <v>0.23</v>
      </c>
      <c r="M23" s="55">
        <v>0.23</v>
      </c>
      <c r="N23" s="55">
        <v>0.23</v>
      </c>
      <c r="O23" s="55">
        <v>0.23</v>
      </c>
      <c r="P23" s="56">
        <f>D23*(1-P$20)</f>
        <v>0.23</v>
      </c>
      <c r="Q23" s="56">
        <f>E23*(1-Q$20)</f>
        <v>0.23</v>
      </c>
      <c r="R23" s="56">
        <f>F23*(1-R$20)</f>
        <v>0.23</v>
      </c>
      <c r="S23" s="56">
        <f t="shared" ref="S23:BA23" si="5">G23*(1-S$20)</f>
        <v>0.23</v>
      </c>
      <c r="T23" s="56">
        <f t="shared" si="5"/>
        <v>0.23</v>
      </c>
      <c r="U23" s="56">
        <f t="shared" si="5"/>
        <v>0.23</v>
      </c>
      <c r="V23" s="56">
        <f t="shared" si="5"/>
        <v>0.23</v>
      </c>
      <c r="W23" s="56">
        <f t="shared" si="5"/>
        <v>0.23</v>
      </c>
      <c r="X23" s="56">
        <f t="shared" si="5"/>
        <v>0.23</v>
      </c>
      <c r="Y23" s="56">
        <f t="shared" si="5"/>
        <v>0.23</v>
      </c>
      <c r="Z23" s="56">
        <f t="shared" si="5"/>
        <v>0.23</v>
      </c>
      <c r="AA23" s="56">
        <f t="shared" si="5"/>
        <v>0.23</v>
      </c>
      <c r="AB23" s="56">
        <f t="shared" si="5"/>
        <v>0.23</v>
      </c>
      <c r="AC23" s="56">
        <f t="shared" si="5"/>
        <v>0.23</v>
      </c>
      <c r="AD23" s="56">
        <f t="shared" si="5"/>
        <v>0.23</v>
      </c>
      <c r="AE23" s="56">
        <f t="shared" si="5"/>
        <v>0.23</v>
      </c>
      <c r="AF23" s="56">
        <f t="shared" si="5"/>
        <v>0.23</v>
      </c>
      <c r="AG23" s="56">
        <f t="shared" si="5"/>
        <v>0.23</v>
      </c>
      <c r="AH23" s="56">
        <f t="shared" si="5"/>
        <v>0.23</v>
      </c>
      <c r="AI23" s="56">
        <f t="shared" si="5"/>
        <v>0.23</v>
      </c>
      <c r="AJ23" s="56">
        <f t="shared" si="5"/>
        <v>0.23</v>
      </c>
      <c r="AK23" s="56">
        <f t="shared" si="5"/>
        <v>0.23</v>
      </c>
      <c r="AL23" s="56">
        <f t="shared" si="5"/>
        <v>0.23</v>
      </c>
      <c r="AM23" s="56">
        <f t="shared" si="5"/>
        <v>0.23</v>
      </c>
      <c r="AN23" s="56">
        <f t="shared" si="5"/>
        <v>0.20700000000000002</v>
      </c>
      <c r="AO23" s="56">
        <f t="shared" si="5"/>
        <v>0.20700000000000002</v>
      </c>
      <c r="AP23" s="56">
        <f t="shared" si="5"/>
        <v>0.20700000000000002</v>
      </c>
      <c r="AQ23" s="56">
        <f t="shared" si="5"/>
        <v>0.20700000000000002</v>
      </c>
      <c r="AR23" s="56">
        <f t="shared" si="5"/>
        <v>0.20700000000000002</v>
      </c>
      <c r="AS23" s="56">
        <f t="shared" si="5"/>
        <v>0.20700000000000002</v>
      </c>
      <c r="AT23" s="56">
        <f t="shared" si="5"/>
        <v>0.20700000000000002</v>
      </c>
      <c r="AU23" s="56">
        <f t="shared" si="5"/>
        <v>0.20700000000000002</v>
      </c>
      <c r="AV23" s="56">
        <f t="shared" si="5"/>
        <v>0.20700000000000002</v>
      </c>
      <c r="AW23" s="56">
        <f t="shared" si="5"/>
        <v>0.20700000000000002</v>
      </c>
      <c r="AX23" s="56">
        <f t="shared" si="5"/>
        <v>0.20700000000000002</v>
      </c>
      <c r="AY23" s="56">
        <f t="shared" si="5"/>
        <v>0.20700000000000002</v>
      </c>
      <c r="AZ23" s="56">
        <f t="shared" si="5"/>
        <v>0.18630000000000002</v>
      </c>
      <c r="BA23" s="56">
        <f t="shared" si="5"/>
        <v>0.18630000000000002</v>
      </c>
    </row>
    <row r="24" spans="2:53" x14ac:dyDescent="0.3">
      <c r="B24" s="54">
        <v>0.35</v>
      </c>
      <c r="C24" s="50" t="s">
        <v>86</v>
      </c>
      <c r="D24" s="56">
        <f>D23*1/2.5</f>
        <v>9.1999999999999998E-2</v>
      </c>
      <c r="E24" s="56">
        <f t="shared" ref="E24:AY24" si="6">E23*1/2.5</f>
        <v>9.1999999999999998E-2</v>
      </c>
      <c r="F24" s="56">
        <f t="shared" si="6"/>
        <v>9.1999999999999998E-2</v>
      </c>
      <c r="G24" s="56">
        <f t="shared" si="6"/>
        <v>9.1999999999999998E-2</v>
      </c>
      <c r="H24" s="56">
        <f t="shared" si="6"/>
        <v>9.1999999999999998E-2</v>
      </c>
      <c r="I24" s="56">
        <f t="shared" si="6"/>
        <v>9.1999999999999998E-2</v>
      </c>
      <c r="J24" s="56">
        <f t="shared" si="6"/>
        <v>9.1999999999999998E-2</v>
      </c>
      <c r="K24" s="56">
        <f t="shared" si="6"/>
        <v>9.1999999999999998E-2</v>
      </c>
      <c r="L24" s="56">
        <f t="shared" si="6"/>
        <v>9.1999999999999998E-2</v>
      </c>
      <c r="M24" s="56">
        <f t="shared" si="6"/>
        <v>9.1999999999999998E-2</v>
      </c>
      <c r="N24" s="56">
        <f t="shared" si="6"/>
        <v>9.1999999999999998E-2</v>
      </c>
      <c r="O24" s="56">
        <f t="shared" si="6"/>
        <v>9.1999999999999998E-2</v>
      </c>
      <c r="P24" s="56">
        <f t="shared" si="6"/>
        <v>9.1999999999999998E-2</v>
      </c>
      <c r="Q24" s="56">
        <f t="shared" si="6"/>
        <v>9.1999999999999998E-2</v>
      </c>
      <c r="R24" s="56">
        <f t="shared" si="6"/>
        <v>9.1999999999999998E-2</v>
      </c>
      <c r="S24" s="56">
        <f t="shared" si="6"/>
        <v>9.1999999999999998E-2</v>
      </c>
      <c r="T24" s="56">
        <f t="shared" si="6"/>
        <v>9.1999999999999998E-2</v>
      </c>
      <c r="U24" s="56">
        <f t="shared" si="6"/>
        <v>9.1999999999999998E-2</v>
      </c>
      <c r="V24" s="56">
        <f t="shared" si="6"/>
        <v>9.1999999999999998E-2</v>
      </c>
      <c r="W24" s="56">
        <f t="shared" si="6"/>
        <v>9.1999999999999998E-2</v>
      </c>
      <c r="X24" s="56">
        <f t="shared" si="6"/>
        <v>9.1999999999999998E-2</v>
      </c>
      <c r="Y24" s="56">
        <f t="shared" si="6"/>
        <v>9.1999999999999998E-2</v>
      </c>
      <c r="Z24" s="56">
        <f t="shared" si="6"/>
        <v>9.1999999999999998E-2</v>
      </c>
      <c r="AA24" s="56">
        <f t="shared" si="6"/>
        <v>9.1999999999999998E-2</v>
      </c>
      <c r="AB24" s="56">
        <f t="shared" si="6"/>
        <v>9.1999999999999998E-2</v>
      </c>
      <c r="AC24" s="56">
        <f t="shared" si="6"/>
        <v>9.1999999999999998E-2</v>
      </c>
      <c r="AD24" s="56">
        <f t="shared" si="6"/>
        <v>9.1999999999999998E-2</v>
      </c>
      <c r="AE24" s="56">
        <f t="shared" si="6"/>
        <v>9.1999999999999998E-2</v>
      </c>
      <c r="AF24" s="56">
        <f t="shared" si="6"/>
        <v>9.1999999999999998E-2</v>
      </c>
      <c r="AG24" s="56">
        <f t="shared" si="6"/>
        <v>9.1999999999999998E-2</v>
      </c>
      <c r="AH24" s="56">
        <f t="shared" si="6"/>
        <v>9.1999999999999998E-2</v>
      </c>
      <c r="AI24" s="56">
        <f t="shared" si="6"/>
        <v>9.1999999999999998E-2</v>
      </c>
      <c r="AJ24" s="56">
        <f t="shared" si="6"/>
        <v>9.1999999999999998E-2</v>
      </c>
      <c r="AK24" s="56">
        <f t="shared" si="6"/>
        <v>9.1999999999999998E-2</v>
      </c>
      <c r="AL24" s="56">
        <f t="shared" si="6"/>
        <v>9.1999999999999998E-2</v>
      </c>
      <c r="AM24" s="56">
        <f t="shared" si="6"/>
        <v>9.1999999999999998E-2</v>
      </c>
      <c r="AN24" s="56">
        <f t="shared" si="6"/>
        <v>8.2800000000000012E-2</v>
      </c>
      <c r="AO24" s="56">
        <f t="shared" si="6"/>
        <v>8.2800000000000012E-2</v>
      </c>
      <c r="AP24" s="56">
        <f t="shared" si="6"/>
        <v>8.2800000000000012E-2</v>
      </c>
      <c r="AQ24" s="56">
        <f t="shared" si="6"/>
        <v>8.2800000000000012E-2</v>
      </c>
      <c r="AR24" s="56">
        <f t="shared" si="6"/>
        <v>8.2800000000000012E-2</v>
      </c>
      <c r="AS24" s="56">
        <f t="shared" si="6"/>
        <v>8.2800000000000012E-2</v>
      </c>
      <c r="AT24" s="56">
        <f t="shared" si="6"/>
        <v>8.2800000000000012E-2</v>
      </c>
      <c r="AU24" s="56">
        <f t="shared" si="6"/>
        <v>8.2800000000000012E-2</v>
      </c>
      <c r="AV24" s="56">
        <f t="shared" si="6"/>
        <v>8.2800000000000012E-2</v>
      </c>
      <c r="AW24" s="56">
        <f t="shared" si="6"/>
        <v>8.2800000000000012E-2</v>
      </c>
      <c r="AX24" s="56">
        <f t="shared" si="6"/>
        <v>8.2800000000000012E-2</v>
      </c>
      <c r="AY24" s="56">
        <f t="shared" si="6"/>
        <v>8.2800000000000012E-2</v>
      </c>
      <c r="AZ24" s="56">
        <f>AZ23*1/2.5</f>
        <v>7.4520000000000003E-2</v>
      </c>
      <c r="BA24" s="56">
        <f>BA23*1/2.5</f>
        <v>7.4520000000000003E-2</v>
      </c>
    </row>
    <row r="25" spans="2:53" x14ac:dyDescent="0.3">
      <c r="B25" s="54">
        <f>2/6</f>
        <v>0.33333333333333331</v>
      </c>
      <c r="C25" s="50" t="s">
        <v>87</v>
      </c>
      <c r="D25" s="55">
        <v>0.08</v>
      </c>
      <c r="E25" s="55">
        <v>0.08</v>
      </c>
      <c r="F25" s="55">
        <v>0.08</v>
      </c>
      <c r="G25" s="55">
        <v>0.08</v>
      </c>
      <c r="H25" s="55">
        <v>0.08</v>
      </c>
      <c r="I25" s="55">
        <v>0.08</v>
      </c>
      <c r="J25" s="55">
        <v>0.08</v>
      </c>
      <c r="K25" s="55">
        <v>0.08</v>
      </c>
      <c r="L25" s="55">
        <v>0.08</v>
      </c>
      <c r="M25" s="55">
        <v>0.08</v>
      </c>
      <c r="N25" s="55">
        <v>0.08</v>
      </c>
      <c r="O25" s="55">
        <v>0.08</v>
      </c>
      <c r="P25" s="56">
        <f>D25*(1-P$20)</f>
        <v>0.08</v>
      </c>
      <c r="Q25" s="56">
        <f t="shared" ref="Q25:BA25" si="7">E25*(1-Q$20)</f>
        <v>0.08</v>
      </c>
      <c r="R25" s="56">
        <f t="shared" si="7"/>
        <v>0.08</v>
      </c>
      <c r="S25" s="56">
        <f t="shared" si="7"/>
        <v>0.08</v>
      </c>
      <c r="T25" s="56">
        <f t="shared" si="7"/>
        <v>0.08</v>
      </c>
      <c r="U25" s="56">
        <f t="shared" si="7"/>
        <v>0.08</v>
      </c>
      <c r="V25" s="56">
        <f t="shared" si="7"/>
        <v>0.08</v>
      </c>
      <c r="W25" s="56">
        <f t="shared" si="7"/>
        <v>0.08</v>
      </c>
      <c r="X25" s="56">
        <f t="shared" si="7"/>
        <v>0.08</v>
      </c>
      <c r="Y25" s="56">
        <f t="shared" si="7"/>
        <v>0.08</v>
      </c>
      <c r="Z25" s="56">
        <f t="shared" si="7"/>
        <v>0.08</v>
      </c>
      <c r="AA25" s="56">
        <f t="shared" si="7"/>
        <v>0.08</v>
      </c>
      <c r="AB25" s="56">
        <f t="shared" si="7"/>
        <v>0.08</v>
      </c>
      <c r="AC25" s="56">
        <f t="shared" si="7"/>
        <v>0.08</v>
      </c>
      <c r="AD25" s="56">
        <f t="shared" si="7"/>
        <v>0.08</v>
      </c>
      <c r="AE25" s="56">
        <f t="shared" si="7"/>
        <v>0.08</v>
      </c>
      <c r="AF25" s="56">
        <f t="shared" si="7"/>
        <v>0.08</v>
      </c>
      <c r="AG25" s="56">
        <f t="shared" si="7"/>
        <v>0.08</v>
      </c>
      <c r="AH25" s="56">
        <f t="shared" si="7"/>
        <v>0.08</v>
      </c>
      <c r="AI25" s="56">
        <f t="shared" si="7"/>
        <v>0.08</v>
      </c>
      <c r="AJ25" s="56">
        <f t="shared" si="7"/>
        <v>0.08</v>
      </c>
      <c r="AK25" s="56">
        <f t="shared" si="7"/>
        <v>0.08</v>
      </c>
      <c r="AL25" s="56">
        <f t="shared" si="7"/>
        <v>0.08</v>
      </c>
      <c r="AM25" s="56">
        <f t="shared" si="7"/>
        <v>0.08</v>
      </c>
      <c r="AN25" s="56">
        <f t="shared" si="7"/>
        <v>7.2000000000000008E-2</v>
      </c>
      <c r="AO25" s="56">
        <f t="shared" si="7"/>
        <v>7.2000000000000008E-2</v>
      </c>
      <c r="AP25" s="56">
        <f t="shared" si="7"/>
        <v>7.2000000000000008E-2</v>
      </c>
      <c r="AQ25" s="56">
        <f t="shared" si="7"/>
        <v>7.2000000000000008E-2</v>
      </c>
      <c r="AR25" s="56">
        <f t="shared" si="7"/>
        <v>7.2000000000000008E-2</v>
      </c>
      <c r="AS25" s="56">
        <f t="shared" si="7"/>
        <v>7.2000000000000008E-2</v>
      </c>
      <c r="AT25" s="56">
        <f t="shared" si="7"/>
        <v>7.2000000000000008E-2</v>
      </c>
      <c r="AU25" s="56">
        <f t="shared" si="7"/>
        <v>7.2000000000000008E-2</v>
      </c>
      <c r="AV25" s="56">
        <f t="shared" si="7"/>
        <v>7.2000000000000008E-2</v>
      </c>
      <c r="AW25" s="56">
        <f t="shared" si="7"/>
        <v>7.2000000000000008E-2</v>
      </c>
      <c r="AX25" s="56">
        <f t="shared" si="7"/>
        <v>7.2000000000000008E-2</v>
      </c>
      <c r="AY25" s="56">
        <f t="shared" si="7"/>
        <v>7.2000000000000008E-2</v>
      </c>
      <c r="AZ25" s="56">
        <f t="shared" si="7"/>
        <v>6.480000000000001E-2</v>
      </c>
      <c r="BA25" s="56">
        <f t="shared" si="7"/>
        <v>6.480000000000001E-2</v>
      </c>
    </row>
    <row r="26" spans="2:53" x14ac:dyDescent="0.3">
      <c r="B26" s="57"/>
    </row>
    <row r="27" spans="2:53" x14ac:dyDescent="0.3">
      <c r="B27" s="57"/>
      <c r="C27" t="s">
        <v>92</v>
      </c>
    </row>
    <row r="28" spans="2:53" x14ac:dyDescent="0.3">
      <c r="B28" s="54">
        <v>0.6</v>
      </c>
      <c r="C28" s="50" t="s">
        <v>52</v>
      </c>
      <c r="D28" s="56">
        <f>D23</f>
        <v>0.23</v>
      </c>
      <c r="E28" s="56">
        <f t="shared" ref="E28:BA30" si="8">E23</f>
        <v>0.23</v>
      </c>
      <c r="F28" s="56">
        <f t="shared" si="8"/>
        <v>0.23</v>
      </c>
      <c r="G28" s="56">
        <f t="shared" si="8"/>
        <v>0.23</v>
      </c>
      <c r="H28" s="56">
        <f t="shared" si="8"/>
        <v>0.23</v>
      </c>
      <c r="I28" s="56">
        <f t="shared" si="8"/>
        <v>0.23</v>
      </c>
      <c r="J28" s="56">
        <f t="shared" si="8"/>
        <v>0.23</v>
      </c>
      <c r="K28" s="56">
        <f t="shared" si="8"/>
        <v>0.23</v>
      </c>
      <c r="L28" s="56">
        <f t="shared" si="8"/>
        <v>0.23</v>
      </c>
      <c r="M28" s="56">
        <f t="shared" si="8"/>
        <v>0.23</v>
      </c>
      <c r="N28" s="56">
        <f t="shared" si="8"/>
        <v>0.23</v>
      </c>
      <c r="O28" s="56">
        <f t="shared" si="8"/>
        <v>0.23</v>
      </c>
      <c r="P28" s="56">
        <f t="shared" si="8"/>
        <v>0.23</v>
      </c>
      <c r="Q28" s="56">
        <f t="shared" si="8"/>
        <v>0.23</v>
      </c>
      <c r="R28" s="56">
        <f t="shared" si="8"/>
        <v>0.23</v>
      </c>
      <c r="S28" s="56">
        <f t="shared" si="8"/>
        <v>0.23</v>
      </c>
      <c r="T28" s="56">
        <f t="shared" si="8"/>
        <v>0.23</v>
      </c>
      <c r="U28" s="56">
        <f t="shared" si="8"/>
        <v>0.23</v>
      </c>
      <c r="V28" s="56">
        <f t="shared" si="8"/>
        <v>0.23</v>
      </c>
      <c r="W28" s="56">
        <f t="shared" si="8"/>
        <v>0.23</v>
      </c>
      <c r="X28" s="56">
        <f t="shared" si="8"/>
        <v>0.23</v>
      </c>
      <c r="Y28" s="56">
        <f t="shared" si="8"/>
        <v>0.23</v>
      </c>
      <c r="Z28" s="56">
        <f t="shared" si="8"/>
        <v>0.23</v>
      </c>
      <c r="AA28" s="56">
        <f t="shared" si="8"/>
        <v>0.23</v>
      </c>
      <c r="AB28" s="56">
        <f t="shared" si="8"/>
        <v>0.23</v>
      </c>
      <c r="AC28" s="56">
        <f t="shared" si="8"/>
        <v>0.23</v>
      </c>
      <c r="AD28" s="56">
        <f t="shared" si="8"/>
        <v>0.23</v>
      </c>
      <c r="AE28" s="56">
        <f t="shared" si="8"/>
        <v>0.23</v>
      </c>
      <c r="AF28" s="56">
        <f t="shared" si="8"/>
        <v>0.23</v>
      </c>
      <c r="AG28" s="56">
        <f t="shared" si="8"/>
        <v>0.23</v>
      </c>
      <c r="AH28" s="56">
        <f t="shared" si="8"/>
        <v>0.23</v>
      </c>
      <c r="AI28" s="56">
        <f t="shared" si="8"/>
        <v>0.23</v>
      </c>
      <c r="AJ28" s="56">
        <f t="shared" si="8"/>
        <v>0.23</v>
      </c>
      <c r="AK28" s="56">
        <f t="shared" si="8"/>
        <v>0.23</v>
      </c>
      <c r="AL28" s="56">
        <f t="shared" si="8"/>
        <v>0.23</v>
      </c>
      <c r="AM28" s="56">
        <f t="shared" si="8"/>
        <v>0.23</v>
      </c>
      <c r="AN28" s="56">
        <f t="shared" si="8"/>
        <v>0.20700000000000002</v>
      </c>
      <c r="AO28" s="56">
        <f t="shared" si="8"/>
        <v>0.20700000000000002</v>
      </c>
      <c r="AP28" s="56">
        <f t="shared" si="8"/>
        <v>0.20700000000000002</v>
      </c>
      <c r="AQ28" s="56">
        <f t="shared" si="8"/>
        <v>0.20700000000000002</v>
      </c>
      <c r="AR28" s="56">
        <f t="shared" si="8"/>
        <v>0.20700000000000002</v>
      </c>
      <c r="AS28" s="56">
        <f t="shared" si="8"/>
        <v>0.20700000000000002</v>
      </c>
      <c r="AT28" s="56">
        <f t="shared" si="8"/>
        <v>0.20700000000000002</v>
      </c>
      <c r="AU28" s="56">
        <f t="shared" si="8"/>
        <v>0.20700000000000002</v>
      </c>
      <c r="AV28" s="56">
        <f t="shared" si="8"/>
        <v>0.20700000000000002</v>
      </c>
      <c r="AW28" s="56">
        <f t="shared" si="8"/>
        <v>0.20700000000000002</v>
      </c>
      <c r="AX28" s="56">
        <f t="shared" si="8"/>
        <v>0.20700000000000002</v>
      </c>
      <c r="AY28" s="56">
        <f t="shared" si="8"/>
        <v>0.20700000000000002</v>
      </c>
      <c r="AZ28" s="56">
        <f t="shared" si="8"/>
        <v>0.18630000000000002</v>
      </c>
      <c r="BA28" s="56">
        <f t="shared" si="8"/>
        <v>0.18630000000000002</v>
      </c>
    </row>
    <row r="29" spans="2:53" x14ac:dyDescent="0.3">
      <c r="B29" s="54">
        <v>0.33</v>
      </c>
      <c r="C29" s="50" t="s">
        <v>86</v>
      </c>
      <c r="D29" s="56">
        <f t="shared" ref="D29:S30" si="9">D24</f>
        <v>9.1999999999999998E-2</v>
      </c>
      <c r="E29" s="56">
        <f t="shared" si="9"/>
        <v>9.1999999999999998E-2</v>
      </c>
      <c r="F29" s="56">
        <f t="shared" si="9"/>
        <v>9.1999999999999998E-2</v>
      </c>
      <c r="G29" s="56">
        <f t="shared" si="9"/>
        <v>9.1999999999999998E-2</v>
      </c>
      <c r="H29" s="56">
        <f t="shared" si="9"/>
        <v>9.1999999999999998E-2</v>
      </c>
      <c r="I29" s="56">
        <f t="shared" si="9"/>
        <v>9.1999999999999998E-2</v>
      </c>
      <c r="J29" s="56">
        <f t="shared" si="9"/>
        <v>9.1999999999999998E-2</v>
      </c>
      <c r="K29" s="56">
        <f t="shared" si="9"/>
        <v>9.1999999999999998E-2</v>
      </c>
      <c r="L29" s="56">
        <f t="shared" si="9"/>
        <v>9.1999999999999998E-2</v>
      </c>
      <c r="M29" s="56">
        <f t="shared" si="9"/>
        <v>9.1999999999999998E-2</v>
      </c>
      <c r="N29" s="56">
        <f t="shared" si="9"/>
        <v>9.1999999999999998E-2</v>
      </c>
      <c r="O29" s="56">
        <f t="shared" si="9"/>
        <v>9.1999999999999998E-2</v>
      </c>
      <c r="P29" s="56">
        <f t="shared" si="9"/>
        <v>9.1999999999999998E-2</v>
      </c>
      <c r="Q29" s="56">
        <f t="shared" si="9"/>
        <v>9.1999999999999998E-2</v>
      </c>
      <c r="R29" s="56">
        <f t="shared" si="9"/>
        <v>9.1999999999999998E-2</v>
      </c>
      <c r="S29" s="56">
        <f t="shared" si="9"/>
        <v>9.1999999999999998E-2</v>
      </c>
      <c r="T29" s="56">
        <f t="shared" si="8"/>
        <v>9.1999999999999998E-2</v>
      </c>
      <c r="U29" s="56">
        <f t="shared" si="8"/>
        <v>9.1999999999999998E-2</v>
      </c>
      <c r="V29" s="56">
        <f t="shared" si="8"/>
        <v>9.1999999999999998E-2</v>
      </c>
      <c r="W29" s="56">
        <f t="shared" si="8"/>
        <v>9.1999999999999998E-2</v>
      </c>
      <c r="X29" s="56">
        <f t="shared" si="8"/>
        <v>9.1999999999999998E-2</v>
      </c>
      <c r="Y29" s="56">
        <f t="shared" si="8"/>
        <v>9.1999999999999998E-2</v>
      </c>
      <c r="Z29" s="56">
        <f t="shared" si="8"/>
        <v>9.1999999999999998E-2</v>
      </c>
      <c r="AA29" s="56">
        <f t="shared" si="8"/>
        <v>9.1999999999999998E-2</v>
      </c>
      <c r="AB29" s="56">
        <f t="shared" si="8"/>
        <v>9.1999999999999998E-2</v>
      </c>
      <c r="AC29" s="56">
        <f t="shared" si="8"/>
        <v>9.1999999999999998E-2</v>
      </c>
      <c r="AD29" s="56">
        <f t="shared" si="8"/>
        <v>9.1999999999999998E-2</v>
      </c>
      <c r="AE29" s="56">
        <f t="shared" si="8"/>
        <v>9.1999999999999998E-2</v>
      </c>
      <c r="AF29" s="56">
        <f t="shared" si="8"/>
        <v>9.1999999999999998E-2</v>
      </c>
      <c r="AG29" s="56">
        <f t="shared" si="8"/>
        <v>9.1999999999999998E-2</v>
      </c>
      <c r="AH29" s="56">
        <f t="shared" si="8"/>
        <v>9.1999999999999998E-2</v>
      </c>
      <c r="AI29" s="56">
        <f t="shared" si="8"/>
        <v>9.1999999999999998E-2</v>
      </c>
      <c r="AJ29" s="56">
        <f t="shared" si="8"/>
        <v>9.1999999999999998E-2</v>
      </c>
      <c r="AK29" s="56">
        <f t="shared" si="8"/>
        <v>9.1999999999999998E-2</v>
      </c>
      <c r="AL29" s="56">
        <f t="shared" si="8"/>
        <v>9.1999999999999998E-2</v>
      </c>
      <c r="AM29" s="56">
        <f t="shared" si="8"/>
        <v>9.1999999999999998E-2</v>
      </c>
      <c r="AN29" s="56">
        <f t="shared" si="8"/>
        <v>8.2800000000000012E-2</v>
      </c>
      <c r="AO29" s="56">
        <f t="shared" si="8"/>
        <v>8.2800000000000012E-2</v>
      </c>
      <c r="AP29" s="56">
        <f t="shared" si="8"/>
        <v>8.2800000000000012E-2</v>
      </c>
      <c r="AQ29" s="56">
        <f t="shared" si="8"/>
        <v>8.2800000000000012E-2</v>
      </c>
      <c r="AR29" s="56">
        <f t="shared" si="8"/>
        <v>8.2800000000000012E-2</v>
      </c>
      <c r="AS29" s="56">
        <f t="shared" si="8"/>
        <v>8.2800000000000012E-2</v>
      </c>
      <c r="AT29" s="56">
        <f t="shared" si="8"/>
        <v>8.2800000000000012E-2</v>
      </c>
      <c r="AU29" s="56">
        <f t="shared" si="8"/>
        <v>8.2800000000000012E-2</v>
      </c>
      <c r="AV29" s="56">
        <f t="shared" si="8"/>
        <v>8.2800000000000012E-2</v>
      </c>
      <c r="AW29" s="56">
        <f t="shared" si="8"/>
        <v>8.2800000000000012E-2</v>
      </c>
      <c r="AX29" s="56">
        <f t="shared" si="8"/>
        <v>8.2800000000000012E-2</v>
      </c>
      <c r="AY29" s="56">
        <f t="shared" si="8"/>
        <v>8.2800000000000012E-2</v>
      </c>
      <c r="AZ29" s="56">
        <f t="shared" si="8"/>
        <v>7.4520000000000003E-2</v>
      </c>
      <c r="BA29" s="56">
        <f t="shared" si="8"/>
        <v>7.4520000000000003E-2</v>
      </c>
    </row>
    <row r="30" spans="2:53" x14ac:dyDescent="0.3">
      <c r="B30" s="54">
        <v>0.25</v>
      </c>
      <c r="C30" s="50" t="s">
        <v>87</v>
      </c>
      <c r="D30" s="56">
        <f t="shared" si="9"/>
        <v>0.08</v>
      </c>
      <c r="E30" s="56">
        <f t="shared" si="8"/>
        <v>0.08</v>
      </c>
      <c r="F30" s="56">
        <f t="shared" si="8"/>
        <v>0.08</v>
      </c>
      <c r="G30" s="56">
        <f t="shared" si="8"/>
        <v>0.08</v>
      </c>
      <c r="H30" s="56">
        <f t="shared" si="8"/>
        <v>0.08</v>
      </c>
      <c r="I30" s="56">
        <f t="shared" si="8"/>
        <v>0.08</v>
      </c>
      <c r="J30" s="56">
        <f t="shared" si="8"/>
        <v>0.08</v>
      </c>
      <c r="K30" s="56">
        <f t="shared" si="8"/>
        <v>0.08</v>
      </c>
      <c r="L30" s="56">
        <f t="shared" si="8"/>
        <v>0.08</v>
      </c>
      <c r="M30" s="56">
        <f t="shared" si="8"/>
        <v>0.08</v>
      </c>
      <c r="N30" s="56">
        <f t="shared" si="8"/>
        <v>0.08</v>
      </c>
      <c r="O30" s="56">
        <f t="shared" si="8"/>
        <v>0.08</v>
      </c>
      <c r="P30" s="56">
        <f t="shared" si="8"/>
        <v>0.08</v>
      </c>
      <c r="Q30" s="56">
        <f t="shared" si="8"/>
        <v>0.08</v>
      </c>
      <c r="R30" s="56">
        <f t="shared" si="8"/>
        <v>0.08</v>
      </c>
      <c r="S30" s="56">
        <f t="shared" si="8"/>
        <v>0.08</v>
      </c>
      <c r="T30" s="56">
        <f t="shared" si="8"/>
        <v>0.08</v>
      </c>
      <c r="U30" s="56">
        <f t="shared" si="8"/>
        <v>0.08</v>
      </c>
      <c r="V30" s="56">
        <f t="shared" si="8"/>
        <v>0.08</v>
      </c>
      <c r="W30" s="56">
        <f t="shared" si="8"/>
        <v>0.08</v>
      </c>
      <c r="X30" s="56">
        <f t="shared" si="8"/>
        <v>0.08</v>
      </c>
      <c r="Y30" s="56">
        <f t="shared" si="8"/>
        <v>0.08</v>
      </c>
      <c r="Z30" s="56">
        <f t="shared" si="8"/>
        <v>0.08</v>
      </c>
      <c r="AA30" s="56">
        <f t="shared" si="8"/>
        <v>0.08</v>
      </c>
      <c r="AB30" s="56">
        <f t="shared" si="8"/>
        <v>0.08</v>
      </c>
      <c r="AC30" s="56">
        <f t="shared" si="8"/>
        <v>0.08</v>
      </c>
      <c r="AD30" s="56">
        <f t="shared" si="8"/>
        <v>0.08</v>
      </c>
      <c r="AE30" s="56">
        <f t="shared" si="8"/>
        <v>0.08</v>
      </c>
      <c r="AF30" s="56">
        <f t="shared" si="8"/>
        <v>0.08</v>
      </c>
      <c r="AG30" s="56">
        <f t="shared" si="8"/>
        <v>0.08</v>
      </c>
      <c r="AH30" s="56">
        <f t="shared" si="8"/>
        <v>0.08</v>
      </c>
      <c r="AI30" s="56">
        <f t="shared" si="8"/>
        <v>0.08</v>
      </c>
      <c r="AJ30" s="56">
        <f t="shared" si="8"/>
        <v>0.08</v>
      </c>
      <c r="AK30" s="56">
        <f t="shared" si="8"/>
        <v>0.08</v>
      </c>
      <c r="AL30" s="56">
        <f t="shared" si="8"/>
        <v>0.08</v>
      </c>
      <c r="AM30" s="56">
        <f t="shared" si="8"/>
        <v>0.08</v>
      </c>
      <c r="AN30" s="56">
        <f t="shared" si="8"/>
        <v>7.2000000000000008E-2</v>
      </c>
      <c r="AO30" s="56">
        <f t="shared" si="8"/>
        <v>7.2000000000000008E-2</v>
      </c>
      <c r="AP30" s="56">
        <f t="shared" si="8"/>
        <v>7.2000000000000008E-2</v>
      </c>
      <c r="AQ30" s="56">
        <f t="shared" si="8"/>
        <v>7.2000000000000008E-2</v>
      </c>
      <c r="AR30" s="56">
        <f t="shared" si="8"/>
        <v>7.2000000000000008E-2</v>
      </c>
      <c r="AS30" s="56">
        <f t="shared" si="8"/>
        <v>7.2000000000000008E-2</v>
      </c>
      <c r="AT30" s="56">
        <f t="shared" si="8"/>
        <v>7.2000000000000008E-2</v>
      </c>
      <c r="AU30" s="56">
        <f t="shared" si="8"/>
        <v>7.2000000000000008E-2</v>
      </c>
      <c r="AV30" s="56">
        <f t="shared" si="8"/>
        <v>7.2000000000000008E-2</v>
      </c>
      <c r="AW30" s="56">
        <f t="shared" si="8"/>
        <v>7.2000000000000008E-2</v>
      </c>
      <c r="AX30" s="56">
        <f t="shared" si="8"/>
        <v>7.2000000000000008E-2</v>
      </c>
      <c r="AY30" s="56">
        <f t="shared" si="8"/>
        <v>7.2000000000000008E-2</v>
      </c>
      <c r="AZ30" s="56">
        <f t="shared" si="8"/>
        <v>6.480000000000001E-2</v>
      </c>
      <c r="BA30" s="56">
        <f t="shared" si="8"/>
        <v>6.480000000000001E-2</v>
      </c>
    </row>
    <row r="32" spans="2:53" x14ac:dyDescent="0.3">
      <c r="B32" s="3" t="s">
        <v>93</v>
      </c>
    </row>
    <row r="33" spans="2:53" x14ac:dyDescent="0.3">
      <c r="C33" t="s">
        <v>85</v>
      </c>
    </row>
    <row r="34" spans="2:53" x14ac:dyDescent="0.3">
      <c r="C34" s="50" t="s">
        <v>52</v>
      </c>
      <c r="D34" s="55">
        <v>7.0000000000000007E-2</v>
      </c>
      <c r="E34" s="55">
        <v>7.0000000000000007E-2</v>
      </c>
      <c r="F34" s="55">
        <v>7.0000000000000007E-2</v>
      </c>
      <c r="G34" s="55">
        <v>7.0000000000000007E-2</v>
      </c>
      <c r="H34" s="55">
        <v>7.0000000000000007E-2</v>
      </c>
      <c r="I34" s="55">
        <v>7.0000000000000007E-2</v>
      </c>
      <c r="J34" s="55">
        <v>7.0000000000000007E-2</v>
      </c>
      <c r="K34" s="55">
        <v>7.0000000000000007E-2</v>
      </c>
      <c r="L34" s="55">
        <v>7.0000000000000007E-2</v>
      </c>
      <c r="M34" s="55">
        <v>7.0000000000000007E-2</v>
      </c>
      <c r="N34" s="55">
        <v>7.0000000000000007E-2</v>
      </c>
      <c r="O34" s="55">
        <v>7.0000000000000007E-2</v>
      </c>
      <c r="P34" s="55">
        <v>7.0000000000000007E-2</v>
      </c>
      <c r="Q34" s="55">
        <v>7.0000000000000007E-2</v>
      </c>
      <c r="R34" s="55">
        <v>7.0000000000000007E-2</v>
      </c>
      <c r="S34" s="55">
        <v>7.0000000000000007E-2</v>
      </c>
      <c r="T34" s="55">
        <v>7.0000000000000007E-2</v>
      </c>
      <c r="U34" s="55">
        <v>7.0000000000000007E-2</v>
      </c>
      <c r="V34" s="55">
        <v>7.0000000000000007E-2</v>
      </c>
      <c r="W34" s="55">
        <v>7.0000000000000007E-2</v>
      </c>
      <c r="X34" s="55">
        <v>7.0000000000000007E-2</v>
      </c>
      <c r="Y34" s="55">
        <v>7.0000000000000007E-2</v>
      </c>
      <c r="Z34" s="55">
        <v>7.0000000000000007E-2</v>
      </c>
      <c r="AA34" s="55">
        <v>7.0000000000000007E-2</v>
      </c>
      <c r="AB34" s="55">
        <v>7.0000000000000007E-2</v>
      </c>
      <c r="AC34" s="55">
        <v>7.0000000000000007E-2</v>
      </c>
      <c r="AD34" s="55">
        <v>7.0000000000000007E-2</v>
      </c>
      <c r="AE34" s="55">
        <v>7.0000000000000007E-2</v>
      </c>
      <c r="AF34" s="55">
        <v>7.0000000000000007E-2</v>
      </c>
      <c r="AG34" s="55">
        <v>7.0000000000000007E-2</v>
      </c>
      <c r="AH34" s="55">
        <v>7.0000000000000007E-2</v>
      </c>
      <c r="AI34" s="55">
        <v>7.0000000000000007E-2</v>
      </c>
      <c r="AJ34" s="55">
        <v>7.0000000000000007E-2</v>
      </c>
      <c r="AK34" s="55">
        <v>7.0000000000000007E-2</v>
      </c>
      <c r="AL34" s="55">
        <v>7.0000000000000007E-2</v>
      </c>
      <c r="AM34" s="55">
        <v>7.0000000000000007E-2</v>
      </c>
      <c r="AN34" s="55">
        <v>7.0000000000000007E-2</v>
      </c>
      <c r="AO34" s="55">
        <v>7.0000000000000007E-2</v>
      </c>
      <c r="AP34" s="55">
        <v>7.0000000000000007E-2</v>
      </c>
      <c r="AQ34" s="55">
        <v>7.0000000000000007E-2</v>
      </c>
      <c r="AR34" s="55">
        <v>7.0000000000000007E-2</v>
      </c>
      <c r="AS34" s="55">
        <v>7.0000000000000007E-2</v>
      </c>
      <c r="AT34" s="55">
        <v>7.0000000000000007E-2</v>
      </c>
      <c r="AU34" s="55">
        <v>7.0000000000000007E-2</v>
      </c>
      <c r="AV34" s="55">
        <v>7.0000000000000007E-2</v>
      </c>
      <c r="AW34" s="55">
        <v>7.0000000000000007E-2</v>
      </c>
      <c r="AX34" s="55">
        <v>7.0000000000000007E-2</v>
      </c>
      <c r="AY34" s="55">
        <v>7.0000000000000007E-2</v>
      </c>
      <c r="AZ34" s="55">
        <v>7.0000000000000007E-2</v>
      </c>
      <c r="BA34" s="55">
        <v>7.0000000000000007E-2</v>
      </c>
    </row>
    <row r="35" spans="2:53" x14ac:dyDescent="0.3">
      <c r="C35" s="50" t="s">
        <v>86</v>
      </c>
      <c r="D35" s="56">
        <f>D34*4/10</f>
        <v>2.8000000000000004E-2</v>
      </c>
      <c r="E35" s="56">
        <f t="shared" ref="E35:AY35" si="10">E34*4/10</f>
        <v>2.8000000000000004E-2</v>
      </c>
      <c r="F35" s="56">
        <f t="shared" si="10"/>
        <v>2.8000000000000004E-2</v>
      </c>
      <c r="G35" s="56">
        <f t="shared" si="10"/>
        <v>2.8000000000000004E-2</v>
      </c>
      <c r="H35" s="56">
        <f t="shared" si="10"/>
        <v>2.8000000000000004E-2</v>
      </c>
      <c r="I35" s="56">
        <f t="shared" si="10"/>
        <v>2.8000000000000004E-2</v>
      </c>
      <c r="J35" s="56">
        <f t="shared" si="10"/>
        <v>2.8000000000000004E-2</v>
      </c>
      <c r="K35" s="56">
        <f t="shared" si="10"/>
        <v>2.8000000000000004E-2</v>
      </c>
      <c r="L35" s="56">
        <f t="shared" si="10"/>
        <v>2.8000000000000004E-2</v>
      </c>
      <c r="M35" s="56">
        <f t="shared" si="10"/>
        <v>2.8000000000000004E-2</v>
      </c>
      <c r="N35" s="56">
        <f t="shared" si="10"/>
        <v>2.8000000000000004E-2</v>
      </c>
      <c r="O35" s="56">
        <f t="shared" si="10"/>
        <v>2.8000000000000004E-2</v>
      </c>
      <c r="P35" s="56">
        <f t="shared" si="10"/>
        <v>2.8000000000000004E-2</v>
      </c>
      <c r="Q35" s="56">
        <f t="shared" si="10"/>
        <v>2.8000000000000004E-2</v>
      </c>
      <c r="R35" s="56">
        <f t="shared" si="10"/>
        <v>2.8000000000000004E-2</v>
      </c>
      <c r="S35" s="56">
        <f t="shared" si="10"/>
        <v>2.8000000000000004E-2</v>
      </c>
      <c r="T35" s="56">
        <f t="shared" si="10"/>
        <v>2.8000000000000004E-2</v>
      </c>
      <c r="U35" s="56">
        <f t="shared" si="10"/>
        <v>2.8000000000000004E-2</v>
      </c>
      <c r="V35" s="56">
        <f t="shared" si="10"/>
        <v>2.8000000000000004E-2</v>
      </c>
      <c r="W35" s="56">
        <f t="shared" si="10"/>
        <v>2.8000000000000004E-2</v>
      </c>
      <c r="X35" s="56">
        <f t="shared" si="10"/>
        <v>2.8000000000000004E-2</v>
      </c>
      <c r="Y35" s="56">
        <f t="shared" si="10"/>
        <v>2.8000000000000004E-2</v>
      </c>
      <c r="Z35" s="56">
        <f t="shared" si="10"/>
        <v>2.8000000000000004E-2</v>
      </c>
      <c r="AA35" s="56">
        <f t="shared" si="10"/>
        <v>2.8000000000000004E-2</v>
      </c>
      <c r="AB35" s="56">
        <f t="shared" si="10"/>
        <v>2.8000000000000004E-2</v>
      </c>
      <c r="AC35" s="56">
        <f t="shared" si="10"/>
        <v>2.8000000000000004E-2</v>
      </c>
      <c r="AD35" s="56">
        <f t="shared" si="10"/>
        <v>2.8000000000000004E-2</v>
      </c>
      <c r="AE35" s="56">
        <f t="shared" si="10"/>
        <v>2.8000000000000004E-2</v>
      </c>
      <c r="AF35" s="56">
        <f t="shared" si="10"/>
        <v>2.8000000000000004E-2</v>
      </c>
      <c r="AG35" s="56">
        <f t="shared" si="10"/>
        <v>2.8000000000000004E-2</v>
      </c>
      <c r="AH35" s="56">
        <f t="shared" si="10"/>
        <v>2.8000000000000004E-2</v>
      </c>
      <c r="AI35" s="56">
        <f t="shared" si="10"/>
        <v>2.8000000000000004E-2</v>
      </c>
      <c r="AJ35" s="56">
        <f t="shared" si="10"/>
        <v>2.8000000000000004E-2</v>
      </c>
      <c r="AK35" s="56">
        <f t="shared" si="10"/>
        <v>2.8000000000000004E-2</v>
      </c>
      <c r="AL35" s="56">
        <f t="shared" si="10"/>
        <v>2.8000000000000004E-2</v>
      </c>
      <c r="AM35" s="56">
        <f t="shared" si="10"/>
        <v>2.8000000000000004E-2</v>
      </c>
      <c r="AN35" s="56">
        <f t="shared" si="10"/>
        <v>2.8000000000000004E-2</v>
      </c>
      <c r="AO35" s="56">
        <f t="shared" si="10"/>
        <v>2.8000000000000004E-2</v>
      </c>
      <c r="AP35" s="56">
        <f t="shared" si="10"/>
        <v>2.8000000000000004E-2</v>
      </c>
      <c r="AQ35" s="56">
        <f t="shared" si="10"/>
        <v>2.8000000000000004E-2</v>
      </c>
      <c r="AR35" s="56">
        <f t="shared" si="10"/>
        <v>2.8000000000000004E-2</v>
      </c>
      <c r="AS35" s="56">
        <f t="shared" si="10"/>
        <v>2.8000000000000004E-2</v>
      </c>
      <c r="AT35" s="56">
        <f t="shared" si="10"/>
        <v>2.8000000000000004E-2</v>
      </c>
      <c r="AU35" s="56">
        <f t="shared" si="10"/>
        <v>2.8000000000000004E-2</v>
      </c>
      <c r="AV35" s="56">
        <f t="shared" si="10"/>
        <v>2.8000000000000004E-2</v>
      </c>
      <c r="AW35" s="56">
        <f t="shared" si="10"/>
        <v>2.8000000000000004E-2</v>
      </c>
      <c r="AX35" s="56">
        <f t="shared" si="10"/>
        <v>2.8000000000000004E-2</v>
      </c>
      <c r="AY35" s="56">
        <f t="shared" si="10"/>
        <v>2.8000000000000004E-2</v>
      </c>
      <c r="AZ35" s="56">
        <f>AZ34*4/10</f>
        <v>2.8000000000000004E-2</v>
      </c>
      <c r="BA35" s="56">
        <f>BA34*4/10</f>
        <v>2.8000000000000004E-2</v>
      </c>
    </row>
    <row r="36" spans="2:53" x14ac:dyDescent="0.3">
      <c r="C36" s="50" t="s">
        <v>87</v>
      </c>
      <c r="D36" s="55">
        <v>0.06</v>
      </c>
      <c r="E36" s="55">
        <v>0.06</v>
      </c>
      <c r="F36" s="55">
        <v>0.06</v>
      </c>
      <c r="G36" s="55">
        <v>0.06</v>
      </c>
      <c r="H36" s="55">
        <v>0.06</v>
      </c>
      <c r="I36" s="55">
        <v>0.06</v>
      </c>
      <c r="J36" s="55">
        <v>0.06</v>
      </c>
      <c r="K36" s="55">
        <v>0.06</v>
      </c>
      <c r="L36" s="55">
        <v>0.06</v>
      </c>
      <c r="M36" s="55">
        <v>0.06</v>
      </c>
      <c r="N36" s="55">
        <v>0.06</v>
      </c>
      <c r="O36" s="55">
        <v>0.06</v>
      </c>
      <c r="P36" s="55">
        <v>0.06</v>
      </c>
      <c r="Q36" s="55">
        <v>0.06</v>
      </c>
      <c r="R36" s="55">
        <v>0.06</v>
      </c>
      <c r="S36" s="55">
        <v>0.06</v>
      </c>
      <c r="T36" s="55">
        <v>0.06</v>
      </c>
      <c r="U36" s="55">
        <v>0.06</v>
      </c>
      <c r="V36" s="55">
        <v>0.06</v>
      </c>
      <c r="W36" s="55">
        <v>0.06</v>
      </c>
      <c r="X36" s="55">
        <v>0.06</v>
      </c>
      <c r="Y36" s="55">
        <v>0.06</v>
      </c>
      <c r="Z36" s="55">
        <v>0.06</v>
      </c>
      <c r="AA36" s="55">
        <v>0.06</v>
      </c>
      <c r="AB36" s="55">
        <v>0.06</v>
      </c>
      <c r="AC36" s="55">
        <v>0.06</v>
      </c>
      <c r="AD36" s="55">
        <v>0.06</v>
      </c>
      <c r="AE36" s="55">
        <v>0.06</v>
      </c>
      <c r="AF36" s="55">
        <v>0.06</v>
      </c>
      <c r="AG36" s="55">
        <v>0.06</v>
      </c>
      <c r="AH36" s="55">
        <v>0.06</v>
      </c>
      <c r="AI36" s="55">
        <v>0.06</v>
      </c>
      <c r="AJ36" s="55">
        <v>0.06</v>
      </c>
      <c r="AK36" s="55">
        <v>0.06</v>
      </c>
      <c r="AL36" s="55">
        <v>0.06</v>
      </c>
      <c r="AM36" s="55">
        <v>0.06</v>
      </c>
      <c r="AN36" s="55">
        <v>0.06</v>
      </c>
      <c r="AO36" s="55">
        <v>0.06</v>
      </c>
      <c r="AP36" s="55">
        <v>0.06</v>
      </c>
      <c r="AQ36" s="55">
        <v>0.06</v>
      </c>
      <c r="AR36" s="55">
        <v>0.06</v>
      </c>
      <c r="AS36" s="55">
        <v>0.06</v>
      </c>
      <c r="AT36" s="55">
        <v>0.06</v>
      </c>
      <c r="AU36" s="55">
        <v>0.06</v>
      </c>
      <c r="AV36" s="55">
        <v>0.06</v>
      </c>
      <c r="AW36" s="55">
        <v>0.06</v>
      </c>
      <c r="AX36" s="55">
        <v>0.06</v>
      </c>
      <c r="AY36" s="55">
        <v>0.06</v>
      </c>
      <c r="AZ36" s="55">
        <v>0.06</v>
      </c>
      <c r="BA36" s="55">
        <v>0.06</v>
      </c>
    </row>
    <row r="38" spans="2:53" x14ac:dyDescent="0.3">
      <c r="C38" t="s">
        <v>92</v>
      </c>
    </row>
    <row r="39" spans="2:53" x14ac:dyDescent="0.3">
      <c r="C39" s="50" t="s">
        <v>52</v>
      </c>
      <c r="D39" s="58">
        <f>0.02</f>
        <v>0.02</v>
      </c>
      <c r="E39" s="58">
        <f t="shared" ref="E39:AC41" si="11">0.02</f>
        <v>0.02</v>
      </c>
      <c r="F39" s="58">
        <f t="shared" si="11"/>
        <v>0.02</v>
      </c>
      <c r="G39" s="58">
        <f t="shared" si="11"/>
        <v>0.02</v>
      </c>
      <c r="H39" s="58">
        <f t="shared" si="11"/>
        <v>0.02</v>
      </c>
      <c r="I39" s="58">
        <f t="shared" si="11"/>
        <v>0.02</v>
      </c>
      <c r="J39" s="58">
        <f t="shared" si="11"/>
        <v>0.02</v>
      </c>
      <c r="K39" s="58">
        <f t="shared" si="11"/>
        <v>0.02</v>
      </c>
      <c r="L39" s="58">
        <f t="shared" si="11"/>
        <v>0.02</v>
      </c>
      <c r="M39" s="58">
        <f t="shared" si="11"/>
        <v>0.02</v>
      </c>
      <c r="N39" s="58">
        <f t="shared" si="11"/>
        <v>0.02</v>
      </c>
      <c r="O39" s="58">
        <f t="shared" si="11"/>
        <v>0.02</v>
      </c>
      <c r="P39" s="58">
        <f t="shared" si="11"/>
        <v>0.02</v>
      </c>
      <c r="Q39" s="58">
        <f t="shared" si="11"/>
        <v>0.02</v>
      </c>
      <c r="R39" s="58">
        <f t="shared" si="11"/>
        <v>0.02</v>
      </c>
      <c r="S39" s="58">
        <f t="shared" si="11"/>
        <v>0.02</v>
      </c>
      <c r="T39" s="58">
        <f t="shared" si="11"/>
        <v>0.02</v>
      </c>
      <c r="U39" s="58">
        <f t="shared" si="11"/>
        <v>0.02</v>
      </c>
      <c r="V39" s="58">
        <f t="shared" si="11"/>
        <v>0.02</v>
      </c>
      <c r="W39" s="58">
        <f t="shared" si="11"/>
        <v>0.02</v>
      </c>
      <c r="X39" s="58">
        <f t="shared" si="11"/>
        <v>0.02</v>
      </c>
      <c r="Y39" s="58">
        <f t="shared" si="11"/>
        <v>0.02</v>
      </c>
      <c r="Z39" s="58">
        <f t="shared" si="11"/>
        <v>0.02</v>
      </c>
      <c r="AA39" s="58">
        <f t="shared" si="11"/>
        <v>0.02</v>
      </c>
      <c r="AB39" s="58">
        <f t="shared" si="11"/>
        <v>0.02</v>
      </c>
      <c r="AC39" s="58">
        <f t="shared" si="11"/>
        <v>0.02</v>
      </c>
      <c r="AD39" s="58">
        <f t="shared" ref="AD39:BA41" si="12">0.02</f>
        <v>0.02</v>
      </c>
      <c r="AE39" s="58">
        <f t="shared" si="12"/>
        <v>0.02</v>
      </c>
      <c r="AF39" s="58">
        <f t="shared" si="12"/>
        <v>0.02</v>
      </c>
      <c r="AG39" s="58">
        <f t="shared" si="12"/>
        <v>0.02</v>
      </c>
      <c r="AH39" s="58">
        <f t="shared" si="12"/>
        <v>0.02</v>
      </c>
      <c r="AI39" s="58">
        <f t="shared" si="12"/>
        <v>0.02</v>
      </c>
      <c r="AJ39" s="58">
        <f t="shared" si="12"/>
        <v>0.02</v>
      </c>
      <c r="AK39" s="58">
        <f t="shared" si="12"/>
        <v>0.02</v>
      </c>
      <c r="AL39" s="58">
        <f t="shared" si="12"/>
        <v>0.02</v>
      </c>
      <c r="AM39" s="58">
        <f t="shared" si="12"/>
        <v>0.02</v>
      </c>
      <c r="AN39" s="58">
        <f t="shared" si="12"/>
        <v>0.02</v>
      </c>
      <c r="AO39" s="58">
        <f t="shared" si="12"/>
        <v>0.02</v>
      </c>
      <c r="AP39" s="58">
        <f t="shared" si="12"/>
        <v>0.02</v>
      </c>
      <c r="AQ39" s="58">
        <f t="shared" si="12"/>
        <v>0.02</v>
      </c>
      <c r="AR39" s="58">
        <f t="shared" si="12"/>
        <v>0.02</v>
      </c>
      <c r="AS39" s="58">
        <f t="shared" si="12"/>
        <v>0.02</v>
      </c>
      <c r="AT39" s="58">
        <f t="shared" si="12"/>
        <v>0.02</v>
      </c>
      <c r="AU39" s="58">
        <f t="shared" si="12"/>
        <v>0.02</v>
      </c>
      <c r="AV39" s="58">
        <f t="shared" si="12"/>
        <v>0.02</v>
      </c>
      <c r="AW39" s="58">
        <f t="shared" si="12"/>
        <v>0.02</v>
      </c>
      <c r="AX39" s="58">
        <f t="shared" si="12"/>
        <v>0.02</v>
      </c>
      <c r="AY39" s="58">
        <f t="shared" si="12"/>
        <v>0.02</v>
      </c>
      <c r="AZ39" s="58">
        <f t="shared" si="12"/>
        <v>0.02</v>
      </c>
      <c r="BA39" s="58">
        <f t="shared" si="12"/>
        <v>0.02</v>
      </c>
    </row>
    <row r="40" spans="2:53" x14ac:dyDescent="0.3">
      <c r="C40" s="50" t="s">
        <v>86</v>
      </c>
      <c r="D40" s="58">
        <f t="shared" ref="D40:S41" si="13">0.02</f>
        <v>0.02</v>
      </c>
      <c r="E40" s="58">
        <f t="shared" si="13"/>
        <v>0.02</v>
      </c>
      <c r="F40" s="58">
        <f t="shared" si="13"/>
        <v>0.02</v>
      </c>
      <c r="G40" s="58">
        <f t="shared" si="13"/>
        <v>0.02</v>
      </c>
      <c r="H40" s="58">
        <f t="shared" si="13"/>
        <v>0.02</v>
      </c>
      <c r="I40" s="58">
        <f t="shared" si="13"/>
        <v>0.02</v>
      </c>
      <c r="J40" s="58">
        <f t="shared" si="13"/>
        <v>0.02</v>
      </c>
      <c r="K40" s="58">
        <f t="shared" si="13"/>
        <v>0.02</v>
      </c>
      <c r="L40" s="58">
        <f t="shared" si="13"/>
        <v>0.02</v>
      </c>
      <c r="M40" s="58">
        <f t="shared" si="13"/>
        <v>0.02</v>
      </c>
      <c r="N40" s="58">
        <f t="shared" si="13"/>
        <v>0.02</v>
      </c>
      <c r="O40" s="58">
        <f t="shared" si="13"/>
        <v>0.02</v>
      </c>
      <c r="P40" s="58">
        <f t="shared" si="13"/>
        <v>0.02</v>
      </c>
      <c r="Q40" s="58">
        <f t="shared" si="13"/>
        <v>0.02</v>
      </c>
      <c r="R40" s="58">
        <f t="shared" si="13"/>
        <v>0.02</v>
      </c>
      <c r="S40" s="58">
        <f t="shared" si="13"/>
        <v>0.02</v>
      </c>
      <c r="T40" s="58">
        <f t="shared" si="11"/>
        <v>0.02</v>
      </c>
      <c r="U40" s="58">
        <f t="shared" si="11"/>
        <v>0.02</v>
      </c>
      <c r="V40" s="58">
        <f t="shared" si="11"/>
        <v>0.02</v>
      </c>
      <c r="W40" s="58">
        <f t="shared" si="11"/>
        <v>0.02</v>
      </c>
      <c r="X40" s="58">
        <f t="shared" si="11"/>
        <v>0.02</v>
      </c>
      <c r="Y40" s="58">
        <f t="shared" si="11"/>
        <v>0.02</v>
      </c>
      <c r="Z40" s="58">
        <f t="shared" si="11"/>
        <v>0.02</v>
      </c>
      <c r="AA40" s="58">
        <f t="shared" si="11"/>
        <v>0.02</v>
      </c>
      <c r="AB40" s="58">
        <f t="shared" si="11"/>
        <v>0.02</v>
      </c>
      <c r="AC40" s="58">
        <f t="shared" si="11"/>
        <v>0.02</v>
      </c>
      <c r="AD40" s="58">
        <f t="shared" si="12"/>
        <v>0.02</v>
      </c>
      <c r="AE40" s="58">
        <f t="shared" si="12"/>
        <v>0.02</v>
      </c>
      <c r="AF40" s="58">
        <f t="shared" si="12"/>
        <v>0.02</v>
      </c>
      <c r="AG40" s="58">
        <f t="shared" si="12"/>
        <v>0.02</v>
      </c>
      <c r="AH40" s="58">
        <f t="shared" si="12"/>
        <v>0.02</v>
      </c>
      <c r="AI40" s="58">
        <f t="shared" si="12"/>
        <v>0.02</v>
      </c>
      <c r="AJ40" s="58">
        <f t="shared" si="12"/>
        <v>0.02</v>
      </c>
      <c r="AK40" s="58">
        <f t="shared" si="12"/>
        <v>0.02</v>
      </c>
      <c r="AL40" s="58">
        <f t="shared" si="12"/>
        <v>0.02</v>
      </c>
      <c r="AM40" s="58">
        <f t="shared" si="12"/>
        <v>0.02</v>
      </c>
      <c r="AN40" s="58">
        <f t="shared" si="12"/>
        <v>0.02</v>
      </c>
      <c r="AO40" s="58">
        <f t="shared" si="12"/>
        <v>0.02</v>
      </c>
      <c r="AP40" s="58">
        <f t="shared" si="12"/>
        <v>0.02</v>
      </c>
      <c r="AQ40" s="58">
        <f t="shared" si="12"/>
        <v>0.02</v>
      </c>
      <c r="AR40" s="58">
        <f t="shared" si="12"/>
        <v>0.02</v>
      </c>
      <c r="AS40" s="58">
        <f t="shared" si="12"/>
        <v>0.02</v>
      </c>
      <c r="AT40" s="58">
        <f t="shared" si="12"/>
        <v>0.02</v>
      </c>
      <c r="AU40" s="58">
        <f t="shared" si="12"/>
        <v>0.02</v>
      </c>
      <c r="AV40" s="58">
        <f t="shared" si="12"/>
        <v>0.02</v>
      </c>
      <c r="AW40" s="58">
        <f t="shared" si="12"/>
        <v>0.02</v>
      </c>
      <c r="AX40" s="58">
        <f t="shared" si="12"/>
        <v>0.02</v>
      </c>
      <c r="AY40" s="58">
        <f t="shared" si="12"/>
        <v>0.02</v>
      </c>
      <c r="AZ40" s="58">
        <f t="shared" si="12"/>
        <v>0.02</v>
      </c>
      <c r="BA40" s="58">
        <f t="shared" si="12"/>
        <v>0.02</v>
      </c>
    </row>
    <row r="41" spans="2:53" x14ac:dyDescent="0.3">
      <c r="C41" s="50" t="s">
        <v>87</v>
      </c>
      <c r="D41" s="58">
        <f t="shared" si="13"/>
        <v>0.02</v>
      </c>
      <c r="E41" s="58">
        <f t="shared" si="11"/>
        <v>0.02</v>
      </c>
      <c r="F41" s="58">
        <f t="shared" si="11"/>
        <v>0.02</v>
      </c>
      <c r="G41" s="58">
        <f t="shared" si="11"/>
        <v>0.02</v>
      </c>
      <c r="H41" s="58">
        <f t="shared" si="11"/>
        <v>0.02</v>
      </c>
      <c r="I41" s="58">
        <f t="shared" si="11"/>
        <v>0.02</v>
      </c>
      <c r="J41" s="58">
        <f t="shared" si="11"/>
        <v>0.02</v>
      </c>
      <c r="K41" s="58">
        <f t="shared" si="11"/>
        <v>0.02</v>
      </c>
      <c r="L41" s="58">
        <f t="shared" si="11"/>
        <v>0.02</v>
      </c>
      <c r="M41" s="58">
        <f t="shared" si="11"/>
        <v>0.02</v>
      </c>
      <c r="N41" s="58">
        <f t="shared" si="11"/>
        <v>0.02</v>
      </c>
      <c r="O41" s="58">
        <f t="shared" si="11"/>
        <v>0.02</v>
      </c>
      <c r="P41" s="58">
        <f t="shared" si="11"/>
        <v>0.02</v>
      </c>
      <c r="Q41" s="58">
        <f t="shared" si="11"/>
        <v>0.02</v>
      </c>
      <c r="R41" s="58">
        <f t="shared" si="11"/>
        <v>0.02</v>
      </c>
      <c r="S41" s="58">
        <f t="shared" si="11"/>
        <v>0.02</v>
      </c>
      <c r="T41" s="58">
        <f t="shared" si="11"/>
        <v>0.02</v>
      </c>
      <c r="U41" s="58">
        <f t="shared" si="11"/>
        <v>0.02</v>
      </c>
      <c r="V41" s="58">
        <f t="shared" si="11"/>
        <v>0.02</v>
      </c>
      <c r="W41" s="58">
        <f t="shared" si="11"/>
        <v>0.02</v>
      </c>
      <c r="X41" s="58">
        <f t="shared" si="11"/>
        <v>0.02</v>
      </c>
      <c r="Y41" s="58">
        <f t="shared" si="11"/>
        <v>0.02</v>
      </c>
      <c r="Z41" s="58">
        <f t="shared" si="11"/>
        <v>0.02</v>
      </c>
      <c r="AA41" s="58">
        <f t="shared" si="11"/>
        <v>0.02</v>
      </c>
      <c r="AB41" s="58">
        <f t="shared" si="11"/>
        <v>0.02</v>
      </c>
      <c r="AC41" s="58">
        <f t="shared" si="11"/>
        <v>0.02</v>
      </c>
      <c r="AD41" s="58">
        <f t="shared" si="12"/>
        <v>0.02</v>
      </c>
      <c r="AE41" s="58">
        <f t="shared" si="12"/>
        <v>0.02</v>
      </c>
      <c r="AF41" s="58">
        <f t="shared" si="12"/>
        <v>0.02</v>
      </c>
      <c r="AG41" s="58">
        <f t="shared" si="12"/>
        <v>0.02</v>
      </c>
      <c r="AH41" s="58">
        <f t="shared" si="12"/>
        <v>0.02</v>
      </c>
      <c r="AI41" s="58">
        <f t="shared" si="12"/>
        <v>0.02</v>
      </c>
      <c r="AJ41" s="58">
        <f t="shared" si="12"/>
        <v>0.02</v>
      </c>
      <c r="AK41" s="58">
        <f t="shared" si="12"/>
        <v>0.02</v>
      </c>
      <c r="AL41" s="58">
        <f t="shared" si="12"/>
        <v>0.02</v>
      </c>
      <c r="AM41" s="58">
        <f t="shared" si="12"/>
        <v>0.02</v>
      </c>
      <c r="AN41" s="58">
        <f t="shared" si="12"/>
        <v>0.02</v>
      </c>
      <c r="AO41" s="58">
        <f t="shared" si="12"/>
        <v>0.02</v>
      </c>
      <c r="AP41" s="58">
        <f t="shared" si="12"/>
        <v>0.02</v>
      </c>
      <c r="AQ41" s="58">
        <f t="shared" si="12"/>
        <v>0.02</v>
      </c>
      <c r="AR41" s="58">
        <f t="shared" si="12"/>
        <v>0.02</v>
      </c>
      <c r="AS41" s="58">
        <f t="shared" si="12"/>
        <v>0.02</v>
      </c>
      <c r="AT41" s="58">
        <f t="shared" si="12"/>
        <v>0.02</v>
      </c>
      <c r="AU41" s="58">
        <f t="shared" si="12"/>
        <v>0.02</v>
      </c>
      <c r="AV41" s="58">
        <f t="shared" si="12"/>
        <v>0.02</v>
      </c>
      <c r="AW41" s="58">
        <f t="shared" si="12"/>
        <v>0.02</v>
      </c>
      <c r="AX41" s="58">
        <f t="shared" si="12"/>
        <v>0.02</v>
      </c>
      <c r="AY41" s="58">
        <f t="shared" si="12"/>
        <v>0.02</v>
      </c>
      <c r="AZ41" s="58">
        <f t="shared" si="12"/>
        <v>0.02</v>
      </c>
      <c r="BA41" s="58">
        <f t="shared" si="12"/>
        <v>0.02</v>
      </c>
    </row>
    <row r="43" spans="2:53" x14ac:dyDescent="0.3">
      <c r="B43" s="3" t="s">
        <v>94</v>
      </c>
    </row>
    <row r="44" spans="2:53" x14ac:dyDescent="0.3">
      <c r="C44" t="s">
        <v>95</v>
      </c>
    </row>
    <row r="45" spans="2:53" x14ac:dyDescent="0.3">
      <c r="B45" t="s">
        <v>96</v>
      </c>
      <c r="C45" s="50" t="s">
        <v>97</v>
      </c>
      <c r="M45" s="59">
        <v>1</v>
      </c>
      <c r="N45" s="59">
        <v>24</v>
      </c>
      <c r="O45" s="59">
        <v>24</v>
      </c>
      <c r="P45" s="59">
        <v>21</v>
      </c>
      <c r="Q45" s="59">
        <v>21</v>
      </c>
      <c r="R45" s="59">
        <v>28</v>
      </c>
      <c r="S45" s="51">
        <f t="shared" ref="S45:BA45" si="14">$R45/($R76*$R78*$R80+$R88*$R90*$R92)*(S76*S78*S80+S88*S90*S92)</f>
        <v>28</v>
      </c>
      <c r="T45" s="51">
        <f t="shared" si="14"/>
        <v>28</v>
      </c>
      <c r="U45" s="51">
        <f t="shared" si="14"/>
        <v>39.199999999999996</v>
      </c>
      <c r="V45" s="51">
        <f t="shared" si="14"/>
        <v>39.199999999999996</v>
      </c>
      <c r="W45" s="51">
        <f t="shared" si="14"/>
        <v>42</v>
      </c>
      <c r="X45" s="51">
        <f t="shared" si="14"/>
        <v>46.199999999999996</v>
      </c>
      <c r="Y45" s="51">
        <f t="shared" si="14"/>
        <v>49.559999999999995</v>
      </c>
      <c r="Z45" s="51">
        <f t="shared" si="14"/>
        <v>53.133662444844667</v>
      </c>
      <c r="AA45" s="51">
        <f t="shared" si="14"/>
        <v>53.133662444844667</v>
      </c>
      <c r="AB45" s="51">
        <f t="shared" si="14"/>
        <v>53.133662444844667</v>
      </c>
      <c r="AC45" s="51">
        <f t="shared" si="14"/>
        <v>53.133662444844667</v>
      </c>
      <c r="AD45" s="51">
        <f t="shared" si="14"/>
        <v>53.133662444844667</v>
      </c>
      <c r="AE45" s="51">
        <f t="shared" si="14"/>
        <v>53.133662444844667</v>
      </c>
      <c r="AF45" s="51">
        <f t="shared" si="14"/>
        <v>53.133662444844667</v>
      </c>
      <c r="AG45" s="51">
        <f t="shared" si="14"/>
        <v>54.599999999999994</v>
      </c>
      <c r="AH45" s="51">
        <f t="shared" si="14"/>
        <v>56.102124441121646</v>
      </c>
      <c r="AI45" s="51">
        <f t="shared" si="14"/>
        <v>67.594961769225534</v>
      </c>
      <c r="AJ45" s="51">
        <f t="shared" si="14"/>
        <v>68.104249065026025</v>
      </c>
      <c r="AK45" s="51">
        <f t="shared" si="14"/>
        <v>79.472557473104374</v>
      </c>
      <c r="AL45" s="51">
        <f t="shared" si="14"/>
        <v>79.472557473104374</v>
      </c>
      <c r="AM45" s="51">
        <f t="shared" si="14"/>
        <v>79.472557473104374</v>
      </c>
      <c r="AN45" s="51">
        <f t="shared" si="14"/>
        <v>79.564820690765345</v>
      </c>
      <c r="AO45" s="51">
        <f t="shared" si="14"/>
        <v>79.564820690765345</v>
      </c>
      <c r="AP45" s="51">
        <f t="shared" si="14"/>
        <v>79.86928821484436</v>
      </c>
      <c r="AQ45" s="51">
        <f t="shared" si="14"/>
        <v>79.86928821484436</v>
      </c>
      <c r="AR45" s="51">
        <f t="shared" si="14"/>
        <v>79.86928821484436</v>
      </c>
      <c r="AS45" s="51">
        <f t="shared" si="14"/>
        <v>86.86928821484436</v>
      </c>
      <c r="AT45" s="51">
        <f t="shared" si="14"/>
        <v>86.86928821484436</v>
      </c>
      <c r="AU45" s="51">
        <f t="shared" si="14"/>
        <v>88.966674990941016</v>
      </c>
      <c r="AV45" s="51">
        <f t="shared" si="14"/>
        <v>93.86928821484436</v>
      </c>
      <c r="AW45" s="51">
        <f t="shared" si="14"/>
        <v>93.86928821484436</v>
      </c>
      <c r="AX45" s="51">
        <f t="shared" si="14"/>
        <v>93.86928821484436</v>
      </c>
      <c r="AY45" s="51">
        <f t="shared" si="14"/>
        <v>93.86928821484436</v>
      </c>
      <c r="AZ45" s="51">
        <f t="shared" si="14"/>
        <v>93.86928821484436</v>
      </c>
      <c r="BA45" s="51">
        <f t="shared" si="14"/>
        <v>93.86928821484436</v>
      </c>
    </row>
    <row r="46" spans="2:53" x14ac:dyDescent="0.3">
      <c r="B46" t="s">
        <v>96</v>
      </c>
      <c r="C46" s="50" t="s">
        <v>98</v>
      </c>
      <c r="M46" s="59">
        <v>0</v>
      </c>
      <c r="N46" s="59">
        <v>8</v>
      </c>
      <c r="O46" s="59">
        <v>8</v>
      </c>
      <c r="P46" s="59">
        <v>8</v>
      </c>
      <c r="Q46" s="59">
        <v>8</v>
      </c>
      <c r="R46" s="59">
        <v>9</v>
      </c>
      <c r="S46" s="51">
        <f>$R46/$R45*S$45</f>
        <v>9</v>
      </c>
      <c r="T46" s="51">
        <f t="shared" ref="T46:BA46" si="15">$R46/$R45*T$45</f>
        <v>9</v>
      </c>
      <c r="U46" s="51">
        <f t="shared" si="15"/>
        <v>12.6</v>
      </c>
      <c r="V46" s="51">
        <f t="shared" si="15"/>
        <v>12.6</v>
      </c>
      <c r="W46" s="51">
        <f t="shared" si="15"/>
        <v>13.500000000000002</v>
      </c>
      <c r="X46" s="51">
        <f t="shared" si="15"/>
        <v>14.85</v>
      </c>
      <c r="Y46" s="51">
        <f t="shared" si="15"/>
        <v>15.93</v>
      </c>
      <c r="Z46" s="51">
        <f t="shared" si="15"/>
        <v>17.078677214414359</v>
      </c>
      <c r="AA46" s="51">
        <f t="shared" si="15"/>
        <v>17.078677214414359</v>
      </c>
      <c r="AB46" s="51">
        <f t="shared" si="15"/>
        <v>17.078677214414359</v>
      </c>
      <c r="AC46" s="51">
        <f t="shared" si="15"/>
        <v>17.078677214414359</v>
      </c>
      <c r="AD46" s="51">
        <f t="shared" si="15"/>
        <v>17.078677214414359</v>
      </c>
      <c r="AE46" s="51">
        <f t="shared" si="15"/>
        <v>17.078677214414359</v>
      </c>
      <c r="AF46" s="51">
        <f t="shared" si="15"/>
        <v>17.078677214414359</v>
      </c>
      <c r="AG46" s="51">
        <f t="shared" si="15"/>
        <v>17.55</v>
      </c>
      <c r="AH46" s="51">
        <f t="shared" si="15"/>
        <v>18.032825713217672</v>
      </c>
      <c r="AI46" s="51">
        <f t="shared" si="15"/>
        <v>21.726951997251067</v>
      </c>
      <c r="AJ46" s="51">
        <f t="shared" si="15"/>
        <v>21.89065148518694</v>
      </c>
      <c r="AK46" s="51">
        <f t="shared" si="15"/>
        <v>25.544750616354978</v>
      </c>
      <c r="AL46" s="51">
        <f t="shared" si="15"/>
        <v>25.544750616354978</v>
      </c>
      <c r="AM46" s="51">
        <f t="shared" si="15"/>
        <v>25.544750616354978</v>
      </c>
      <c r="AN46" s="51">
        <f t="shared" si="15"/>
        <v>25.574406650603148</v>
      </c>
      <c r="AO46" s="51">
        <f t="shared" si="15"/>
        <v>25.574406650603148</v>
      </c>
      <c r="AP46" s="51">
        <f t="shared" si="15"/>
        <v>25.672271211914261</v>
      </c>
      <c r="AQ46" s="51">
        <f t="shared" si="15"/>
        <v>25.672271211914261</v>
      </c>
      <c r="AR46" s="51">
        <f t="shared" si="15"/>
        <v>25.672271211914261</v>
      </c>
      <c r="AS46" s="51">
        <f t="shared" si="15"/>
        <v>27.922271211914261</v>
      </c>
      <c r="AT46" s="51">
        <f t="shared" si="15"/>
        <v>27.922271211914261</v>
      </c>
      <c r="AU46" s="51">
        <f t="shared" si="15"/>
        <v>28.596431247088187</v>
      </c>
      <c r="AV46" s="51">
        <f t="shared" si="15"/>
        <v>30.172271211914261</v>
      </c>
      <c r="AW46" s="51">
        <f t="shared" si="15"/>
        <v>30.172271211914261</v>
      </c>
      <c r="AX46" s="51">
        <f t="shared" si="15"/>
        <v>30.172271211914261</v>
      </c>
      <c r="AY46" s="51">
        <f t="shared" si="15"/>
        <v>30.172271211914261</v>
      </c>
      <c r="AZ46" s="51">
        <f t="shared" si="15"/>
        <v>30.172271211914261</v>
      </c>
      <c r="BA46" s="51">
        <f t="shared" si="15"/>
        <v>30.172271211914261</v>
      </c>
    </row>
    <row r="47" spans="2:53" x14ac:dyDescent="0.3">
      <c r="B47" t="s">
        <v>96</v>
      </c>
      <c r="C47" s="50" t="s">
        <v>99</v>
      </c>
      <c r="M47" s="59">
        <v>0</v>
      </c>
      <c r="N47" s="59">
        <v>7</v>
      </c>
      <c r="O47" s="59">
        <v>7</v>
      </c>
      <c r="P47" s="59">
        <v>0</v>
      </c>
      <c r="Q47" s="59">
        <v>0</v>
      </c>
      <c r="R47" s="59">
        <v>0</v>
      </c>
      <c r="S47" s="51">
        <f>$R47/$R45*S$45</f>
        <v>0</v>
      </c>
      <c r="T47" s="51">
        <f t="shared" ref="T47:BA47" si="16">$R47/$R45*T$45</f>
        <v>0</v>
      </c>
      <c r="U47" s="51">
        <f t="shared" si="16"/>
        <v>0</v>
      </c>
      <c r="V47" s="51">
        <f t="shared" si="16"/>
        <v>0</v>
      </c>
      <c r="W47" s="51">
        <f t="shared" si="16"/>
        <v>0</v>
      </c>
      <c r="X47" s="51">
        <f t="shared" si="16"/>
        <v>0</v>
      </c>
      <c r="Y47" s="51">
        <f t="shared" si="16"/>
        <v>0</v>
      </c>
      <c r="Z47" s="51">
        <f t="shared" si="16"/>
        <v>0</v>
      </c>
      <c r="AA47" s="51">
        <f t="shared" si="16"/>
        <v>0</v>
      </c>
      <c r="AB47" s="51">
        <f t="shared" si="16"/>
        <v>0</v>
      </c>
      <c r="AC47" s="51">
        <f t="shared" si="16"/>
        <v>0</v>
      </c>
      <c r="AD47" s="51">
        <f t="shared" si="16"/>
        <v>0</v>
      </c>
      <c r="AE47" s="51">
        <f t="shared" si="16"/>
        <v>0</v>
      </c>
      <c r="AF47" s="51">
        <f t="shared" si="16"/>
        <v>0</v>
      </c>
      <c r="AG47" s="51">
        <f t="shared" si="16"/>
        <v>0</v>
      </c>
      <c r="AH47" s="51">
        <f t="shared" si="16"/>
        <v>0</v>
      </c>
      <c r="AI47" s="51">
        <f t="shared" si="16"/>
        <v>0</v>
      </c>
      <c r="AJ47" s="51">
        <f t="shared" si="16"/>
        <v>0</v>
      </c>
      <c r="AK47" s="51">
        <f t="shared" si="16"/>
        <v>0</v>
      </c>
      <c r="AL47" s="51">
        <f t="shared" si="16"/>
        <v>0</v>
      </c>
      <c r="AM47" s="51">
        <f t="shared" si="16"/>
        <v>0</v>
      </c>
      <c r="AN47" s="51">
        <f t="shared" si="16"/>
        <v>0</v>
      </c>
      <c r="AO47" s="51">
        <f t="shared" si="16"/>
        <v>0</v>
      </c>
      <c r="AP47" s="51">
        <f t="shared" si="16"/>
        <v>0</v>
      </c>
      <c r="AQ47" s="51">
        <f t="shared" si="16"/>
        <v>0</v>
      </c>
      <c r="AR47" s="51">
        <f t="shared" si="16"/>
        <v>0</v>
      </c>
      <c r="AS47" s="51">
        <f t="shared" si="16"/>
        <v>0</v>
      </c>
      <c r="AT47" s="51">
        <f t="shared" si="16"/>
        <v>0</v>
      </c>
      <c r="AU47" s="51">
        <f t="shared" si="16"/>
        <v>0</v>
      </c>
      <c r="AV47" s="51">
        <f t="shared" si="16"/>
        <v>0</v>
      </c>
      <c r="AW47" s="51">
        <f t="shared" si="16"/>
        <v>0</v>
      </c>
      <c r="AX47" s="51">
        <f t="shared" si="16"/>
        <v>0</v>
      </c>
      <c r="AY47" s="51">
        <f t="shared" si="16"/>
        <v>0</v>
      </c>
      <c r="AZ47" s="51">
        <f t="shared" si="16"/>
        <v>0</v>
      </c>
      <c r="BA47" s="51">
        <f t="shared" si="16"/>
        <v>0</v>
      </c>
    </row>
    <row r="48" spans="2:53" x14ac:dyDescent="0.3">
      <c r="B48" t="s">
        <v>100</v>
      </c>
      <c r="C48" s="50" t="s">
        <v>101</v>
      </c>
      <c r="M48" s="59">
        <v>0</v>
      </c>
      <c r="N48" s="59">
        <v>7</v>
      </c>
      <c r="O48" s="59">
        <v>7</v>
      </c>
      <c r="P48" s="59">
        <v>1</v>
      </c>
      <c r="Q48" s="51">
        <f>P48</f>
        <v>1</v>
      </c>
      <c r="R48" s="51">
        <f t="shared" ref="R48:BA48" si="17">Q48</f>
        <v>1</v>
      </c>
      <c r="S48" s="51">
        <f t="shared" si="17"/>
        <v>1</v>
      </c>
      <c r="T48" s="51">
        <f t="shared" si="17"/>
        <v>1</v>
      </c>
      <c r="U48" s="51">
        <f t="shared" si="17"/>
        <v>1</v>
      </c>
      <c r="V48" s="51">
        <f t="shared" si="17"/>
        <v>1</v>
      </c>
      <c r="W48" s="51">
        <f t="shared" si="17"/>
        <v>1</v>
      </c>
      <c r="X48" s="51">
        <f t="shared" si="17"/>
        <v>1</v>
      </c>
      <c r="Y48" s="51">
        <f t="shared" si="17"/>
        <v>1</v>
      </c>
      <c r="Z48" s="51">
        <f t="shared" si="17"/>
        <v>1</v>
      </c>
      <c r="AA48" s="51">
        <f t="shared" si="17"/>
        <v>1</v>
      </c>
      <c r="AB48" s="51">
        <f t="shared" si="17"/>
        <v>1</v>
      </c>
      <c r="AC48" s="51">
        <f t="shared" si="17"/>
        <v>1</v>
      </c>
      <c r="AD48" s="51">
        <f t="shared" si="17"/>
        <v>1</v>
      </c>
      <c r="AE48" s="51">
        <f t="shared" si="17"/>
        <v>1</v>
      </c>
      <c r="AF48" s="51">
        <f t="shared" si="17"/>
        <v>1</v>
      </c>
      <c r="AG48" s="51">
        <f t="shared" si="17"/>
        <v>1</v>
      </c>
      <c r="AH48" s="51">
        <f t="shared" si="17"/>
        <v>1</v>
      </c>
      <c r="AI48" s="51">
        <f t="shared" si="17"/>
        <v>1</v>
      </c>
      <c r="AJ48" s="51">
        <f t="shared" si="17"/>
        <v>1</v>
      </c>
      <c r="AK48" s="51">
        <f t="shared" si="17"/>
        <v>1</v>
      </c>
      <c r="AL48" s="51">
        <f t="shared" si="17"/>
        <v>1</v>
      </c>
      <c r="AM48" s="51">
        <f t="shared" si="17"/>
        <v>1</v>
      </c>
      <c r="AN48" s="51">
        <f t="shared" si="17"/>
        <v>1</v>
      </c>
      <c r="AO48" s="51">
        <f t="shared" si="17"/>
        <v>1</v>
      </c>
      <c r="AP48" s="51">
        <f t="shared" si="17"/>
        <v>1</v>
      </c>
      <c r="AQ48" s="51">
        <f t="shared" si="17"/>
        <v>1</v>
      </c>
      <c r="AR48" s="51">
        <f t="shared" si="17"/>
        <v>1</v>
      </c>
      <c r="AS48" s="51">
        <f t="shared" si="17"/>
        <v>1</v>
      </c>
      <c r="AT48" s="51">
        <f t="shared" si="17"/>
        <v>1</v>
      </c>
      <c r="AU48" s="51">
        <f t="shared" si="17"/>
        <v>1</v>
      </c>
      <c r="AV48" s="51">
        <f t="shared" si="17"/>
        <v>1</v>
      </c>
      <c r="AW48" s="51">
        <f t="shared" si="17"/>
        <v>1</v>
      </c>
      <c r="AX48" s="51">
        <f t="shared" si="17"/>
        <v>1</v>
      </c>
      <c r="AY48" s="51">
        <f t="shared" si="17"/>
        <v>1</v>
      </c>
      <c r="AZ48" s="51">
        <f t="shared" si="17"/>
        <v>1</v>
      </c>
      <c r="BA48" s="51">
        <f t="shared" si="17"/>
        <v>1</v>
      </c>
    </row>
    <row r="49" spans="2:53" x14ac:dyDescent="0.3">
      <c r="B49" t="s">
        <v>96</v>
      </c>
      <c r="C49" s="50" t="s">
        <v>102</v>
      </c>
      <c r="M49" s="59">
        <v>2</v>
      </c>
      <c r="N49" s="59">
        <v>3</v>
      </c>
      <c r="O49" s="59">
        <v>3</v>
      </c>
      <c r="P49" s="59">
        <v>2</v>
      </c>
      <c r="Q49" s="59">
        <v>2</v>
      </c>
      <c r="R49" s="59">
        <v>2</v>
      </c>
      <c r="S49" s="59">
        <v>2</v>
      </c>
      <c r="T49" s="59">
        <v>2</v>
      </c>
      <c r="U49" s="59">
        <v>2</v>
      </c>
      <c r="V49" s="59">
        <v>4</v>
      </c>
      <c r="W49" s="59">
        <v>4</v>
      </c>
      <c r="X49" s="59">
        <v>4</v>
      </c>
      <c r="Y49" s="59">
        <v>4</v>
      </c>
      <c r="Z49" s="59">
        <v>4</v>
      </c>
      <c r="AA49" s="59">
        <v>4</v>
      </c>
      <c r="AB49" s="59">
        <v>4</v>
      </c>
      <c r="AC49" s="59">
        <v>4</v>
      </c>
      <c r="AD49" s="59">
        <v>4</v>
      </c>
      <c r="AE49" s="59">
        <v>4</v>
      </c>
      <c r="AF49" s="59">
        <v>4</v>
      </c>
      <c r="AG49" s="59">
        <v>4</v>
      </c>
      <c r="AH49" s="59">
        <v>4</v>
      </c>
      <c r="AI49" s="59">
        <v>4</v>
      </c>
      <c r="AJ49" s="59">
        <v>4</v>
      </c>
      <c r="AK49" s="59">
        <v>4</v>
      </c>
      <c r="AL49" s="59">
        <v>4</v>
      </c>
      <c r="AM49" s="59">
        <v>4</v>
      </c>
      <c r="AN49" s="59">
        <v>4</v>
      </c>
      <c r="AO49" s="59">
        <v>4</v>
      </c>
      <c r="AP49" s="59">
        <v>4</v>
      </c>
      <c r="AQ49" s="59">
        <v>4</v>
      </c>
      <c r="AR49" s="59">
        <v>4</v>
      </c>
      <c r="AS49" s="59">
        <v>4</v>
      </c>
      <c r="AT49" s="59">
        <v>4</v>
      </c>
      <c r="AU49" s="59">
        <v>4</v>
      </c>
      <c r="AV49" s="59">
        <v>4</v>
      </c>
      <c r="AW49" s="59">
        <v>4</v>
      </c>
      <c r="AX49" s="59">
        <v>4</v>
      </c>
      <c r="AY49" s="59">
        <v>4</v>
      </c>
      <c r="AZ49" s="59">
        <v>4</v>
      </c>
      <c r="BA49" s="59">
        <v>4</v>
      </c>
    </row>
    <row r="50" spans="2:53" x14ac:dyDescent="0.3">
      <c r="B50" t="s">
        <v>100</v>
      </c>
      <c r="C50" s="50" t="s">
        <v>103</v>
      </c>
      <c r="M50" s="59">
        <v>0</v>
      </c>
      <c r="N50" s="59">
        <v>9</v>
      </c>
      <c r="O50" s="59">
        <v>9</v>
      </c>
      <c r="P50" s="59">
        <v>3</v>
      </c>
      <c r="Q50" s="59">
        <f>P50</f>
        <v>3</v>
      </c>
      <c r="R50" s="59">
        <f t="shared" ref="R50:AG51" si="18">Q50</f>
        <v>3</v>
      </c>
      <c r="S50" s="59">
        <f t="shared" si="18"/>
        <v>3</v>
      </c>
      <c r="T50" s="59">
        <f t="shared" si="18"/>
        <v>3</v>
      </c>
      <c r="U50" s="59">
        <f t="shared" si="18"/>
        <v>3</v>
      </c>
      <c r="V50" s="59">
        <v>6</v>
      </c>
      <c r="W50" s="59">
        <f t="shared" si="18"/>
        <v>6</v>
      </c>
      <c r="X50" s="59">
        <f t="shared" si="18"/>
        <v>6</v>
      </c>
      <c r="Y50" s="59">
        <f t="shared" si="18"/>
        <v>6</v>
      </c>
      <c r="Z50" s="59">
        <f t="shared" si="18"/>
        <v>6</v>
      </c>
      <c r="AA50" s="59">
        <f t="shared" si="18"/>
        <v>6</v>
      </c>
      <c r="AB50" s="59">
        <f t="shared" si="18"/>
        <v>6</v>
      </c>
      <c r="AC50" s="59">
        <f t="shared" si="18"/>
        <v>6</v>
      </c>
      <c r="AD50" s="59">
        <f t="shared" si="18"/>
        <v>6</v>
      </c>
      <c r="AE50" s="59">
        <f t="shared" si="18"/>
        <v>6</v>
      </c>
      <c r="AF50" s="59">
        <f t="shared" si="18"/>
        <v>6</v>
      </c>
      <c r="AG50" s="59">
        <f t="shared" si="18"/>
        <v>6</v>
      </c>
      <c r="AH50" s="59">
        <f t="shared" ref="AH50:AW51" si="19">AG50</f>
        <v>6</v>
      </c>
      <c r="AI50" s="59">
        <f t="shared" si="19"/>
        <v>6</v>
      </c>
      <c r="AJ50" s="59">
        <f t="shared" si="19"/>
        <v>6</v>
      </c>
      <c r="AK50" s="59">
        <f t="shared" si="19"/>
        <v>6</v>
      </c>
      <c r="AL50" s="59">
        <f t="shared" si="19"/>
        <v>6</v>
      </c>
      <c r="AM50" s="59">
        <f t="shared" si="19"/>
        <v>6</v>
      </c>
      <c r="AN50" s="59">
        <f t="shared" si="19"/>
        <v>6</v>
      </c>
      <c r="AO50" s="59">
        <f t="shared" si="19"/>
        <v>6</v>
      </c>
      <c r="AP50" s="59">
        <f t="shared" si="19"/>
        <v>6</v>
      </c>
      <c r="AQ50" s="59">
        <f t="shared" si="19"/>
        <v>6</v>
      </c>
      <c r="AR50" s="59">
        <f t="shared" si="19"/>
        <v>6</v>
      </c>
      <c r="AS50" s="59">
        <f t="shared" si="19"/>
        <v>6</v>
      </c>
      <c r="AT50" s="59">
        <f t="shared" si="19"/>
        <v>6</v>
      </c>
      <c r="AU50" s="59">
        <f t="shared" si="19"/>
        <v>6</v>
      </c>
      <c r="AV50" s="59">
        <f t="shared" si="19"/>
        <v>6</v>
      </c>
      <c r="AW50" s="59">
        <f t="shared" si="19"/>
        <v>6</v>
      </c>
      <c r="AX50" s="59">
        <f t="shared" ref="AX50:BA51" si="20">AW50</f>
        <v>6</v>
      </c>
      <c r="AY50" s="59">
        <f t="shared" si="20"/>
        <v>6</v>
      </c>
      <c r="AZ50" s="59">
        <f t="shared" si="20"/>
        <v>6</v>
      </c>
      <c r="BA50" s="59">
        <f t="shared" si="20"/>
        <v>6</v>
      </c>
    </row>
    <row r="51" spans="2:53" x14ac:dyDescent="0.3">
      <c r="B51" t="s">
        <v>100</v>
      </c>
      <c r="C51" s="50" t="s">
        <v>104</v>
      </c>
      <c r="M51" s="59">
        <v>0</v>
      </c>
      <c r="N51" s="59">
        <v>9</v>
      </c>
      <c r="O51" s="59">
        <v>9</v>
      </c>
      <c r="P51" s="59">
        <v>0</v>
      </c>
      <c r="Q51" s="59">
        <v>0</v>
      </c>
      <c r="R51" s="59">
        <v>6</v>
      </c>
      <c r="S51" s="59">
        <f>R51</f>
        <v>6</v>
      </c>
      <c r="T51" s="59">
        <f t="shared" si="18"/>
        <v>6</v>
      </c>
      <c r="U51" s="59">
        <f t="shared" si="18"/>
        <v>6</v>
      </c>
      <c r="V51" s="59">
        <f t="shared" si="18"/>
        <v>6</v>
      </c>
      <c r="W51" s="59">
        <f t="shared" si="18"/>
        <v>6</v>
      </c>
      <c r="X51" s="59">
        <f t="shared" si="18"/>
        <v>6</v>
      </c>
      <c r="Y51" s="59">
        <f t="shared" si="18"/>
        <v>6</v>
      </c>
      <c r="Z51" s="59">
        <f t="shared" si="18"/>
        <v>6</v>
      </c>
      <c r="AA51" s="59">
        <f t="shared" si="18"/>
        <v>6</v>
      </c>
      <c r="AB51" s="59">
        <f t="shared" si="18"/>
        <v>6</v>
      </c>
      <c r="AC51" s="59">
        <f t="shared" si="18"/>
        <v>6</v>
      </c>
      <c r="AD51" s="59">
        <f t="shared" si="18"/>
        <v>6</v>
      </c>
      <c r="AE51" s="59">
        <f t="shared" si="18"/>
        <v>6</v>
      </c>
      <c r="AF51" s="59">
        <f t="shared" si="18"/>
        <v>6</v>
      </c>
      <c r="AG51" s="59">
        <f t="shared" si="18"/>
        <v>6</v>
      </c>
      <c r="AH51" s="59">
        <f t="shared" si="19"/>
        <v>6</v>
      </c>
      <c r="AI51" s="59">
        <f t="shared" si="19"/>
        <v>6</v>
      </c>
      <c r="AJ51" s="59">
        <f t="shared" si="19"/>
        <v>6</v>
      </c>
      <c r="AK51" s="59">
        <f t="shared" si="19"/>
        <v>6</v>
      </c>
      <c r="AL51" s="59">
        <f t="shared" si="19"/>
        <v>6</v>
      </c>
      <c r="AM51" s="59">
        <f t="shared" si="19"/>
        <v>6</v>
      </c>
      <c r="AN51" s="59">
        <f t="shared" si="19"/>
        <v>6</v>
      </c>
      <c r="AO51" s="59">
        <f t="shared" si="19"/>
        <v>6</v>
      </c>
      <c r="AP51" s="59">
        <f t="shared" si="19"/>
        <v>6</v>
      </c>
      <c r="AQ51" s="59">
        <f t="shared" si="19"/>
        <v>6</v>
      </c>
      <c r="AR51" s="59">
        <f t="shared" si="19"/>
        <v>6</v>
      </c>
      <c r="AS51" s="59">
        <f t="shared" si="19"/>
        <v>6</v>
      </c>
      <c r="AT51" s="59">
        <f t="shared" si="19"/>
        <v>6</v>
      </c>
      <c r="AU51" s="59">
        <f t="shared" si="19"/>
        <v>6</v>
      </c>
      <c r="AV51" s="59">
        <f t="shared" si="19"/>
        <v>6</v>
      </c>
      <c r="AW51" s="59">
        <f t="shared" si="19"/>
        <v>6</v>
      </c>
      <c r="AX51" s="59">
        <f t="shared" si="20"/>
        <v>6</v>
      </c>
      <c r="AY51" s="59">
        <f t="shared" si="20"/>
        <v>6</v>
      </c>
      <c r="AZ51" s="59">
        <f t="shared" si="20"/>
        <v>6</v>
      </c>
      <c r="BA51" s="59">
        <f t="shared" si="20"/>
        <v>6</v>
      </c>
    </row>
    <row r="52" spans="2:53" x14ac:dyDescent="0.3">
      <c r="B52" t="s">
        <v>96</v>
      </c>
      <c r="C52" s="50" t="s">
        <v>105</v>
      </c>
      <c r="M52" s="59">
        <v>2</v>
      </c>
      <c r="N52" s="59">
        <v>2</v>
      </c>
      <c r="O52" s="59">
        <v>2</v>
      </c>
      <c r="P52" s="59">
        <v>2</v>
      </c>
      <c r="Q52" s="59">
        <v>2</v>
      </c>
      <c r="R52" s="59">
        <v>2</v>
      </c>
      <c r="S52" s="59">
        <v>2</v>
      </c>
      <c r="T52" s="59">
        <v>2</v>
      </c>
      <c r="U52" s="59">
        <v>2</v>
      </c>
      <c r="V52" s="59">
        <v>4</v>
      </c>
      <c r="W52" s="59">
        <v>4</v>
      </c>
      <c r="X52" s="59">
        <v>4</v>
      </c>
      <c r="Y52" s="59">
        <v>4</v>
      </c>
      <c r="Z52" s="59">
        <v>4</v>
      </c>
      <c r="AA52" s="59">
        <v>4</v>
      </c>
      <c r="AB52" s="59">
        <v>4</v>
      </c>
      <c r="AC52" s="59">
        <v>4</v>
      </c>
      <c r="AD52" s="59">
        <v>4</v>
      </c>
      <c r="AE52" s="59">
        <v>4</v>
      </c>
      <c r="AF52" s="59">
        <v>4</v>
      </c>
      <c r="AG52" s="59">
        <v>4</v>
      </c>
      <c r="AH52" s="59">
        <v>4</v>
      </c>
      <c r="AI52" s="59">
        <v>4</v>
      </c>
      <c r="AJ52" s="59">
        <v>4</v>
      </c>
      <c r="AK52" s="59">
        <v>4</v>
      </c>
      <c r="AL52" s="59">
        <v>4</v>
      </c>
      <c r="AM52" s="59">
        <v>4</v>
      </c>
      <c r="AN52" s="59">
        <v>4</v>
      </c>
      <c r="AO52" s="59">
        <v>4</v>
      </c>
      <c r="AP52" s="59">
        <v>4</v>
      </c>
      <c r="AQ52" s="59">
        <v>4</v>
      </c>
      <c r="AR52" s="59">
        <v>4</v>
      </c>
      <c r="AS52" s="59">
        <v>4</v>
      </c>
      <c r="AT52" s="59">
        <v>4</v>
      </c>
      <c r="AU52" s="59">
        <v>4</v>
      </c>
      <c r="AV52" s="59">
        <v>4</v>
      </c>
      <c r="AW52" s="59">
        <v>4</v>
      </c>
      <c r="AX52" s="59">
        <v>4</v>
      </c>
      <c r="AY52" s="59">
        <v>4</v>
      </c>
      <c r="AZ52" s="59">
        <v>4</v>
      </c>
      <c r="BA52" s="59">
        <v>4</v>
      </c>
    </row>
    <row r="53" spans="2:53" x14ac:dyDescent="0.3">
      <c r="B53" t="s">
        <v>96</v>
      </c>
      <c r="C53" s="50" t="s">
        <v>106</v>
      </c>
      <c r="M53" s="59">
        <v>2</v>
      </c>
      <c r="N53" s="59">
        <v>2</v>
      </c>
      <c r="O53" s="59">
        <v>2</v>
      </c>
      <c r="P53" s="59">
        <v>2</v>
      </c>
      <c r="Q53" s="59">
        <v>2</v>
      </c>
      <c r="R53" s="59">
        <v>2</v>
      </c>
      <c r="S53" s="59">
        <v>2</v>
      </c>
      <c r="T53" s="59">
        <v>2</v>
      </c>
      <c r="U53" s="59">
        <v>2</v>
      </c>
      <c r="V53" s="59">
        <v>4</v>
      </c>
      <c r="W53" s="59">
        <v>4</v>
      </c>
      <c r="X53" s="59">
        <v>4</v>
      </c>
      <c r="Y53" s="59">
        <v>4</v>
      </c>
      <c r="Z53" s="59">
        <v>4</v>
      </c>
      <c r="AA53" s="59">
        <v>4</v>
      </c>
      <c r="AB53" s="59">
        <v>4</v>
      </c>
      <c r="AC53" s="59">
        <v>4</v>
      </c>
      <c r="AD53" s="59">
        <v>4</v>
      </c>
      <c r="AE53" s="59">
        <v>4</v>
      </c>
      <c r="AF53" s="59">
        <v>4</v>
      </c>
      <c r="AG53" s="59">
        <v>4</v>
      </c>
      <c r="AH53" s="59">
        <v>4</v>
      </c>
      <c r="AI53" s="59">
        <v>4</v>
      </c>
      <c r="AJ53" s="59">
        <v>4</v>
      </c>
      <c r="AK53" s="59">
        <v>4</v>
      </c>
      <c r="AL53" s="59">
        <v>4</v>
      </c>
      <c r="AM53" s="59">
        <v>4</v>
      </c>
      <c r="AN53" s="59">
        <v>4</v>
      </c>
      <c r="AO53" s="59">
        <v>4</v>
      </c>
      <c r="AP53" s="59">
        <v>4</v>
      </c>
      <c r="AQ53" s="59">
        <v>4</v>
      </c>
      <c r="AR53" s="59">
        <v>4</v>
      </c>
      <c r="AS53" s="59">
        <v>4</v>
      </c>
      <c r="AT53" s="59">
        <v>4</v>
      </c>
      <c r="AU53" s="59">
        <v>4</v>
      </c>
      <c r="AV53" s="59">
        <v>4</v>
      </c>
      <c r="AW53" s="59">
        <v>4</v>
      </c>
      <c r="AX53" s="59">
        <v>4</v>
      </c>
      <c r="AY53" s="59">
        <v>4</v>
      </c>
      <c r="AZ53" s="59">
        <v>4</v>
      </c>
      <c r="BA53" s="59">
        <v>4</v>
      </c>
    </row>
    <row r="54" spans="2:53" x14ac:dyDescent="0.3">
      <c r="B54" t="s">
        <v>100</v>
      </c>
      <c r="C54" s="50" t="s">
        <v>107</v>
      </c>
      <c r="M54" s="59">
        <v>3</v>
      </c>
      <c r="N54" s="59">
        <v>3</v>
      </c>
      <c r="O54" s="59">
        <v>3</v>
      </c>
      <c r="P54" s="59">
        <v>1</v>
      </c>
      <c r="Q54" s="59">
        <v>1</v>
      </c>
      <c r="R54" s="59">
        <v>1</v>
      </c>
      <c r="S54" s="59">
        <v>1</v>
      </c>
      <c r="T54" s="59">
        <v>1</v>
      </c>
      <c r="U54" s="59">
        <v>1</v>
      </c>
      <c r="V54" s="59">
        <v>2</v>
      </c>
      <c r="W54" s="59">
        <v>2</v>
      </c>
      <c r="X54" s="59">
        <v>2</v>
      </c>
      <c r="Y54" s="59">
        <v>2</v>
      </c>
      <c r="Z54" s="59">
        <v>2</v>
      </c>
      <c r="AA54" s="59">
        <v>2</v>
      </c>
      <c r="AB54" s="59">
        <v>2</v>
      </c>
      <c r="AC54" s="59">
        <v>2</v>
      </c>
      <c r="AD54" s="59">
        <v>2</v>
      </c>
      <c r="AE54" s="59">
        <v>2</v>
      </c>
      <c r="AF54" s="59">
        <v>2</v>
      </c>
      <c r="AG54" s="59">
        <v>2</v>
      </c>
      <c r="AH54" s="59">
        <v>2</v>
      </c>
      <c r="AI54" s="59">
        <v>2</v>
      </c>
      <c r="AJ54" s="59">
        <v>2</v>
      </c>
      <c r="AK54" s="59">
        <v>2</v>
      </c>
      <c r="AL54" s="59">
        <v>2</v>
      </c>
      <c r="AM54" s="59">
        <v>2</v>
      </c>
      <c r="AN54" s="59">
        <v>2</v>
      </c>
      <c r="AO54" s="59">
        <v>2</v>
      </c>
      <c r="AP54" s="59">
        <v>2</v>
      </c>
      <c r="AQ54" s="59">
        <v>2</v>
      </c>
      <c r="AR54" s="59">
        <v>2</v>
      </c>
      <c r="AS54" s="59">
        <v>2</v>
      </c>
      <c r="AT54" s="59">
        <v>2</v>
      </c>
      <c r="AU54" s="59">
        <v>2</v>
      </c>
      <c r="AV54" s="59">
        <v>2</v>
      </c>
      <c r="AW54" s="59">
        <v>2</v>
      </c>
      <c r="AX54" s="59">
        <v>2</v>
      </c>
      <c r="AY54" s="59">
        <v>2</v>
      </c>
      <c r="AZ54" s="59">
        <v>2</v>
      </c>
      <c r="BA54" s="59">
        <v>2</v>
      </c>
    </row>
    <row r="55" spans="2:53" x14ac:dyDescent="0.3">
      <c r="B55" t="s">
        <v>100</v>
      </c>
      <c r="C55" s="50" t="s">
        <v>108</v>
      </c>
      <c r="M55" s="59">
        <v>3</v>
      </c>
      <c r="N55" s="59">
        <v>3</v>
      </c>
      <c r="O55" s="59">
        <v>3</v>
      </c>
      <c r="P55" s="59">
        <v>2</v>
      </c>
      <c r="Q55" s="59">
        <v>2</v>
      </c>
      <c r="R55" s="59">
        <v>2</v>
      </c>
      <c r="S55" s="59">
        <v>2</v>
      </c>
      <c r="T55" s="59">
        <v>2</v>
      </c>
      <c r="U55" s="59">
        <v>2</v>
      </c>
      <c r="V55" s="59">
        <v>4</v>
      </c>
      <c r="W55" s="59">
        <v>4</v>
      </c>
      <c r="X55" s="59">
        <v>4</v>
      </c>
      <c r="Y55" s="59">
        <v>4</v>
      </c>
      <c r="Z55" s="59">
        <v>4</v>
      </c>
      <c r="AA55" s="59">
        <v>4</v>
      </c>
      <c r="AB55" s="59">
        <v>4</v>
      </c>
      <c r="AC55" s="59">
        <v>4</v>
      </c>
      <c r="AD55" s="59">
        <v>4</v>
      </c>
      <c r="AE55" s="59">
        <v>4</v>
      </c>
      <c r="AF55" s="59">
        <v>4</v>
      </c>
      <c r="AG55" s="59">
        <v>4</v>
      </c>
      <c r="AH55" s="59">
        <v>4</v>
      </c>
      <c r="AI55" s="59">
        <v>4</v>
      </c>
      <c r="AJ55" s="59">
        <v>4</v>
      </c>
      <c r="AK55" s="59">
        <v>4</v>
      </c>
      <c r="AL55" s="59">
        <v>4</v>
      </c>
      <c r="AM55" s="59">
        <v>4</v>
      </c>
      <c r="AN55" s="59">
        <v>4</v>
      </c>
      <c r="AO55" s="59">
        <v>4</v>
      </c>
      <c r="AP55" s="59">
        <v>4</v>
      </c>
      <c r="AQ55" s="59">
        <v>4</v>
      </c>
      <c r="AR55" s="59">
        <v>4</v>
      </c>
      <c r="AS55" s="59">
        <v>4</v>
      </c>
      <c r="AT55" s="59">
        <v>4</v>
      </c>
      <c r="AU55" s="59">
        <v>4</v>
      </c>
      <c r="AV55" s="59">
        <v>4</v>
      </c>
      <c r="AW55" s="59">
        <v>4</v>
      </c>
      <c r="AX55" s="59">
        <v>4</v>
      </c>
      <c r="AY55" s="59">
        <v>4</v>
      </c>
      <c r="AZ55" s="59">
        <v>4</v>
      </c>
      <c r="BA55" s="59">
        <v>4</v>
      </c>
    </row>
    <row r="56" spans="2:53" x14ac:dyDescent="0.3">
      <c r="B56" t="s">
        <v>100</v>
      </c>
      <c r="C56" s="50" t="s">
        <v>109</v>
      </c>
      <c r="M56" s="59">
        <v>2</v>
      </c>
      <c r="N56" s="59">
        <v>2</v>
      </c>
      <c r="O56" s="59">
        <v>2</v>
      </c>
      <c r="P56" s="59">
        <v>2</v>
      </c>
      <c r="Q56" s="59">
        <v>2</v>
      </c>
      <c r="R56" s="59">
        <v>2</v>
      </c>
      <c r="S56" s="59">
        <v>3</v>
      </c>
      <c r="T56" s="59">
        <v>3</v>
      </c>
      <c r="U56" s="59">
        <v>3</v>
      </c>
      <c r="V56" s="59">
        <v>3</v>
      </c>
      <c r="W56" s="59">
        <v>3</v>
      </c>
      <c r="X56" s="59">
        <v>3</v>
      </c>
      <c r="Y56" s="59">
        <v>3</v>
      </c>
      <c r="Z56" s="59">
        <v>3</v>
      </c>
      <c r="AA56" s="59">
        <v>3</v>
      </c>
      <c r="AB56" s="59">
        <v>3</v>
      </c>
      <c r="AC56" s="59">
        <v>3</v>
      </c>
      <c r="AD56" s="59">
        <v>3</v>
      </c>
      <c r="AE56" s="59">
        <v>3</v>
      </c>
      <c r="AF56" s="59">
        <v>3</v>
      </c>
      <c r="AG56" s="59">
        <v>3</v>
      </c>
      <c r="AH56" s="59">
        <v>3</v>
      </c>
      <c r="AI56" s="59">
        <v>3</v>
      </c>
      <c r="AJ56" s="59">
        <v>3</v>
      </c>
      <c r="AK56" s="59">
        <v>3</v>
      </c>
      <c r="AL56" s="59">
        <v>3</v>
      </c>
      <c r="AM56" s="59">
        <v>3</v>
      </c>
      <c r="AN56" s="59">
        <v>3</v>
      </c>
      <c r="AO56" s="59">
        <v>3</v>
      </c>
      <c r="AP56" s="59">
        <v>3</v>
      </c>
      <c r="AQ56" s="59">
        <v>3</v>
      </c>
      <c r="AR56" s="59">
        <v>3</v>
      </c>
      <c r="AS56" s="59">
        <v>3</v>
      </c>
      <c r="AT56" s="59">
        <v>3</v>
      </c>
      <c r="AU56" s="59">
        <v>3</v>
      </c>
      <c r="AV56" s="59">
        <v>3</v>
      </c>
      <c r="AW56" s="59">
        <v>3</v>
      </c>
      <c r="AX56" s="59">
        <v>3</v>
      </c>
      <c r="AY56" s="59">
        <v>3</v>
      </c>
      <c r="AZ56" s="59">
        <v>3</v>
      </c>
      <c r="BA56" s="59">
        <v>3</v>
      </c>
    </row>
    <row r="58" spans="2:53" x14ac:dyDescent="0.3">
      <c r="C58" t="s">
        <v>110</v>
      </c>
    </row>
    <row r="59" spans="2:53" x14ac:dyDescent="0.3">
      <c r="C59" s="50" t="s">
        <v>97</v>
      </c>
      <c r="M59" s="55">
        <v>17</v>
      </c>
      <c r="N59" s="55">
        <v>17</v>
      </c>
      <c r="O59" s="56">
        <f>N59</f>
        <v>17</v>
      </c>
      <c r="P59" s="56">
        <f>O59</f>
        <v>17</v>
      </c>
      <c r="Q59" s="56">
        <f>P59</f>
        <v>17</v>
      </c>
      <c r="R59" s="56">
        <f>Q59</f>
        <v>17</v>
      </c>
      <c r="S59" s="56">
        <f t="shared" ref="S59:Y70" si="21">R59</f>
        <v>17</v>
      </c>
      <c r="T59" s="56">
        <f t="shared" si="21"/>
        <v>17</v>
      </c>
      <c r="U59" s="56">
        <f t="shared" si="21"/>
        <v>17</v>
      </c>
      <c r="V59" s="56">
        <f t="shared" si="21"/>
        <v>17</v>
      </c>
      <c r="W59" s="56">
        <f t="shared" si="21"/>
        <v>17</v>
      </c>
      <c r="X59" s="56">
        <f t="shared" si="21"/>
        <v>17</v>
      </c>
      <c r="Y59" s="56">
        <f t="shared" si="21"/>
        <v>17</v>
      </c>
      <c r="Z59" s="54">
        <f>Y59*1.05</f>
        <v>17.850000000000001</v>
      </c>
      <c r="AA59" s="56">
        <f t="shared" ref="AA59:AK70" si="22">Z59</f>
        <v>17.850000000000001</v>
      </c>
      <c r="AB59" s="56">
        <f t="shared" si="22"/>
        <v>17.850000000000001</v>
      </c>
      <c r="AC59" s="56">
        <f t="shared" si="22"/>
        <v>17.850000000000001</v>
      </c>
      <c r="AD59" s="56">
        <f t="shared" si="22"/>
        <v>17.850000000000001</v>
      </c>
      <c r="AE59" s="56">
        <f t="shared" si="22"/>
        <v>17.850000000000001</v>
      </c>
      <c r="AF59" s="56">
        <f t="shared" si="22"/>
        <v>17.850000000000001</v>
      </c>
      <c r="AG59" s="56">
        <f t="shared" si="22"/>
        <v>17.850000000000001</v>
      </c>
      <c r="AH59" s="56">
        <f t="shared" si="22"/>
        <v>17.850000000000001</v>
      </c>
      <c r="AI59" s="56">
        <f t="shared" si="22"/>
        <v>17.850000000000001</v>
      </c>
      <c r="AJ59" s="56">
        <f t="shared" si="22"/>
        <v>17.850000000000001</v>
      </c>
      <c r="AK59" s="56">
        <f t="shared" si="22"/>
        <v>17.850000000000001</v>
      </c>
      <c r="AL59" s="54">
        <f>AK59*1.05</f>
        <v>18.742500000000003</v>
      </c>
      <c r="AM59" s="56">
        <f t="shared" ref="AM59:AW70" si="23">AL59</f>
        <v>18.742500000000003</v>
      </c>
      <c r="AN59" s="56">
        <f t="shared" si="23"/>
        <v>18.742500000000003</v>
      </c>
      <c r="AO59" s="56">
        <f t="shared" si="23"/>
        <v>18.742500000000003</v>
      </c>
      <c r="AP59" s="56">
        <f t="shared" si="23"/>
        <v>18.742500000000003</v>
      </c>
      <c r="AQ59" s="56">
        <f t="shared" si="23"/>
        <v>18.742500000000003</v>
      </c>
      <c r="AR59" s="56">
        <f t="shared" si="23"/>
        <v>18.742500000000003</v>
      </c>
      <c r="AS59" s="56">
        <f t="shared" si="23"/>
        <v>18.742500000000003</v>
      </c>
      <c r="AT59" s="56">
        <f t="shared" si="23"/>
        <v>18.742500000000003</v>
      </c>
      <c r="AU59" s="56">
        <f t="shared" si="23"/>
        <v>18.742500000000003</v>
      </c>
      <c r="AV59" s="56">
        <f t="shared" si="23"/>
        <v>18.742500000000003</v>
      </c>
      <c r="AW59" s="56">
        <f t="shared" si="23"/>
        <v>18.742500000000003</v>
      </c>
      <c r="AX59" s="54">
        <f>AW59*1.05</f>
        <v>19.679625000000005</v>
      </c>
      <c r="AY59" s="56">
        <f t="shared" ref="AY59:BA70" si="24">AX59</f>
        <v>19.679625000000005</v>
      </c>
      <c r="AZ59" s="56">
        <f t="shared" si="24"/>
        <v>19.679625000000005</v>
      </c>
      <c r="BA59" s="56">
        <f t="shared" si="24"/>
        <v>19.679625000000005</v>
      </c>
    </row>
    <row r="60" spans="2:53" x14ac:dyDescent="0.3">
      <c r="C60" s="50" t="s">
        <v>98</v>
      </c>
      <c r="M60" s="55">
        <v>19</v>
      </c>
      <c r="N60" s="55">
        <v>19</v>
      </c>
      <c r="O60" s="56">
        <f t="shared" ref="O60:R70" si="25">N60</f>
        <v>19</v>
      </c>
      <c r="P60" s="56">
        <f t="shared" si="25"/>
        <v>19</v>
      </c>
      <c r="Q60" s="56">
        <f t="shared" si="25"/>
        <v>19</v>
      </c>
      <c r="R60" s="56">
        <f t="shared" si="25"/>
        <v>19</v>
      </c>
      <c r="S60" s="56">
        <f t="shared" si="21"/>
        <v>19</v>
      </c>
      <c r="T60" s="56">
        <f t="shared" si="21"/>
        <v>19</v>
      </c>
      <c r="U60" s="56">
        <f t="shared" si="21"/>
        <v>19</v>
      </c>
      <c r="V60" s="56">
        <f t="shared" si="21"/>
        <v>19</v>
      </c>
      <c r="W60" s="56">
        <f t="shared" si="21"/>
        <v>19</v>
      </c>
      <c r="X60" s="56">
        <f t="shared" si="21"/>
        <v>19</v>
      </c>
      <c r="Y60" s="56">
        <f t="shared" si="21"/>
        <v>19</v>
      </c>
      <c r="Z60" s="54">
        <f t="shared" ref="Z60:Z70" si="26">Y60*1.05</f>
        <v>19.95</v>
      </c>
      <c r="AA60" s="56">
        <f t="shared" si="22"/>
        <v>19.95</v>
      </c>
      <c r="AB60" s="56">
        <f t="shared" si="22"/>
        <v>19.95</v>
      </c>
      <c r="AC60" s="56">
        <f t="shared" si="22"/>
        <v>19.95</v>
      </c>
      <c r="AD60" s="56">
        <f t="shared" si="22"/>
        <v>19.95</v>
      </c>
      <c r="AE60" s="56">
        <f t="shared" si="22"/>
        <v>19.95</v>
      </c>
      <c r="AF60" s="56">
        <f t="shared" si="22"/>
        <v>19.95</v>
      </c>
      <c r="AG60" s="56">
        <f t="shared" si="22"/>
        <v>19.95</v>
      </c>
      <c r="AH60" s="56">
        <f t="shared" si="22"/>
        <v>19.95</v>
      </c>
      <c r="AI60" s="56">
        <f t="shared" si="22"/>
        <v>19.95</v>
      </c>
      <c r="AJ60" s="56">
        <f t="shared" si="22"/>
        <v>19.95</v>
      </c>
      <c r="AK60" s="56">
        <f t="shared" si="22"/>
        <v>19.95</v>
      </c>
      <c r="AL60" s="54">
        <f t="shared" ref="AL60:AL70" si="27">AK60*1.05</f>
        <v>20.947500000000002</v>
      </c>
      <c r="AM60" s="56">
        <f t="shared" si="23"/>
        <v>20.947500000000002</v>
      </c>
      <c r="AN60" s="56">
        <f t="shared" si="23"/>
        <v>20.947500000000002</v>
      </c>
      <c r="AO60" s="56">
        <f t="shared" si="23"/>
        <v>20.947500000000002</v>
      </c>
      <c r="AP60" s="56">
        <f t="shared" si="23"/>
        <v>20.947500000000002</v>
      </c>
      <c r="AQ60" s="56">
        <f t="shared" si="23"/>
        <v>20.947500000000002</v>
      </c>
      <c r="AR60" s="56">
        <f t="shared" si="23"/>
        <v>20.947500000000002</v>
      </c>
      <c r="AS60" s="56">
        <f t="shared" si="23"/>
        <v>20.947500000000002</v>
      </c>
      <c r="AT60" s="56">
        <f t="shared" si="23"/>
        <v>20.947500000000002</v>
      </c>
      <c r="AU60" s="56">
        <f t="shared" si="23"/>
        <v>20.947500000000002</v>
      </c>
      <c r="AV60" s="56">
        <f t="shared" si="23"/>
        <v>20.947500000000002</v>
      </c>
      <c r="AW60" s="56">
        <f t="shared" si="23"/>
        <v>20.947500000000002</v>
      </c>
      <c r="AX60" s="54">
        <f t="shared" ref="AX60:AX70" si="28">AW60*1.05</f>
        <v>21.994875000000004</v>
      </c>
      <c r="AY60" s="56">
        <f t="shared" si="24"/>
        <v>21.994875000000004</v>
      </c>
      <c r="AZ60" s="56">
        <f t="shared" si="24"/>
        <v>21.994875000000004</v>
      </c>
      <c r="BA60" s="56">
        <f t="shared" si="24"/>
        <v>21.994875000000004</v>
      </c>
    </row>
    <row r="61" spans="2:53" x14ac:dyDescent="0.3">
      <c r="C61" s="50" t="s">
        <v>99</v>
      </c>
      <c r="M61" s="55">
        <v>17</v>
      </c>
      <c r="N61" s="55">
        <v>17</v>
      </c>
      <c r="O61" s="56">
        <f t="shared" si="25"/>
        <v>17</v>
      </c>
      <c r="P61" s="56">
        <v>0</v>
      </c>
      <c r="Q61" s="56">
        <f t="shared" si="25"/>
        <v>0</v>
      </c>
      <c r="R61" s="56">
        <f t="shared" si="25"/>
        <v>0</v>
      </c>
      <c r="S61" s="56">
        <f t="shared" si="21"/>
        <v>0</v>
      </c>
      <c r="T61" s="56">
        <f t="shared" si="21"/>
        <v>0</v>
      </c>
      <c r="U61" s="56">
        <f t="shared" si="21"/>
        <v>0</v>
      </c>
      <c r="V61" s="56">
        <f t="shared" si="21"/>
        <v>0</v>
      </c>
      <c r="W61" s="56">
        <f t="shared" si="21"/>
        <v>0</v>
      </c>
      <c r="X61" s="56">
        <f t="shared" si="21"/>
        <v>0</v>
      </c>
      <c r="Y61" s="56">
        <f t="shared" si="21"/>
        <v>0</v>
      </c>
      <c r="Z61" s="54">
        <f t="shared" si="26"/>
        <v>0</v>
      </c>
      <c r="AA61" s="56">
        <f t="shared" si="22"/>
        <v>0</v>
      </c>
      <c r="AB61" s="56">
        <f t="shared" si="22"/>
        <v>0</v>
      </c>
      <c r="AC61" s="56">
        <f t="shared" si="22"/>
        <v>0</v>
      </c>
      <c r="AD61" s="56">
        <f t="shared" si="22"/>
        <v>0</v>
      </c>
      <c r="AE61" s="56">
        <f t="shared" si="22"/>
        <v>0</v>
      </c>
      <c r="AF61" s="56">
        <f t="shared" si="22"/>
        <v>0</v>
      </c>
      <c r="AG61" s="56">
        <f t="shared" si="22"/>
        <v>0</v>
      </c>
      <c r="AH61" s="56">
        <f t="shared" si="22"/>
        <v>0</v>
      </c>
      <c r="AI61" s="56">
        <f t="shared" si="22"/>
        <v>0</v>
      </c>
      <c r="AJ61" s="56">
        <f t="shared" si="22"/>
        <v>0</v>
      </c>
      <c r="AK61" s="56">
        <f t="shared" si="22"/>
        <v>0</v>
      </c>
      <c r="AL61" s="54">
        <f t="shared" si="27"/>
        <v>0</v>
      </c>
      <c r="AM61" s="56">
        <f t="shared" si="23"/>
        <v>0</v>
      </c>
      <c r="AN61" s="56">
        <f t="shared" si="23"/>
        <v>0</v>
      </c>
      <c r="AO61" s="56">
        <f t="shared" si="23"/>
        <v>0</v>
      </c>
      <c r="AP61" s="56">
        <f t="shared" si="23"/>
        <v>0</v>
      </c>
      <c r="AQ61" s="56">
        <f t="shared" si="23"/>
        <v>0</v>
      </c>
      <c r="AR61" s="56">
        <f t="shared" si="23"/>
        <v>0</v>
      </c>
      <c r="AS61" s="56">
        <f t="shared" si="23"/>
        <v>0</v>
      </c>
      <c r="AT61" s="56">
        <f t="shared" si="23"/>
        <v>0</v>
      </c>
      <c r="AU61" s="56">
        <f t="shared" si="23"/>
        <v>0</v>
      </c>
      <c r="AV61" s="56">
        <f t="shared" si="23"/>
        <v>0</v>
      </c>
      <c r="AW61" s="56">
        <f t="shared" si="23"/>
        <v>0</v>
      </c>
      <c r="AX61" s="54">
        <f t="shared" si="28"/>
        <v>0</v>
      </c>
      <c r="AY61" s="56">
        <f t="shared" si="24"/>
        <v>0</v>
      </c>
      <c r="AZ61" s="56">
        <f t="shared" si="24"/>
        <v>0</v>
      </c>
      <c r="BA61" s="56">
        <f t="shared" si="24"/>
        <v>0</v>
      </c>
    </row>
    <row r="62" spans="2:53" x14ac:dyDescent="0.3">
      <c r="C62" s="50" t="s">
        <v>101</v>
      </c>
      <c r="M62" s="55">
        <v>17</v>
      </c>
      <c r="N62" s="55">
        <v>17</v>
      </c>
      <c r="O62" s="56">
        <f t="shared" si="25"/>
        <v>17</v>
      </c>
      <c r="P62" s="55">
        <v>25</v>
      </c>
      <c r="Q62" s="56">
        <f t="shared" si="25"/>
        <v>25</v>
      </c>
      <c r="R62" s="56">
        <f t="shared" si="25"/>
        <v>25</v>
      </c>
      <c r="S62" s="56">
        <f t="shared" si="21"/>
        <v>25</v>
      </c>
      <c r="T62" s="56">
        <f t="shared" si="21"/>
        <v>25</v>
      </c>
      <c r="U62" s="56">
        <f t="shared" si="21"/>
        <v>25</v>
      </c>
      <c r="V62" s="56">
        <f t="shared" si="21"/>
        <v>25</v>
      </c>
      <c r="W62" s="56">
        <f t="shared" si="21"/>
        <v>25</v>
      </c>
      <c r="X62" s="56">
        <f t="shared" si="21"/>
        <v>25</v>
      </c>
      <c r="Y62" s="56">
        <f t="shared" si="21"/>
        <v>25</v>
      </c>
      <c r="Z62" s="54">
        <f t="shared" si="26"/>
        <v>26.25</v>
      </c>
      <c r="AA62" s="56">
        <f t="shared" si="22"/>
        <v>26.25</v>
      </c>
      <c r="AB62" s="56">
        <f t="shared" si="22"/>
        <v>26.25</v>
      </c>
      <c r="AC62" s="56">
        <f t="shared" si="22"/>
        <v>26.25</v>
      </c>
      <c r="AD62" s="56">
        <f t="shared" si="22"/>
        <v>26.25</v>
      </c>
      <c r="AE62" s="56">
        <f t="shared" si="22"/>
        <v>26.25</v>
      </c>
      <c r="AF62" s="56">
        <f t="shared" si="22"/>
        <v>26.25</v>
      </c>
      <c r="AG62" s="56">
        <f t="shared" si="22"/>
        <v>26.25</v>
      </c>
      <c r="AH62" s="56">
        <f t="shared" si="22"/>
        <v>26.25</v>
      </c>
      <c r="AI62" s="56">
        <f t="shared" si="22"/>
        <v>26.25</v>
      </c>
      <c r="AJ62" s="56">
        <f t="shared" si="22"/>
        <v>26.25</v>
      </c>
      <c r="AK62" s="56">
        <f t="shared" si="22"/>
        <v>26.25</v>
      </c>
      <c r="AL62" s="54">
        <f t="shared" si="27"/>
        <v>27.5625</v>
      </c>
      <c r="AM62" s="56">
        <f t="shared" si="23"/>
        <v>27.5625</v>
      </c>
      <c r="AN62" s="56">
        <f t="shared" si="23"/>
        <v>27.5625</v>
      </c>
      <c r="AO62" s="56">
        <f t="shared" si="23"/>
        <v>27.5625</v>
      </c>
      <c r="AP62" s="56">
        <f t="shared" si="23"/>
        <v>27.5625</v>
      </c>
      <c r="AQ62" s="56">
        <f t="shared" si="23"/>
        <v>27.5625</v>
      </c>
      <c r="AR62" s="56">
        <f t="shared" si="23"/>
        <v>27.5625</v>
      </c>
      <c r="AS62" s="56">
        <f t="shared" si="23"/>
        <v>27.5625</v>
      </c>
      <c r="AT62" s="56">
        <f t="shared" si="23"/>
        <v>27.5625</v>
      </c>
      <c r="AU62" s="56">
        <f t="shared" si="23"/>
        <v>27.5625</v>
      </c>
      <c r="AV62" s="56">
        <f t="shared" si="23"/>
        <v>27.5625</v>
      </c>
      <c r="AW62" s="56">
        <f t="shared" si="23"/>
        <v>27.5625</v>
      </c>
      <c r="AX62" s="54">
        <f t="shared" si="28"/>
        <v>28.940625000000001</v>
      </c>
      <c r="AY62" s="56">
        <f t="shared" si="24"/>
        <v>28.940625000000001</v>
      </c>
      <c r="AZ62" s="56">
        <f t="shared" si="24"/>
        <v>28.940625000000001</v>
      </c>
      <c r="BA62" s="56">
        <f t="shared" si="24"/>
        <v>28.940625000000001</v>
      </c>
    </row>
    <row r="63" spans="2:53" x14ac:dyDescent="0.3">
      <c r="C63" s="50" t="s">
        <v>102</v>
      </c>
      <c r="M63" s="55">
        <v>22</v>
      </c>
      <c r="N63" s="55">
        <v>22</v>
      </c>
      <c r="O63" s="56">
        <f t="shared" si="25"/>
        <v>22</v>
      </c>
      <c r="P63" s="56">
        <v>21</v>
      </c>
      <c r="Q63" s="56">
        <f t="shared" si="25"/>
        <v>21</v>
      </c>
      <c r="R63" s="56">
        <f t="shared" si="25"/>
        <v>21</v>
      </c>
      <c r="S63" s="56">
        <f t="shared" si="21"/>
        <v>21</v>
      </c>
      <c r="T63" s="56">
        <f t="shared" si="21"/>
        <v>21</v>
      </c>
      <c r="U63" s="56">
        <f t="shared" si="21"/>
        <v>21</v>
      </c>
      <c r="V63" s="56">
        <f t="shared" si="21"/>
        <v>21</v>
      </c>
      <c r="W63" s="56">
        <f t="shared" si="21"/>
        <v>21</v>
      </c>
      <c r="X63" s="56">
        <f t="shared" si="21"/>
        <v>21</v>
      </c>
      <c r="Y63" s="56">
        <f t="shared" si="21"/>
        <v>21</v>
      </c>
      <c r="Z63" s="54">
        <f t="shared" si="26"/>
        <v>22.05</v>
      </c>
      <c r="AA63" s="56">
        <f t="shared" si="22"/>
        <v>22.05</v>
      </c>
      <c r="AB63" s="56">
        <f t="shared" si="22"/>
        <v>22.05</v>
      </c>
      <c r="AC63" s="56">
        <f t="shared" si="22"/>
        <v>22.05</v>
      </c>
      <c r="AD63" s="56">
        <f t="shared" si="22"/>
        <v>22.05</v>
      </c>
      <c r="AE63" s="56">
        <f t="shared" si="22"/>
        <v>22.05</v>
      </c>
      <c r="AF63" s="56">
        <f t="shared" si="22"/>
        <v>22.05</v>
      </c>
      <c r="AG63" s="56">
        <f t="shared" si="22"/>
        <v>22.05</v>
      </c>
      <c r="AH63" s="56">
        <f t="shared" si="22"/>
        <v>22.05</v>
      </c>
      <c r="AI63" s="56">
        <f t="shared" si="22"/>
        <v>22.05</v>
      </c>
      <c r="AJ63" s="56">
        <f t="shared" si="22"/>
        <v>22.05</v>
      </c>
      <c r="AK63" s="56">
        <f t="shared" si="22"/>
        <v>22.05</v>
      </c>
      <c r="AL63" s="54">
        <f t="shared" si="27"/>
        <v>23.152500000000003</v>
      </c>
      <c r="AM63" s="56">
        <f t="shared" si="23"/>
        <v>23.152500000000003</v>
      </c>
      <c r="AN63" s="56">
        <f t="shared" si="23"/>
        <v>23.152500000000003</v>
      </c>
      <c r="AO63" s="56">
        <f t="shared" si="23"/>
        <v>23.152500000000003</v>
      </c>
      <c r="AP63" s="56">
        <f t="shared" si="23"/>
        <v>23.152500000000003</v>
      </c>
      <c r="AQ63" s="56">
        <f t="shared" si="23"/>
        <v>23.152500000000003</v>
      </c>
      <c r="AR63" s="56">
        <f t="shared" si="23"/>
        <v>23.152500000000003</v>
      </c>
      <c r="AS63" s="56">
        <f t="shared" si="23"/>
        <v>23.152500000000003</v>
      </c>
      <c r="AT63" s="56">
        <f t="shared" si="23"/>
        <v>23.152500000000003</v>
      </c>
      <c r="AU63" s="56">
        <f t="shared" si="23"/>
        <v>23.152500000000003</v>
      </c>
      <c r="AV63" s="56">
        <f t="shared" si="23"/>
        <v>23.152500000000003</v>
      </c>
      <c r="AW63" s="56">
        <f t="shared" si="23"/>
        <v>23.152500000000003</v>
      </c>
      <c r="AX63" s="54">
        <f t="shared" si="28"/>
        <v>24.310125000000003</v>
      </c>
      <c r="AY63" s="56">
        <f t="shared" si="24"/>
        <v>24.310125000000003</v>
      </c>
      <c r="AZ63" s="56">
        <f t="shared" si="24"/>
        <v>24.310125000000003</v>
      </c>
      <c r="BA63" s="56">
        <f t="shared" si="24"/>
        <v>24.310125000000003</v>
      </c>
    </row>
    <row r="64" spans="2:53" x14ac:dyDescent="0.3">
      <c r="C64" s="50" t="s">
        <v>103</v>
      </c>
      <c r="M64" s="55">
        <v>17</v>
      </c>
      <c r="N64" s="55">
        <v>17</v>
      </c>
      <c r="O64" s="56">
        <f t="shared" si="25"/>
        <v>17</v>
      </c>
      <c r="P64" s="55">
        <v>17</v>
      </c>
      <c r="Q64" s="56">
        <f t="shared" si="25"/>
        <v>17</v>
      </c>
      <c r="R64" s="56">
        <f t="shared" si="25"/>
        <v>17</v>
      </c>
      <c r="S64" s="56">
        <f t="shared" si="21"/>
        <v>17</v>
      </c>
      <c r="T64" s="56">
        <f t="shared" si="21"/>
        <v>17</v>
      </c>
      <c r="U64" s="56">
        <f t="shared" si="21"/>
        <v>17</v>
      </c>
      <c r="V64" s="56">
        <f t="shared" si="21"/>
        <v>17</v>
      </c>
      <c r="W64" s="56">
        <f t="shared" si="21"/>
        <v>17</v>
      </c>
      <c r="X64" s="56">
        <f t="shared" si="21"/>
        <v>17</v>
      </c>
      <c r="Y64" s="56">
        <f t="shared" si="21"/>
        <v>17</v>
      </c>
      <c r="Z64" s="54">
        <f t="shared" si="26"/>
        <v>17.850000000000001</v>
      </c>
      <c r="AA64" s="56">
        <f t="shared" si="22"/>
        <v>17.850000000000001</v>
      </c>
      <c r="AB64" s="56">
        <f t="shared" si="22"/>
        <v>17.850000000000001</v>
      </c>
      <c r="AC64" s="56">
        <f t="shared" si="22"/>
        <v>17.850000000000001</v>
      </c>
      <c r="AD64" s="56">
        <f t="shared" si="22"/>
        <v>17.850000000000001</v>
      </c>
      <c r="AE64" s="56">
        <f t="shared" si="22"/>
        <v>17.850000000000001</v>
      </c>
      <c r="AF64" s="56">
        <f t="shared" si="22"/>
        <v>17.850000000000001</v>
      </c>
      <c r="AG64" s="56">
        <f t="shared" si="22"/>
        <v>17.850000000000001</v>
      </c>
      <c r="AH64" s="56">
        <f t="shared" si="22"/>
        <v>17.850000000000001</v>
      </c>
      <c r="AI64" s="56">
        <f t="shared" si="22"/>
        <v>17.850000000000001</v>
      </c>
      <c r="AJ64" s="56">
        <f t="shared" si="22"/>
        <v>17.850000000000001</v>
      </c>
      <c r="AK64" s="56">
        <f t="shared" si="22"/>
        <v>17.850000000000001</v>
      </c>
      <c r="AL64" s="54">
        <f t="shared" si="27"/>
        <v>18.742500000000003</v>
      </c>
      <c r="AM64" s="56">
        <f t="shared" si="23"/>
        <v>18.742500000000003</v>
      </c>
      <c r="AN64" s="56">
        <f t="shared" si="23"/>
        <v>18.742500000000003</v>
      </c>
      <c r="AO64" s="56">
        <f t="shared" si="23"/>
        <v>18.742500000000003</v>
      </c>
      <c r="AP64" s="56">
        <f t="shared" si="23"/>
        <v>18.742500000000003</v>
      </c>
      <c r="AQ64" s="56">
        <f t="shared" si="23"/>
        <v>18.742500000000003</v>
      </c>
      <c r="AR64" s="56">
        <f t="shared" si="23"/>
        <v>18.742500000000003</v>
      </c>
      <c r="AS64" s="56">
        <f t="shared" si="23"/>
        <v>18.742500000000003</v>
      </c>
      <c r="AT64" s="56">
        <f t="shared" si="23"/>
        <v>18.742500000000003</v>
      </c>
      <c r="AU64" s="56">
        <f t="shared" si="23"/>
        <v>18.742500000000003</v>
      </c>
      <c r="AV64" s="56">
        <f t="shared" si="23"/>
        <v>18.742500000000003</v>
      </c>
      <c r="AW64" s="56">
        <f t="shared" si="23"/>
        <v>18.742500000000003</v>
      </c>
      <c r="AX64" s="54">
        <f t="shared" si="28"/>
        <v>19.679625000000005</v>
      </c>
      <c r="AY64" s="56">
        <f t="shared" si="24"/>
        <v>19.679625000000005</v>
      </c>
      <c r="AZ64" s="56">
        <f t="shared" si="24"/>
        <v>19.679625000000005</v>
      </c>
      <c r="BA64" s="56">
        <f t="shared" si="24"/>
        <v>19.679625000000005</v>
      </c>
    </row>
    <row r="65" spans="2:53" x14ac:dyDescent="0.3">
      <c r="C65" s="50" t="s">
        <v>104</v>
      </c>
      <c r="M65" s="55">
        <v>17</v>
      </c>
      <c r="N65" s="55">
        <v>17</v>
      </c>
      <c r="O65" s="56">
        <f t="shared" si="25"/>
        <v>17</v>
      </c>
      <c r="P65" s="55">
        <v>17.5</v>
      </c>
      <c r="Q65" s="56">
        <f t="shared" si="25"/>
        <v>17.5</v>
      </c>
      <c r="R65" s="56">
        <f t="shared" si="25"/>
        <v>17.5</v>
      </c>
      <c r="S65" s="56">
        <f t="shared" si="21"/>
        <v>17.5</v>
      </c>
      <c r="T65" s="56">
        <f t="shared" si="21"/>
        <v>17.5</v>
      </c>
      <c r="U65" s="56">
        <f t="shared" si="21"/>
        <v>17.5</v>
      </c>
      <c r="V65" s="56">
        <f t="shared" si="21"/>
        <v>17.5</v>
      </c>
      <c r="W65" s="56">
        <f t="shared" si="21"/>
        <v>17.5</v>
      </c>
      <c r="X65" s="56">
        <f t="shared" si="21"/>
        <v>17.5</v>
      </c>
      <c r="Y65" s="56">
        <f t="shared" si="21"/>
        <v>17.5</v>
      </c>
      <c r="Z65" s="54">
        <f t="shared" si="26"/>
        <v>18.375</v>
      </c>
      <c r="AA65" s="56">
        <f t="shared" si="22"/>
        <v>18.375</v>
      </c>
      <c r="AB65" s="56">
        <f t="shared" si="22"/>
        <v>18.375</v>
      </c>
      <c r="AC65" s="56">
        <f t="shared" si="22"/>
        <v>18.375</v>
      </c>
      <c r="AD65" s="56">
        <f t="shared" si="22"/>
        <v>18.375</v>
      </c>
      <c r="AE65" s="56">
        <f t="shared" si="22"/>
        <v>18.375</v>
      </c>
      <c r="AF65" s="56">
        <f t="shared" si="22"/>
        <v>18.375</v>
      </c>
      <c r="AG65" s="56">
        <f t="shared" si="22"/>
        <v>18.375</v>
      </c>
      <c r="AH65" s="56">
        <f t="shared" si="22"/>
        <v>18.375</v>
      </c>
      <c r="AI65" s="56">
        <f t="shared" si="22"/>
        <v>18.375</v>
      </c>
      <c r="AJ65" s="56">
        <f t="shared" si="22"/>
        <v>18.375</v>
      </c>
      <c r="AK65" s="56">
        <f t="shared" si="22"/>
        <v>18.375</v>
      </c>
      <c r="AL65" s="54">
        <f t="shared" si="27"/>
        <v>19.293749999999999</v>
      </c>
      <c r="AM65" s="56">
        <f t="shared" si="23"/>
        <v>19.293749999999999</v>
      </c>
      <c r="AN65" s="56">
        <f t="shared" si="23"/>
        <v>19.293749999999999</v>
      </c>
      <c r="AO65" s="56">
        <f t="shared" si="23"/>
        <v>19.293749999999999</v>
      </c>
      <c r="AP65" s="56">
        <f t="shared" si="23"/>
        <v>19.293749999999999</v>
      </c>
      <c r="AQ65" s="56">
        <f t="shared" si="23"/>
        <v>19.293749999999999</v>
      </c>
      <c r="AR65" s="56">
        <f t="shared" si="23"/>
        <v>19.293749999999999</v>
      </c>
      <c r="AS65" s="56">
        <f t="shared" si="23"/>
        <v>19.293749999999999</v>
      </c>
      <c r="AT65" s="56">
        <f t="shared" si="23"/>
        <v>19.293749999999999</v>
      </c>
      <c r="AU65" s="56">
        <f t="shared" si="23"/>
        <v>19.293749999999999</v>
      </c>
      <c r="AV65" s="56">
        <f t="shared" si="23"/>
        <v>19.293749999999999</v>
      </c>
      <c r="AW65" s="56">
        <f t="shared" si="23"/>
        <v>19.293749999999999</v>
      </c>
      <c r="AX65" s="54">
        <f t="shared" si="28"/>
        <v>20.258437499999999</v>
      </c>
      <c r="AY65" s="56">
        <f t="shared" si="24"/>
        <v>20.258437499999999</v>
      </c>
      <c r="AZ65" s="56">
        <f t="shared" si="24"/>
        <v>20.258437499999999</v>
      </c>
      <c r="BA65" s="56">
        <f t="shared" si="24"/>
        <v>20.258437499999999</v>
      </c>
    </row>
    <row r="66" spans="2:53" x14ac:dyDescent="0.3">
      <c r="C66" s="50" t="s">
        <v>105</v>
      </c>
      <c r="M66" s="55">
        <v>20</v>
      </c>
      <c r="N66" s="55">
        <v>20</v>
      </c>
      <c r="O66" s="56">
        <f t="shared" si="25"/>
        <v>20</v>
      </c>
      <c r="P66" s="56">
        <f t="shared" si="25"/>
        <v>20</v>
      </c>
      <c r="Q66" s="56">
        <f t="shared" si="25"/>
        <v>20</v>
      </c>
      <c r="R66" s="56">
        <f t="shared" si="25"/>
        <v>20</v>
      </c>
      <c r="S66" s="56">
        <f t="shared" si="21"/>
        <v>20</v>
      </c>
      <c r="T66" s="56">
        <f t="shared" si="21"/>
        <v>20</v>
      </c>
      <c r="U66" s="56">
        <f t="shared" si="21"/>
        <v>20</v>
      </c>
      <c r="V66" s="56">
        <f t="shared" si="21"/>
        <v>20</v>
      </c>
      <c r="W66" s="56">
        <f t="shared" si="21"/>
        <v>20</v>
      </c>
      <c r="X66" s="56">
        <f t="shared" si="21"/>
        <v>20</v>
      </c>
      <c r="Y66" s="56">
        <f t="shared" si="21"/>
        <v>20</v>
      </c>
      <c r="Z66" s="54">
        <f t="shared" si="26"/>
        <v>21</v>
      </c>
      <c r="AA66" s="56">
        <f t="shared" si="22"/>
        <v>21</v>
      </c>
      <c r="AB66" s="56">
        <f t="shared" si="22"/>
        <v>21</v>
      </c>
      <c r="AC66" s="56">
        <f t="shared" si="22"/>
        <v>21</v>
      </c>
      <c r="AD66" s="56">
        <f t="shared" si="22"/>
        <v>21</v>
      </c>
      <c r="AE66" s="56">
        <f t="shared" si="22"/>
        <v>21</v>
      </c>
      <c r="AF66" s="56">
        <f t="shared" si="22"/>
        <v>21</v>
      </c>
      <c r="AG66" s="56">
        <f t="shared" si="22"/>
        <v>21</v>
      </c>
      <c r="AH66" s="56">
        <f t="shared" si="22"/>
        <v>21</v>
      </c>
      <c r="AI66" s="56">
        <f t="shared" si="22"/>
        <v>21</v>
      </c>
      <c r="AJ66" s="56">
        <f t="shared" si="22"/>
        <v>21</v>
      </c>
      <c r="AK66" s="56">
        <f t="shared" si="22"/>
        <v>21</v>
      </c>
      <c r="AL66" s="54">
        <f t="shared" si="27"/>
        <v>22.05</v>
      </c>
      <c r="AM66" s="56">
        <f t="shared" si="23"/>
        <v>22.05</v>
      </c>
      <c r="AN66" s="56">
        <f t="shared" si="23"/>
        <v>22.05</v>
      </c>
      <c r="AO66" s="56">
        <f t="shared" si="23"/>
        <v>22.05</v>
      </c>
      <c r="AP66" s="56">
        <f t="shared" si="23"/>
        <v>22.05</v>
      </c>
      <c r="AQ66" s="56">
        <f t="shared" si="23"/>
        <v>22.05</v>
      </c>
      <c r="AR66" s="56">
        <f t="shared" si="23"/>
        <v>22.05</v>
      </c>
      <c r="AS66" s="56">
        <f t="shared" si="23"/>
        <v>22.05</v>
      </c>
      <c r="AT66" s="56">
        <f t="shared" si="23"/>
        <v>22.05</v>
      </c>
      <c r="AU66" s="56">
        <f t="shared" si="23"/>
        <v>22.05</v>
      </c>
      <c r="AV66" s="56">
        <f t="shared" si="23"/>
        <v>22.05</v>
      </c>
      <c r="AW66" s="56">
        <f t="shared" si="23"/>
        <v>22.05</v>
      </c>
      <c r="AX66" s="54">
        <f t="shared" si="28"/>
        <v>23.152500000000003</v>
      </c>
      <c r="AY66" s="56">
        <f t="shared" si="24"/>
        <v>23.152500000000003</v>
      </c>
      <c r="AZ66" s="56">
        <f t="shared" si="24"/>
        <v>23.152500000000003</v>
      </c>
      <c r="BA66" s="56">
        <f t="shared" si="24"/>
        <v>23.152500000000003</v>
      </c>
    </row>
    <row r="67" spans="2:53" x14ac:dyDescent="0.3">
      <c r="C67" s="50" t="s">
        <v>106</v>
      </c>
      <c r="M67" s="55">
        <v>18</v>
      </c>
      <c r="N67" s="55">
        <v>18</v>
      </c>
      <c r="O67" s="56">
        <f t="shared" si="25"/>
        <v>18</v>
      </c>
      <c r="P67" s="56">
        <f t="shared" si="25"/>
        <v>18</v>
      </c>
      <c r="Q67" s="56">
        <f t="shared" si="25"/>
        <v>18</v>
      </c>
      <c r="R67" s="56">
        <f t="shared" si="25"/>
        <v>18</v>
      </c>
      <c r="S67" s="56">
        <f t="shared" si="21"/>
        <v>18</v>
      </c>
      <c r="T67" s="56">
        <f t="shared" si="21"/>
        <v>18</v>
      </c>
      <c r="U67" s="56">
        <f t="shared" si="21"/>
        <v>18</v>
      </c>
      <c r="V67" s="56">
        <f t="shared" si="21"/>
        <v>18</v>
      </c>
      <c r="W67" s="56">
        <f t="shared" si="21"/>
        <v>18</v>
      </c>
      <c r="X67" s="56">
        <f t="shared" si="21"/>
        <v>18</v>
      </c>
      <c r="Y67" s="56">
        <f t="shared" si="21"/>
        <v>18</v>
      </c>
      <c r="Z67" s="54">
        <f t="shared" si="26"/>
        <v>18.900000000000002</v>
      </c>
      <c r="AA67" s="56">
        <f t="shared" si="22"/>
        <v>18.900000000000002</v>
      </c>
      <c r="AB67" s="56">
        <f t="shared" si="22"/>
        <v>18.900000000000002</v>
      </c>
      <c r="AC67" s="56">
        <f t="shared" si="22"/>
        <v>18.900000000000002</v>
      </c>
      <c r="AD67" s="56">
        <f t="shared" si="22"/>
        <v>18.900000000000002</v>
      </c>
      <c r="AE67" s="56">
        <f t="shared" si="22"/>
        <v>18.900000000000002</v>
      </c>
      <c r="AF67" s="56">
        <f t="shared" si="22"/>
        <v>18.900000000000002</v>
      </c>
      <c r="AG67" s="56">
        <f t="shared" si="22"/>
        <v>18.900000000000002</v>
      </c>
      <c r="AH67" s="56">
        <f t="shared" si="22"/>
        <v>18.900000000000002</v>
      </c>
      <c r="AI67" s="56">
        <f t="shared" si="22"/>
        <v>18.900000000000002</v>
      </c>
      <c r="AJ67" s="56">
        <f t="shared" si="22"/>
        <v>18.900000000000002</v>
      </c>
      <c r="AK67" s="56">
        <f t="shared" si="22"/>
        <v>18.900000000000002</v>
      </c>
      <c r="AL67" s="54">
        <f t="shared" si="27"/>
        <v>19.845000000000002</v>
      </c>
      <c r="AM67" s="56">
        <f t="shared" si="23"/>
        <v>19.845000000000002</v>
      </c>
      <c r="AN67" s="56">
        <f t="shared" si="23"/>
        <v>19.845000000000002</v>
      </c>
      <c r="AO67" s="56">
        <f t="shared" si="23"/>
        <v>19.845000000000002</v>
      </c>
      <c r="AP67" s="56">
        <f t="shared" si="23"/>
        <v>19.845000000000002</v>
      </c>
      <c r="AQ67" s="56">
        <f t="shared" si="23"/>
        <v>19.845000000000002</v>
      </c>
      <c r="AR67" s="56">
        <f t="shared" si="23"/>
        <v>19.845000000000002</v>
      </c>
      <c r="AS67" s="56">
        <f t="shared" si="23"/>
        <v>19.845000000000002</v>
      </c>
      <c r="AT67" s="56">
        <f t="shared" si="23"/>
        <v>19.845000000000002</v>
      </c>
      <c r="AU67" s="56">
        <f t="shared" si="23"/>
        <v>19.845000000000002</v>
      </c>
      <c r="AV67" s="56">
        <f t="shared" si="23"/>
        <v>19.845000000000002</v>
      </c>
      <c r="AW67" s="56">
        <f t="shared" si="23"/>
        <v>19.845000000000002</v>
      </c>
      <c r="AX67" s="54">
        <f t="shared" si="28"/>
        <v>20.837250000000004</v>
      </c>
      <c r="AY67" s="56">
        <f t="shared" si="24"/>
        <v>20.837250000000004</v>
      </c>
      <c r="AZ67" s="56">
        <f t="shared" si="24"/>
        <v>20.837250000000004</v>
      </c>
      <c r="BA67" s="56">
        <f t="shared" si="24"/>
        <v>20.837250000000004</v>
      </c>
    </row>
    <row r="68" spans="2:53" x14ac:dyDescent="0.3">
      <c r="C68" s="50" t="s">
        <v>107</v>
      </c>
      <c r="M68" s="55">
        <v>19</v>
      </c>
      <c r="N68" s="55">
        <v>19</v>
      </c>
      <c r="O68" s="56">
        <f t="shared" si="25"/>
        <v>19</v>
      </c>
      <c r="P68" s="56">
        <v>21</v>
      </c>
      <c r="Q68" s="56">
        <f t="shared" si="25"/>
        <v>21</v>
      </c>
      <c r="R68" s="56">
        <f t="shared" si="25"/>
        <v>21</v>
      </c>
      <c r="S68" s="56">
        <f t="shared" si="21"/>
        <v>21</v>
      </c>
      <c r="T68" s="56">
        <f t="shared" si="21"/>
        <v>21</v>
      </c>
      <c r="U68" s="56">
        <f t="shared" si="21"/>
        <v>21</v>
      </c>
      <c r="V68" s="56">
        <f t="shared" si="21"/>
        <v>21</v>
      </c>
      <c r="W68" s="56">
        <f t="shared" si="21"/>
        <v>21</v>
      </c>
      <c r="X68" s="56">
        <f t="shared" si="21"/>
        <v>21</v>
      </c>
      <c r="Y68" s="56">
        <f t="shared" si="21"/>
        <v>21</v>
      </c>
      <c r="Z68" s="54">
        <f t="shared" si="26"/>
        <v>22.05</v>
      </c>
      <c r="AA68" s="56">
        <f t="shared" si="22"/>
        <v>22.05</v>
      </c>
      <c r="AB68" s="56">
        <f t="shared" si="22"/>
        <v>22.05</v>
      </c>
      <c r="AC68" s="56">
        <f t="shared" si="22"/>
        <v>22.05</v>
      </c>
      <c r="AD68" s="56">
        <f t="shared" si="22"/>
        <v>22.05</v>
      </c>
      <c r="AE68" s="56">
        <f t="shared" si="22"/>
        <v>22.05</v>
      </c>
      <c r="AF68" s="56">
        <f t="shared" si="22"/>
        <v>22.05</v>
      </c>
      <c r="AG68" s="56">
        <f t="shared" si="22"/>
        <v>22.05</v>
      </c>
      <c r="AH68" s="56">
        <f t="shared" si="22"/>
        <v>22.05</v>
      </c>
      <c r="AI68" s="56">
        <f t="shared" si="22"/>
        <v>22.05</v>
      </c>
      <c r="AJ68" s="56">
        <f t="shared" si="22"/>
        <v>22.05</v>
      </c>
      <c r="AK68" s="56">
        <f t="shared" si="22"/>
        <v>22.05</v>
      </c>
      <c r="AL68" s="54">
        <f t="shared" si="27"/>
        <v>23.152500000000003</v>
      </c>
      <c r="AM68" s="56">
        <f t="shared" si="23"/>
        <v>23.152500000000003</v>
      </c>
      <c r="AN68" s="56">
        <f t="shared" si="23"/>
        <v>23.152500000000003</v>
      </c>
      <c r="AO68" s="56">
        <f t="shared" si="23"/>
        <v>23.152500000000003</v>
      </c>
      <c r="AP68" s="56">
        <f t="shared" si="23"/>
        <v>23.152500000000003</v>
      </c>
      <c r="AQ68" s="56">
        <f t="shared" si="23"/>
        <v>23.152500000000003</v>
      </c>
      <c r="AR68" s="56">
        <f t="shared" si="23"/>
        <v>23.152500000000003</v>
      </c>
      <c r="AS68" s="56">
        <f t="shared" si="23"/>
        <v>23.152500000000003</v>
      </c>
      <c r="AT68" s="56">
        <f t="shared" si="23"/>
        <v>23.152500000000003</v>
      </c>
      <c r="AU68" s="56">
        <f t="shared" si="23"/>
        <v>23.152500000000003</v>
      </c>
      <c r="AV68" s="56">
        <f t="shared" si="23"/>
        <v>23.152500000000003</v>
      </c>
      <c r="AW68" s="56">
        <f t="shared" si="23"/>
        <v>23.152500000000003</v>
      </c>
      <c r="AX68" s="54">
        <f t="shared" si="28"/>
        <v>24.310125000000003</v>
      </c>
      <c r="AY68" s="56">
        <f t="shared" si="24"/>
        <v>24.310125000000003</v>
      </c>
      <c r="AZ68" s="56">
        <f t="shared" si="24"/>
        <v>24.310125000000003</v>
      </c>
      <c r="BA68" s="56">
        <f t="shared" si="24"/>
        <v>24.310125000000003</v>
      </c>
    </row>
    <row r="69" spans="2:53" x14ac:dyDescent="0.3">
      <c r="C69" s="50" t="s">
        <v>108</v>
      </c>
      <c r="M69" s="55">
        <v>19</v>
      </c>
      <c r="N69" s="55">
        <v>19</v>
      </c>
      <c r="O69" s="56">
        <f t="shared" si="25"/>
        <v>19</v>
      </c>
      <c r="P69" s="56">
        <f t="shared" si="25"/>
        <v>19</v>
      </c>
      <c r="Q69" s="56">
        <f t="shared" si="25"/>
        <v>19</v>
      </c>
      <c r="R69" s="56">
        <f t="shared" si="25"/>
        <v>19</v>
      </c>
      <c r="S69" s="56">
        <f t="shared" si="21"/>
        <v>19</v>
      </c>
      <c r="T69" s="56">
        <f t="shared" si="21"/>
        <v>19</v>
      </c>
      <c r="U69" s="56">
        <f t="shared" si="21"/>
        <v>19</v>
      </c>
      <c r="V69" s="56">
        <f t="shared" si="21"/>
        <v>19</v>
      </c>
      <c r="W69" s="56">
        <f t="shared" si="21"/>
        <v>19</v>
      </c>
      <c r="X69" s="56">
        <f t="shared" si="21"/>
        <v>19</v>
      </c>
      <c r="Y69" s="56">
        <f t="shared" si="21"/>
        <v>19</v>
      </c>
      <c r="Z69" s="54">
        <f t="shared" si="26"/>
        <v>19.95</v>
      </c>
      <c r="AA69" s="56">
        <f t="shared" si="22"/>
        <v>19.95</v>
      </c>
      <c r="AB69" s="56">
        <f t="shared" si="22"/>
        <v>19.95</v>
      </c>
      <c r="AC69" s="56">
        <f t="shared" si="22"/>
        <v>19.95</v>
      </c>
      <c r="AD69" s="56">
        <f t="shared" si="22"/>
        <v>19.95</v>
      </c>
      <c r="AE69" s="56">
        <f t="shared" si="22"/>
        <v>19.95</v>
      </c>
      <c r="AF69" s="56">
        <f t="shared" si="22"/>
        <v>19.95</v>
      </c>
      <c r="AG69" s="56">
        <f t="shared" si="22"/>
        <v>19.95</v>
      </c>
      <c r="AH69" s="56">
        <f t="shared" si="22"/>
        <v>19.95</v>
      </c>
      <c r="AI69" s="56">
        <f t="shared" si="22"/>
        <v>19.95</v>
      </c>
      <c r="AJ69" s="56">
        <f t="shared" si="22"/>
        <v>19.95</v>
      </c>
      <c r="AK69" s="56">
        <f t="shared" si="22"/>
        <v>19.95</v>
      </c>
      <c r="AL69" s="54">
        <f t="shared" si="27"/>
        <v>20.947500000000002</v>
      </c>
      <c r="AM69" s="56">
        <f t="shared" si="23"/>
        <v>20.947500000000002</v>
      </c>
      <c r="AN69" s="56">
        <f t="shared" si="23"/>
        <v>20.947500000000002</v>
      </c>
      <c r="AO69" s="56">
        <f t="shared" si="23"/>
        <v>20.947500000000002</v>
      </c>
      <c r="AP69" s="56">
        <f t="shared" si="23"/>
        <v>20.947500000000002</v>
      </c>
      <c r="AQ69" s="56">
        <f t="shared" si="23"/>
        <v>20.947500000000002</v>
      </c>
      <c r="AR69" s="56">
        <f t="shared" si="23"/>
        <v>20.947500000000002</v>
      </c>
      <c r="AS69" s="56">
        <f t="shared" si="23"/>
        <v>20.947500000000002</v>
      </c>
      <c r="AT69" s="56">
        <f t="shared" si="23"/>
        <v>20.947500000000002</v>
      </c>
      <c r="AU69" s="56">
        <f t="shared" si="23"/>
        <v>20.947500000000002</v>
      </c>
      <c r="AV69" s="56">
        <f t="shared" si="23"/>
        <v>20.947500000000002</v>
      </c>
      <c r="AW69" s="56">
        <f t="shared" si="23"/>
        <v>20.947500000000002</v>
      </c>
      <c r="AX69" s="54">
        <f t="shared" si="28"/>
        <v>21.994875000000004</v>
      </c>
      <c r="AY69" s="56">
        <f t="shared" si="24"/>
        <v>21.994875000000004</v>
      </c>
      <c r="AZ69" s="56">
        <f t="shared" si="24"/>
        <v>21.994875000000004</v>
      </c>
      <c r="BA69" s="56">
        <f t="shared" si="24"/>
        <v>21.994875000000004</v>
      </c>
    </row>
    <row r="70" spans="2:53" x14ac:dyDescent="0.3">
      <c r="C70" s="50" t="s">
        <v>109</v>
      </c>
      <c r="M70" s="55">
        <v>28</v>
      </c>
      <c r="N70" s="55">
        <v>28</v>
      </c>
      <c r="O70" s="56">
        <f t="shared" si="25"/>
        <v>28</v>
      </c>
      <c r="P70" s="56">
        <f t="shared" si="25"/>
        <v>28</v>
      </c>
      <c r="Q70" s="56">
        <f t="shared" si="25"/>
        <v>28</v>
      </c>
      <c r="R70" s="56">
        <f t="shared" si="25"/>
        <v>28</v>
      </c>
      <c r="S70" s="56">
        <f t="shared" si="21"/>
        <v>28</v>
      </c>
      <c r="T70" s="56">
        <f t="shared" si="21"/>
        <v>28</v>
      </c>
      <c r="U70" s="56">
        <f t="shared" si="21"/>
        <v>28</v>
      </c>
      <c r="V70" s="56">
        <f t="shared" si="21"/>
        <v>28</v>
      </c>
      <c r="W70" s="56">
        <f t="shared" si="21"/>
        <v>28</v>
      </c>
      <c r="X70" s="56">
        <f t="shared" si="21"/>
        <v>28</v>
      </c>
      <c r="Y70" s="56">
        <f t="shared" si="21"/>
        <v>28</v>
      </c>
      <c r="Z70" s="54">
        <f t="shared" si="26"/>
        <v>29.400000000000002</v>
      </c>
      <c r="AA70" s="56">
        <f t="shared" si="22"/>
        <v>29.400000000000002</v>
      </c>
      <c r="AB70" s="56">
        <f t="shared" si="22"/>
        <v>29.400000000000002</v>
      </c>
      <c r="AC70" s="56">
        <f t="shared" si="22"/>
        <v>29.400000000000002</v>
      </c>
      <c r="AD70" s="56">
        <f t="shared" si="22"/>
        <v>29.400000000000002</v>
      </c>
      <c r="AE70" s="56">
        <f t="shared" si="22"/>
        <v>29.400000000000002</v>
      </c>
      <c r="AF70" s="56">
        <f t="shared" si="22"/>
        <v>29.400000000000002</v>
      </c>
      <c r="AG70" s="56">
        <f t="shared" si="22"/>
        <v>29.400000000000002</v>
      </c>
      <c r="AH70" s="56">
        <f t="shared" si="22"/>
        <v>29.400000000000002</v>
      </c>
      <c r="AI70" s="56">
        <f t="shared" si="22"/>
        <v>29.400000000000002</v>
      </c>
      <c r="AJ70" s="56">
        <f t="shared" si="22"/>
        <v>29.400000000000002</v>
      </c>
      <c r="AK70" s="56">
        <f t="shared" si="22"/>
        <v>29.400000000000002</v>
      </c>
      <c r="AL70" s="54">
        <f t="shared" si="27"/>
        <v>30.870000000000005</v>
      </c>
      <c r="AM70" s="56">
        <f t="shared" si="23"/>
        <v>30.870000000000005</v>
      </c>
      <c r="AN70" s="56">
        <f t="shared" si="23"/>
        <v>30.870000000000005</v>
      </c>
      <c r="AO70" s="56">
        <f t="shared" si="23"/>
        <v>30.870000000000005</v>
      </c>
      <c r="AP70" s="56">
        <f t="shared" si="23"/>
        <v>30.870000000000005</v>
      </c>
      <c r="AQ70" s="56">
        <f t="shared" si="23"/>
        <v>30.870000000000005</v>
      </c>
      <c r="AR70" s="56">
        <f t="shared" si="23"/>
        <v>30.870000000000005</v>
      </c>
      <c r="AS70" s="56">
        <f t="shared" si="23"/>
        <v>30.870000000000005</v>
      </c>
      <c r="AT70" s="56">
        <f t="shared" si="23"/>
        <v>30.870000000000005</v>
      </c>
      <c r="AU70" s="56">
        <f t="shared" si="23"/>
        <v>30.870000000000005</v>
      </c>
      <c r="AV70" s="56">
        <f t="shared" si="23"/>
        <v>30.870000000000005</v>
      </c>
      <c r="AW70" s="56">
        <f t="shared" si="23"/>
        <v>30.870000000000005</v>
      </c>
      <c r="AX70" s="54">
        <f t="shared" si="28"/>
        <v>32.413500000000006</v>
      </c>
      <c r="AY70" s="56">
        <f t="shared" si="24"/>
        <v>32.413500000000006</v>
      </c>
      <c r="AZ70" s="56">
        <f t="shared" si="24"/>
        <v>32.413500000000006</v>
      </c>
      <c r="BA70" s="56">
        <f t="shared" si="24"/>
        <v>32.413500000000006</v>
      </c>
    </row>
    <row r="72" spans="2:53" x14ac:dyDescent="0.3">
      <c r="B72" s="3" t="s">
        <v>111</v>
      </c>
    </row>
    <row r="73" spans="2:53" x14ac:dyDescent="0.3">
      <c r="C73" t="s">
        <v>52</v>
      </c>
    </row>
    <row r="74" spans="2:53" x14ac:dyDescent="0.3">
      <c r="B74" s="60">
        <v>55</v>
      </c>
      <c r="C74" s="50" t="s">
        <v>112</v>
      </c>
      <c r="N74" s="51">
        <f>$B74</f>
        <v>55</v>
      </c>
      <c r="O74" s="51">
        <f t="shared" ref="O74:BA74" si="29">$B74</f>
        <v>55</v>
      </c>
      <c r="P74" s="51">
        <f t="shared" si="29"/>
        <v>55</v>
      </c>
      <c r="Q74" s="51">
        <f t="shared" si="29"/>
        <v>55</v>
      </c>
      <c r="R74" s="51">
        <f t="shared" si="29"/>
        <v>55</v>
      </c>
      <c r="S74" s="51">
        <f t="shared" si="29"/>
        <v>55</v>
      </c>
      <c r="T74" s="51">
        <f t="shared" si="29"/>
        <v>55</v>
      </c>
      <c r="U74" s="51">
        <f t="shared" si="29"/>
        <v>55</v>
      </c>
      <c r="V74" s="51">
        <f t="shared" si="29"/>
        <v>55</v>
      </c>
      <c r="W74" s="51">
        <f t="shared" si="29"/>
        <v>55</v>
      </c>
      <c r="X74" s="51">
        <f t="shared" si="29"/>
        <v>55</v>
      </c>
      <c r="Y74" s="51">
        <f t="shared" si="29"/>
        <v>55</v>
      </c>
      <c r="Z74" s="51">
        <f t="shared" si="29"/>
        <v>55</v>
      </c>
      <c r="AA74" s="51">
        <f t="shared" si="29"/>
        <v>55</v>
      </c>
      <c r="AB74" s="51">
        <f t="shared" si="29"/>
        <v>55</v>
      </c>
      <c r="AC74" s="51">
        <f t="shared" si="29"/>
        <v>55</v>
      </c>
      <c r="AD74" s="51">
        <f t="shared" si="29"/>
        <v>55</v>
      </c>
      <c r="AE74" s="51">
        <f t="shared" si="29"/>
        <v>55</v>
      </c>
      <c r="AF74" s="51">
        <f t="shared" si="29"/>
        <v>55</v>
      </c>
      <c r="AG74" s="51">
        <f t="shared" si="29"/>
        <v>55</v>
      </c>
      <c r="AH74" s="51">
        <f t="shared" si="29"/>
        <v>55</v>
      </c>
      <c r="AI74" s="51">
        <f t="shared" si="29"/>
        <v>55</v>
      </c>
      <c r="AJ74" s="51">
        <f t="shared" si="29"/>
        <v>55</v>
      </c>
      <c r="AK74" s="51">
        <f t="shared" si="29"/>
        <v>55</v>
      </c>
      <c r="AL74" s="51">
        <f t="shared" si="29"/>
        <v>55</v>
      </c>
      <c r="AM74" s="51">
        <f t="shared" si="29"/>
        <v>55</v>
      </c>
      <c r="AN74" s="51">
        <f t="shared" si="29"/>
        <v>55</v>
      </c>
      <c r="AO74" s="51">
        <f t="shared" si="29"/>
        <v>55</v>
      </c>
      <c r="AP74" s="51">
        <f t="shared" si="29"/>
        <v>55</v>
      </c>
      <c r="AQ74" s="51">
        <f t="shared" si="29"/>
        <v>55</v>
      </c>
      <c r="AR74" s="51">
        <f t="shared" si="29"/>
        <v>55</v>
      </c>
      <c r="AS74" s="51">
        <f t="shared" si="29"/>
        <v>55</v>
      </c>
      <c r="AT74" s="51">
        <f t="shared" si="29"/>
        <v>55</v>
      </c>
      <c r="AU74" s="51">
        <f t="shared" si="29"/>
        <v>55</v>
      </c>
      <c r="AV74" s="51">
        <f t="shared" si="29"/>
        <v>55</v>
      </c>
      <c r="AW74" s="51">
        <f t="shared" si="29"/>
        <v>55</v>
      </c>
      <c r="AX74" s="51">
        <f t="shared" si="29"/>
        <v>55</v>
      </c>
      <c r="AY74" s="51">
        <f t="shared" si="29"/>
        <v>55</v>
      </c>
      <c r="AZ74" s="51">
        <f t="shared" si="29"/>
        <v>55</v>
      </c>
      <c r="BA74" s="51">
        <f t="shared" si="29"/>
        <v>55</v>
      </c>
    </row>
    <row r="75" spans="2:53" x14ac:dyDescent="0.3">
      <c r="C75" s="50" t="s">
        <v>113</v>
      </c>
      <c r="N75" s="61">
        <v>0</v>
      </c>
      <c r="O75" s="61">
        <v>0</v>
      </c>
      <c r="P75" s="61">
        <v>0</v>
      </c>
      <c r="Q75" s="61">
        <v>0</v>
      </c>
      <c r="R75" s="61">
        <v>0</v>
      </c>
      <c r="S75" s="61">
        <v>0.15</v>
      </c>
      <c r="T75" s="61">
        <v>0.35</v>
      </c>
      <c r="U75" s="61">
        <v>0.5</v>
      </c>
      <c r="V75" s="61">
        <v>0.75</v>
      </c>
      <c r="W75" s="61">
        <v>0.9</v>
      </c>
      <c r="X75" s="61">
        <v>0.9</v>
      </c>
      <c r="Y75" s="61">
        <v>0.9</v>
      </c>
      <c r="Z75" s="61">
        <v>0.9</v>
      </c>
      <c r="AA75" s="61">
        <v>0.9</v>
      </c>
      <c r="AB75" s="61">
        <v>0.9</v>
      </c>
      <c r="AC75" s="61">
        <v>0.9</v>
      </c>
      <c r="AD75" s="61">
        <v>0.9</v>
      </c>
      <c r="AE75" s="61">
        <v>0.9</v>
      </c>
      <c r="AF75" s="61">
        <v>0.9</v>
      </c>
      <c r="AG75" s="61">
        <v>0.9</v>
      </c>
      <c r="AH75" s="61">
        <v>0.9</v>
      </c>
      <c r="AI75" s="61">
        <v>0.9</v>
      </c>
      <c r="AJ75" s="61">
        <v>0.9</v>
      </c>
      <c r="AK75" s="61">
        <v>0.9</v>
      </c>
      <c r="AL75" s="61">
        <v>0.9</v>
      </c>
      <c r="AM75" s="61">
        <v>0.9</v>
      </c>
      <c r="AN75" s="61">
        <v>0.9</v>
      </c>
      <c r="AO75" s="61">
        <v>0.9</v>
      </c>
      <c r="AP75" s="61">
        <v>0.9</v>
      </c>
      <c r="AQ75" s="61">
        <v>0.9</v>
      </c>
      <c r="AR75" s="61">
        <v>0.9</v>
      </c>
      <c r="AS75" s="61">
        <v>0.9</v>
      </c>
      <c r="AT75" s="61">
        <v>0.9</v>
      </c>
      <c r="AU75" s="61">
        <v>0.9</v>
      </c>
      <c r="AV75" s="61">
        <v>0.9</v>
      </c>
      <c r="AW75" s="61">
        <v>0.9</v>
      </c>
      <c r="AX75" s="61">
        <v>0.9</v>
      </c>
      <c r="AY75" s="61">
        <v>0.9</v>
      </c>
      <c r="AZ75" s="61">
        <v>0.9</v>
      </c>
      <c r="BA75" s="61">
        <v>0.9</v>
      </c>
    </row>
    <row r="76" spans="2:53" x14ac:dyDescent="0.3">
      <c r="C76" s="50" t="s">
        <v>114</v>
      </c>
      <c r="N76" s="59">
        <v>3</v>
      </c>
      <c r="O76" s="59">
        <v>3</v>
      </c>
      <c r="P76" s="59">
        <v>3</v>
      </c>
      <c r="Q76" s="59">
        <v>3</v>
      </c>
      <c r="R76" s="59">
        <v>3</v>
      </c>
      <c r="S76" s="59">
        <v>3</v>
      </c>
      <c r="T76" s="59">
        <v>3</v>
      </c>
      <c r="U76" s="59">
        <v>3</v>
      </c>
      <c r="V76" s="59">
        <v>3</v>
      </c>
      <c r="W76" s="59">
        <v>3</v>
      </c>
      <c r="X76" s="62">
        <f>IF(W78=2,IF(W99&lt;90%,MIN(W76+1,5),W76),W76)</f>
        <v>3</v>
      </c>
      <c r="Y76" s="62">
        <f t="shared" ref="Y76:BA76" si="30">IF(X78=2,IF(X99&lt;90%,MIN(X76+1,5),X76),X76)</f>
        <v>3</v>
      </c>
      <c r="Z76" s="62">
        <f t="shared" si="30"/>
        <v>3</v>
      </c>
      <c r="AA76" s="62">
        <f t="shared" si="30"/>
        <v>3</v>
      </c>
      <c r="AB76" s="62">
        <f t="shared" si="30"/>
        <v>3</v>
      </c>
      <c r="AC76" s="62">
        <f t="shared" si="30"/>
        <v>3</v>
      </c>
      <c r="AD76" s="62">
        <f t="shared" si="30"/>
        <v>3</v>
      </c>
      <c r="AE76" s="62">
        <f t="shared" si="30"/>
        <v>3</v>
      </c>
      <c r="AF76" s="62">
        <f t="shared" si="30"/>
        <v>3</v>
      </c>
      <c r="AG76" s="62">
        <f t="shared" si="30"/>
        <v>3</v>
      </c>
      <c r="AH76" s="62">
        <f t="shared" si="30"/>
        <v>3</v>
      </c>
      <c r="AI76" s="62">
        <f t="shared" si="30"/>
        <v>4</v>
      </c>
      <c r="AJ76" s="62">
        <f t="shared" si="30"/>
        <v>4</v>
      </c>
      <c r="AK76" s="62">
        <f t="shared" si="30"/>
        <v>5</v>
      </c>
      <c r="AL76" s="62">
        <f t="shared" si="30"/>
        <v>5</v>
      </c>
      <c r="AM76" s="62">
        <f t="shared" si="30"/>
        <v>5</v>
      </c>
      <c r="AN76" s="62">
        <f t="shared" si="30"/>
        <v>5</v>
      </c>
      <c r="AO76" s="62">
        <f t="shared" si="30"/>
        <v>5</v>
      </c>
      <c r="AP76" s="62">
        <f t="shared" si="30"/>
        <v>5</v>
      </c>
      <c r="AQ76" s="62">
        <f t="shared" si="30"/>
        <v>5</v>
      </c>
      <c r="AR76" s="62">
        <f t="shared" si="30"/>
        <v>5</v>
      </c>
      <c r="AS76" s="62">
        <f t="shared" si="30"/>
        <v>5</v>
      </c>
      <c r="AT76" s="62">
        <f t="shared" si="30"/>
        <v>5</v>
      </c>
      <c r="AU76" s="62">
        <f t="shared" si="30"/>
        <v>5</v>
      </c>
      <c r="AV76" s="62">
        <f t="shared" si="30"/>
        <v>5</v>
      </c>
      <c r="AW76" s="62">
        <f t="shared" si="30"/>
        <v>5</v>
      </c>
      <c r="AX76" s="62">
        <f t="shared" si="30"/>
        <v>5</v>
      </c>
      <c r="AY76" s="62">
        <f t="shared" si="30"/>
        <v>5</v>
      </c>
      <c r="AZ76" s="62">
        <f t="shared" si="30"/>
        <v>5</v>
      </c>
      <c r="BA76" s="62">
        <f t="shared" si="30"/>
        <v>5</v>
      </c>
    </row>
    <row r="77" spans="2:53" x14ac:dyDescent="0.3">
      <c r="B77" s="60">
        <v>10</v>
      </c>
      <c r="C77" s="50" t="s">
        <v>115</v>
      </c>
      <c r="N77" s="51">
        <f>$B77</f>
        <v>10</v>
      </c>
      <c r="O77" s="51">
        <f t="shared" ref="O77:BA77" si="31">$B77</f>
        <v>10</v>
      </c>
      <c r="P77" s="51">
        <f t="shared" si="31"/>
        <v>10</v>
      </c>
      <c r="Q77" s="51">
        <f t="shared" si="31"/>
        <v>10</v>
      </c>
      <c r="R77" s="51">
        <f t="shared" si="31"/>
        <v>10</v>
      </c>
      <c r="S77" s="51">
        <f t="shared" si="31"/>
        <v>10</v>
      </c>
      <c r="T77" s="51">
        <f t="shared" si="31"/>
        <v>10</v>
      </c>
      <c r="U77" s="51">
        <f t="shared" si="31"/>
        <v>10</v>
      </c>
      <c r="V77" s="51">
        <f t="shared" si="31"/>
        <v>10</v>
      </c>
      <c r="W77" s="51">
        <f t="shared" si="31"/>
        <v>10</v>
      </c>
      <c r="X77" s="51">
        <f t="shared" si="31"/>
        <v>10</v>
      </c>
      <c r="Y77" s="51">
        <f t="shared" si="31"/>
        <v>10</v>
      </c>
      <c r="Z77" s="51">
        <f t="shared" si="31"/>
        <v>10</v>
      </c>
      <c r="AA77" s="51">
        <f t="shared" si="31"/>
        <v>10</v>
      </c>
      <c r="AB77" s="51">
        <f t="shared" si="31"/>
        <v>10</v>
      </c>
      <c r="AC77" s="51">
        <f t="shared" si="31"/>
        <v>10</v>
      </c>
      <c r="AD77" s="51">
        <f t="shared" si="31"/>
        <v>10</v>
      </c>
      <c r="AE77" s="51">
        <f t="shared" si="31"/>
        <v>10</v>
      </c>
      <c r="AF77" s="51">
        <f t="shared" si="31"/>
        <v>10</v>
      </c>
      <c r="AG77" s="51">
        <f t="shared" si="31"/>
        <v>10</v>
      </c>
      <c r="AH77" s="51">
        <f t="shared" si="31"/>
        <v>10</v>
      </c>
      <c r="AI77" s="51">
        <f t="shared" si="31"/>
        <v>10</v>
      </c>
      <c r="AJ77" s="51">
        <f t="shared" si="31"/>
        <v>10</v>
      </c>
      <c r="AK77" s="51">
        <f t="shared" si="31"/>
        <v>10</v>
      </c>
      <c r="AL77" s="51">
        <f t="shared" si="31"/>
        <v>10</v>
      </c>
      <c r="AM77" s="51">
        <f t="shared" si="31"/>
        <v>10</v>
      </c>
      <c r="AN77" s="51">
        <f t="shared" si="31"/>
        <v>10</v>
      </c>
      <c r="AO77" s="51">
        <f t="shared" si="31"/>
        <v>10</v>
      </c>
      <c r="AP77" s="51">
        <f t="shared" si="31"/>
        <v>10</v>
      </c>
      <c r="AQ77" s="51">
        <f t="shared" si="31"/>
        <v>10</v>
      </c>
      <c r="AR77" s="51">
        <f t="shared" si="31"/>
        <v>10</v>
      </c>
      <c r="AS77" s="51">
        <f t="shared" si="31"/>
        <v>10</v>
      </c>
      <c r="AT77" s="51">
        <f t="shared" si="31"/>
        <v>10</v>
      </c>
      <c r="AU77" s="51">
        <f t="shared" si="31"/>
        <v>10</v>
      </c>
      <c r="AV77" s="51">
        <f t="shared" si="31"/>
        <v>10</v>
      </c>
      <c r="AW77" s="51">
        <f t="shared" si="31"/>
        <v>10</v>
      </c>
      <c r="AX77" s="51">
        <f t="shared" si="31"/>
        <v>10</v>
      </c>
      <c r="AY77" s="51">
        <f t="shared" si="31"/>
        <v>10</v>
      </c>
      <c r="AZ77" s="51">
        <f t="shared" si="31"/>
        <v>10</v>
      </c>
      <c r="BA77" s="51">
        <f t="shared" si="31"/>
        <v>10</v>
      </c>
    </row>
    <row r="78" spans="2:53" x14ac:dyDescent="0.3">
      <c r="C78" s="50" t="s">
        <v>116</v>
      </c>
      <c r="N78" s="63">
        <v>1</v>
      </c>
      <c r="O78" s="63">
        <v>1</v>
      </c>
      <c r="P78" s="63">
        <v>1</v>
      </c>
      <c r="Q78" s="63">
        <v>1</v>
      </c>
      <c r="R78" s="63">
        <v>1</v>
      </c>
      <c r="S78" s="63">
        <v>1</v>
      </c>
      <c r="T78" s="63">
        <v>1</v>
      </c>
      <c r="U78" s="56">
        <v>1.5</v>
      </c>
      <c r="V78" s="63">
        <v>1.5</v>
      </c>
      <c r="W78" s="56">
        <f t="shared" ref="W78:BA78" si="32">MIN(2,MAX(V78,(SUM(W6:W7,W11:W12,W16:W17)/(W74*60*W75*W76*(W80*W1))+W79)/W77))</f>
        <v>1.5</v>
      </c>
      <c r="X78" s="64">
        <f t="shared" si="32"/>
        <v>1.5</v>
      </c>
      <c r="Y78" s="64">
        <v>1.7</v>
      </c>
      <c r="Z78" s="64">
        <f t="shared" si="32"/>
        <v>1.9127180026693253</v>
      </c>
      <c r="AA78" s="64">
        <f t="shared" si="32"/>
        <v>1.9127180026693253</v>
      </c>
      <c r="AB78" s="64">
        <f t="shared" si="32"/>
        <v>1.9127180026693253</v>
      </c>
      <c r="AC78" s="64">
        <f t="shared" si="32"/>
        <v>1.9127180026693253</v>
      </c>
      <c r="AD78" s="64">
        <f t="shared" si="32"/>
        <v>1.9127180026693253</v>
      </c>
      <c r="AE78" s="64">
        <f t="shared" si="32"/>
        <v>1.9127180026693253</v>
      </c>
      <c r="AF78" s="64">
        <f t="shared" si="32"/>
        <v>1.9127180026693253</v>
      </c>
      <c r="AG78" s="64">
        <f t="shared" si="32"/>
        <v>2</v>
      </c>
      <c r="AH78" s="64">
        <f t="shared" si="32"/>
        <v>2</v>
      </c>
      <c r="AI78" s="64">
        <f t="shared" si="32"/>
        <v>2</v>
      </c>
      <c r="AJ78" s="64">
        <f t="shared" si="32"/>
        <v>2</v>
      </c>
      <c r="AK78" s="64">
        <f t="shared" si="32"/>
        <v>2</v>
      </c>
      <c r="AL78" s="64">
        <f t="shared" si="32"/>
        <v>2</v>
      </c>
      <c r="AM78" s="64">
        <f t="shared" si="32"/>
        <v>2</v>
      </c>
      <c r="AN78" s="64">
        <f t="shared" si="32"/>
        <v>2</v>
      </c>
      <c r="AO78" s="64">
        <f t="shared" si="32"/>
        <v>2</v>
      </c>
      <c r="AP78" s="64">
        <f t="shared" si="32"/>
        <v>2</v>
      </c>
      <c r="AQ78" s="64">
        <f t="shared" si="32"/>
        <v>2</v>
      </c>
      <c r="AR78" s="64">
        <f t="shared" si="32"/>
        <v>2</v>
      </c>
      <c r="AS78" s="64">
        <v>1.8</v>
      </c>
      <c r="AT78" s="64">
        <f t="shared" si="32"/>
        <v>1.8</v>
      </c>
      <c r="AU78" s="64">
        <f t="shared" si="32"/>
        <v>1.8599253364599044</v>
      </c>
      <c r="AV78" s="64">
        <f t="shared" si="32"/>
        <v>2</v>
      </c>
      <c r="AW78" s="64">
        <f t="shared" si="32"/>
        <v>2</v>
      </c>
      <c r="AX78" s="64">
        <f t="shared" si="32"/>
        <v>2</v>
      </c>
      <c r="AY78" s="64">
        <f t="shared" si="32"/>
        <v>2</v>
      </c>
      <c r="AZ78" s="64">
        <f t="shared" si="32"/>
        <v>2</v>
      </c>
      <c r="BA78" s="64">
        <f t="shared" si="32"/>
        <v>2</v>
      </c>
    </row>
    <row r="79" spans="2:53" x14ac:dyDescent="0.3">
      <c r="B79" s="60">
        <v>2</v>
      </c>
      <c r="C79" s="50" t="s">
        <v>117</v>
      </c>
      <c r="N79" s="51">
        <f>$B79</f>
        <v>2</v>
      </c>
      <c r="O79" s="51">
        <f t="shared" ref="O79:BA79" si="33">$B79</f>
        <v>2</v>
      </c>
      <c r="P79" s="51">
        <f t="shared" si="33"/>
        <v>2</v>
      </c>
      <c r="Q79" s="51">
        <f t="shared" si="33"/>
        <v>2</v>
      </c>
      <c r="R79" s="51">
        <f t="shared" si="33"/>
        <v>2</v>
      </c>
      <c r="S79" s="51">
        <f t="shared" si="33"/>
        <v>2</v>
      </c>
      <c r="T79" s="51">
        <f t="shared" si="33"/>
        <v>2</v>
      </c>
      <c r="U79" s="51">
        <f t="shared" si="33"/>
        <v>2</v>
      </c>
      <c r="V79" s="51">
        <f t="shared" si="33"/>
        <v>2</v>
      </c>
      <c r="W79" s="51">
        <f t="shared" si="33"/>
        <v>2</v>
      </c>
      <c r="X79" s="51">
        <f t="shared" si="33"/>
        <v>2</v>
      </c>
      <c r="Y79" s="51">
        <f t="shared" si="33"/>
        <v>2</v>
      </c>
      <c r="Z79" s="51">
        <f t="shared" si="33"/>
        <v>2</v>
      </c>
      <c r="AA79" s="51">
        <f t="shared" si="33"/>
        <v>2</v>
      </c>
      <c r="AB79" s="51">
        <f t="shared" si="33"/>
        <v>2</v>
      </c>
      <c r="AC79" s="51">
        <f t="shared" si="33"/>
        <v>2</v>
      </c>
      <c r="AD79" s="51">
        <f t="shared" si="33"/>
        <v>2</v>
      </c>
      <c r="AE79" s="51">
        <f t="shared" si="33"/>
        <v>2</v>
      </c>
      <c r="AF79" s="51">
        <f t="shared" si="33"/>
        <v>2</v>
      </c>
      <c r="AG79" s="51">
        <f t="shared" si="33"/>
        <v>2</v>
      </c>
      <c r="AH79" s="51">
        <f t="shared" si="33"/>
        <v>2</v>
      </c>
      <c r="AI79" s="51">
        <f t="shared" si="33"/>
        <v>2</v>
      </c>
      <c r="AJ79" s="51">
        <f t="shared" si="33"/>
        <v>2</v>
      </c>
      <c r="AK79" s="51">
        <f t="shared" si="33"/>
        <v>2</v>
      </c>
      <c r="AL79" s="51">
        <f t="shared" si="33"/>
        <v>2</v>
      </c>
      <c r="AM79" s="51">
        <f t="shared" si="33"/>
        <v>2</v>
      </c>
      <c r="AN79" s="51">
        <f t="shared" si="33"/>
        <v>2</v>
      </c>
      <c r="AO79" s="51">
        <f t="shared" si="33"/>
        <v>2</v>
      </c>
      <c r="AP79" s="51">
        <f t="shared" si="33"/>
        <v>2</v>
      </c>
      <c r="AQ79" s="51">
        <f t="shared" si="33"/>
        <v>2</v>
      </c>
      <c r="AR79" s="51">
        <f t="shared" si="33"/>
        <v>2</v>
      </c>
      <c r="AS79" s="51">
        <f t="shared" si="33"/>
        <v>2</v>
      </c>
      <c r="AT79" s="51">
        <f t="shared" si="33"/>
        <v>2</v>
      </c>
      <c r="AU79" s="51">
        <f t="shared" si="33"/>
        <v>2</v>
      </c>
      <c r="AV79" s="51">
        <f t="shared" si="33"/>
        <v>2</v>
      </c>
      <c r="AW79" s="51">
        <f t="shared" si="33"/>
        <v>2</v>
      </c>
      <c r="AX79" s="51">
        <f t="shared" si="33"/>
        <v>2</v>
      </c>
      <c r="AY79" s="51">
        <f t="shared" si="33"/>
        <v>2</v>
      </c>
      <c r="AZ79" s="51">
        <f t="shared" si="33"/>
        <v>2</v>
      </c>
      <c r="BA79" s="51">
        <f t="shared" si="33"/>
        <v>2</v>
      </c>
    </row>
    <row r="80" spans="2:53" x14ac:dyDescent="0.3">
      <c r="C80" s="50" t="s">
        <v>118</v>
      </c>
      <c r="N80" s="63">
        <v>4</v>
      </c>
      <c r="O80" s="63">
        <v>4</v>
      </c>
      <c r="P80" s="63">
        <v>4</v>
      </c>
      <c r="Q80" s="63">
        <v>4</v>
      </c>
      <c r="R80" s="63">
        <v>4</v>
      </c>
      <c r="S80" s="63">
        <v>4</v>
      </c>
      <c r="T80" s="63">
        <v>4</v>
      </c>
      <c r="U80" s="63">
        <v>4</v>
      </c>
      <c r="V80" s="63">
        <v>4</v>
      </c>
      <c r="W80" s="63">
        <v>4</v>
      </c>
      <c r="X80" s="63">
        <v>4</v>
      </c>
      <c r="Y80" s="63">
        <v>4</v>
      </c>
      <c r="Z80" s="63">
        <v>4</v>
      </c>
      <c r="AA80" s="63">
        <v>4</v>
      </c>
      <c r="AB80" s="63">
        <v>4</v>
      </c>
      <c r="AC80" s="63">
        <v>4</v>
      </c>
      <c r="AD80" s="63">
        <v>4</v>
      </c>
      <c r="AE80" s="63">
        <v>4</v>
      </c>
      <c r="AF80" s="63">
        <v>4</v>
      </c>
      <c r="AG80" s="63">
        <v>4</v>
      </c>
      <c r="AH80" s="63">
        <v>4</v>
      </c>
      <c r="AI80" s="63">
        <v>4</v>
      </c>
      <c r="AJ80" s="63">
        <v>4</v>
      </c>
      <c r="AK80" s="63">
        <v>4</v>
      </c>
      <c r="AL80" s="63">
        <v>4</v>
      </c>
      <c r="AM80" s="63">
        <v>4</v>
      </c>
      <c r="AN80" s="63">
        <v>4</v>
      </c>
      <c r="AO80" s="63">
        <v>4</v>
      </c>
      <c r="AP80" s="63">
        <v>4</v>
      </c>
      <c r="AQ80" s="63">
        <v>4</v>
      </c>
      <c r="AR80" s="63">
        <v>4</v>
      </c>
      <c r="AS80" s="63">
        <v>5</v>
      </c>
      <c r="AT80" s="63">
        <v>5</v>
      </c>
      <c r="AU80" s="63">
        <v>5</v>
      </c>
      <c r="AV80" s="63">
        <v>5</v>
      </c>
      <c r="AW80" s="63">
        <v>5</v>
      </c>
      <c r="AX80" s="63">
        <v>5</v>
      </c>
      <c r="AY80" s="63">
        <v>5</v>
      </c>
      <c r="AZ80" s="63">
        <v>5</v>
      </c>
      <c r="BA80" s="63">
        <v>5</v>
      </c>
    </row>
    <row r="81" spans="2:53" x14ac:dyDescent="0.3">
      <c r="C81" s="50" t="s">
        <v>119</v>
      </c>
      <c r="N81" s="59">
        <v>1</v>
      </c>
      <c r="O81" s="59">
        <v>1</v>
      </c>
      <c r="P81" s="59">
        <v>0</v>
      </c>
      <c r="R81" s="59">
        <v>1</v>
      </c>
      <c r="T81" s="59">
        <v>1</v>
      </c>
      <c r="V81" s="59">
        <v>1</v>
      </c>
      <c r="X81" s="59">
        <v>1</v>
      </c>
      <c r="Z81" s="59">
        <v>1</v>
      </c>
      <c r="AA81" s="59">
        <v>1</v>
      </c>
      <c r="AB81" s="59">
        <f>P81</f>
        <v>0</v>
      </c>
      <c r="AC81" s="59">
        <f t="shared" ref="AC81:BA81" si="34">Q81</f>
        <v>0</v>
      </c>
      <c r="AD81" s="59">
        <f t="shared" si="34"/>
        <v>1</v>
      </c>
      <c r="AE81" s="59">
        <f t="shared" si="34"/>
        <v>0</v>
      </c>
      <c r="AF81" s="59">
        <f t="shared" si="34"/>
        <v>1</v>
      </c>
      <c r="AG81" s="59">
        <f t="shared" si="34"/>
        <v>0</v>
      </c>
      <c r="AH81" s="59">
        <f t="shared" si="34"/>
        <v>1</v>
      </c>
      <c r="AI81" s="59">
        <f t="shared" si="34"/>
        <v>0</v>
      </c>
      <c r="AJ81" s="59">
        <f t="shared" si="34"/>
        <v>1</v>
      </c>
      <c r="AK81" s="59">
        <f t="shared" si="34"/>
        <v>0</v>
      </c>
      <c r="AL81" s="59">
        <f t="shared" si="34"/>
        <v>1</v>
      </c>
      <c r="AM81" s="59">
        <f t="shared" si="34"/>
        <v>1</v>
      </c>
      <c r="AN81" s="59">
        <f t="shared" si="34"/>
        <v>0</v>
      </c>
      <c r="AO81" s="59">
        <f t="shared" si="34"/>
        <v>0</v>
      </c>
      <c r="AP81" s="59">
        <f t="shared" si="34"/>
        <v>1</v>
      </c>
      <c r="AQ81" s="59">
        <f t="shared" si="34"/>
        <v>0</v>
      </c>
      <c r="AR81" s="59">
        <f t="shared" si="34"/>
        <v>1</v>
      </c>
      <c r="AS81" s="59">
        <f t="shared" si="34"/>
        <v>0</v>
      </c>
      <c r="AT81" s="59">
        <f t="shared" si="34"/>
        <v>1</v>
      </c>
      <c r="AU81" s="59">
        <f t="shared" si="34"/>
        <v>0</v>
      </c>
      <c r="AV81" s="59">
        <f t="shared" si="34"/>
        <v>1</v>
      </c>
      <c r="AW81" s="59">
        <f t="shared" si="34"/>
        <v>0</v>
      </c>
      <c r="AX81" s="59">
        <f t="shared" si="34"/>
        <v>1</v>
      </c>
      <c r="AY81" s="59">
        <f t="shared" si="34"/>
        <v>1</v>
      </c>
      <c r="AZ81" s="59">
        <f t="shared" si="34"/>
        <v>0</v>
      </c>
      <c r="BA81" s="59">
        <f t="shared" si="34"/>
        <v>0</v>
      </c>
    </row>
    <row r="82" spans="2:53" x14ac:dyDescent="0.3">
      <c r="C82" s="50" t="s">
        <v>120</v>
      </c>
      <c r="N82" s="51">
        <f t="shared" ref="N82:AY82" si="35">(N74*60*N75*N76*(N77*N78-N79)*(N80*N$1-N81))</f>
        <v>0</v>
      </c>
      <c r="O82" s="51">
        <f t="shared" si="35"/>
        <v>0</v>
      </c>
      <c r="P82" s="51">
        <f t="shared" si="35"/>
        <v>0</v>
      </c>
      <c r="Q82" s="51">
        <f t="shared" si="35"/>
        <v>0</v>
      </c>
      <c r="R82" s="51">
        <f t="shared" si="35"/>
        <v>0</v>
      </c>
      <c r="S82" s="51">
        <f t="shared" si="35"/>
        <v>237600</v>
      </c>
      <c r="T82" s="51">
        <f t="shared" si="35"/>
        <v>415800</v>
      </c>
      <c r="U82" s="51">
        <f>(U74*60*U75*U76*(U77*U78-U79)*(U80*U$1-U81))</f>
        <v>1029600</v>
      </c>
      <c r="V82" s="51">
        <f t="shared" si="35"/>
        <v>1833975</v>
      </c>
      <c r="W82" s="51">
        <f t="shared" si="35"/>
        <v>1853280</v>
      </c>
      <c r="X82" s="51">
        <f t="shared" si="35"/>
        <v>1737450</v>
      </c>
      <c r="Y82" s="51">
        <f t="shared" si="35"/>
        <v>2673000</v>
      </c>
      <c r="Z82" s="51">
        <f t="shared" si="35"/>
        <v>2289047.610567553</v>
      </c>
      <c r="AA82" s="51">
        <f t="shared" si="35"/>
        <v>2289047.610567553</v>
      </c>
      <c r="AB82" s="51">
        <f t="shared" si="35"/>
        <v>3052063.4807567373</v>
      </c>
      <c r="AC82" s="51">
        <f t="shared" si="35"/>
        <v>2441650.7846053899</v>
      </c>
      <c r="AD82" s="51">
        <f t="shared" si="35"/>
        <v>2289047.610567553</v>
      </c>
      <c r="AE82" s="51">
        <f t="shared" si="35"/>
        <v>3052063.4807567373</v>
      </c>
      <c r="AF82" s="51">
        <f t="shared" si="35"/>
        <v>2289047.610567553</v>
      </c>
      <c r="AG82" s="51">
        <f>(AG74*60*AG75*AG76*(AG77*AG78-AG79)*(AG80*AG$1-AG81))</f>
        <v>2566080</v>
      </c>
      <c r="AH82" s="51">
        <f t="shared" si="35"/>
        <v>3047220</v>
      </c>
      <c r="AI82" s="51">
        <f t="shared" si="35"/>
        <v>3421440</v>
      </c>
      <c r="AJ82" s="51">
        <f t="shared" si="35"/>
        <v>3207600</v>
      </c>
      <c r="AK82" s="51">
        <f t="shared" si="35"/>
        <v>5346000</v>
      </c>
      <c r="AL82" s="51">
        <f t="shared" si="35"/>
        <v>4009500</v>
      </c>
      <c r="AM82" s="51">
        <f t="shared" si="35"/>
        <v>4009500</v>
      </c>
      <c r="AN82" s="51">
        <f t="shared" si="35"/>
        <v>5346000</v>
      </c>
      <c r="AO82" s="51">
        <f t="shared" si="35"/>
        <v>4276800</v>
      </c>
      <c r="AP82" s="51">
        <f t="shared" si="35"/>
        <v>4009500</v>
      </c>
      <c r="AQ82" s="51">
        <f t="shared" si="35"/>
        <v>5346000</v>
      </c>
      <c r="AR82" s="51">
        <f t="shared" si="35"/>
        <v>4009500</v>
      </c>
      <c r="AS82" s="51">
        <f t="shared" si="35"/>
        <v>4752000</v>
      </c>
      <c r="AT82" s="51">
        <f t="shared" si="35"/>
        <v>5702400</v>
      </c>
      <c r="AU82" s="51">
        <f t="shared" si="35"/>
        <v>4929978.2492859159</v>
      </c>
      <c r="AV82" s="51">
        <f t="shared" si="35"/>
        <v>5078700</v>
      </c>
      <c r="AW82" s="51">
        <f t="shared" si="35"/>
        <v>6682500</v>
      </c>
      <c r="AX82" s="51">
        <f t="shared" si="35"/>
        <v>5078700</v>
      </c>
      <c r="AY82" s="51">
        <f t="shared" si="35"/>
        <v>5078700</v>
      </c>
      <c r="AZ82" s="51">
        <f>(AZ74*60*AZ75*AZ76*(AZ77*AZ78-AZ79)*(AZ80*AZ$1-AZ81))</f>
        <v>6682500</v>
      </c>
      <c r="BA82" s="51">
        <f>(BA74*60*BA75*BA76*(BA77*BA78-BA79)*(BA80*BA$1-BA81))</f>
        <v>5346000</v>
      </c>
    </row>
    <row r="83" spans="2:53" x14ac:dyDescent="0.3">
      <c r="C83" s="50" t="s">
        <v>121</v>
      </c>
      <c r="N83" s="51">
        <f t="shared" ref="N83:AY83" si="36">N82/N$1</f>
        <v>0</v>
      </c>
      <c r="O83" s="51">
        <f t="shared" si="36"/>
        <v>0</v>
      </c>
      <c r="P83" s="51">
        <f t="shared" si="36"/>
        <v>0</v>
      </c>
      <c r="Q83" s="51">
        <f t="shared" si="36"/>
        <v>0</v>
      </c>
      <c r="R83" s="51">
        <f t="shared" si="36"/>
        <v>0</v>
      </c>
      <c r="S83" s="51">
        <f t="shared" si="36"/>
        <v>47520</v>
      </c>
      <c r="T83" s="51">
        <f t="shared" si="36"/>
        <v>103950</v>
      </c>
      <c r="U83" s="51">
        <f t="shared" si="36"/>
        <v>257400</v>
      </c>
      <c r="V83" s="51">
        <f t="shared" si="36"/>
        <v>366795</v>
      </c>
      <c r="W83" s="51">
        <f t="shared" si="36"/>
        <v>463320</v>
      </c>
      <c r="X83" s="51">
        <f t="shared" si="36"/>
        <v>434362.5</v>
      </c>
      <c r="Y83" s="51">
        <f t="shared" si="36"/>
        <v>534600</v>
      </c>
      <c r="Z83" s="51">
        <f t="shared" si="36"/>
        <v>572261.90264188824</v>
      </c>
      <c r="AA83" s="51">
        <f t="shared" si="36"/>
        <v>572261.90264188824</v>
      </c>
      <c r="AB83" s="51">
        <f t="shared" si="36"/>
        <v>610412.69615134748</v>
      </c>
      <c r="AC83" s="51">
        <f t="shared" si="36"/>
        <v>610412.69615134748</v>
      </c>
      <c r="AD83" s="51">
        <f t="shared" si="36"/>
        <v>572261.90264188824</v>
      </c>
      <c r="AE83" s="51">
        <f t="shared" si="36"/>
        <v>610412.69615134748</v>
      </c>
      <c r="AF83" s="51">
        <f t="shared" si="36"/>
        <v>572261.90264188824</v>
      </c>
      <c r="AG83" s="51">
        <f t="shared" si="36"/>
        <v>641520</v>
      </c>
      <c r="AH83" s="51">
        <f t="shared" si="36"/>
        <v>609444</v>
      </c>
      <c r="AI83" s="51">
        <f t="shared" si="36"/>
        <v>855360</v>
      </c>
      <c r="AJ83" s="51">
        <f t="shared" si="36"/>
        <v>801900</v>
      </c>
      <c r="AK83" s="51">
        <f t="shared" si="36"/>
        <v>1069200</v>
      </c>
      <c r="AL83" s="51">
        <f t="shared" si="36"/>
        <v>1002375</v>
      </c>
      <c r="AM83" s="51">
        <f t="shared" si="36"/>
        <v>1002375</v>
      </c>
      <c r="AN83" s="51">
        <f t="shared" si="36"/>
        <v>1069200</v>
      </c>
      <c r="AO83" s="51">
        <f t="shared" si="36"/>
        <v>1069200</v>
      </c>
      <c r="AP83" s="51">
        <f t="shared" si="36"/>
        <v>1002375</v>
      </c>
      <c r="AQ83" s="51">
        <f t="shared" si="36"/>
        <v>1069200</v>
      </c>
      <c r="AR83" s="51">
        <f t="shared" si="36"/>
        <v>1002375</v>
      </c>
      <c r="AS83" s="51">
        <f t="shared" si="36"/>
        <v>1188000</v>
      </c>
      <c r="AT83" s="51">
        <f t="shared" si="36"/>
        <v>1140480</v>
      </c>
      <c r="AU83" s="51">
        <f t="shared" si="36"/>
        <v>1232494.562321479</v>
      </c>
      <c r="AV83" s="51">
        <f t="shared" si="36"/>
        <v>1269675</v>
      </c>
      <c r="AW83" s="51">
        <f t="shared" si="36"/>
        <v>1336500</v>
      </c>
      <c r="AX83" s="51">
        <f t="shared" si="36"/>
        <v>1269675</v>
      </c>
      <c r="AY83" s="51">
        <f t="shared" si="36"/>
        <v>1269675</v>
      </c>
      <c r="AZ83" s="51">
        <f>AZ82/AZ$1</f>
        <v>1336500</v>
      </c>
      <c r="BA83" s="51">
        <f>BA82/BA$1</f>
        <v>1336500</v>
      </c>
    </row>
    <row r="84" spans="2:53" x14ac:dyDescent="0.3">
      <c r="S84" s="64"/>
    </row>
    <row r="85" spans="2:53" x14ac:dyDescent="0.3">
      <c r="C85" t="s">
        <v>87</v>
      </c>
    </row>
    <row r="86" spans="2:53" x14ac:dyDescent="0.3">
      <c r="B86" s="60">
        <v>80</v>
      </c>
      <c r="C86" s="50" t="s">
        <v>122</v>
      </c>
      <c r="N86" s="51">
        <f>$B86</f>
        <v>80</v>
      </c>
      <c r="O86" s="51">
        <f t="shared" ref="O86:BA86" si="37">$B86</f>
        <v>80</v>
      </c>
      <c r="P86" s="51">
        <f t="shared" si="37"/>
        <v>80</v>
      </c>
      <c r="Q86" s="51">
        <f t="shared" si="37"/>
        <v>80</v>
      </c>
      <c r="R86" s="51">
        <f t="shared" si="37"/>
        <v>80</v>
      </c>
      <c r="S86" s="51">
        <f t="shared" si="37"/>
        <v>80</v>
      </c>
      <c r="T86" s="51">
        <f t="shared" si="37"/>
        <v>80</v>
      </c>
      <c r="U86" s="51">
        <f t="shared" si="37"/>
        <v>80</v>
      </c>
      <c r="V86" s="51">
        <f t="shared" si="37"/>
        <v>80</v>
      </c>
      <c r="W86" s="51">
        <f t="shared" si="37"/>
        <v>80</v>
      </c>
      <c r="X86" s="51">
        <f t="shared" si="37"/>
        <v>80</v>
      </c>
      <c r="Y86" s="51">
        <f t="shared" si="37"/>
        <v>80</v>
      </c>
      <c r="Z86" s="51">
        <f t="shared" si="37"/>
        <v>80</v>
      </c>
      <c r="AA86" s="51">
        <f t="shared" si="37"/>
        <v>80</v>
      </c>
      <c r="AB86" s="51">
        <f t="shared" si="37"/>
        <v>80</v>
      </c>
      <c r="AC86" s="51">
        <f t="shared" si="37"/>
        <v>80</v>
      </c>
      <c r="AD86" s="51">
        <f t="shared" si="37"/>
        <v>80</v>
      </c>
      <c r="AE86" s="51">
        <f t="shared" si="37"/>
        <v>80</v>
      </c>
      <c r="AF86" s="51">
        <f t="shared" si="37"/>
        <v>80</v>
      </c>
      <c r="AG86" s="51">
        <f t="shared" si="37"/>
        <v>80</v>
      </c>
      <c r="AH86" s="51">
        <f t="shared" si="37"/>
        <v>80</v>
      </c>
      <c r="AI86" s="51">
        <f t="shared" si="37"/>
        <v>80</v>
      </c>
      <c r="AJ86" s="51">
        <f t="shared" si="37"/>
        <v>80</v>
      </c>
      <c r="AK86" s="51">
        <f t="shared" si="37"/>
        <v>80</v>
      </c>
      <c r="AL86" s="51">
        <f t="shared" si="37"/>
        <v>80</v>
      </c>
      <c r="AM86" s="51">
        <f t="shared" si="37"/>
        <v>80</v>
      </c>
      <c r="AN86" s="51">
        <f t="shared" si="37"/>
        <v>80</v>
      </c>
      <c r="AO86" s="51">
        <f t="shared" si="37"/>
        <v>80</v>
      </c>
      <c r="AP86" s="51">
        <f t="shared" si="37"/>
        <v>80</v>
      </c>
      <c r="AQ86" s="51">
        <f t="shared" si="37"/>
        <v>80</v>
      </c>
      <c r="AR86" s="51">
        <f t="shared" si="37"/>
        <v>80</v>
      </c>
      <c r="AS86" s="51">
        <f t="shared" si="37"/>
        <v>80</v>
      </c>
      <c r="AT86" s="51">
        <f t="shared" si="37"/>
        <v>80</v>
      </c>
      <c r="AU86" s="51">
        <f t="shared" si="37"/>
        <v>80</v>
      </c>
      <c r="AV86" s="51">
        <f t="shared" si="37"/>
        <v>80</v>
      </c>
      <c r="AW86" s="51">
        <f t="shared" si="37"/>
        <v>80</v>
      </c>
      <c r="AX86" s="51">
        <f t="shared" si="37"/>
        <v>80</v>
      </c>
      <c r="AY86" s="51">
        <f t="shared" si="37"/>
        <v>80</v>
      </c>
      <c r="AZ86" s="51">
        <f t="shared" si="37"/>
        <v>80</v>
      </c>
      <c r="BA86" s="51">
        <f t="shared" si="37"/>
        <v>80</v>
      </c>
    </row>
    <row r="87" spans="2:53" x14ac:dyDescent="0.3">
      <c r="C87" s="50" t="s">
        <v>113</v>
      </c>
      <c r="N87" s="61">
        <v>0</v>
      </c>
      <c r="O87" s="61">
        <v>0</v>
      </c>
      <c r="P87" s="61">
        <v>0</v>
      </c>
      <c r="Q87" s="61">
        <v>0</v>
      </c>
      <c r="R87" s="61">
        <v>0</v>
      </c>
      <c r="S87" s="61">
        <v>0.15</v>
      </c>
      <c r="T87" s="61">
        <v>0.5</v>
      </c>
      <c r="U87" s="61">
        <v>0.75</v>
      </c>
      <c r="V87" s="61">
        <v>0.9</v>
      </c>
      <c r="W87" s="61">
        <v>0.9</v>
      </c>
      <c r="X87" s="61">
        <v>0.9</v>
      </c>
      <c r="Y87" s="61">
        <v>0.9</v>
      </c>
      <c r="Z87" s="61">
        <v>0.9</v>
      </c>
      <c r="AA87" s="61">
        <v>0.9</v>
      </c>
      <c r="AB87" s="61">
        <v>0.9</v>
      </c>
      <c r="AC87" s="61">
        <v>0.9</v>
      </c>
      <c r="AD87" s="61">
        <v>0.9</v>
      </c>
      <c r="AE87" s="61">
        <v>0.9</v>
      </c>
      <c r="AF87" s="61">
        <v>0.9</v>
      </c>
      <c r="AG87" s="61">
        <v>0.9</v>
      </c>
      <c r="AH87" s="61">
        <v>0.9</v>
      </c>
      <c r="AI87" s="61">
        <v>0.9</v>
      </c>
      <c r="AJ87" s="61">
        <v>0.9</v>
      </c>
      <c r="AK87" s="61">
        <v>0.9</v>
      </c>
      <c r="AL87" s="61">
        <v>0.9</v>
      </c>
      <c r="AM87" s="61">
        <v>0.9</v>
      </c>
      <c r="AN87" s="61">
        <v>0.9</v>
      </c>
      <c r="AO87" s="61">
        <v>0.9</v>
      </c>
      <c r="AP87" s="61">
        <v>0.9</v>
      </c>
      <c r="AQ87" s="61">
        <v>0.9</v>
      </c>
      <c r="AR87" s="61">
        <v>0.9</v>
      </c>
      <c r="AS87" s="61">
        <v>0.9</v>
      </c>
      <c r="AT87" s="61">
        <v>0.9</v>
      </c>
      <c r="AU87" s="61">
        <v>0.9</v>
      </c>
      <c r="AV87" s="61">
        <v>0.9</v>
      </c>
      <c r="AW87" s="61">
        <v>0.9</v>
      </c>
      <c r="AX87" s="61">
        <v>0.9</v>
      </c>
      <c r="AY87" s="61">
        <v>0.9</v>
      </c>
      <c r="AZ87" s="61">
        <v>0.9</v>
      </c>
      <c r="BA87" s="61">
        <v>0.9</v>
      </c>
    </row>
    <row r="88" spans="2:53" x14ac:dyDescent="0.3">
      <c r="C88" s="50" t="s">
        <v>123</v>
      </c>
      <c r="N88" s="59">
        <v>2</v>
      </c>
      <c r="O88" s="59">
        <v>2</v>
      </c>
      <c r="P88" s="59">
        <v>2</v>
      </c>
      <c r="Q88" s="59">
        <v>2</v>
      </c>
      <c r="R88" s="59">
        <v>2</v>
      </c>
      <c r="S88" s="59">
        <v>2</v>
      </c>
      <c r="T88" s="59">
        <v>2</v>
      </c>
      <c r="U88" s="59">
        <v>2</v>
      </c>
      <c r="V88" s="59">
        <v>2</v>
      </c>
      <c r="W88" s="59">
        <v>2</v>
      </c>
      <c r="X88" s="59">
        <v>3</v>
      </c>
      <c r="Y88" s="59">
        <v>3</v>
      </c>
      <c r="Z88" s="59">
        <v>3</v>
      </c>
      <c r="AA88" s="59">
        <v>3</v>
      </c>
      <c r="AB88" s="59">
        <v>3</v>
      </c>
      <c r="AC88" s="59">
        <v>3</v>
      </c>
      <c r="AD88" s="59">
        <v>3</v>
      </c>
      <c r="AE88" s="59">
        <v>3</v>
      </c>
      <c r="AF88" s="59">
        <v>3</v>
      </c>
      <c r="AG88" s="59">
        <v>3</v>
      </c>
      <c r="AH88" s="59">
        <v>3</v>
      </c>
      <c r="AI88" s="59">
        <v>3</v>
      </c>
      <c r="AJ88" s="59">
        <v>3</v>
      </c>
      <c r="AK88" s="59">
        <v>3</v>
      </c>
      <c r="AL88" s="59">
        <v>3</v>
      </c>
      <c r="AM88" s="59">
        <v>3</v>
      </c>
      <c r="AN88" s="59">
        <v>3</v>
      </c>
      <c r="AO88" s="59">
        <v>3</v>
      </c>
      <c r="AP88" s="59">
        <v>3</v>
      </c>
      <c r="AQ88" s="59">
        <v>3</v>
      </c>
      <c r="AR88" s="59">
        <v>3</v>
      </c>
      <c r="AS88" s="59">
        <v>3</v>
      </c>
      <c r="AT88" s="59">
        <v>3</v>
      </c>
      <c r="AU88" s="59">
        <v>3</v>
      </c>
      <c r="AV88" s="59">
        <v>3</v>
      </c>
      <c r="AW88" s="59">
        <v>3</v>
      </c>
      <c r="AX88" s="59">
        <v>3</v>
      </c>
      <c r="AY88" s="59">
        <v>3</v>
      </c>
      <c r="AZ88" s="59">
        <v>3</v>
      </c>
      <c r="BA88" s="59">
        <v>3</v>
      </c>
    </row>
    <row r="89" spans="2:53" x14ac:dyDescent="0.3">
      <c r="B89" s="60">
        <v>10</v>
      </c>
      <c r="C89" s="50" t="s">
        <v>115</v>
      </c>
      <c r="N89" s="51">
        <f>$B89</f>
        <v>10</v>
      </c>
      <c r="O89" s="51">
        <f t="shared" ref="O89:BA89" si="38">$B89</f>
        <v>10</v>
      </c>
      <c r="P89" s="51">
        <f t="shared" si="38"/>
        <v>10</v>
      </c>
      <c r="Q89" s="51">
        <f t="shared" si="38"/>
        <v>10</v>
      </c>
      <c r="R89" s="51">
        <f t="shared" si="38"/>
        <v>10</v>
      </c>
      <c r="S89" s="51">
        <f t="shared" si="38"/>
        <v>10</v>
      </c>
      <c r="T89" s="51">
        <f t="shared" si="38"/>
        <v>10</v>
      </c>
      <c r="U89" s="51">
        <f t="shared" si="38"/>
        <v>10</v>
      </c>
      <c r="V89" s="51">
        <f t="shared" si="38"/>
        <v>10</v>
      </c>
      <c r="W89" s="51">
        <f t="shared" si="38"/>
        <v>10</v>
      </c>
      <c r="X89" s="51">
        <f t="shared" si="38"/>
        <v>10</v>
      </c>
      <c r="Y89" s="51">
        <f t="shared" si="38"/>
        <v>10</v>
      </c>
      <c r="Z89" s="51">
        <f t="shared" si="38"/>
        <v>10</v>
      </c>
      <c r="AA89" s="51">
        <f t="shared" si="38"/>
        <v>10</v>
      </c>
      <c r="AB89" s="51">
        <f t="shared" si="38"/>
        <v>10</v>
      </c>
      <c r="AC89" s="51">
        <f t="shared" si="38"/>
        <v>10</v>
      </c>
      <c r="AD89" s="51">
        <f t="shared" si="38"/>
        <v>10</v>
      </c>
      <c r="AE89" s="51">
        <f t="shared" si="38"/>
        <v>10</v>
      </c>
      <c r="AF89" s="51">
        <f t="shared" si="38"/>
        <v>10</v>
      </c>
      <c r="AG89" s="51">
        <f t="shared" si="38"/>
        <v>10</v>
      </c>
      <c r="AH89" s="51">
        <f t="shared" si="38"/>
        <v>10</v>
      </c>
      <c r="AI89" s="51">
        <f t="shared" si="38"/>
        <v>10</v>
      </c>
      <c r="AJ89" s="51">
        <f t="shared" si="38"/>
        <v>10</v>
      </c>
      <c r="AK89" s="51">
        <f t="shared" si="38"/>
        <v>10</v>
      </c>
      <c r="AL89" s="51">
        <f t="shared" si="38"/>
        <v>10</v>
      </c>
      <c r="AM89" s="51">
        <f t="shared" si="38"/>
        <v>10</v>
      </c>
      <c r="AN89" s="51">
        <f t="shared" si="38"/>
        <v>10</v>
      </c>
      <c r="AO89" s="51">
        <f t="shared" si="38"/>
        <v>10</v>
      </c>
      <c r="AP89" s="51">
        <f t="shared" si="38"/>
        <v>10</v>
      </c>
      <c r="AQ89" s="51">
        <f t="shared" si="38"/>
        <v>10</v>
      </c>
      <c r="AR89" s="51">
        <f t="shared" si="38"/>
        <v>10</v>
      </c>
      <c r="AS89" s="51">
        <f t="shared" si="38"/>
        <v>10</v>
      </c>
      <c r="AT89" s="51">
        <f t="shared" si="38"/>
        <v>10</v>
      </c>
      <c r="AU89" s="51">
        <f t="shared" si="38"/>
        <v>10</v>
      </c>
      <c r="AV89" s="51">
        <f t="shared" si="38"/>
        <v>10</v>
      </c>
      <c r="AW89" s="51">
        <f t="shared" si="38"/>
        <v>10</v>
      </c>
      <c r="AX89" s="51">
        <f t="shared" si="38"/>
        <v>10</v>
      </c>
      <c r="AY89" s="51">
        <f t="shared" si="38"/>
        <v>10</v>
      </c>
      <c r="AZ89" s="51">
        <f t="shared" si="38"/>
        <v>10</v>
      </c>
      <c r="BA89" s="51">
        <f t="shared" si="38"/>
        <v>10</v>
      </c>
    </row>
    <row r="90" spans="2:53" x14ac:dyDescent="0.3">
      <c r="C90" s="50" t="s">
        <v>116</v>
      </c>
      <c r="N90" s="63">
        <v>1</v>
      </c>
      <c r="O90" s="63">
        <v>1</v>
      </c>
      <c r="P90" s="63">
        <v>1</v>
      </c>
      <c r="Q90" s="63">
        <v>1</v>
      </c>
      <c r="R90" s="63">
        <v>1</v>
      </c>
      <c r="S90" s="56">
        <v>1</v>
      </c>
      <c r="T90" s="56">
        <v>1</v>
      </c>
      <c r="U90" s="56">
        <v>1</v>
      </c>
      <c r="V90" s="64">
        <v>1</v>
      </c>
      <c r="W90" s="64">
        <v>1.2</v>
      </c>
      <c r="X90" s="64">
        <v>1</v>
      </c>
      <c r="Y90" s="64">
        <v>1</v>
      </c>
      <c r="Z90" s="64">
        <v>1</v>
      </c>
      <c r="AA90" s="64">
        <v>1</v>
      </c>
      <c r="AB90" s="64">
        <v>1</v>
      </c>
      <c r="AC90" s="64">
        <v>1</v>
      </c>
      <c r="AD90" s="64">
        <v>1</v>
      </c>
      <c r="AE90" s="64">
        <v>1</v>
      </c>
      <c r="AF90" s="64">
        <v>1</v>
      </c>
      <c r="AG90" s="64">
        <v>1</v>
      </c>
      <c r="AH90" s="64">
        <f t="shared" ref="AH90:BA90" si="39">MIN(2,MAX(AG90,(SUM(AH8,AH13,AH18)/(AH86*60*AH87*AH88*(AH92*AH1))+AH91)/AH89))</f>
        <v>1.0715297352915072</v>
      </c>
      <c r="AI90" s="64">
        <f t="shared" si="39"/>
        <v>1.0854743699631206</v>
      </c>
      <c r="AJ90" s="64">
        <f t="shared" si="39"/>
        <v>1.1097261459536205</v>
      </c>
      <c r="AK90" s="64">
        <f t="shared" si="39"/>
        <v>1.1177408320525895</v>
      </c>
      <c r="AL90" s="64">
        <f t="shared" si="39"/>
        <v>1.1177408320525895</v>
      </c>
      <c r="AM90" s="64">
        <f t="shared" si="39"/>
        <v>1.1177408320525895</v>
      </c>
      <c r="AN90" s="64">
        <f t="shared" si="39"/>
        <v>1.1221343186078736</v>
      </c>
      <c r="AO90" s="64">
        <f t="shared" si="39"/>
        <v>1.1221343186078736</v>
      </c>
      <c r="AP90" s="64">
        <f t="shared" si="39"/>
        <v>1.1366327721354463</v>
      </c>
      <c r="AQ90" s="64">
        <f t="shared" si="39"/>
        <v>1.1366327721354463</v>
      </c>
      <c r="AR90" s="64">
        <f t="shared" si="39"/>
        <v>1.1366327721354463</v>
      </c>
      <c r="AS90" s="64">
        <f t="shared" si="39"/>
        <v>1.1366327721354463</v>
      </c>
      <c r="AT90" s="64">
        <f t="shared" si="39"/>
        <v>1.1366327721354463</v>
      </c>
      <c r="AU90" s="64">
        <f t="shared" si="39"/>
        <v>1.1366327721354463</v>
      </c>
      <c r="AV90" s="64">
        <f t="shared" si="39"/>
        <v>1.1366327721354463</v>
      </c>
      <c r="AW90" s="64">
        <f t="shared" si="39"/>
        <v>1.1366327721354463</v>
      </c>
      <c r="AX90" s="64">
        <f t="shared" si="39"/>
        <v>1.1366327721354463</v>
      </c>
      <c r="AY90" s="64">
        <f t="shared" si="39"/>
        <v>1.1366327721354463</v>
      </c>
      <c r="AZ90" s="64">
        <f t="shared" si="39"/>
        <v>1.1366327721354463</v>
      </c>
      <c r="BA90" s="64">
        <f t="shared" si="39"/>
        <v>1.1366327721354463</v>
      </c>
    </row>
    <row r="91" spans="2:53" x14ac:dyDescent="0.3">
      <c r="B91" s="60">
        <v>2</v>
      </c>
      <c r="C91" s="50" t="s">
        <v>117</v>
      </c>
      <c r="N91" s="51">
        <f>$B91</f>
        <v>2</v>
      </c>
      <c r="O91" s="51">
        <f t="shared" ref="O91:BA91" si="40">$B91</f>
        <v>2</v>
      </c>
      <c r="P91" s="51">
        <f t="shared" si="40"/>
        <v>2</v>
      </c>
      <c r="Q91" s="51">
        <f t="shared" si="40"/>
        <v>2</v>
      </c>
      <c r="R91" s="51">
        <f t="shared" si="40"/>
        <v>2</v>
      </c>
      <c r="S91" s="51">
        <f t="shared" si="40"/>
        <v>2</v>
      </c>
      <c r="T91" s="51">
        <f t="shared" si="40"/>
        <v>2</v>
      </c>
      <c r="U91" s="51">
        <f t="shared" si="40"/>
        <v>2</v>
      </c>
      <c r="V91" s="51">
        <f t="shared" si="40"/>
        <v>2</v>
      </c>
      <c r="W91" s="51">
        <f t="shared" si="40"/>
        <v>2</v>
      </c>
      <c r="X91" s="51">
        <f t="shared" si="40"/>
        <v>2</v>
      </c>
      <c r="Y91" s="51">
        <f t="shared" si="40"/>
        <v>2</v>
      </c>
      <c r="Z91" s="51">
        <f t="shared" si="40"/>
        <v>2</v>
      </c>
      <c r="AA91" s="51">
        <f t="shared" si="40"/>
        <v>2</v>
      </c>
      <c r="AB91" s="51">
        <f t="shared" si="40"/>
        <v>2</v>
      </c>
      <c r="AC91" s="51">
        <f t="shared" si="40"/>
        <v>2</v>
      </c>
      <c r="AD91" s="51">
        <f t="shared" si="40"/>
        <v>2</v>
      </c>
      <c r="AE91" s="51">
        <f t="shared" si="40"/>
        <v>2</v>
      </c>
      <c r="AF91" s="51">
        <f t="shared" si="40"/>
        <v>2</v>
      </c>
      <c r="AG91" s="51">
        <f t="shared" si="40"/>
        <v>2</v>
      </c>
      <c r="AH91" s="51">
        <f t="shared" si="40"/>
        <v>2</v>
      </c>
      <c r="AI91" s="51">
        <f t="shared" si="40"/>
        <v>2</v>
      </c>
      <c r="AJ91" s="51">
        <f t="shared" si="40"/>
        <v>2</v>
      </c>
      <c r="AK91" s="51">
        <f t="shared" si="40"/>
        <v>2</v>
      </c>
      <c r="AL91" s="51">
        <f t="shared" si="40"/>
        <v>2</v>
      </c>
      <c r="AM91" s="51">
        <f t="shared" si="40"/>
        <v>2</v>
      </c>
      <c r="AN91" s="51">
        <f t="shared" si="40"/>
        <v>2</v>
      </c>
      <c r="AO91" s="51">
        <f t="shared" si="40"/>
        <v>2</v>
      </c>
      <c r="AP91" s="51">
        <f t="shared" si="40"/>
        <v>2</v>
      </c>
      <c r="AQ91" s="51">
        <f t="shared" si="40"/>
        <v>2</v>
      </c>
      <c r="AR91" s="51">
        <f t="shared" si="40"/>
        <v>2</v>
      </c>
      <c r="AS91" s="51">
        <f t="shared" si="40"/>
        <v>2</v>
      </c>
      <c r="AT91" s="51">
        <f t="shared" si="40"/>
        <v>2</v>
      </c>
      <c r="AU91" s="51">
        <f t="shared" si="40"/>
        <v>2</v>
      </c>
      <c r="AV91" s="51">
        <f t="shared" si="40"/>
        <v>2</v>
      </c>
      <c r="AW91" s="51">
        <f t="shared" si="40"/>
        <v>2</v>
      </c>
      <c r="AX91" s="51">
        <f t="shared" si="40"/>
        <v>2</v>
      </c>
      <c r="AY91" s="51">
        <f t="shared" si="40"/>
        <v>2</v>
      </c>
      <c r="AZ91" s="51">
        <f t="shared" si="40"/>
        <v>2</v>
      </c>
      <c r="BA91" s="51">
        <f t="shared" si="40"/>
        <v>2</v>
      </c>
    </row>
    <row r="92" spans="2:53" x14ac:dyDescent="0.3">
      <c r="C92" s="50" t="s">
        <v>118</v>
      </c>
      <c r="N92" s="59">
        <v>4</v>
      </c>
      <c r="O92" s="63">
        <v>4</v>
      </c>
      <c r="P92" s="63">
        <v>4</v>
      </c>
      <c r="Q92" s="63">
        <v>4</v>
      </c>
      <c r="R92" s="63">
        <v>4</v>
      </c>
      <c r="S92" s="63">
        <v>4</v>
      </c>
      <c r="T92" s="63">
        <v>4</v>
      </c>
      <c r="U92" s="63">
        <v>5</v>
      </c>
      <c r="V92" s="63">
        <v>5</v>
      </c>
      <c r="W92" s="63">
        <v>5</v>
      </c>
      <c r="X92" s="63">
        <v>5</v>
      </c>
      <c r="Y92" s="63">
        <f>X92</f>
        <v>5</v>
      </c>
      <c r="Z92" s="63">
        <f t="shared" ref="Z92:BA92" si="41">Y92</f>
        <v>5</v>
      </c>
      <c r="AA92" s="63">
        <f t="shared" si="41"/>
        <v>5</v>
      </c>
      <c r="AB92" s="63">
        <f t="shared" si="41"/>
        <v>5</v>
      </c>
      <c r="AC92" s="63">
        <f t="shared" si="41"/>
        <v>5</v>
      </c>
      <c r="AD92" s="63">
        <f t="shared" si="41"/>
        <v>5</v>
      </c>
      <c r="AE92" s="63">
        <f t="shared" si="41"/>
        <v>5</v>
      </c>
      <c r="AF92" s="63">
        <f t="shared" si="41"/>
        <v>5</v>
      </c>
      <c r="AG92" s="63">
        <f t="shared" si="41"/>
        <v>5</v>
      </c>
      <c r="AH92" s="63">
        <f t="shared" si="41"/>
        <v>5</v>
      </c>
      <c r="AI92" s="63">
        <f t="shared" si="41"/>
        <v>5</v>
      </c>
      <c r="AJ92" s="63">
        <f t="shared" si="41"/>
        <v>5</v>
      </c>
      <c r="AK92" s="63">
        <f t="shared" si="41"/>
        <v>5</v>
      </c>
      <c r="AL92" s="63">
        <f t="shared" si="41"/>
        <v>5</v>
      </c>
      <c r="AM92" s="63">
        <f t="shared" si="41"/>
        <v>5</v>
      </c>
      <c r="AN92" s="63">
        <f t="shared" si="41"/>
        <v>5</v>
      </c>
      <c r="AO92" s="63">
        <f t="shared" si="41"/>
        <v>5</v>
      </c>
      <c r="AP92" s="63">
        <f t="shared" si="41"/>
        <v>5</v>
      </c>
      <c r="AQ92" s="63">
        <f t="shared" si="41"/>
        <v>5</v>
      </c>
      <c r="AR92" s="63">
        <f t="shared" si="41"/>
        <v>5</v>
      </c>
      <c r="AS92" s="63">
        <f t="shared" si="41"/>
        <v>5</v>
      </c>
      <c r="AT92" s="63">
        <f t="shared" si="41"/>
        <v>5</v>
      </c>
      <c r="AU92" s="63">
        <f t="shared" si="41"/>
        <v>5</v>
      </c>
      <c r="AV92" s="63">
        <f t="shared" si="41"/>
        <v>5</v>
      </c>
      <c r="AW92" s="63">
        <f t="shared" si="41"/>
        <v>5</v>
      </c>
      <c r="AX92" s="63">
        <f t="shared" si="41"/>
        <v>5</v>
      </c>
      <c r="AY92" s="63">
        <f t="shared" si="41"/>
        <v>5</v>
      </c>
      <c r="AZ92" s="63">
        <f t="shared" si="41"/>
        <v>5</v>
      </c>
      <c r="BA92" s="63">
        <f t="shared" si="41"/>
        <v>5</v>
      </c>
    </row>
    <row r="93" spans="2:53" x14ac:dyDescent="0.3">
      <c r="C93" s="50" t="s">
        <v>119</v>
      </c>
      <c r="N93" s="59">
        <v>1</v>
      </c>
      <c r="O93" s="59">
        <v>1</v>
      </c>
      <c r="P93" s="59">
        <v>0</v>
      </c>
      <c r="R93" s="59">
        <v>1</v>
      </c>
      <c r="T93" s="59">
        <v>1</v>
      </c>
      <c r="V93" s="59">
        <v>1</v>
      </c>
      <c r="X93" s="59">
        <v>1</v>
      </c>
      <c r="Z93" s="59">
        <v>1</v>
      </c>
      <c r="AA93" s="59">
        <v>1</v>
      </c>
      <c r="AB93" s="59">
        <f t="shared" ref="AB93:BA93" si="42">P93</f>
        <v>0</v>
      </c>
      <c r="AC93" s="59">
        <f t="shared" si="42"/>
        <v>0</v>
      </c>
      <c r="AD93" s="59">
        <f t="shared" si="42"/>
        <v>1</v>
      </c>
      <c r="AE93" s="59">
        <f t="shared" si="42"/>
        <v>0</v>
      </c>
      <c r="AF93" s="59">
        <f t="shared" si="42"/>
        <v>1</v>
      </c>
      <c r="AG93" s="59">
        <f t="shared" si="42"/>
        <v>0</v>
      </c>
      <c r="AH93" s="59">
        <f t="shared" si="42"/>
        <v>1</v>
      </c>
      <c r="AI93" s="59">
        <f t="shared" si="42"/>
        <v>0</v>
      </c>
      <c r="AJ93" s="59">
        <f t="shared" si="42"/>
        <v>1</v>
      </c>
      <c r="AK93" s="59">
        <f t="shared" si="42"/>
        <v>0</v>
      </c>
      <c r="AL93" s="59">
        <f t="shared" si="42"/>
        <v>1</v>
      </c>
      <c r="AM93" s="59">
        <f t="shared" si="42"/>
        <v>1</v>
      </c>
      <c r="AN93" s="59">
        <f t="shared" si="42"/>
        <v>0</v>
      </c>
      <c r="AO93" s="59">
        <f t="shared" si="42"/>
        <v>0</v>
      </c>
      <c r="AP93" s="59">
        <f t="shared" si="42"/>
        <v>1</v>
      </c>
      <c r="AQ93" s="59">
        <f t="shared" si="42"/>
        <v>0</v>
      </c>
      <c r="AR93" s="59">
        <f t="shared" si="42"/>
        <v>1</v>
      </c>
      <c r="AS93" s="59">
        <f t="shared" si="42"/>
        <v>0</v>
      </c>
      <c r="AT93" s="59">
        <f t="shared" si="42"/>
        <v>1</v>
      </c>
      <c r="AU93" s="59">
        <f t="shared" si="42"/>
        <v>0</v>
      </c>
      <c r="AV93" s="59">
        <f t="shared" si="42"/>
        <v>1</v>
      </c>
      <c r="AW93" s="59">
        <f t="shared" si="42"/>
        <v>0</v>
      </c>
      <c r="AX93" s="59">
        <f t="shared" si="42"/>
        <v>1</v>
      </c>
      <c r="AY93" s="59">
        <f t="shared" si="42"/>
        <v>1</v>
      </c>
      <c r="AZ93" s="59">
        <f t="shared" si="42"/>
        <v>0</v>
      </c>
      <c r="BA93" s="59">
        <f t="shared" si="42"/>
        <v>0</v>
      </c>
    </row>
    <row r="94" spans="2:53" x14ac:dyDescent="0.3">
      <c r="C94" s="50" t="s">
        <v>120</v>
      </c>
      <c r="N94" s="51">
        <f t="shared" ref="N94:AY94" si="43">(N86*60*N87*N88*(N89*N90-N91)*(N92*N$1-N93))</f>
        <v>0</v>
      </c>
      <c r="O94" s="51">
        <f t="shared" si="43"/>
        <v>0</v>
      </c>
      <c r="P94" s="51">
        <f t="shared" si="43"/>
        <v>0</v>
      </c>
      <c r="Q94" s="51">
        <f t="shared" si="43"/>
        <v>0</v>
      </c>
      <c r="R94" s="51">
        <f>(R86*60*R87*R88*(R89*R90-R91)*(R92*R$1-R93))</f>
        <v>0</v>
      </c>
      <c r="S94" s="51">
        <f t="shared" si="43"/>
        <v>230400</v>
      </c>
      <c r="T94" s="51">
        <f t="shared" si="43"/>
        <v>576000</v>
      </c>
      <c r="U94" s="51">
        <f t="shared" si="43"/>
        <v>1152000</v>
      </c>
      <c r="V94" s="51">
        <f>(V86*60*V87*V88*(V89*V90-V91)*(V92*V$1-V93))</f>
        <v>1658880</v>
      </c>
      <c r="W94" s="51">
        <f t="shared" si="43"/>
        <v>1728000</v>
      </c>
      <c r="X94" s="51">
        <f t="shared" si="43"/>
        <v>1969920</v>
      </c>
      <c r="Y94" s="51">
        <f>(Y86*60*Y87*Y88*(Y89*Y90-Y91)*(Y92*Y$1-Y93))</f>
        <v>2592000</v>
      </c>
      <c r="Z94" s="51">
        <f t="shared" si="43"/>
        <v>1969920</v>
      </c>
      <c r="AA94" s="51">
        <f t="shared" si="43"/>
        <v>1969920</v>
      </c>
      <c r="AB94" s="51">
        <f t="shared" si="43"/>
        <v>2592000</v>
      </c>
      <c r="AC94" s="51">
        <f t="shared" si="43"/>
        <v>2073600</v>
      </c>
      <c r="AD94" s="51">
        <f t="shared" si="43"/>
        <v>1969920</v>
      </c>
      <c r="AE94" s="51">
        <f t="shared" si="43"/>
        <v>2592000</v>
      </c>
      <c r="AF94" s="51">
        <f t="shared" si="43"/>
        <v>1969920</v>
      </c>
      <c r="AG94" s="51">
        <f t="shared" si="43"/>
        <v>2073600</v>
      </c>
      <c r="AH94" s="51">
        <f t="shared" si="43"/>
        <v>2710806.0886507044</v>
      </c>
      <c r="AI94" s="51">
        <f t="shared" si="43"/>
        <v>2295149.5669444087</v>
      </c>
      <c r="AJ94" s="51">
        <f t="shared" si="43"/>
        <v>2240109.6617961954</v>
      </c>
      <c r="AK94" s="51">
        <f t="shared" si="43"/>
        <v>2973480.2958503901</v>
      </c>
      <c r="AL94" s="51">
        <f t="shared" si="43"/>
        <v>2259845.0248462963</v>
      </c>
      <c r="AM94" s="51">
        <f t="shared" si="43"/>
        <v>2259845.0248462963</v>
      </c>
      <c r="AN94" s="51">
        <f t="shared" si="43"/>
        <v>2987715.1922895103</v>
      </c>
      <c r="AO94" s="51">
        <f t="shared" si="43"/>
        <v>2390172.1538316081</v>
      </c>
      <c r="AP94" s="51">
        <f t="shared" si="43"/>
        <v>2306364.5381063228</v>
      </c>
      <c r="AQ94" s="51">
        <f t="shared" si="43"/>
        <v>3034690.1817188459</v>
      </c>
      <c r="AR94" s="51">
        <f t="shared" si="43"/>
        <v>2306364.5381063228</v>
      </c>
      <c r="AS94" s="51">
        <f t="shared" si="43"/>
        <v>2427752.1453750767</v>
      </c>
      <c r="AT94" s="51">
        <f t="shared" si="43"/>
        <v>2913302.5744500924</v>
      </c>
      <c r="AU94" s="51">
        <f t="shared" si="43"/>
        <v>2427752.1453750767</v>
      </c>
      <c r="AV94" s="51">
        <f t="shared" si="43"/>
        <v>2306364.5381063228</v>
      </c>
      <c r="AW94" s="51">
        <f t="shared" si="43"/>
        <v>3034690.1817188459</v>
      </c>
      <c r="AX94" s="51">
        <f t="shared" si="43"/>
        <v>2306364.5381063228</v>
      </c>
      <c r="AY94" s="51">
        <f t="shared" si="43"/>
        <v>2306364.5381063228</v>
      </c>
      <c r="AZ94" s="51">
        <f>(AZ86*60*AZ87*AZ88*(AZ89*AZ90-AZ91)*(AZ92*AZ$1-AZ93))</f>
        <v>3034690.1817188459</v>
      </c>
      <c r="BA94" s="51">
        <f>(BA86*60*BA87*BA88*(BA89*BA90-BA91)*(BA92*BA$1-BA93))</f>
        <v>2427752.1453750767</v>
      </c>
    </row>
    <row r="95" spans="2:53" x14ac:dyDescent="0.3">
      <c r="C95" s="50" t="s">
        <v>124</v>
      </c>
      <c r="N95" s="51">
        <f>N94/N$1</f>
        <v>0</v>
      </c>
      <c r="O95" s="51">
        <f t="shared" ref="O95:AY95" si="44">O94/O$1</f>
        <v>0</v>
      </c>
      <c r="P95" s="51">
        <f t="shared" si="44"/>
        <v>0</v>
      </c>
      <c r="Q95" s="51">
        <f t="shared" si="44"/>
        <v>0</v>
      </c>
      <c r="R95" s="51">
        <f t="shared" si="44"/>
        <v>0</v>
      </c>
      <c r="S95" s="51">
        <f t="shared" si="44"/>
        <v>46080</v>
      </c>
      <c r="T95" s="51">
        <f t="shared" si="44"/>
        <v>144000</v>
      </c>
      <c r="U95" s="51">
        <f t="shared" si="44"/>
        <v>288000</v>
      </c>
      <c r="V95" s="51">
        <f t="shared" si="44"/>
        <v>331776</v>
      </c>
      <c r="W95" s="51">
        <f t="shared" si="44"/>
        <v>432000</v>
      </c>
      <c r="X95" s="51">
        <f t="shared" si="44"/>
        <v>492480</v>
      </c>
      <c r="Y95" s="51">
        <f t="shared" si="44"/>
        <v>518400</v>
      </c>
      <c r="Z95" s="51">
        <f t="shared" si="44"/>
        <v>492480</v>
      </c>
      <c r="AA95" s="51">
        <f t="shared" si="44"/>
        <v>492480</v>
      </c>
      <c r="AB95" s="51">
        <f t="shared" si="44"/>
        <v>518400</v>
      </c>
      <c r="AC95" s="51">
        <f t="shared" si="44"/>
        <v>518400</v>
      </c>
      <c r="AD95" s="51">
        <f t="shared" si="44"/>
        <v>492480</v>
      </c>
      <c r="AE95" s="51">
        <f t="shared" si="44"/>
        <v>518400</v>
      </c>
      <c r="AF95" s="51">
        <f t="shared" si="44"/>
        <v>492480</v>
      </c>
      <c r="AG95" s="51">
        <f t="shared" si="44"/>
        <v>518400</v>
      </c>
      <c r="AH95" s="51">
        <f t="shared" si="44"/>
        <v>542161.2177301409</v>
      </c>
      <c r="AI95" s="51">
        <f t="shared" si="44"/>
        <v>573787.39173610217</v>
      </c>
      <c r="AJ95" s="51">
        <f t="shared" si="44"/>
        <v>560027.41544904886</v>
      </c>
      <c r="AK95" s="51">
        <f t="shared" si="44"/>
        <v>594696.05917007802</v>
      </c>
      <c r="AL95" s="51">
        <f t="shared" si="44"/>
        <v>564961.25621157407</v>
      </c>
      <c r="AM95" s="51">
        <f t="shared" si="44"/>
        <v>564961.25621157407</v>
      </c>
      <c r="AN95" s="51">
        <f t="shared" si="44"/>
        <v>597543.03845790203</v>
      </c>
      <c r="AO95" s="51">
        <f t="shared" si="44"/>
        <v>597543.03845790203</v>
      </c>
      <c r="AP95" s="51">
        <f t="shared" si="44"/>
        <v>576591.13452658069</v>
      </c>
      <c r="AQ95" s="51">
        <f t="shared" si="44"/>
        <v>606938.03634376917</v>
      </c>
      <c r="AR95" s="51">
        <f t="shared" si="44"/>
        <v>576591.13452658069</v>
      </c>
      <c r="AS95" s="51">
        <f t="shared" si="44"/>
        <v>606938.03634376917</v>
      </c>
      <c r="AT95" s="51">
        <f t="shared" si="44"/>
        <v>582660.5148900185</v>
      </c>
      <c r="AU95" s="51">
        <f t="shared" si="44"/>
        <v>606938.03634376917</v>
      </c>
      <c r="AV95" s="51">
        <f t="shared" si="44"/>
        <v>576591.13452658069</v>
      </c>
      <c r="AW95" s="51">
        <f t="shared" si="44"/>
        <v>606938.03634376917</v>
      </c>
      <c r="AX95" s="51">
        <f t="shared" si="44"/>
        <v>576591.13452658069</v>
      </c>
      <c r="AY95" s="51">
        <f t="shared" si="44"/>
        <v>576591.13452658069</v>
      </c>
      <c r="AZ95" s="51">
        <f>AZ94/AZ$1</f>
        <v>606938.03634376917</v>
      </c>
      <c r="BA95" s="51">
        <f>BA94/BA$1</f>
        <v>606938.03634376917</v>
      </c>
    </row>
    <row r="98" spans="2:53" x14ac:dyDescent="0.3">
      <c r="C98" t="s">
        <v>125</v>
      </c>
    </row>
    <row r="99" spans="2:53" x14ac:dyDescent="0.3">
      <c r="C99" t="s">
        <v>126</v>
      </c>
      <c r="N99" s="65">
        <f>IFERROR(N82/SUM(N6:N7,N11:N12,N16:N17),0)</f>
        <v>0</v>
      </c>
      <c r="O99" s="65">
        <f t="shared" ref="O99:AY99" si="45">IFERROR(O82/SUM(O6:O7,O11:O12,O16:O17),0)</f>
        <v>0</v>
      </c>
      <c r="P99" s="65">
        <f t="shared" si="45"/>
        <v>0</v>
      </c>
      <c r="Q99" s="65">
        <f>IFERROR(Q82/SUM(Q6:Q7,Q11:Q12,Q16:Q17),0)</f>
        <v>0</v>
      </c>
      <c r="R99" s="65">
        <f t="shared" si="45"/>
        <v>0</v>
      </c>
      <c r="S99" s="65">
        <f t="shared" si="45"/>
        <v>0.14766490856384723</v>
      </c>
      <c r="T99" s="65">
        <f>IFERROR(T82/SUM(T6:T7,T11:T12,T16:T17),0)</f>
        <v>0.26009740837097428</v>
      </c>
      <c r="U99" s="65">
        <f t="shared" si="45"/>
        <v>0.65514714323965406</v>
      </c>
      <c r="V99" s="65">
        <f t="shared" si="45"/>
        <v>1.0049770655503998</v>
      </c>
      <c r="W99" s="65">
        <f t="shared" si="45"/>
        <v>1.1637518076090001</v>
      </c>
      <c r="X99" s="65">
        <f t="shared" si="45"/>
        <v>1.200554710460761</v>
      </c>
      <c r="Y99" s="65">
        <f t="shared" si="45"/>
        <v>0.91726937598256253</v>
      </c>
      <c r="Z99" s="65">
        <f t="shared" si="45"/>
        <v>0.93749999999999978</v>
      </c>
      <c r="AA99" s="65">
        <f t="shared" si="45"/>
        <v>0.99098558901798539</v>
      </c>
      <c r="AB99" s="65">
        <f t="shared" si="45"/>
        <v>1.0981104732311653</v>
      </c>
      <c r="AC99" s="65">
        <f t="shared" si="45"/>
        <v>1.0976493043314541</v>
      </c>
      <c r="AD99" s="65">
        <f t="shared" si="45"/>
        <v>1.0489930644000101</v>
      </c>
      <c r="AE99" s="65">
        <f t="shared" si="45"/>
        <v>1.2039866483442674</v>
      </c>
      <c r="AF99" s="65">
        <f t="shared" si="45"/>
        <v>1.0504897403185405</v>
      </c>
      <c r="AG99" s="65">
        <f t="shared" si="45"/>
        <v>0.94325271324957871</v>
      </c>
      <c r="AH99" s="65">
        <f t="shared" si="45"/>
        <v>0.88702059055034943</v>
      </c>
      <c r="AI99" s="65">
        <f t="shared" si="45"/>
        <v>1.1301763769310256</v>
      </c>
      <c r="AJ99" s="65">
        <f t="shared" si="45"/>
        <v>0.87815316898465168</v>
      </c>
      <c r="AK99" s="65">
        <f t="shared" si="45"/>
        <v>1.2181339135494442</v>
      </c>
      <c r="AL99" s="65">
        <f t="shared" si="45"/>
        <v>1.119649393689637</v>
      </c>
      <c r="AM99" s="65">
        <f t="shared" si="45"/>
        <v>1.1556679478107525</v>
      </c>
      <c r="AN99" s="65">
        <f t="shared" si="45"/>
        <v>1.1287389211941383</v>
      </c>
      <c r="AO99" s="65">
        <f t="shared" si="45"/>
        <v>1.0858942100026387</v>
      </c>
      <c r="AP99" s="65">
        <f t="shared" si="45"/>
        <v>0.97821056756307845</v>
      </c>
      <c r="AQ99" s="65">
        <f t="shared" si="45"/>
        <v>1.1200309206463446</v>
      </c>
      <c r="AR99" s="65">
        <f t="shared" si="45"/>
        <v>0.99869157527201213</v>
      </c>
      <c r="AS99" s="65">
        <f t="shared" si="45"/>
        <v>1.0711912421569381</v>
      </c>
      <c r="AT99" s="65">
        <f t="shared" si="45"/>
        <v>0.99480584333327615</v>
      </c>
      <c r="AU99" s="65">
        <f t="shared" si="45"/>
        <v>1</v>
      </c>
      <c r="AV99" s="65">
        <f t="shared" si="45"/>
        <v>0.90045863749890065</v>
      </c>
      <c r="AW99" s="65">
        <f t="shared" si="45"/>
        <v>0.97903622167779181</v>
      </c>
      <c r="AX99" s="65">
        <f t="shared" si="45"/>
        <v>0.91168644666568355</v>
      </c>
      <c r="AY99" s="65">
        <f t="shared" si="45"/>
        <v>0.93045055552229239</v>
      </c>
      <c r="AZ99" s="65">
        <f>IFERROR(AZ82/SUM(AZ6:AZ7,AZ11:AZ12,AZ16:AZ17),0)</f>
        <v>1.2242770467398585</v>
      </c>
      <c r="BA99" s="65">
        <f>IFERROR(BA82/SUM(BA6:BA7,BA11:BA12,BA16:BA17),0)</f>
        <v>0.9794216373918867</v>
      </c>
    </row>
    <row r="100" spans="2:53" x14ac:dyDescent="0.3">
      <c r="C100" t="s">
        <v>87</v>
      </c>
      <c r="N100" s="65">
        <f>IFERROR(N94/SUM(N8,N13,N18),0)</f>
        <v>0</v>
      </c>
      <c r="O100" s="65">
        <f t="shared" ref="O100:AY100" si="46">IFERROR(O94/SUM(O8,O13,O18),0)</f>
        <v>0</v>
      </c>
      <c r="P100" s="65">
        <f t="shared" si="46"/>
        <v>0</v>
      </c>
      <c r="Q100" s="65">
        <f t="shared" si="46"/>
        <v>0</v>
      </c>
      <c r="R100" s="65">
        <f t="shared" si="46"/>
        <v>0</v>
      </c>
      <c r="S100" s="65">
        <f t="shared" si="46"/>
        <v>0.11253982614963949</v>
      </c>
      <c r="T100" s="65">
        <f t="shared" si="46"/>
        <v>0.3381554991182692</v>
      </c>
      <c r="U100" s="65">
        <f t="shared" si="46"/>
        <v>0.66369539003028355</v>
      </c>
      <c r="V100" s="65">
        <f t="shared" si="46"/>
        <v>0.85455385243758897</v>
      </c>
      <c r="W100" s="65">
        <f t="shared" si="46"/>
        <v>0.69855566440766248</v>
      </c>
      <c r="X100" s="65">
        <f t="shared" si="46"/>
        <v>0.71293818217756555</v>
      </c>
      <c r="Y100" s="65">
        <f t="shared" si="46"/>
        <v>0.79220302099959539</v>
      </c>
      <c r="Z100" s="65">
        <f t="shared" si="46"/>
        <v>0.76255820814657005</v>
      </c>
      <c r="AA100" s="65">
        <f t="shared" si="46"/>
        <v>0.75579186570095347</v>
      </c>
      <c r="AB100" s="65">
        <f t="shared" si="46"/>
        <v>1.0103111019780495</v>
      </c>
      <c r="AC100" s="65">
        <f t="shared" si="46"/>
        <v>1.0246870718633654</v>
      </c>
      <c r="AD100" s="65">
        <f t="shared" si="46"/>
        <v>0.94534937770133265</v>
      </c>
      <c r="AE100" s="65">
        <f t="shared" si="46"/>
        <v>1.0241409840579012</v>
      </c>
      <c r="AF100" s="65">
        <f t="shared" si="46"/>
        <v>0.93763468471334499</v>
      </c>
      <c r="AG100" s="65">
        <f t="shared" si="46"/>
        <v>0.99668217844374596</v>
      </c>
      <c r="AH100" s="65">
        <f t="shared" si="46"/>
        <v>0.96</v>
      </c>
      <c r="AI100" s="65">
        <f t="shared" si="46"/>
        <v>1.0000000000000002</v>
      </c>
      <c r="AJ100" s="65">
        <f t="shared" si="46"/>
        <v>0.95000000000000007</v>
      </c>
      <c r="AK100" s="65">
        <f t="shared" si="46"/>
        <v>1.0000000000000002</v>
      </c>
      <c r="AL100" s="65">
        <f t="shared" si="46"/>
        <v>0.95836949869791765</v>
      </c>
      <c r="AM100" s="65">
        <f t="shared" si="46"/>
        <v>0.97071243038041455</v>
      </c>
      <c r="AN100" s="65">
        <f t="shared" si="46"/>
        <v>1</v>
      </c>
      <c r="AO100" s="65">
        <f t="shared" si="46"/>
        <v>1.0197957886475533</v>
      </c>
      <c r="AP100" s="65">
        <f t="shared" si="46"/>
        <v>0.95</v>
      </c>
      <c r="AQ100" s="65">
        <f t="shared" si="46"/>
        <v>1.0301724305513142</v>
      </c>
      <c r="AR100" s="65">
        <f t="shared" si="46"/>
        <v>0.9780977907323305</v>
      </c>
      <c r="AS100" s="65">
        <f t="shared" si="46"/>
        <v>1.0385808914569679</v>
      </c>
      <c r="AT100" s="65">
        <f t="shared" si="46"/>
        <v>0.99384793630335577</v>
      </c>
      <c r="AU100" s="65">
        <f t="shared" si="46"/>
        <v>1.0125044910428671</v>
      </c>
      <c r="AV100" s="65">
        <f t="shared" si="46"/>
        <v>0.9780977907323305</v>
      </c>
      <c r="AW100" s="65">
        <f t="shared" si="46"/>
        <v>1.0205852670198881</v>
      </c>
      <c r="AX100" s="65">
        <f t="shared" si="46"/>
        <v>0.9780977907323305</v>
      </c>
      <c r="AY100" s="65">
        <f t="shared" si="46"/>
        <v>0.99069480495931983</v>
      </c>
      <c r="AZ100" s="65">
        <f>IFERROR(AZ94/SUM(AZ8,AZ13,AZ18),0)</f>
        <v>1.303545795999105</v>
      </c>
      <c r="BA100" s="65">
        <f>IFERROR(BA94/SUM(BA8,BA13,BA18),0)</f>
        <v>1.0428366367992841</v>
      </c>
    </row>
    <row r="102" spans="2:53" x14ac:dyDescent="0.3">
      <c r="B102" s="3" t="s">
        <v>127</v>
      </c>
      <c r="N102" s="51">
        <f>SUM(N103:N106)</f>
        <v>271872</v>
      </c>
      <c r="O102" s="51">
        <f>SUM(O103:O106)</f>
        <v>271872</v>
      </c>
      <c r="P102" s="66">
        <f>SUM(P103:P106)</f>
        <v>196320</v>
      </c>
      <c r="Q102" s="66">
        <f>SUM(Q103:Q106)</f>
        <v>157056</v>
      </c>
      <c r="R102" s="66">
        <f t="shared" ref="R102:BA102" si="47">SUM(R103:R106)</f>
        <v>203712</v>
      </c>
      <c r="S102" s="66">
        <f t="shared" si="47"/>
        <v>261360</v>
      </c>
      <c r="T102" s="66">
        <f t="shared" si="47"/>
        <v>209088</v>
      </c>
      <c r="U102" s="66">
        <f t="shared" si="47"/>
        <v>258777.60000000001</v>
      </c>
      <c r="V102" s="66">
        <f t="shared" si="47"/>
        <v>378192</v>
      </c>
      <c r="W102" s="66">
        <f t="shared" si="47"/>
        <v>314976</v>
      </c>
      <c r="X102" s="66">
        <f t="shared" si="47"/>
        <v>333609.59999999998</v>
      </c>
      <c r="Y102" s="66">
        <f t="shared" si="47"/>
        <v>435645.59999999992</v>
      </c>
      <c r="Z102" s="66">
        <f t="shared" si="47"/>
        <v>382589.8531330644</v>
      </c>
      <c r="AA102" s="66">
        <f t="shared" si="47"/>
        <v>382589.8531330644</v>
      </c>
      <c r="AB102" s="66">
        <f t="shared" si="47"/>
        <v>478237.31641633046</v>
      </c>
      <c r="AC102" s="66">
        <f t="shared" si="47"/>
        <v>382589.8531330644</v>
      </c>
      <c r="AD102" s="66">
        <f t="shared" si="47"/>
        <v>382589.8531330644</v>
      </c>
      <c r="AE102" s="66">
        <f t="shared" si="47"/>
        <v>478237.31641633046</v>
      </c>
      <c r="AF102" s="66">
        <f t="shared" si="47"/>
        <v>382589.8531330644</v>
      </c>
      <c r="AG102" s="66">
        <f t="shared" si="47"/>
        <v>389420.64</v>
      </c>
      <c r="AH102" s="66">
        <f t="shared" si="47"/>
        <v>495522.67062065139</v>
      </c>
      <c r="AI102" s="66">
        <f t="shared" si="47"/>
        <v>449956.36990576022</v>
      </c>
      <c r="AJ102" s="66">
        <f t="shared" si="47"/>
        <v>452328.83384451724</v>
      </c>
      <c r="AK102" s="66">
        <f t="shared" si="47"/>
        <v>631608.70216588676</v>
      </c>
      <c r="AL102" s="66">
        <f t="shared" si="47"/>
        <v>530551.30981934501</v>
      </c>
      <c r="AM102" s="66">
        <f t="shared" si="47"/>
        <v>530551.30981934501</v>
      </c>
      <c r="AN102" s="66">
        <f t="shared" si="47"/>
        <v>663753.24842644297</v>
      </c>
      <c r="AO102" s="66">
        <f t="shared" si="47"/>
        <v>531002.59874115442</v>
      </c>
      <c r="AP102" s="66">
        <f t="shared" si="47"/>
        <v>532491.84683103254</v>
      </c>
      <c r="AQ102" s="66">
        <f t="shared" si="47"/>
        <v>665614.80853879079</v>
      </c>
      <c r="AR102" s="66">
        <f t="shared" si="47"/>
        <v>532491.84683103254</v>
      </c>
      <c r="AS102" s="66">
        <f t="shared" si="47"/>
        <v>566731.08683103265</v>
      </c>
      <c r="AT102" s="66">
        <f t="shared" si="47"/>
        <v>708413.85853879072</v>
      </c>
      <c r="AU102" s="66">
        <f t="shared" si="47"/>
        <v>576990.07671668963</v>
      </c>
      <c r="AV102" s="66">
        <f t="shared" si="47"/>
        <v>600970.32683103252</v>
      </c>
      <c r="AW102" s="66">
        <f t="shared" si="47"/>
        <v>751212.90853879077</v>
      </c>
      <c r="AX102" s="66">
        <f t="shared" si="47"/>
        <v>631018.84317258431</v>
      </c>
      <c r="AY102" s="66">
        <f t="shared" si="47"/>
        <v>631018.84317258431</v>
      </c>
      <c r="AZ102" s="66">
        <f t="shared" si="47"/>
        <v>788773.55396573048</v>
      </c>
      <c r="BA102" s="66">
        <f t="shared" si="47"/>
        <v>631018.84317258431</v>
      </c>
    </row>
    <row r="103" spans="2:53" x14ac:dyDescent="0.3">
      <c r="B103" t="s">
        <v>96</v>
      </c>
      <c r="C103" t="s">
        <v>128</v>
      </c>
      <c r="D103" s="67"/>
      <c r="E103" s="67"/>
      <c r="F103" s="67"/>
      <c r="G103" s="67"/>
      <c r="H103" s="67"/>
      <c r="I103" s="67"/>
      <c r="J103" s="67"/>
      <c r="K103" s="67"/>
      <c r="L103" s="67"/>
      <c r="M103" s="68" cm="1">
        <f t="array" ref="M103">SUMPRODUCT(M$45:M$56,M$59:M$70,--($B$45:$B$56=$B103))*40*M$1</f>
        <v>27400</v>
      </c>
      <c r="N103" s="68" cm="1">
        <f t="array" ref="N103">SUMPRODUCT(N$45:N$56,N$59:N$70,--($B$45:$B$56=$B103))*40*N$1</f>
        <v>131360</v>
      </c>
      <c r="O103" s="51" cm="1">
        <f t="array" ref="O103">SUMPRODUCT(O$45:O$56,O$59:O$70,--($B$45:$B$56=$B103))*40*O$1</f>
        <v>131360</v>
      </c>
      <c r="P103" s="51" cm="1">
        <f t="array" ref="P103">SUMPRODUCT(P$45:P$56,P$59:P$70,--($B$45:$B$56=$B103))*40*P$1</f>
        <v>125400</v>
      </c>
      <c r="Q103" s="51" cm="1">
        <f t="array" ref="Q103">SUMPRODUCT(Q$45:Q$56,Q$59:Q$70,--($B$45:$B$56=$B103))*40*Q$1</f>
        <v>100320</v>
      </c>
      <c r="R103" s="51" cm="1">
        <f t="array" ref="R103">SUMPRODUCT(R$45:R$56,R$59:R$70,--($B$45:$B$56=$B103))*40*R$1</f>
        <v>122400</v>
      </c>
      <c r="S103" s="51" cm="1">
        <f t="array" ref="S103">SUMPRODUCT(S$45:S$56,S$59:S$70,--($B$45:$B$56=$B103))*40*S$1</f>
        <v>153000</v>
      </c>
      <c r="T103" s="51" cm="1">
        <f t="array" ref="T103">SUMPRODUCT(T$45:T$56,T$59:T$70,--($B$45:$B$56=$B103))*40*T$1</f>
        <v>122400</v>
      </c>
      <c r="U103" s="51" cm="1">
        <f t="array" ref="U103">SUMPRODUCT(U$45:U$56,U$59:U$70,--($B$45:$B$56=$B103))*40*U$1</f>
        <v>163808</v>
      </c>
      <c r="V103" s="51" cm="1">
        <f t="array" ref="V103">SUMPRODUCT(V$45:V$56,V$59:V$70,--($B$45:$B$56=$B103))*40*V$1</f>
        <v>228360</v>
      </c>
      <c r="W103" s="51" cm="1">
        <f t="array" ref="W103">SUMPRODUCT(W$45:W$56,W$59:W$70,--($B$45:$B$56=$B103))*40*W$1</f>
        <v>193040</v>
      </c>
      <c r="X103" s="51" cm="1">
        <f t="array" ref="X103">SUMPRODUCT(X$45:X$56,X$59:X$70,--($B$45:$B$56=$B103))*40*X$1</f>
        <v>208568</v>
      </c>
      <c r="Y103" s="51" cm="1">
        <f t="array" ref="Y103">SUMPRODUCT(Y$45:Y$56,Y$59:Y$70,--($B$45:$B$56=$B103))*40*Y$1</f>
        <v>276237.99999999994</v>
      </c>
      <c r="Z103" s="51" cm="1">
        <f t="array" ref="Z103">SUMPRODUCT(Z$45:Z$56,Z$59:Z$70,--($B$45:$B$56=$B103))*40*Z$1</f>
        <v>245912.87761088699</v>
      </c>
      <c r="AA103" s="51" cm="1">
        <f t="array" ref="AA103">SUMPRODUCT(AA$45:AA$56,AA$59:AA$70,--($B$45:$B$56=$B103))*40*AA$1</f>
        <v>245912.87761088699</v>
      </c>
      <c r="AB103" s="51" cm="1">
        <f t="array" ref="AB103">SUMPRODUCT(AB$45:AB$56,AB$59:AB$70,--($B$45:$B$56=$B103))*40*AB$1</f>
        <v>307391.09701360873</v>
      </c>
      <c r="AC103" s="51" cm="1">
        <f t="array" ref="AC103">SUMPRODUCT(AC$45:AC$56,AC$59:AC$70,--($B$45:$B$56=$B103))*40*AC$1</f>
        <v>245912.87761088699</v>
      </c>
      <c r="AD103" s="51" cm="1">
        <f t="array" ref="AD103">SUMPRODUCT(AD$45:AD$56,AD$59:AD$70,--($B$45:$B$56=$B103))*40*AD$1</f>
        <v>245912.87761088699</v>
      </c>
      <c r="AE103" s="51" cm="1">
        <f t="array" ref="AE103">SUMPRODUCT(AE$45:AE$56,AE$59:AE$70,--($B$45:$B$56=$B103))*40*AE$1</f>
        <v>307391.09701360873</v>
      </c>
      <c r="AF103" s="51" cm="1">
        <f t="array" ref="AF103">SUMPRODUCT(AF$45:AF$56,AF$59:AF$70,--($B$45:$B$56=$B103))*40*AF$1</f>
        <v>245912.87761088699</v>
      </c>
      <c r="AG103" s="51" cm="1">
        <f t="array" ref="AG103">SUMPRODUCT(AG$45:AG$56,AG$59:AG$70,--($B$45:$B$56=$B103))*40*AG$1</f>
        <v>251605.2</v>
      </c>
      <c r="AH103" s="51" cm="1">
        <f t="array" ref="AH103">SUMPRODUCT(AH$45:AH$56,AH$59:AH$70,--($B$45:$B$56=$B103))*40*AH$1</f>
        <v>321795.55885054282</v>
      </c>
      <c r="AI103" s="51" cm="1">
        <f t="array" ref="AI103">SUMPRODUCT(AI$45:AI$56,AI$59:AI$70,--($B$45:$B$56=$B103))*40*AI$1</f>
        <v>302051.64158813353</v>
      </c>
      <c r="AJ103" s="51" cm="1">
        <f t="array" ref="AJ103">SUMPRODUCT(AJ$45:AJ$56,AJ$59:AJ$70,--($B$45:$B$56=$B103))*40*AJ$1</f>
        <v>304028.69487043103</v>
      </c>
      <c r="AK103" s="51" cm="1">
        <f t="array" ref="AK103">SUMPRODUCT(AK$45:AK$56,AK$59:AK$70,--($B$45:$B$56=$B103))*40*AK$1</f>
        <v>435200.58513823897</v>
      </c>
      <c r="AL103" s="51" cm="1">
        <f t="array" ref="AL103">SUMPRODUCT(AL$45:AL$56,AL$59:AL$70,--($B$45:$B$56=$B103))*40*AL$1</f>
        <v>365568.49151612079</v>
      </c>
      <c r="AM103" s="51" cm="1">
        <f t="array" ref="AM103">SUMPRODUCT(AM$45:AM$56,AM$59:AM$70,--($B$45:$B$56=$B103))*40*AM$1</f>
        <v>365568.49151612079</v>
      </c>
      <c r="AN103" s="51" cm="1">
        <f t="array" ref="AN103">SUMPRODUCT(AN$45:AN$56,AN$59:AN$70,--($B$45:$B$56=$B103))*40*AN$1</f>
        <v>457430.70702203584</v>
      </c>
      <c r="AO103" s="51" cm="1">
        <f t="array" ref="AO103">SUMPRODUCT(AO$45:AO$56,AO$59:AO$70,--($B$45:$B$56=$B103))*40*AO$1</f>
        <v>365944.56561762869</v>
      </c>
      <c r="AP103" s="51" cm="1">
        <f t="array" ref="AP103">SUMPRODUCT(AP$45:AP$56,AP$59:AP$70,--($B$45:$B$56=$B103))*40*AP$1</f>
        <v>367185.60569252714</v>
      </c>
      <c r="AQ103" s="51" cm="1">
        <f t="array" ref="AQ103">SUMPRODUCT(AQ$45:AQ$56,AQ$59:AQ$70,--($B$45:$B$56=$B103))*40*AQ$1</f>
        <v>458982.00711565895</v>
      </c>
      <c r="AR103" s="51" cm="1">
        <f t="array" ref="AR103">SUMPRODUCT(AR$45:AR$56,AR$59:AR$70,--($B$45:$B$56=$B103))*40*AR$1</f>
        <v>367185.60569252714</v>
      </c>
      <c r="AS103" s="51" cm="1">
        <f t="array" ref="AS103">SUMPRODUCT(AS$45:AS$56,AS$59:AS$70,--($B$45:$B$56=$B103))*40*AS$1</f>
        <v>395718.30569252715</v>
      </c>
      <c r="AT103" s="51" cm="1">
        <f t="array" ref="AT103">SUMPRODUCT(AT$45:AT$56,AT$59:AT$70,--($B$45:$B$56=$B103))*40*AT$1</f>
        <v>494647.88211565895</v>
      </c>
      <c r="AU103" s="51" cm="1">
        <f t="array" ref="AU103">SUMPRODUCT(AU$45:AU$56,AU$59:AU$70,--($B$45:$B$56=$B103))*40*AU$1</f>
        <v>404267.46393057471</v>
      </c>
      <c r="AV103" s="51" cm="1">
        <f t="array" ref="AV103">SUMPRODUCT(AV$45:AV$56,AV$59:AV$70,--($B$45:$B$56=$B103))*40*AV$1</f>
        <v>424251.00569252716</v>
      </c>
      <c r="AW103" s="51" cm="1">
        <f t="array" ref="AW103">SUMPRODUCT(AW$45:AW$56,AW$59:AW$70,--($B$45:$B$56=$B103))*40*AW$1</f>
        <v>530313.75711565895</v>
      </c>
      <c r="AX103" s="51" cm="1">
        <f t="array" ref="AX103">SUMPRODUCT(AX$45:AX$56,AX$59:AX$70,--($B$45:$B$56=$B103))*40*AX$1</f>
        <v>445463.55597715359</v>
      </c>
      <c r="AY103" s="51" cm="1">
        <f t="array" ref="AY103">SUMPRODUCT(AY$45:AY$56,AY$59:AY$70,--($B$45:$B$56=$B103))*40*AY$1</f>
        <v>445463.55597715359</v>
      </c>
      <c r="AZ103" s="51" cm="1">
        <f t="array" ref="AZ103">SUMPRODUCT(AZ$45:AZ$56,AZ$59:AZ$70,--($B$45:$B$56=$B103))*40*AZ$1</f>
        <v>556829.44497144199</v>
      </c>
      <c r="BA103" s="51" cm="1">
        <f t="array" ref="BA103">SUMPRODUCT(BA$45:BA$56,BA$59:BA$70,--($B$45:$B$56=$B103))*40*BA$1</f>
        <v>445463.55597715359</v>
      </c>
    </row>
    <row r="104" spans="2:53" x14ac:dyDescent="0.3">
      <c r="B104" t="s">
        <v>100</v>
      </c>
      <c r="C104" t="s">
        <v>129</v>
      </c>
      <c r="D104" s="67"/>
      <c r="E104" s="67"/>
      <c r="F104" s="67"/>
      <c r="G104" s="67"/>
      <c r="H104" s="67"/>
      <c r="I104" s="67"/>
      <c r="J104" s="67"/>
      <c r="K104" s="67"/>
      <c r="L104" s="67"/>
      <c r="M104" s="68" cm="1">
        <f t="array" ref="M104">SUMPRODUCT(M$45:M$56,M$59:M$70,--($B$45:$B$56=$B104))*40*M$1</f>
        <v>34000</v>
      </c>
      <c r="N104" s="68" cm="1">
        <f t="array" ref="N104">SUMPRODUCT(N$45:N$56,N$59:N$70,--($B$45:$B$56=$B104))*40*N$1</f>
        <v>95200</v>
      </c>
      <c r="O104" s="51" cm="1">
        <f t="array" ref="O104">SUMPRODUCT(O$45:O$56,O$59:O$70,--($B$45:$B$56=$B104))*40*O$1</f>
        <v>95200</v>
      </c>
      <c r="P104" s="51" cm="1">
        <f t="array" ref="P104">SUMPRODUCT(P$45:P$56,P$59:P$70,--($B$45:$B$56=$B104))*40*P$1</f>
        <v>38200</v>
      </c>
      <c r="Q104" s="51" cm="1">
        <f t="array" ref="Q104">SUMPRODUCT(Q$45:Q$56,Q$59:Q$70,--($B$45:$B$56=$B104))*40*Q$1</f>
        <v>30560</v>
      </c>
      <c r="R104" s="51" cm="1">
        <f t="array" ref="R104">SUMPRODUCT(R$45:R$56,R$59:R$70,--($B$45:$B$56=$B104))*40*R$1</f>
        <v>47360</v>
      </c>
      <c r="S104" s="51" cm="1">
        <f t="array" ref="S104">SUMPRODUCT(S$45:S$56,S$59:S$70,--($B$45:$B$56=$B104))*40*S$1</f>
        <v>64800</v>
      </c>
      <c r="T104" s="51" cm="1">
        <f t="array" ref="T104">SUMPRODUCT(T$45:T$56,T$59:T$70,--($B$45:$B$56=$B104))*40*T$1</f>
        <v>51840</v>
      </c>
      <c r="U104" s="51" cm="1">
        <f t="array" ref="U104">SUMPRODUCT(U$45:U$56,U$59:U$70,--($B$45:$B$56=$B104))*40*U$1</f>
        <v>51840</v>
      </c>
      <c r="V104" s="51" cm="1">
        <f t="array" ref="V104">SUMPRODUCT(V$45:V$56,V$59:V$70,--($B$45:$B$56=$B104))*40*V$1</f>
        <v>86800</v>
      </c>
      <c r="W104" s="51" cm="1">
        <f t="array" ref="W104">SUMPRODUCT(W$45:W$56,W$59:W$70,--($B$45:$B$56=$B104))*40*W$1</f>
        <v>69440</v>
      </c>
      <c r="X104" s="51" cm="1">
        <f t="array" ref="X104">SUMPRODUCT(X$45:X$56,X$59:X$70,--($B$45:$B$56=$B104))*40*X$1</f>
        <v>69440</v>
      </c>
      <c r="Y104" s="51" cm="1">
        <f t="array" ref="Y104">SUMPRODUCT(Y$45:Y$56,Y$59:Y$70,--($B$45:$B$56=$B104))*40*Y$1</f>
        <v>86800</v>
      </c>
      <c r="Z104" s="51" cm="1">
        <f t="array" ref="Z104">SUMPRODUCT(Z$45:Z$56,Z$59:Z$70,--($B$45:$B$56=$B104))*40*Z$1</f>
        <v>72912</v>
      </c>
      <c r="AA104" s="51" cm="1">
        <f t="array" ref="AA104">SUMPRODUCT(AA$45:AA$56,AA$59:AA$70,--($B$45:$B$56=$B104))*40*AA$1</f>
        <v>72912</v>
      </c>
      <c r="AB104" s="51" cm="1">
        <f t="array" ref="AB104">SUMPRODUCT(AB$45:AB$56,AB$59:AB$70,--($B$45:$B$56=$B104))*40*AB$1</f>
        <v>91140</v>
      </c>
      <c r="AC104" s="51" cm="1">
        <f t="array" ref="AC104">SUMPRODUCT(AC$45:AC$56,AC$59:AC$70,--($B$45:$B$56=$B104))*40*AC$1</f>
        <v>72912</v>
      </c>
      <c r="AD104" s="51" cm="1">
        <f t="array" ref="AD104">SUMPRODUCT(AD$45:AD$56,AD$59:AD$70,--($B$45:$B$56=$B104))*40*AD$1</f>
        <v>72912</v>
      </c>
      <c r="AE104" s="51" cm="1">
        <f t="array" ref="AE104">SUMPRODUCT(AE$45:AE$56,AE$59:AE$70,--($B$45:$B$56=$B104))*40*AE$1</f>
        <v>91140</v>
      </c>
      <c r="AF104" s="51" cm="1">
        <f t="array" ref="AF104">SUMPRODUCT(AF$45:AF$56,AF$59:AF$70,--($B$45:$B$56=$B104))*40*AF$1</f>
        <v>72912</v>
      </c>
      <c r="AG104" s="51" cm="1">
        <f t="array" ref="AG104">SUMPRODUCT(AG$45:AG$56,AG$59:AG$70,--($B$45:$B$56=$B104))*40*AG$1</f>
        <v>72912</v>
      </c>
      <c r="AH104" s="51" cm="1">
        <f t="array" ref="AH104">SUMPRODUCT(AH$45:AH$56,AH$59:AH$70,--($B$45:$B$56=$B104))*40*AH$1</f>
        <v>91140</v>
      </c>
      <c r="AI104" s="51" cm="1">
        <f t="array" ref="AI104">SUMPRODUCT(AI$45:AI$56,AI$59:AI$70,--($B$45:$B$56=$B104))*40*AI$1</f>
        <v>72912</v>
      </c>
      <c r="AJ104" s="51" cm="1">
        <f t="array" ref="AJ104">SUMPRODUCT(AJ$45:AJ$56,AJ$59:AJ$70,--($B$45:$B$56=$B104))*40*AJ$1</f>
        <v>72912</v>
      </c>
      <c r="AK104" s="51" cm="1">
        <f t="array" ref="AK104">SUMPRODUCT(AK$45:AK$56,AK$59:AK$70,--($B$45:$B$56=$B104))*40*AK$1</f>
        <v>91140</v>
      </c>
      <c r="AL104" s="51" cm="1">
        <f t="array" ref="AL104">SUMPRODUCT(AL$45:AL$56,AL$59:AL$70,--($B$45:$B$56=$B104))*40*AL$1</f>
        <v>76557.600000000006</v>
      </c>
      <c r="AM104" s="51" cm="1">
        <f t="array" ref="AM104">SUMPRODUCT(AM$45:AM$56,AM$59:AM$70,--($B$45:$B$56=$B104))*40*AM$1</f>
        <v>76557.600000000006</v>
      </c>
      <c r="AN104" s="51" cm="1">
        <f t="array" ref="AN104">SUMPRODUCT(AN$45:AN$56,AN$59:AN$70,--($B$45:$B$56=$B104))*40*AN$1</f>
        <v>95697</v>
      </c>
      <c r="AO104" s="51" cm="1">
        <f t="array" ref="AO104">SUMPRODUCT(AO$45:AO$56,AO$59:AO$70,--($B$45:$B$56=$B104))*40*AO$1</f>
        <v>76557.600000000006</v>
      </c>
      <c r="AP104" s="51" cm="1">
        <f t="array" ref="AP104">SUMPRODUCT(AP$45:AP$56,AP$59:AP$70,--($B$45:$B$56=$B104))*40*AP$1</f>
        <v>76557.600000000006</v>
      </c>
      <c r="AQ104" s="51" cm="1">
        <f t="array" ref="AQ104">SUMPRODUCT(AQ$45:AQ$56,AQ$59:AQ$70,--($B$45:$B$56=$B104))*40*AQ$1</f>
        <v>95697</v>
      </c>
      <c r="AR104" s="51" cm="1">
        <f t="array" ref="AR104">SUMPRODUCT(AR$45:AR$56,AR$59:AR$70,--($B$45:$B$56=$B104))*40*AR$1</f>
        <v>76557.600000000006</v>
      </c>
      <c r="AS104" s="51" cm="1">
        <f t="array" ref="AS104">SUMPRODUCT(AS$45:AS$56,AS$59:AS$70,--($B$45:$B$56=$B104))*40*AS$1</f>
        <v>76557.600000000006</v>
      </c>
      <c r="AT104" s="51" cm="1">
        <f t="array" ref="AT104">SUMPRODUCT(AT$45:AT$56,AT$59:AT$70,--($B$45:$B$56=$B104))*40*AT$1</f>
        <v>95697</v>
      </c>
      <c r="AU104" s="51" cm="1">
        <f t="array" ref="AU104">SUMPRODUCT(AU$45:AU$56,AU$59:AU$70,--($B$45:$B$56=$B104))*40*AU$1</f>
        <v>76557.600000000006</v>
      </c>
      <c r="AV104" s="51" cm="1">
        <f t="array" ref="AV104">SUMPRODUCT(AV$45:AV$56,AV$59:AV$70,--($B$45:$B$56=$B104))*40*AV$1</f>
        <v>76557.600000000006</v>
      </c>
      <c r="AW104" s="51" cm="1">
        <f t="array" ref="AW104">SUMPRODUCT(AW$45:AW$56,AW$59:AW$70,--($B$45:$B$56=$B104))*40*AW$1</f>
        <v>95697</v>
      </c>
      <c r="AX104" s="51" cm="1">
        <f t="array" ref="AX104">SUMPRODUCT(AX$45:AX$56,AX$59:AX$70,--($B$45:$B$56=$B104))*40*AX$1</f>
        <v>80385.480000000025</v>
      </c>
      <c r="AY104" s="51" cm="1">
        <f t="array" ref="AY104">SUMPRODUCT(AY$45:AY$56,AY$59:AY$70,--($B$45:$B$56=$B104))*40*AY$1</f>
        <v>80385.480000000025</v>
      </c>
      <c r="AZ104" s="51" cm="1">
        <f t="array" ref="AZ104">SUMPRODUCT(AZ$45:AZ$56,AZ$59:AZ$70,--($B$45:$B$56=$B104))*40*AZ$1</f>
        <v>100481.85000000003</v>
      </c>
      <c r="BA104" s="51" cm="1">
        <f t="array" ref="BA104">SUMPRODUCT(BA$45:BA$56,BA$59:BA$70,--($B$45:$B$56=$B104))*40*BA$1</f>
        <v>80385.480000000025</v>
      </c>
    </row>
    <row r="105" spans="2:53" x14ac:dyDescent="0.3">
      <c r="D105" s="67"/>
      <c r="E105" s="67"/>
      <c r="F105" s="67"/>
      <c r="G105" s="67"/>
      <c r="H105" s="67"/>
      <c r="I105" s="67"/>
      <c r="J105" s="67"/>
      <c r="K105" s="67"/>
      <c r="L105" s="67"/>
      <c r="M105" s="68"/>
      <c r="N105" s="68"/>
    </row>
    <row r="106" spans="2:53" x14ac:dyDescent="0.3">
      <c r="B106" s="69">
        <v>0.2</v>
      </c>
      <c r="C106" t="s">
        <v>130</v>
      </c>
      <c r="D106" s="67"/>
      <c r="E106" s="67"/>
      <c r="F106" s="67"/>
      <c r="G106" s="67"/>
      <c r="H106" s="67"/>
      <c r="I106" s="67"/>
      <c r="J106" s="67"/>
      <c r="K106" s="67"/>
      <c r="L106" s="67"/>
      <c r="M106" s="68">
        <f>$B106*SUM(M103:M104)</f>
        <v>12280</v>
      </c>
      <c r="N106" s="68">
        <f>$B106*SUM(N103:N104)</f>
        <v>45312</v>
      </c>
      <c r="O106" s="51">
        <f t="shared" ref="O106:AY106" si="48">$B106*SUM(O103:O104)</f>
        <v>45312</v>
      </c>
      <c r="P106" s="51">
        <f t="shared" si="48"/>
        <v>32720</v>
      </c>
      <c r="Q106" s="51">
        <f t="shared" si="48"/>
        <v>26176</v>
      </c>
      <c r="R106" s="51">
        <f t="shared" si="48"/>
        <v>33952</v>
      </c>
      <c r="S106" s="51">
        <f t="shared" si="48"/>
        <v>43560</v>
      </c>
      <c r="T106" s="51">
        <f t="shared" si="48"/>
        <v>34848</v>
      </c>
      <c r="U106" s="51">
        <f t="shared" si="48"/>
        <v>43129.600000000006</v>
      </c>
      <c r="V106" s="51">
        <f t="shared" si="48"/>
        <v>63032</v>
      </c>
      <c r="W106" s="51">
        <f t="shared" si="48"/>
        <v>52496</v>
      </c>
      <c r="X106" s="51">
        <f t="shared" si="48"/>
        <v>55601.600000000006</v>
      </c>
      <c r="Y106" s="51">
        <f t="shared" si="48"/>
        <v>72607.599999999991</v>
      </c>
      <c r="Z106" s="51">
        <f t="shared" si="48"/>
        <v>63764.975522177403</v>
      </c>
      <c r="AA106" s="51">
        <f t="shared" si="48"/>
        <v>63764.975522177403</v>
      </c>
      <c r="AB106" s="51">
        <f t="shared" si="48"/>
        <v>79706.219402721748</v>
      </c>
      <c r="AC106" s="51">
        <f t="shared" si="48"/>
        <v>63764.975522177403</v>
      </c>
      <c r="AD106" s="51">
        <f t="shared" si="48"/>
        <v>63764.975522177403</v>
      </c>
      <c r="AE106" s="51">
        <f t="shared" si="48"/>
        <v>79706.219402721748</v>
      </c>
      <c r="AF106" s="51">
        <f t="shared" si="48"/>
        <v>63764.975522177403</v>
      </c>
      <c r="AG106" s="51">
        <f t="shared" si="48"/>
        <v>64903.44</v>
      </c>
      <c r="AH106" s="51">
        <f t="shared" si="48"/>
        <v>82587.111770108575</v>
      </c>
      <c r="AI106" s="51">
        <f t="shared" si="48"/>
        <v>74992.728317626708</v>
      </c>
      <c r="AJ106" s="51">
        <f t="shared" si="48"/>
        <v>75388.138974086207</v>
      </c>
      <c r="AK106" s="51">
        <f t="shared" si="48"/>
        <v>105268.11702764779</v>
      </c>
      <c r="AL106" s="51">
        <f t="shared" si="48"/>
        <v>88425.218303224174</v>
      </c>
      <c r="AM106" s="51">
        <f t="shared" si="48"/>
        <v>88425.218303224174</v>
      </c>
      <c r="AN106" s="51">
        <f t="shared" si="48"/>
        <v>110625.54140440718</v>
      </c>
      <c r="AO106" s="51">
        <f t="shared" si="48"/>
        <v>88500.433123525756</v>
      </c>
      <c r="AP106" s="51">
        <f t="shared" si="48"/>
        <v>88748.641138505423</v>
      </c>
      <c r="AQ106" s="51">
        <f t="shared" si="48"/>
        <v>110935.80142313179</v>
      </c>
      <c r="AR106" s="51">
        <f t="shared" si="48"/>
        <v>88748.641138505423</v>
      </c>
      <c r="AS106" s="51">
        <f t="shared" si="48"/>
        <v>94455.181138505446</v>
      </c>
      <c r="AT106" s="51">
        <f t="shared" si="48"/>
        <v>118068.9764231318</v>
      </c>
      <c r="AU106" s="51">
        <f t="shared" si="48"/>
        <v>96165.012786114938</v>
      </c>
      <c r="AV106" s="51">
        <f t="shared" si="48"/>
        <v>100161.72113850544</v>
      </c>
      <c r="AW106" s="51">
        <f t="shared" si="48"/>
        <v>125202.1514231318</v>
      </c>
      <c r="AX106" s="51">
        <f t="shared" si="48"/>
        <v>105169.80719543072</v>
      </c>
      <c r="AY106" s="51">
        <f t="shared" si="48"/>
        <v>105169.80719543072</v>
      </c>
      <c r="AZ106" s="51">
        <f>$B106*SUM(AZ103:AZ104)</f>
        <v>131462.25899428842</v>
      </c>
      <c r="BA106" s="51">
        <f>$B106*SUM(BA103:BA104)</f>
        <v>105169.80719543072</v>
      </c>
    </row>
    <row r="107" spans="2:53" x14ac:dyDescent="0.3">
      <c r="D107" s="67"/>
      <c r="E107" s="67"/>
      <c r="F107" s="67"/>
      <c r="G107" s="67"/>
      <c r="H107" s="67"/>
      <c r="I107" s="67"/>
      <c r="J107" s="67"/>
      <c r="K107" s="67"/>
      <c r="L107" s="67"/>
      <c r="M107" s="67"/>
      <c r="N107" s="67"/>
    </row>
    <row r="108" spans="2:53" x14ac:dyDescent="0.3">
      <c r="C108" t="s">
        <v>131</v>
      </c>
      <c r="D108" s="67"/>
      <c r="E108" s="67"/>
      <c r="F108" s="67"/>
      <c r="G108" s="67"/>
      <c r="H108" s="67"/>
      <c r="I108" s="67"/>
      <c r="J108" s="67"/>
      <c r="K108" s="67"/>
      <c r="L108" s="67"/>
      <c r="M108" s="68">
        <v>68846.129166666666</v>
      </c>
      <c r="N108" s="68">
        <v>68553.81280701753</v>
      </c>
      <c r="O108" s="51">
        <v>68553.81280701753</v>
      </c>
      <c r="P108" s="51">
        <v>86153.821474358963</v>
      </c>
      <c r="Q108" s="51">
        <v>70990.748894871795</v>
      </c>
      <c r="R108" s="51">
        <v>78467.658368556004</v>
      </c>
      <c r="S108" s="51">
        <v>98084.572960695004</v>
      </c>
      <c r="T108" s="51">
        <v>78467.658368556004</v>
      </c>
      <c r="U108" s="51">
        <v>98313.812214709833</v>
      </c>
      <c r="V108" s="51">
        <v>122892.26526838733</v>
      </c>
      <c r="W108" s="51">
        <v>98313.812214709833</v>
      </c>
      <c r="X108" s="51">
        <v>98313.812214709833</v>
      </c>
      <c r="Y108" s="51">
        <v>122892.26526838733</v>
      </c>
      <c r="Z108" s="51">
        <v>98313.812214709833</v>
      </c>
      <c r="AA108" s="51">
        <v>98313.812214709833</v>
      </c>
      <c r="AB108" s="51">
        <v>122892.26526838733</v>
      </c>
      <c r="AC108" s="51">
        <v>101263.22658115115</v>
      </c>
      <c r="AD108" s="51">
        <v>101263.22658115115</v>
      </c>
      <c r="AE108" s="51">
        <v>126579.03322643896</v>
      </c>
      <c r="AF108" s="51">
        <v>101263.22658115115</v>
      </c>
      <c r="AG108" s="51">
        <v>101263.22658115115</v>
      </c>
      <c r="AH108" s="51">
        <v>126579.03322643896</v>
      </c>
      <c r="AI108" s="51">
        <v>101263.22658115115</v>
      </c>
      <c r="AJ108" s="51">
        <v>101263.22658115115</v>
      </c>
      <c r="AK108" s="51">
        <v>126579.03322643896</v>
      </c>
      <c r="AL108" s="51">
        <v>101263.22658115115</v>
      </c>
      <c r="AM108" s="51">
        <v>101263.22658115115</v>
      </c>
      <c r="AN108" s="51">
        <v>126579.03322643896</v>
      </c>
      <c r="AO108" s="51">
        <v>104301.1233785857</v>
      </c>
      <c r="AP108" s="51">
        <v>104301.1233785857</v>
      </c>
      <c r="AQ108" s="51">
        <v>130376.40422323214</v>
      </c>
      <c r="AR108" s="51">
        <v>104301.1233785857</v>
      </c>
      <c r="AS108" s="51">
        <v>104301.1233785857</v>
      </c>
      <c r="AT108" s="51">
        <v>130376.40422323214</v>
      </c>
      <c r="AU108" s="51">
        <v>104301.1233785857</v>
      </c>
      <c r="AV108" s="51">
        <v>104301.1233785857</v>
      </c>
      <c r="AW108" s="51">
        <v>130376.40422323214</v>
      </c>
      <c r="AX108" s="51">
        <v>104301.1233785857</v>
      </c>
      <c r="AY108" s="51">
        <v>104301.1233785857</v>
      </c>
      <c r="AZ108" s="51">
        <v>0</v>
      </c>
      <c r="BA108" s="51">
        <v>0</v>
      </c>
    </row>
    <row r="110" spans="2:53" x14ac:dyDescent="0.3">
      <c r="B110" t="s">
        <v>132</v>
      </c>
    </row>
    <row r="111" spans="2:53" x14ac:dyDescent="0.3">
      <c r="B111" s="60">
        <v>600000</v>
      </c>
      <c r="C111" t="s">
        <v>133</v>
      </c>
      <c r="P111" s="51">
        <f>$B111/12</f>
        <v>50000</v>
      </c>
      <c r="Q111" s="51">
        <f t="shared" ref="Q111:Y114" si="49">$B111/12</f>
        <v>50000</v>
      </c>
      <c r="R111" s="51">
        <f t="shared" si="49"/>
        <v>50000</v>
      </c>
      <c r="S111" s="51">
        <f t="shared" si="49"/>
        <v>50000</v>
      </c>
      <c r="T111" s="51">
        <f t="shared" si="49"/>
        <v>50000</v>
      </c>
      <c r="U111" s="51">
        <f t="shared" si="49"/>
        <v>50000</v>
      </c>
      <c r="V111" s="51">
        <f t="shared" si="49"/>
        <v>50000</v>
      </c>
      <c r="W111" s="51">
        <f t="shared" si="49"/>
        <v>50000</v>
      </c>
      <c r="X111" s="51">
        <f t="shared" si="49"/>
        <v>50000</v>
      </c>
      <c r="Y111" s="51">
        <f t="shared" si="49"/>
        <v>50000</v>
      </c>
      <c r="Z111" s="52">
        <f t="shared" ref="Z111:AO112" si="50">1.03*P111</f>
        <v>51500</v>
      </c>
      <c r="AA111" s="51">
        <f t="shared" si="50"/>
        <v>51500</v>
      </c>
      <c r="AB111" s="51">
        <f t="shared" si="50"/>
        <v>51500</v>
      </c>
      <c r="AC111" s="51">
        <f t="shared" si="50"/>
        <v>51500</v>
      </c>
      <c r="AD111" s="51">
        <f t="shared" si="50"/>
        <v>51500</v>
      </c>
      <c r="AE111" s="51">
        <f t="shared" si="50"/>
        <v>51500</v>
      </c>
      <c r="AF111" s="51">
        <f t="shared" si="50"/>
        <v>51500</v>
      </c>
      <c r="AG111" s="51">
        <f t="shared" si="50"/>
        <v>51500</v>
      </c>
      <c r="AH111" s="51">
        <f t="shared" si="50"/>
        <v>51500</v>
      </c>
      <c r="AI111" s="51">
        <f t="shared" si="50"/>
        <v>51500</v>
      </c>
      <c r="AJ111" s="51">
        <f t="shared" si="50"/>
        <v>53045</v>
      </c>
      <c r="AK111" s="51">
        <f t="shared" si="50"/>
        <v>53045</v>
      </c>
      <c r="AL111" s="51">
        <f t="shared" si="50"/>
        <v>53045</v>
      </c>
      <c r="AM111" s="51">
        <f t="shared" si="50"/>
        <v>53045</v>
      </c>
      <c r="AN111" s="51">
        <f t="shared" si="50"/>
        <v>53045</v>
      </c>
      <c r="AO111" s="51">
        <f t="shared" si="50"/>
        <v>53045</v>
      </c>
      <c r="AP111" s="51">
        <f t="shared" ref="AP111:BA112" si="51">1.03*AF111</f>
        <v>53045</v>
      </c>
      <c r="AQ111" s="51">
        <f t="shared" si="51"/>
        <v>53045</v>
      </c>
      <c r="AR111" s="51">
        <f t="shared" si="51"/>
        <v>53045</v>
      </c>
      <c r="AS111" s="51">
        <f t="shared" si="51"/>
        <v>53045</v>
      </c>
      <c r="AT111" s="51">
        <f t="shared" si="51"/>
        <v>54636.35</v>
      </c>
      <c r="AU111" s="51">
        <f t="shared" si="51"/>
        <v>54636.35</v>
      </c>
      <c r="AV111" s="51">
        <f t="shared" si="51"/>
        <v>54636.35</v>
      </c>
      <c r="AW111" s="51">
        <f t="shared" si="51"/>
        <v>54636.35</v>
      </c>
      <c r="AX111" s="51">
        <f t="shared" si="51"/>
        <v>54636.35</v>
      </c>
      <c r="AY111" s="51">
        <f t="shared" si="51"/>
        <v>54636.35</v>
      </c>
      <c r="AZ111" s="51">
        <f t="shared" si="51"/>
        <v>54636.35</v>
      </c>
      <c r="BA111" s="51">
        <f t="shared" si="51"/>
        <v>54636.35</v>
      </c>
    </row>
    <row r="112" spans="2:53" x14ac:dyDescent="0.3">
      <c r="B112" s="70">
        <v>508817.29411764705</v>
      </c>
      <c r="C112" t="s">
        <v>134</v>
      </c>
      <c r="O112" s="51">
        <f>$B112/12</f>
        <v>42401.441176470587</v>
      </c>
      <c r="P112" s="51">
        <f>$B112/12</f>
        <v>42401.441176470587</v>
      </c>
      <c r="Q112" s="51">
        <f t="shared" si="49"/>
        <v>42401.441176470587</v>
      </c>
      <c r="R112" s="51">
        <f t="shared" si="49"/>
        <v>42401.441176470587</v>
      </c>
      <c r="S112" s="51">
        <f t="shared" si="49"/>
        <v>42401.441176470587</v>
      </c>
      <c r="T112" s="51">
        <f t="shared" si="49"/>
        <v>42401.441176470587</v>
      </c>
      <c r="U112" s="51">
        <f t="shared" si="49"/>
        <v>42401.441176470587</v>
      </c>
      <c r="V112" s="51">
        <f t="shared" si="49"/>
        <v>42401.441176470587</v>
      </c>
      <c r="W112" s="51">
        <f t="shared" si="49"/>
        <v>42401.441176470587</v>
      </c>
      <c r="X112" s="51">
        <f t="shared" si="49"/>
        <v>42401.441176470587</v>
      </c>
      <c r="Y112" s="51">
        <f t="shared" si="49"/>
        <v>42401.441176470587</v>
      </c>
      <c r="Z112" s="52">
        <f t="shared" si="50"/>
        <v>43673.484411764708</v>
      </c>
      <c r="AA112" s="51">
        <f t="shared" si="50"/>
        <v>43673.484411764708</v>
      </c>
      <c r="AB112" s="51">
        <f t="shared" si="50"/>
        <v>43673.484411764708</v>
      </c>
      <c r="AC112" s="51">
        <f t="shared" si="50"/>
        <v>43673.484411764708</v>
      </c>
      <c r="AD112" s="51">
        <f t="shared" si="50"/>
        <v>43673.484411764708</v>
      </c>
      <c r="AE112" s="51">
        <f t="shared" si="50"/>
        <v>43673.484411764708</v>
      </c>
      <c r="AF112" s="51">
        <f t="shared" si="50"/>
        <v>43673.484411764708</v>
      </c>
      <c r="AG112" s="51">
        <f t="shared" si="50"/>
        <v>43673.484411764708</v>
      </c>
      <c r="AH112" s="51">
        <f t="shared" si="50"/>
        <v>43673.484411764708</v>
      </c>
      <c r="AI112" s="51">
        <f t="shared" si="50"/>
        <v>43673.484411764708</v>
      </c>
      <c r="AJ112" s="51">
        <f t="shared" si="50"/>
        <v>44983.688944117654</v>
      </c>
      <c r="AK112" s="51">
        <f t="shared" si="50"/>
        <v>44983.688944117654</v>
      </c>
      <c r="AL112" s="51">
        <f t="shared" si="50"/>
        <v>44983.688944117654</v>
      </c>
      <c r="AM112" s="51">
        <f t="shared" si="50"/>
        <v>44983.688944117654</v>
      </c>
      <c r="AN112" s="51">
        <f t="shared" si="50"/>
        <v>44983.688944117654</v>
      </c>
      <c r="AO112" s="51">
        <f t="shared" si="50"/>
        <v>44983.688944117654</v>
      </c>
      <c r="AP112" s="51">
        <f t="shared" si="51"/>
        <v>44983.688944117654</v>
      </c>
      <c r="AQ112" s="51">
        <f t="shared" si="51"/>
        <v>44983.688944117654</v>
      </c>
      <c r="AR112" s="51">
        <f t="shared" si="51"/>
        <v>44983.688944117654</v>
      </c>
      <c r="AS112" s="51">
        <f t="shared" si="51"/>
        <v>44983.688944117654</v>
      </c>
      <c r="AT112" s="51">
        <f t="shared" si="51"/>
        <v>46333.199612441182</v>
      </c>
      <c r="AU112" s="51">
        <f t="shared" si="51"/>
        <v>46333.199612441182</v>
      </c>
      <c r="AV112" s="51">
        <f t="shared" si="51"/>
        <v>46333.199612441182</v>
      </c>
      <c r="AW112" s="51">
        <f t="shared" si="51"/>
        <v>46333.199612441182</v>
      </c>
      <c r="AX112" s="51">
        <f t="shared" si="51"/>
        <v>46333.199612441182</v>
      </c>
      <c r="AY112" s="51">
        <f t="shared" si="51"/>
        <v>46333.199612441182</v>
      </c>
      <c r="AZ112" s="51">
        <f t="shared" si="51"/>
        <v>46333.199612441182</v>
      </c>
      <c r="BA112" s="51">
        <f t="shared" si="51"/>
        <v>46333.199612441182</v>
      </c>
    </row>
    <row r="113" spans="2:53" x14ac:dyDescent="0.3">
      <c r="C113" t="s">
        <v>135</v>
      </c>
      <c r="O113" s="59"/>
      <c r="P113" s="59"/>
      <c r="Q113" s="59"/>
      <c r="R113" s="59">
        <v>15000</v>
      </c>
      <c r="S113" s="59">
        <v>15000</v>
      </c>
      <c r="T113" s="59">
        <v>15000</v>
      </c>
      <c r="U113" s="59">
        <v>10000</v>
      </c>
      <c r="V113" s="59">
        <v>10000</v>
      </c>
      <c r="W113" s="59">
        <v>10000</v>
      </c>
      <c r="X113" s="59">
        <v>7500</v>
      </c>
      <c r="Y113" s="59">
        <v>7500</v>
      </c>
      <c r="Z113" s="59">
        <v>7500</v>
      </c>
      <c r="AA113" s="59">
        <v>7500</v>
      </c>
      <c r="AB113" s="59">
        <v>7500</v>
      </c>
      <c r="AC113" s="59">
        <v>7500</v>
      </c>
      <c r="AD113" s="59">
        <v>7500</v>
      </c>
      <c r="AE113" s="59">
        <v>7500</v>
      </c>
      <c r="AF113" s="59">
        <v>7500</v>
      </c>
      <c r="AG113" s="59">
        <v>7500</v>
      </c>
      <c r="AH113" s="59">
        <v>7500</v>
      </c>
      <c r="AI113" s="59">
        <v>7500</v>
      </c>
      <c r="AJ113" s="59">
        <v>7500</v>
      </c>
      <c r="AK113" s="59">
        <v>7500</v>
      </c>
      <c r="AL113" s="59">
        <v>7500</v>
      </c>
      <c r="AM113" s="59">
        <v>7500</v>
      </c>
      <c r="AN113" s="59">
        <v>7500</v>
      </c>
      <c r="AO113" s="59">
        <v>7500</v>
      </c>
      <c r="AP113" s="59">
        <v>7500</v>
      </c>
      <c r="AQ113" s="59">
        <v>7500</v>
      </c>
      <c r="AR113" s="59">
        <v>7500</v>
      </c>
      <c r="AS113" s="59">
        <v>7500</v>
      </c>
      <c r="AT113" s="59">
        <v>7500</v>
      </c>
      <c r="AU113" s="59">
        <v>7500</v>
      </c>
      <c r="AV113" s="59">
        <v>7500</v>
      </c>
      <c r="AW113" s="59">
        <v>7500</v>
      </c>
      <c r="AX113" s="59">
        <v>7500</v>
      </c>
      <c r="AY113" s="59">
        <v>7500</v>
      </c>
      <c r="AZ113" s="59">
        <v>7500</v>
      </c>
      <c r="BA113" s="59">
        <v>7500</v>
      </c>
    </row>
    <row r="114" spans="2:53" x14ac:dyDescent="0.3">
      <c r="B114" s="70">
        <v>547147.01414160396</v>
      </c>
      <c r="C114" t="s">
        <v>136</v>
      </c>
      <c r="O114" s="51">
        <f>$B114/12</f>
        <v>45595.584511800327</v>
      </c>
      <c r="P114" s="51">
        <f>$B114/12</f>
        <v>45595.584511800327</v>
      </c>
      <c r="Q114" s="51">
        <f t="shared" si="49"/>
        <v>45595.584511800327</v>
      </c>
      <c r="R114" s="51">
        <f t="shared" si="49"/>
        <v>45595.584511800327</v>
      </c>
      <c r="S114" s="51">
        <f t="shared" si="49"/>
        <v>45595.584511800327</v>
      </c>
      <c r="T114" s="51">
        <f t="shared" si="49"/>
        <v>45595.584511800327</v>
      </c>
      <c r="U114" s="51">
        <f t="shared" si="49"/>
        <v>45595.584511800327</v>
      </c>
      <c r="V114" s="51">
        <f t="shared" si="49"/>
        <v>45595.584511800327</v>
      </c>
      <c r="W114" s="51">
        <f t="shared" si="49"/>
        <v>45595.584511800327</v>
      </c>
      <c r="X114" s="51">
        <f t="shared" si="49"/>
        <v>45595.584511800327</v>
      </c>
      <c r="Y114" s="51">
        <f t="shared" si="49"/>
        <v>45595.584511800327</v>
      </c>
      <c r="Z114" s="52">
        <f>1.03*P114</f>
        <v>46963.452047154336</v>
      </c>
      <c r="AA114" s="51">
        <f>1.03*Q114</f>
        <v>46963.452047154336</v>
      </c>
      <c r="AB114" s="51">
        <f>1.03*R114</f>
        <v>46963.452047154336</v>
      </c>
      <c r="AC114" s="51">
        <f t="shared" ref="AC114:BA114" si="52">1.03*S114</f>
        <v>46963.452047154336</v>
      </c>
      <c r="AD114" s="51">
        <f t="shared" si="52"/>
        <v>46963.452047154336</v>
      </c>
      <c r="AE114" s="51">
        <f t="shared" si="52"/>
        <v>46963.452047154336</v>
      </c>
      <c r="AF114" s="51">
        <f t="shared" si="52"/>
        <v>46963.452047154336</v>
      </c>
      <c r="AG114" s="51">
        <f t="shared" si="52"/>
        <v>46963.452047154336</v>
      </c>
      <c r="AH114" s="51">
        <f t="shared" si="52"/>
        <v>46963.452047154336</v>
      </c>
      <c r="AI114" s="51">
        <f t="shared" si="52"/>
        <v>46963.452047154336</v>
      </c>
      <c r="AJ114" s="51">
        <f t="shared" si="52"/>
        <v>48372.355608568971</v>
      </c>
      <c r="AK114" s="51">
        <f t="shared" si="52"/>
        <v>48372.355608568971</v>
      </c>
      <c r="AL114" s="51">
        <f t="shared" si="52"/>
        <v>48372.355608568971</v>
      </c>
      <c r="AM114" s="51">
        <f t="shared" si="52"/>
        <v>48372.355608568971</v>
      </c>
      <c r="AN114" s="51">
        <f t="shared" si="52"/>
        <v>48372.355608568971</v>
      </c>
      <c r="AO114" s="51">
        <f t="shared" si="52"/>
        <v>48372.355608568971</v>
      </c>
      <c r="AP114" s="51">
        <f t="shared" si="52"/>
        <v>48372.355608568971</v>
      </c>
      <c r="AQ114" s="51">
        <f t="shared" si="52"/>
        <v>48372.355608568971</v>
      </c>
      <c r="AR114" s="51">
        <f t="shared" si="52"/>
        <v>48372.355608568971</v>
      </c>
      <c r="AS114" s="51">
        <f t="shared" si="52"/>
        <v>48372.355608568971</v>
      </c>
      <c r="AT114" s="51">
        <f t="shared" si="52"/>
        <v>49823.526276826044</v>
      </c>
      <c r="AU114" s="51">
        <f t="shared" si="52"/>
        <v>49823.526276826044</v>
      </c>
      <c r="AV114" s="51">
        <f t="shared" si="52"/>
        <v>49823.526276826044</v>
      </c>
      <c r="AW114" s="51">
        <f t="shared" si="52"/>
        <v>49823.526276826044</v>
      </c>
      <c r="AX114" s="51">
        <f t="shared" si="52"/>
        <v>49823.526276826044</v>
      </c>
      <c r="AY114" s="51">
        <f t="shared" si="52"/>
        <v>49823.526276826044</v>
      </c>
      <c r="AZ114" s="51">
        <f t="shared" si="52"/>
        <v>49823.526276826044</v>
      </c>
      <c r="BA114" s="51">
        <f t="shared" si="52"/>
        <v>49823.526276826044</v>
      </c>
    </row>
    <row r="116" spans="2:53" x14ac:dyDescent="0.3">
      <c r="B116" s="3" t="s">
        <v>137</v>
      </c>
    </row>
    <row r="117" spans="2:53" x14ac:dyDescent="0.3">
      <c r="C117" t="s">
        <v>138</v>
      </c>
      <c r="D117" s="59">
        <v>0</v>
      </c>
      <c r="E117" s="59">
        <v>3788.1499999999996</v>
      </c>
      <c r="F117" s="59">
        <v>962.74</v>
      </c>
      <c r="G117" s="59">
        <v>3982.2700000000004</v>
      </c>
      <c r="H117" s="59">
        <v>5002.75</v>
      </c>
      <c r="I117" s="59">
        <v>4117.8599999999997</v>
      </c>
      <c r="J117" s="59">
        <v>13799.41</v>
      </c>
      <c r="K117" s="59">
        <v>19037.690000000002</v>
      </c>
      <c r="L117" s="59">
        <v>26325.989999999998</v>
      </c>
      <c r="M117" s="59">
        <v>30000</v>
      </c>
      <c r="N117" s="59">
        <v>30000</v>
      </c>
      <c r="O117" s="59">
        <v>30000</v>
      </c>
      <c r="P117" s="59">
        <v>20000</v>
      </c>
      <c r="Q117" s="59">
        <v>20000</v>
      </c>
      <c r="R117" s="59">
        <v>20000</v>
      </c>
    </row>
    <row r="118" spans="2:53" x14ac:dyDescent="0.3">
      <c r="C118" t="s">
        <v>139</v>
      </c>
      <c r="D118" s="59">
        <v>0</v>
      </c>
      <c r="E118" s="59">
        <v>0</v>
      </c>
      <c r="F118" s="59">
        <v>0</v>
      </c>
      <c r="G118" s="59">
        <v>5000</v>
      </c>
      <c r="H118" s="59">
        <v>1170</v>
      </c>
      <c r="I118" s="59">
        <v>4090.8900000000008</v>
      </c>
      <c r="J118" s="59">
        <v>29338.47</v>
      </c>
      <c r="K118" s="59">
        <v>6786.0899999999992</v>
      </c>
      <c r="L118" s="59">
        <v>28838.86</v>
      </c>
      <c r="M118" s="59">
        <v>10000</v>
      </c>
      <c r="N118" s="59">
        <v>10000</v>
      </c>
      <c r="O118" s="59">
        <v>10000</v>
      </c>
      <c r="P118" s="59">
        <v>15000</v>
      </c>
      <c r="Q118" s="59">
        <v>15000</v>
      </c>
      <c r="R118" s="59">
        <v>15000</v>
      </c>
    </row>
    <row r="119" spans="2:53" x14ac:dyDescent="0.3">
      <c r="C119" t="s">
        <v>140</v>
      </c>
      <c r="D119" s="59">
        <v>0</v>
      </c>
      <c r="E119" s="59">
        <v>0</v>
      </c>
      <c r="F119" s="59">
        <v>0</v>
      </c>
      <c r="G119" s="59">
        <v>0</v>
      </c>
      <c r="H119" s="59">
        <v>0</v>
      </c>
      <c r="I119" s="59">
        <v>0</v>
      </c>
      <c r="J119" s="59">
        <v>1157.44</v>
      </c>
      <c r="K119" s="59">
        <v>445.86</v>
      </c>
      <c r="L119" s="59">
        <v>1990.3500000000001</v>
      </c>
      <c r="M119" s="59">
        <v>10000</v>
      </c>
      <c r="N119" s="59">
        <v>70000</v>
      </c>
    </row>
    <row r="120" spans="2:53" x14ac:dyDescent="0.3">
      <c r="C120" t="s">
        <v>141</v>
      </c>
      <c r="D120" s="59">
        <v>0</v>
      </c>
      <c r="E120" s="59">
        <v>0</v>
      </c>
      <c r="F120" s="59">
        <v>0</v>
      </c>
      <c r="G120" s="59">
        <v>0</v>
      </c>
      <c r="H120" s="59">
        <v>0</v>
      </c>
      <c r="I120" s="59">
        <v>0</v>
      </c>
      <c r="J120" s="59">
        <v>26269.46</v>
      </c>
      <c r="K120" s="59">
        <v>44647.41</v>
      </c>
      <c r="L120" s="59">
        <v>61685.740000000005</v>
      </c>
      <c r="M120" s="51">
        <f t="shared" ref="M120:R120" si="53">SUM(M103:M108)</f>
        <v>142526.12916666665</v>
      </c>
      <c r="N120" s="51">
        <f t="shared" si="53"/>
        <v>340425.81280701753</v>
      </c>
      <c r="O120" s="51">
        <f t="shared" si="53"/>
        <v>340425.81280701753</v>
      </c>
      <c r="P120" s="51">
        <f t="shared" si="53"/>
        <v>282473.82147435896</v>
      </c>
      <c r="Q120" s="51">
        <f t="shared" si="53"/>
        <v>228046.74889487179</v>
      </c>
      <c r="R120" s="51">
        <f t="shared" si="53"/>
        <v>282179.658368556</v>
      </c>
    </row>
    <row r="121" spans="2:53" x14ac:dyDescent="0.3">
      <c r="C121" t="s">
        <v>142</v>
      </c>
      <c r="D121" s="59">
        <v>0</v>
      </c>
      <c r="E121" s="59">
        <v>0</v>
      </c>
      <c r="F121" s="59">
        <v>0</v>
      </c>
      <c r="G121" s="59">
        <v>0</v>
      </c>
      <c r="H121" s="59">
        <v>0</v>
      </c>
      <c r="I121" s="59">
        <v>0</v>
      </c>
      <c r="J121" s="59">
        <v>0</v>
      </c>
      <c r="K121" s="59">
        <v>0</v>
      </c>
      <c r="L121" s="59">
        <v>10252.289999999999</v>
      </c>
      <c r="M121" s="59">
        <v>10000</v>
      </c>
      <c r="N121" s="59">
        <v>10000</v>
      </c>
      <c r="O121" s="59">
        <v>10000</v>
      </c>
      <c r="P121" s="59">
        <v>40000</v>
      </c>
      <c r="Q121" s="59">
        <v>40000</v>
      </c>
      <c r="R121" s="59">
        <v>40000</v>
      </c>
    </row>
    <row r="122" spans="2:53" x14ac:dyDescent="0.3">
      <c r="D122" s="59"/>
      <c r="E122" s="59"/>
      <c r="F122" s="59"/>
      <c r="G122" s="59"/>
      <c r="H122" s="59"/>
      <c r="I122" s="59"/>
      <c r="J122" s="59"/>
      <c r="K122" s="59"/>
      <c r="L122" s="59"/>
      <c r="M122" s="59"/>
      <c r="N122" s="59"/>
      <c r="O122" s="59"/>
      <c r="P122" s="59"/>
      <c r="Q122" s="59"/>
      <c r="R122" s="59"/>
    </row>
    <row r="123" spans="2:53" x14ac:dyDescent="0.3">
      <c r="C123" t="s">
        <v>143</v>
      </c>
      <c r="D123" s="59"/>
      <c r="E123" s="59"/>
      <c r="F123" s="59"/>
      <c r="G123" s="59"/>
      <c r="H123" s="59"/>
      <c r="I123" s="59"/>
      <c r="J123" s="59"/>
      <c r="K123" s="59"/>
      <c r="L123" s="59"/>
      <c r="M123" s="59"/>
      <c r="N123" s="59"/>
      <c r="O123" s="59"/>
      <c r="P123" s="59"/>
      <c r="Q123" s="59"/>
      <c r="R123" s="59"/>
      <c r="S123" s="51">
        <f>-S221</f>
        <v>448966.76022507646</v>
      </c>
      <c r="T123" s="51">
        <f>-T221</f>
        <v>294983.72127137339</v>
      </c>
      <c r="U123" s="51">
        <f>-U221</f>
        <v>163170.6415929622</v>
      </c>
      <c r="V123" s="51">
        <f>-V221</f>
        <v>101653.12610956025</v>
      </c>
      <c r="W123" s="51"/>
      <c r="X123" s="51"/>
    </row>
    <row r="125" spans="2:53" x14ac:dyDescent="0.3">
      <c r="B125" s="3" t="s">
        <v>144</v>
      </c>
    </row>
    <row r="126" spans="2:53" x14ac:dyDescent="0.3">
      <c r="B126" s="60">
        <v>275000</v>
      </c>
      <c r="C126" t="s">
        <v>67</v>
      </c>
      <c r="P126" s="51">
        <f t="shared" ref="P126:BA126" si="54">(P76-O76)</f>
        <v>0</v>
      </c>
      <c r="Q126" s="51">
        <f t="shared" si="54"/>
        <v>0</v>
      </c>
      <c r="R126" s="51">
        <f t="shared" si="54"/>
        <v>0</v>
      </c>
      <c r="S126" s="51">
        <f t="shared" si="54"/>
        <v>0</v>
      </c>
      <c r="T126" s="51">
        <f t="shared" si="54"/>
        <v>0</v>
      </c>
      <c r="U126" s="51">
        <f t="shared" si="54"/>
        <v>0</v>
      </c>
      <c r="V126" s="51">
        <f t="shared" si="54"/>
        <v>0</v>
      </c>
      <c r="W126" s="51">
        <f t="shared" si="54"/>
        <v>0</v>
      </c>
      <c r="X126" s="51">
        <f t="shared" si="54"/>
        <v>0</v>
      </c>
      <c r="Y126" s="51">
        <f t="shared" si="54"/>
        <v>0</v>
      </c>
      <c r="Z126" s="51">
        <f t="shared" si="54"/>
        <v>0</v>
      </c>
      <c r="AA126" s="51">
        <f t="shared" si="54"/>
        <v>0</v>
      </c>
      <c r="AB126" s="51">
        <f t="shared" si="54"/>
        <v>0</v>
      </c>
      <c r="AC126" s="51">
        <f t="shared" si="54"/>
        <v>0</v>
      </c>
      <c r="AD126" s="51">
        <f t="shared" si="54"/>
        <v>0</v>
      </c>
      <c r="AE126" s="51">
        <f t="shared" si="54"/>
        <v>0</v>
      </c>
      <c r="AF126" s="51">
        <f t="shared" si="54"/>
        <v>0</v>
      </c>
      <c r="AG126" s="51">
        <f t="shared" si="54"/>
        <v>0</v>
      </c>
      <c r="AH126" s="51">
        <f t="shared" si="54"/>
        <v>0</v>
      </c>
      <c r="AI126" s="51">
        <f t="shared" si="54"/>
        <v>1</v>
      </c>
      <c r="AJ126" s="51">
        <f t="shared" si="54"/>
        <v>0</v>
      </c>
      <c r="AK126" s="51">
        <f t="shared" si="54"/>
        <v>1</v>
      </c>
      <c r="AL126" s="51">
        <f t="shared" si="54"/>
        <v>0</v>
      </c>
      <c r="AM126" s="51">
        <f t="shared" si="54"/>
        <v>0</v>
      </c>
      <c r="AN126" s="51">
        <f t="shared" si="54"/>
        <v>0</v>
      </c>
      <c r="AO126" s="51">
        <f t="shared" si="54"/>
        <v>0</v>
      </c>
      <c r="AP126" s="51">
        <f t="shared" si="54"/>
        <v>0</v>
      </c>
      <c r="AQ126" s="51">
        <f t="shared" si="54"/>
        <v>0</v>
      </c>
      <c r="AR126" s="51">
        <f t="shared" si="54"/>
        <v>0</v>
      </c>
      <c r="AS126" s="51">
        <f t="shared" si="54"/>
        <v>0</v>
      </c>
      <c r="AT126" s="51">
        <f t="shared" si="54"/>
        <v>0</v>
      </c>
      <c r="AU126" s="51">
        <f t="shared" si="54"/>
        <v>0</v>
      </c>
      <c r="AV126" s="51">
        <f t="shared" si="54"/>
        <v>0</v>
      </c>
      <c r="AW126" s="51">
        <f t="shared" si="54"/>
        <v>0</v>
      </c>
      <c r="AX126" s="51">
        <f t="shared" si="54"/>
        <v>0</v>
      </c>
      <c r="AY126" s="51">
        <f t="shared" si="54"/>
        <v>0</v>
      </c>
      <c r="AZ126" s="51">
        <f t="shared" si="54"/>
        <v>0</v>
      </c>
      <c r="BA126" s="51">
        <f t="shared" si="54"/>
        <v>0</v>
      </c>
    </row>
    <row r="127" spans="2:53" x14ac:dyDescent="0.3">
      <c r="B127" s="60">
        <v>60000</v>
      </c>
      <c r="C127" t="s">
        <v>66</v>
      </c>
      <c r="P127" s="51">
        <f t="shared" ref="P127:BA127" si="55">P88-O88</f>
        <v>0</v>
      </c>
      <c r="Q127" s="51">
        <f t="shared" si="55"/>
        <v>0</v>
      </c>
      <c r="R127" s="51">
        <f t="shared" si="55"/>
        <v>0</v>
      </c>
      <c r="S127" s="51">
        <f t="shared" si="55"/>
        <v>0</v>
      </c>
      <c r="T127" s="51">
        <f t="shared" si="55"/>
        <v>0</v>
      </c>
      <c r="U127" s="51">
        <f t="shared" si="55"/>
        <v>0</v>
      </c>
      <c r="V127" s="51">
        <f t="shared" si="55"/>
        <v>0</v>
      </c>
      <c r="W127" s="51">
        <f t="shared" si="55"/>
        <v>0</v>
      </c>
      <c r="X127" s="51">
        <f t="shared" si="55"/>
        <v>1</v>
      </c>
      <c r="Y127" s="51">
        <f t="shared" si="55"/>
        <v>0</v>
      </c>
      <c r="Z127" s="51">
        <f t="shared" si="55"/>
        <v>0</v>
      </c>
      <c r="AA127" s="51">
        <f t="shared" si="55"/>
        <v>0</v>
      </c>
      <c r="AB127" s="51">
        <f t="shared" si="55"/>
        <v>0</v>
      </c>
      <c r="AC127" s="51">
        <f t="shared" si="55"/>
        <v>0</v>
      </c>
      <c r="AD127" s="51">
        <f t="shared" si="55"/>
        <v>0</v>
      </c>
      <c r="AE127" s="51">
        <f t="shared" si="55"/>
        <v>0</v>
      </c>
      <c r="AF127" s="51">
        <f t="shared" si="55"/>
        <v>0</v>
      </c>
      <c r="AG127" s="51">
        <f t="shared" si="55"/>
        <v>0</v>
      </c>
      <c r="AH127" s="51">
        <f t="shared" si="55"/>
        <v>0</v>
      </c>
      <c r="AI127" s="51">
        <f t="shared" si="55"/>
        <v>0</v>
      </c>
      <c r="AJ127" s="51">
        <f t="shared" si="55"/>
        <v>0</v>
      </c>
      <c r="AK127" s="51">
        <f t="shared" si="55"/>
        <v>0</v>
      </c>
      <c r="AL127" s="51">
        <f t="shared" si="55"/>
        <v>0</v>
      </c>
      <c r="AM127" s="51">
        <f t="shared" si="55"/>
        <v>0</v>
      </c>
      <c r="AN127" s="51">
        <f t="shared" si="55"/>
        <v>0</v>
      </c>
      <c r="AO127" s="51">
        <f t="shared" si="55"/>
        <v>0</v>
      </c>
      <c r="AP127" s="51">
        <f t="shared" si="55"/>
        <v>0</v>
      </c>
      <c r="AQ127" s="51">
        <f t="shared" si="55"/>
        <v>0</v>
      </c>
      <c r="AR127" s="51">
        <f t="shared" si="55"/>
        <v>0</v>
      </c>
      <c r="AS127" s="51">
        <f t="shared" si="55"/>
        <v>0</v>
      </c>
      <c r="AT127" s="51">
        <f t="shared" si="55"/>
        <v>0</v>
      </c>
      <c r="AU127" s="51">
        <f t="shared" si="55"/>
        <v>0</v>
      </c>
      <c r="AV127" s="51">
        <f t="shared" si="55"/>
        <v>0</v>
      </c>
      <c r="AW127" s="51">
        <f t="shared" si="55"/>
        <v>0</v>
      </c>
      <c r="AX127" s="51">
        <f t="shared" si="55"/>
        <v>0</v>
      </c>
      <c r="AY127" s="51">
        <f t="shared" si="55"/>
        <v>0</v>
      </c>
      <c r="AZ127" s="51">
        <f t="shared" si="55"/>
        <v>0</v>
      </c>
      <c r="BA127" s="51">
        <f t="shared" si="55"/>
        <v>0</v>
      </c>
    </row>
    <row r="128" spans="2:53" x14ac:dyDescent="0.3">
      <c r="B128" s="60">
        <v>30000</v>
      </c>
      <c r="C128" t="s">
        <v>145</v>
      </c>
      <c r="P128" s="52">
        <f>IF(AND(SUM(P126:P127)&gt;0,SUM($O128:O128)=0),1,0)</f>
        <v>0</v>
      </c>
      <c r="Q128" s="52">
        <f>IF(AND(SUM(Q126:Q127)&gt;0,SUM($O128:P128)=0),1,0)</f>
        <v>0</v>
      </c>
      <c r="R128" s="52">
        <f>IF(AND(SUM(R126:R127)&gt;0,SUM($O128:Q128)=0),1,0)</f>
        <v>0</v>
      </c>
      <c r="S128" s="52">
        <f>IF(AND(SUM(S126:S127)&gt;0,SUM($O128:R128)=0),1,0)</f>
        <v>0</v>
      </c>
      <c r="T128" s="52">
        <f>IF(AND(SUM(T126:T127)&gt;0,SUM($O128:S128)=0),1,0)</f>
        <v>0</v>
      </c>
      <c r="U128" s="52">
        <f>IF(AND(SUM(U126:U127)&gt;0,SUM($O128:T128)=0),1,0)</f>
        <v>0</v>
      </c>
      <c r="V128" s="52">
        <f>IF(AND(SUM(V126:V127)&gt;0,SUM($O128:U128)=0),1,0)</f>
        <v>0</v>
      </c>
      <c r="W128" s="52">
        <f>IF(AND(SUM(W126:W127)&gt;0,SUM($O128:V128)=0),1,0)</f>
        <v>0</v>
      </c>
      <c r="X128" s="52">
        <f>IF(AND(SUM(X126:X127)&gt;0,SUM($O128:W128)=0),1,0)</f>
        <v>1</v>
      </c>
      <c r="Y128" s="52">
        <f>IF(AND(SUM(Y126:Y127)&gt;0,SUM($O128:X128)=0),1,0)</f>
        <v>0</v>
      </c>
      <c r="Z128" s="52">
        <f>IF(AND(SUM(Z126:Z127)&gt;0,SUM($O128:Y128)=0),1,0)</f>
        <v>0</v>
      </c>
      <c r="AA128" s="52">
        <f>IF(AND(SUM(AA126:AA127)&gt;0,SUM($O128:Z128)=0),1,0)</f>
        <v>0</v>
      </c>
      <c r="AB128" s="52">
        <f>IF(AND(SUM(AB126:AB127)&gt;0,SUM($O128:AA128)=0),1,0)</f>
        <v>0</v>
      </c>
      <c r="AC128" s="52">
        <f>IF(AND(SUM(AC126:AC127)&gt;0,SUM($O128:AB128)=0),1,0)</f>
        <v>0</v>
      </c>
      <c r="AD128" s="52">
        <f>IF(AND(SUM(AD126:AD127)&gt;0,SUM($O128:AC128)=0),1,0)</f>
        <v>0</v>
      </c>
      <c r="AE128" s="52">
        <f>IF(AND(SUM(AE126:AE127)&gt;0,SUM($O128:AD128)=0),1,0)</f>
        <v>0</v>
      </c>
      <c r="AF128" s="52">
        <f>IF(AND(SUM(AF126:AF127)&gt;0,SUM($O128:AE128)=0),1,0)</f>
        <v>0</v>
      </c>
      <c r="AG128" s="52">
        <f>IF(AND(SUM(AG126:AG127)&gt;0,SUM($O128:AF128)=0),1,0)</f>
        <v>0</v>
      </c>
      <c r="AH128" s="52">
        <f>IF(AND(SUM(AH126:AH127)&gt;0,SUM($O128:AG128)=0),1,0)</f>
        <v>0</v>
      </c>
      <c r="AI128" s="52">
        <f>IF(AND(SUM(AI126:AI127)&gt;0,SUM($O128:AH128)=0),1,0)</f>
        <v>0</v>
      </c>
      <c r="AJ128" s="52">
        <f>IF(AND(SUM(AJ126:AJ127)&gt;0,SUM($O128:AI128)=0),1,0)</f>
        <v>0</v>
      </c>
      <c r="AK128" s="52">
        <f>IF(AND(SUM(AK126:AK127)&gt;0,SUM($O128:AJ128)=0),1,0)</f>
        <v>0</v>
      </c>
      <c r="AL128" s="52">
        <f>IF(AND(SUM(AL126:AL127)&gt;0,SUM($O128:AK128)=0),1,0)</f>
        <v>0</v>
      </c>
      <c r="AM128" s="52">
        <f>IF(AND(SUM(AM126:AM127)&gt;0,SUM($O128:AL128)=0),1,0)</f>
        <v>0</v>
      </c>
      <c r="AN128" s="52">
        <f>IF(AND(SUM(AN126:AN127)&gt;0,SUM($O128:AM128)=0),1,0)</f>
        <v>0</v>
      </c>
      <c r="AO128" s="52">
        <f>IF(AND(SUM(AO126:AO127)&gt;0,SUM($O128:AN128)=0),1,0)</f>
        <v>0</v>
      </c>
      <c r="AP128" s="52">
        <f>IF(AND(SUM(AP126:AP127)&gt;0,SUM($O128:AO128)=0),1,0)</f>
        <v>0</v>
      </c>
      <c r="AQ128" s="52">
        <f>IF(AND(SUM(AQ126:AQ127)&gt;0,SUM($O128:AP128)=0),1,0)</f>
        <v>0</v>
      </c>
      <c r="AR128" s="52">
        <f>IF(AND(SUM(AR126:AR127)&gt;0,SUM($O128:AQ128)=0),1,0)</f>
        <v>0</v>
      </c>
      <c r="AS128" s="52">
        <f>IF(AND(SUM(AS126:AS127)&gt;0,SUM($O128:AR128)=0),1,0)</f>
        <v>0</v>
      </c>
      <c r="AT128" s="52">
        <f>IF(AND(SUM(AT126:AT127)&gt;0,SUM($O128:AS128)=0),1,0)</f>
        <v>0</v>
      </c>
      <c r="AU128" s="52">
        <f>IF(AND(SUM(AU126:AU127)&gt;0,SUM($O128:AT128)=0),1,0)</f>
        <v>0</v>
      </c>
      <c r="AV128" s="52">
        <f>IF(AND(SUM(AV126:AV127)&gt;0,SUM($O128:AU128)=0),1,0)</f>
        <v>0</v>
      </c>
      <c r="AW128" s="52">
        <f>IF(AND(SUM(AW126:AW127)&gt;0,SUM($O128:AV128)=0),1,0)</f>
        <v>0</v>
      </c>
      <c r="AX128" s="52">
        <f>IF(AND(SUM(AX126:AX127)&gt;0,SUM($O128:AW128)=0),1,0)</f>
        <v>0</v>
      </c>
      <c r="AY128" s="52">
        <f>IF(AND(SUM(AY126:AY127)&gt;0,SUM($O128:AX128)=0),1,0)</f>
        <v>0</v>
      </c>
      <c r="AZ128" s="52">
        <f>IF(AND(SUM(AZ126:AZ127)&gt;0,SUM($O128:AY128)=0),1,0)</f>
        <v>0</v>
      </c>
      <c r="BA128" s="52">
        <f>IF(AND(SUM(BA126:BA127)&gt;0,SUM($O128:AZ128)=0),1,0)</f>
        <v>0</v>
      </c>
    </row>
    <row r="130" spans="2:53" x14ac:dyDescent="0.3">
      <c r="C130" t="s">
        <v>146</v>
      </c>
      <c r="P130" s="60"/>
      <c r="Q130" s="60"/>
      <c r="R130" s="60">
        <v>2000</v>
      </c>
      <c r="S130" s="60">
        <v>2000</v>
      </c>
      <c r="T130" s="60">
        <v>2000</v>
      </c>
      <c r="U130" s="60">
        <v>2000</v>
      </c>
      <c r="V130" s="60">
        <v>2000</v>
      </c>
      <c r="W130" s="60">
        <v>2000</v>
      </c>
      <c r="X130" s="60">
        <v>2000</v>
      </c>
      <c r="Y130" s="60">
        <v>2000</v>
      </c>
      <c r="Z130" s="60">
        <v>2000</v>
      </c>
      <c r="AA130" s="60">
        <v>2000</v>
      </c>
      <c r="AB130" s="60">
        <v>5000</v>
      </c>
      <c r="AC130" s="60">
        <v>5000</v>
      </c>
      <c r="AD130" s="60">
        <v>5000</v>
      </c>
      <c r="AE130" s="60">
        <v>5000</v>
      </c>
      <c r="AF130" s="60">
        <v>5000</v>
      </c>
      <c r="AG130" s="60">
        <v>5000</v>
      </c>
      <c r="AH130" s="60">
        <v>5000</v>
      </c>
      <c r="AI130" s="60">
        <v>5000</v>
      </c>
      <c r="AJ130" s="60">
        <v>5000</v>
      </c>
      <c r="AK130" s="60">
        <v>5000</v>
      </c>
      <c r="AL130" s="60">
        <v>5000</v>
      </c>
      <c r="AM130" s="60">
        <v>5000</v>
      </c>
      <c r="AN130" s="60">
        <v>7500</v>
      </c>
      <c r="AO130" s="60">
        <v>7500</v>
      </c>
      <c r="AP130" s="60">
        <v>7500</v>
      </c>
      <c r="AQ130" s="60">
        <v>7500</v>
      </c>
      <c r="AR130" s="60">
        <v>7500</v>
      </c>
      <c r="AS130" s="60">
        <v>7500</v>
      </c>
      <c r="AT130" s="60">
        <v>7500</v>
      </c>
      <c r="AU130" s="60">
        <v>7500</v>
      </c>
      <c r="AV130" s="60">
        <v>7500</v>
      </c>
      <c r="AW130" s="60">
        <v>7500</v>
      </c>
      <c r="AX130" s="60">
        <v>7500</v>
      </c>
      <c r="AY130" s="60">
        <v>7500</v>
      </c>
      <c r="AZ130" s="60">
        <v>10000</v>
      </c>
      <c r="BA130" s="60">
        <v>10000</v>
      </c>
    </row>
    <row r="131" spans="2:53" x14ac:dyDescent="0.3">
      <c r="C131" t="s">
        <v>147</v>
      </c>
      <c r="P131" s="60"/>
      <c r="Q131" s="60"/>
      <c r="R131" s="60"/>
      <c r="S131" s="60">
        <f>100000+150000+60000</f>
        <v>310000</v>
      </c>
      <c r="T131" s="60"/>
      <c r="U131" s="60">
        <v>100000</v>
      </c>
      <c r="V131" s="60"/>
      <c r="W131" s="60"/>
      <c r="X131" s="60"/>
      <c r="Y131" s="60"/>
      <c r="Z131" s="60"/>
      <c r="AA131" s="60"/>
      <c r="AB131" s="60"/>
      <c r="AC131" s="60"/>
      <c r="AD131" s="60"/>
      <c r="AE131" s="60"/>
      <c r="AF131" s="60"/>
      <c r="AG131" s="60"/>
      <c r="AH131" s="60"/>
      <c r="AI131" s="60"/>
      <c r="AJ131" s="60"/>
      <c r="AK131" s="60">
        <f>1250000/3</f>
        <v>416666.66666666669</v>
      </c>
      <c r="AL131" s="60">
        <f>AK131</f>
        <v>416666.66666666669</v>
      </c>
      <c r="AM131" s="60">
        <f>AL131</f>
        <v>416666.66666666669</v>
      </c>
      <c r="AN131" s="60"/>
      <c r="AO131" s="60"/>
      <c r="AP131" s="60"/>
      <c r="AQ131" s="60"/>
      <c r="AR131" s="60"/>
      <c r="AS131" s="60"/>
      <c r="AT131" s="60"/>
      <c r="AU131" s="60"/>
      <c r="AV131" s="60"/>
      <c r="AW131" s="60"/>
      <c r="AX131" s="60"/>
      <c r="AY131" s="60"/>
      <c r="AZ131" s="60"/>
      <c r="BA131" s="60"/>
    </row>
    <row r="133" spans="2:53" x14ac:dyDescent="0.3">
      <c r="B133" s="71">
        <f>1-B134</f>
        <v>0.5</v>
      </c>
      <c r="C133" t="s">
        <v>148</v>
      </c>
      <c r="N133" s="51">
        <f>SUMPRODUCT(N126:N128,$B$126:$B$128)*$B133</f>
        <v>0</v>
      </c>
      <c r="O133" s="51">
        <f>SUMPRODUCT(O126:O128,$B$126:$B$128)*$B133</f>
        <v>0</v>
      </c>
      <c r="P133" s="51">
        <f>SUMPRODUCT(P126:P128,$B$126:$B$128)*$B133</f>
        <v>0</v>
      </c>
      <c r="Q133" s="51">
        <f t="shared" ref="Q133:AY133" si="56">SUMPRODUCT(Q126:Q128,$B$126:$B$128)*$B133</f>
        <v>0</v>
      </c>
      <c r="R133" s="51">
        <f t="shared" si="56"/>
        <v>0</v>
      </c>
      <c r="S133" s="51">
        <f t="shared" si="56"/>
        <v>0</v>
      </c>
      <c r="T133" s="51">
        <f t="shared" si="56"/>
        <v>0</v>
      </c>
      <c r="U133" s="51">
        <f t="shared" si="56"/>
        <v>0</v>
      </c>
      <c r="V133" s="51">
        <f t="shared" si="56"/>
        <v>0</v>
      </c>
      <c r="W133" s="51">
        <f t="shared" si="56"/>
        <v>0</v>
      </c>
      <c r="X133" s="51">
        <f t="shared" si="56"/>
        <v>45000</v>
      </c>
      <c r="Y133" s="51">
        <f t="shared" si="56"/>
        <v>0</v>
      </c>
      <c r="Z133" s="51">
        <f t="shared" si="56"/>
        <v>0</v>
      </c>
      <c r="AA133" s="51">
        <f t="shared" si="56"/>
        <v>0</v>
      </c>
      <c r="AB133" s="51">
        <f t="shared" si="56"/>
        <v>0</v>
      </c>
      <c r="AC133" s="51">
        <f t="shared" si="56"/>
        <v>0</v>
      </c>
      <c r="AD133" s="51">
        <f t="shared" si="56"/>
        <v>0</v>
      </c>
      <c r="AE133" s="51">
        <f t="shared" si="56"/>
        <v>0</v>
      </c>
      <c r="AF133" s="51">
        <f t="shared" si="56"/>
        <v>0</v>
      </c>
      <c r="AG133" s="51">
        <f t="shared" si="56"/>
        <v>0</v>
      </c>
      <c r="AH133" s="51">
        <f t="shared" si="56"/>
        <v>0</v>
      </c>
      <c r="AI133" s="51">
        <f t="shared" si="56"/>
        <v>137500</v>
      </c>
      <c r="AJ133" s="51">
        <f t="shared" si="56"/>
        <v>0</v>
      </c>
      <c r="AK133" s="51">
        <f t="shared" si="56"/>
        <v>137500</v>
      </c>
      <c r="AL133" s="51">
        <f t="shared" si="56"/>
        <v>0</v>
      </c>
      <c r="AM133" s="51">
        <f t="shared" si="56"/>
        <v>0</v>
      </c>
      <c r="AN133" s="51">
        <f t="shared" si="56"/>
        <v>0</v>
      </c>
      <c r="AO133" s="51">
        <f t="shared" si="56"/>
        <v>0</v>
      </c>
      <c r="AP133" s="51">
        <f t="shared" si="56"/>
        <v>0</v>
      </c>
      <c r="AQ133" s="51">
        <f t="shared" si="56"/>
        <v>0</v>
      </c>
      <c r="AR133" s="51">
        <f t="shared" si="56"/>
        <v>0</v>
      </c>
      <c r="AS133" s="51">
        <f t="shared" si="56"/>
        <v>0</v>
      </c>
      <c r="AT133" s="51">
        <f t="shared" si="56"/>
        <v>0</v>
      </c>
      <c r="AU133" s="51">
        <f t="shared" si="56"/>
        <v>0</v>
      </c>
      <c r="AV133" s="51">
        <f t="shared" si="56"/>
        <v>0</v>
      </c>
      <c r="AW133" s="51">
        <f t="shared" si="56"/>
        <v>0</v>
      </c>
      <c r="AX133" s="51">
        <f t="shared" si="56"/>
        <v>0</v>
      </c>
      <c r="AY133" s="51">
        <f t="shared" si="56"/>
        <v>0</v>
      </c>
      <c r="AZ133" s="51">
        <f>SUMPRODUCT(AZ126:AZ128,$B$126:$B$128)*$B133</f>
        <v>0</v>
      </c>
      <c r="BA133" s="51">
        <f>SUMPRODUCT(BA126:BA128,$B$126:$B$128)*$B133</f>
        <v>0</v>
      </c>
    </row>
    <row r="134" spans="2:53" x14ac:dyDescent="0.3">
      <c r="B134" s="61">
        <v>0.5</v>
      </c>
      <c r="C134" t="s">
        <v>149</v>
      </c>
      <c r="N134" s="51">
        <f>SUMPRODUCT(Q126:Q128,$B$126:$B$128)*$B134</f>
        <v>0</v>
      </c>
      <c r="O134" s="51">
        <f t="shared" ref="O134:BA134" si="57">SUMPRODUCT(R126:R128,$B$126:$B$128)*$B134</f>
        <v>0</v>
      </c>
      <c r="P134" s="51">
        <f t="shared" si="57"/>
        <v>0</v>
      </c>
      <c r="Q134" s="51">
        <f t="shared" si="57"/>
        <v>0</v>
      </c>
      <c r="R134" s="51">
        <f t="shared" si="57"/>
        <v>0</v>
      </c>
      <c r="S134" s="51">
        <f t="shared" si="57"/>
        <v>0</v>
      </c>
      <c r="T134" s="51">
        <f t="shared" si="57"/>
        <v>0</v>
      </c>
      <c r="U134" s="51">
        <f t="shared" si="57"/>
        <v>45000</v>
      </c>
      <c r="V134" s="51">
        <f t="shared" si="57"/>
        <v>0</v>
      </c>
      <c r="W134" s="51">
        <f t="shared" si="57"/>
        <v>0</v>
      </c>
      <c r="X134" s="51">
        <f t="shared" si="57"/>
        <v>0</v>
      </c>
      <c r="Y134" s="51">
        <f t="shared" si="57"/>
        <v>0</v>
      </c>
      <c r="Z134" s="51">
        <f t="shared" si="57"/>
        <v>0</v>
      </c>
      <c r="AA134" s="51">
        <f t="shared" si="57"/>
        <v>0</v>
      </c>
      <c r="AB134" s="51">
        <f t="shared" si="57"/>
        <v>0</v>
      </c>
      <c r="AC134" s="51">
        <f t="shared" si="57"/>
        <v>0</v>
      </c>
      <c r="AD134" s="51">
        <f t="shared" si="57"/>
        <v>0</v>
      </c>
      <c r="AE134" s="51">
        <f t="shared" si="57"/>
        <v>0</v>
      </c>
      <c r="AF134" s="51">
        <f t="shared" si="57"/>
        <v>137500</v>
      </c>
      <c r="AG134" s="51">
        <f t="shared" si="57"/>
        <v>0</v>
      </c>
      <c r="AH134" s="51">
        <f t="shared" si="57"/>
        <v>137500</v>
      </c>
      <c r="AI134" s="51">
        <f t="shared" si="57"/>
        <v>0</v>
      </c>
      <c r="AJ134" s="51">
        <f t="shared" si="57"/>
        <v>0</v>
      </c>
      <c r="AK134" s="51">
        <f t="shared" si="57"/>
        <v>0</v>
      </c>
      <c r="AL134" s="51">
        <f t="shared" si="57"/>
        <v>0</v>
      </c>
      <c r="AM134" s="51">
        <f t="shared" si="57"/>
        <v>0</v>
      </c>
      <c r="AN134" s="51">
        <f t="shared" si="57"/>
        <v>0</v>
      </c>
      <c r="AO134" s="51">
        <f t="shared" si="57"/>
        <v>0</v>
      </c>
      <c r="AP134" s="51">
        <f t="shared" si="57"/>
        <v>0</v>
      </c>
      <c r="AQ134" s="51">
        <f t="shared" si="57"/>
        <v>0</v>
      </c>
      <c r="AR134" s="51">
        <f t="shared" si="57"/>
        <v>0</v>
      </c>
      <c r="AS134" s="51">
        <f t="shared" si="57"/>
        <v>0</v>
      </c>
      <c r="AT134" s="51">
        <f t="shared" si="57"/>
        <v>0</v>
      </c>
      <c r="AU134" s="51">
        <f t="shared" si="57"/>
        <v>0</v>
      </c>
      <c r="AV134" s="51">
        <f t="shared" si="57"/>
        <v>0</v>
      </c>
      <c r="AW134" s="51">
        <f t="shared" si="57"/>
        <v>0</v>
      </c>
      <c r="AX134" s="51">
        <f t="shared" si="57"/>
        <v>0</v>
      </c>
      <c r="AY134" s="51">
        <f t="shared" si="57"/>
        <v>0</v>
      </c>
      <c r="AZ134" s="51">
        <f t="shared" si="57"/>
        <v>0</v>
      </c>
      <c r="BA134" s="51">
        <f t="shared" si="57"/>
        <v>0</v>
      </c>
    </row>
    <row r="136" spans="2:53" x14ac:dyDescent="0.3">
      <c r="C136" s="3" t="s">
        <v>150</v>
      </c>
      <c r="N136" s="51">
        <f>SUM(N130:N134)</f>
        <v>0</v>
      </c>
      <c r="O136" s="51">
        <f t="shared" ref="O136:AY136" si="58">SUM(O130:O134)</f>
        <v>0</v>
      </c>
      <c r="P136" s="51">
        <f t="shared" si="58"/>
        <v>0</v>
      </c>
      <c r="Q136" s="51">
        <f t="shared" si="58"/>
        <v>0</v>
      </c>
      <c r="R136" s="51">
        <f t="shared" si="58"/>
        <v>2000</v>
      </c>
      <c r="S136" s="51">
        <f>SUM(S130:S134)</f>
        <v>312000</v>
      </c>
      <c r="T136" s="51">
        <f t="shared" si="58"/>
        <v>2000</v>
      </c>
      <c r="U136" s="51">
        <f t="shared" si="58"/>
        <v>147000</v>
      </c>
      <c r="V136" s="51">
        <f t="shared" si="58"/>
        <v>2000</v>
      </c>
      <c r="W136" s="51">
        <f t="shared" si="58"/>
        <v>2000</v>
      </c>
      <c r="X136" s="51">
        <f t="shared" si="58"/>
        <v>47000</v>
      </c>
      <c r="Y136" s="51">
        <f t="shared" si="58"/>
        <v>2000</v>
      </c>
      <c r="Z136" s="51">
        <f t="shared" si="58"/>
        <v>2000</v>
      </c>
      <c r="AA136" s="51">
        <f t="shared" si="58"/>
        <v>2000</v>
      </c>
      <c r="AB136" s="51">
        <f t="shared" si="58"/>
        <v>5000</v>
      </c>
      <c r="AC136" s="51">
        <f t="shared" si="58"/>
        <v>5000</v>
      </c>
      <c r="AD136" s="51">
        <f t="shared" si="58"/>
        <v>5000</v>
      </c>
      <c r="AE136" s="51">
        <f t="shared" si="58"/>
        <v>5000</v>
      </c>
      <c r="AF136" s="51">
        <f t="shared" si="58"/>
        <v>142500</v>
      </c>
      <c r="AG136" s="51">
        <f t="shared" si="58"/>
        <v>5000</v>
      </c>
      <c r="AH136" s="51">
        <f t="shared" si="58"/>
        <v>142500</v>
      </c>
      <c r="AI136" s="51">
        <f t="shared" si="58"/>
        <v>142500</v>
      </c>
      <c r="AJ136" s="51">
        <f t="shared" si="58"/>
        <v>5000</v>
      </c>
      <c r="AK136" s="51">
        <f t="shared" si="58"/>
        <v>559166.66666666674</v>
      </c>
      <c r="AL136" s="51">
        <f t="shared" si="58"/>
        <v>421666.66666666669</v>
      </c>
      <c r="AM136" s="51">
        <f t="shared" si="58"/>
        <v>421666.66666666669</v>
      </c>
      <c r="AN136" s="51">
        <f t="shared" si="58"/>
        <v>7500</v>
      </c>
      <c r="AO136" s="51">
        <f t="shared" si="58"/>
        <v>7500</v>
      </c>
      <c r="AP136" s="51">
        <f t="shared" si="58"/>
        <v>7500</v>
      </c>
      <c r="AQ136" s="51">
        <f t="shared" si="58"/>
        <v>7500</v>
      </c>
      <c r="AR136" s="51">
        <f t="shared" si="58"/>
        <v>7500</v>
      </c>
      <c r="AS136" s="51">
        <f t="shared" si="58"/>
        <v>7500</v>
      </c>
      <c r="AT136" s="51">
        <f t="shared" si="58"/>
        <v>7500</v>
      </c>
      <c r="AU136" s="51">
        <f t="shared" si="58"/>
        <v>7500</v>
      </c>
      <c r="AV136" s="51">
        <f t="shared" si="58"/>
        <v>7500</v>
      </c>
      <c r="AW136" s="51">
        <f t="shared" si="58"/>
        <v>7500</v>
      </c>
      <c r="AX136" s="51">
        <f t="shared" si="58"/>
        <v>7500</v>
      </c>
      <c r="AY136" s="51">
        <f t="shared" si="58"/>
        <v>7500</v>
      </c>
      <c r="AZ136" s="51">
        <f>SUM(AZ130:AZ134)</f>
        <v>10000</v>
      </c>
      <c r="BA136" s="51">
        <f>SUM(BA130:BA134)</f>
        <v>10000</v>
      </c>
    </row>
    <row r="137" spans="2:53" x14ac:dyDescent="0.3">
      <c r="B137" s="3" t="s">
        <v>151</v>
      </c>
      <c r="N137" s="51"/>
      <c r="O137" s="51"/>
      <c r="P137" s="51"/>
      <c r="Q137" s="51"/>
      <c r="R137" s="51"/>
      <c r="S137" s="51"/>
      <c r="T137" s="51"/>
      <c r="U137" s="51"/>
      <c r="V137" s="51"/>
      <c r="W137" s="51"/>
      <c r="X137" s="51"/>
      <c r="Y137" s="51"/>
      <c r="Z137" s="51"/>
      <c r="AA137" s="51"/>
      <c r="AB137" s="51"/>
      <c r="AC137" s="51"/>
      <c r="AD137" s="51"/>
      <c r="AE137" s="51"/>
      <c r="AF137" s="51"/>
      <c r="AG137" s="51"/>
      <c r="AH137" s="51"/>
      <c r="AI137" s="51"/>
      <c r="AJ137" s="51"/>
      <c r="AK137" s="51"/>
      <c r="AL137" s="51"/>
      <c r="AM137" s="51"/>
      <c r="AN137" s="51"/>
      <c r="AO137" s="51"/>
      <c r="AP137" s="51"/>
      <c r="AQ137" s="51"/>
      <c r="AR137" s="51"/>
      <c r="AS137" s="51"/>
      <c r="AT137" s="51"/>
      <c r="AU137" s="51"/>
      <c r="AV137" s="51"/>
      <c r="AW137" s="51"/>
      <c r="AX137" s="51"/>
      <c r="AY137" s="51"/>
      <c r="AZ137" s="51"/>
      <c r="BA137" s="51"/>
    </row>
    <row r="138" spans="2:53" x14ac:dyDescent="0.3">
      <c r="C138" t="s">
        <v>152</v>
      </c>
      <c r="O138" s="59"/>
      <c r="P138" s="59"/>
      <c r="Q138" s="59"/>
      <c r="R138" s="59">
        <f t="shared" ref="R138:BA138" si="59">R130</f>
        <v>2000</v>
      </c>
      <c r="S138" s="59">
        <f t="shared" si="59"/>
        <v>2000</v>
      </c>
      <c r="T138" s="59">
        <f t="shared" si="59"/>
        <v>2000</v>
      </c>
      <c r="U138" s="59">
        <f t="shared" si="59"/>
        <v>2000</v>
      </c>
      <c r="V138" s="59">
        <f t="shared" si="59"/>
        <v>2000</v>
      </c>
      <c r="W138" s="59">
        <f t="shared" si="59"/>
        <v>2000</v>
      </c>
      <c r="X138" s="59">
        <f t="shared" si="59"/>
        <v>2000</v>
      </c>
      <c r="Y138" s="59">
        <f t="shared" si="59"/>
        <v>2000</v>
      </c>
      <c r="Z138" s="59">
        <f t="shared" si="59"/>
        <v>2000</v>
      </c>
      <c r="AA138" s="59">
        <f t="shared" si="59"/>
        <v>2000</v>
      </c>
      <c r="AB138" s="59">
        <f t="shared" si="59"/>
        <v>5000</v>
      </c>
      <c r="AC138" s="59">
        <f t="shared" si="59"/>
        <v>5000</v>
      </c>
      <c r="AD138" s="59">
        <f t="shared" si="59"/>
        <v>5000</v>
      </c>
      <c r="AE138" s="59">
        <f t="shared" si="59"/>
        <v>5000</v>
      </c>
      <c r="AF138" s="59">
        <f t="shared" si="59"/>
        <v>5000</v>
      </c>
      <c r="AG138" s="59">
        <f t="shared" si="59"/>
        <v>5000</v>
      </c>
      <c r="AH138" s="59">
        <f t="shared" si="59"/>
        <v>5000</v>
      </c>
      <c r="AI138" s="59">
        <f t="shared" si="59"/>
        <v>5000</v>
      </c>
      <c r="AJ138" s="59">
        <f t="shared" si="59"/>
        <v>5000</v>
      </c>
      <c r="AK138" s="59">
        <f t="shared" si="59"/>
        <v>5000</v>
      </c>
      <c r="AL138" s="59">
        <f t="shared" si="59"/>
        <v>5000</v>
      </c>
      <c r="AM138" s="59">
        <f t="shared" si="59"/>
        <v>5000</v>
      </c>
      <c r="AN138" s="59">
        <f t="shared" si="59"/>
        <v>7500</v>
      </c>
      <c r="AO138" s="59">
        <f t="shared" si="59"/>
        <v>7500</v>
      </c>
      <c r="AP138" s="59">
        <f t="shared" si="59"/>
        <v>7500</v>
      </c>
      <c r="AQ138" s="59">
        <f t="shared" si="59"/>
        <v>7500</v>
      </c>
      <c r="AR138" s="59">
        <f t="shared" si="59"/>
        <v>7500</v>
      </c>
      <c r="AS138" s="59">
        <f t="shared" si="59"/>
        <v>7500</v>
      </c>
      <c r="AT138" s="59">
        <f t="shared" si="59"/>
        <v>7500</v>
      </c>
      <c r="AU138" s="59">
        <f t="shared" si="59"/>
        <v>7500</v>
      </c>
      <c r="AV138" s="59">
        <f t="shared" si="59"/>
        <v>7500</v>
      </c>
      <c r="AW138" s="59">
        <f t="shared" si="59"/>
        <v>7500</v>
      </c>
      <c r="AX138" s="59">
        <f t="shared" si="59"/>
        <v>7500</v>
      </c>
      <c r="AY138" s="59">
        <f t="shared" si="59"/>
        <v>7500</v>
      </c>
      <c r="AZ138" s="59">
        <f t="shared" si="59"/>
        <v>10000</v>
      </c>
      <c r="BA138" s="59">
        <f t="shared" si="59"/>
        <v>10000</v>
      </c>
    </row>
    <row r="139" spans="2:53" x14ac:dyDescent="0.3">
      <c r="C139" t="s">
        <v>151</v>
      </c>
      <c r="O139" s="59"/>
      <c r="P139" s="59">
        <f t="shared" ref="P139:BA139" si="60">(P131+P133+P134)/(12*15)+O139</f>
        <v>0</v>
      </c>
      <c r="Q139" s="59">
        <f t="shared" si="60"/>
        <v>0</v>
      </c>
      <c r="R139" s="59">
        <f t="shared" si="60"/>
        <v>0</v>
      </c>
      <c r="S139" s="59">
        <f t="shared" si="60"/>
        <v>1722.2222222222222</v>
      </c>
      <c r="T139" s="59">
        <f t="shared" si="60"/>
        <v>1722.2222222222222</v>
      </c>
      <c r="U139" s="59">
        <f t="shared" si="60"/>
        <v>2527.7777777777778</v>
      </c>
      <c r="V139" s="59">
        <f t="shared" si="60"/>
        <v>2527.7777777777778</v>
      </c>
      <c r="W139" s="59">
        <f t="shared" si="60"/>
        <v>2527.7777777777778</v>
      </c>
      <c r="X139" s="59">
        <f t="shared" si="60"/>
        <v>2777.7777777777778</v>
      </c>
      <c r="Y139" s="59">
        <f t="shared" si="60"/>
        <v>2777.7777777777778</v>
      </c>
      <c r="Z139" s="59">
        <f t="shared" si="60"/>
        <v>2777.7777777777778</v>
      </c>
      <c r="AA139" s="59">
        <f t="shared" si="60"/>
        <v>2777.7777777777778</v>
      </c>
      <c r="AB139" s="59">
        <f t="shared" si="60"/>
        <v>2777.7777777777778</v>
      </c>
      <c r="AC139" s="59">
        <f t="shared" si="60"/>
        <v>2777.7777777777778</v>
      </c>
      <c r="AD139" s="59">
        <f t="shared" si="60"/>
        <v>2777.7777777777778</v>
      </c>
      <c r="AE139" s="59">
        <f t="shared" si="60"/>
        <v>2777.7777777777778</v>
      </c>
      <c r="AF139" s="59">
        <f t="shared" si="60"/>
        <v>3541.666666666667</v>
      </c>
      <c r="AG139" s="59">
        <f t="shared" si="60"/>
        <v>3541.666666666667</v>
      </c>
      <c r="AH139" s="59">
        <f t="shared" si="60"/>
        <v>4305.5555555555557</v>
      </c>
      <c r="AI139" s="59">
        <f t="shared" si="60"/>
        <v>5069.4444444444443</v>
      </c>
      <c r="AJ139" s="59">
        <f t="shared" si="60"/>
        <v>5069.4444444444443</v>
      </c>
      <c r="AK139" s="59">
        <f t="shared" si="60"/>
        <v>8148.1481481481478</v>
      </c>
      <c r="AL139" s="59">
        <f t="shared" si="60"/>
        <v>10462.962962962964</v>
      </c>
      <c r="AM139" s="59">
        <f t="shared" si="60"/>
        <v>12777.777777777777</v>
      </c>
      <c r="AN139" s="59">
        <f t="shared" si="60"/>
        <v>12777.777777777777</v>
      </c>
      <c r="AO139" s="59">
        <f t="shared" si="60"/>
        <v>12777.777777777777</v>
      </c>
      <c r="AP139" s="59">
        <f t="shared" si="60"/>
        <v>12777.777777777777</v>
      </c>
      <c r="AQ139" s="59">
        <f t="shared" si="60"/>
        <v>12777.777777777777</v>
      </c>
      <c r="AR139" s="59">
        <f t="shared" si="60"/>
        <v>12777.777777777777</v>
      </c>
      <c r="AS139" s="59">
        <f t="shared" si="60"/>
        <v>12777.777777777777</v>
      </c>
      <c r="AT139" s="59">
        <f t="shared" si="60"/>
        <v>12777.777777777777</v>
      </c>
      <c r="AU139" s="59">
        <f t="shared" si="60"/>
        <v>12777.777777777777</v>
      </c>
      <c r="AV139" s="59">
        <f t="shared" si="60"/>
        <v>12777.777777777777</v>
      </c>
      <c r="AW139" s="59">
        <f t="shared" si="60"/>
        <v>12777.777777777777</v>
      </c>
      <c r="AX139" s="59">
        <f t="shared" si="60"/>
        <v>12777.777777777777</v>
      </c>
      <c r="AY139" s="59">
        <f t="shared" si="60"/>
        <v>12777.777777777777</v>
      </c>
      <c r="AZ139" s="59">
        <f t="shared" si="60"/>
        <v>12777.777777777777</v>
      </c>
      <c r="BA139" s="59">
        <f t="shared" si="60"/>
        <v>12777.777777777777</v>
      </c>
    </row>
    <row r="140" spans="2:53" x14ac:dyDescent="0.3">
      <c r="C140" s="3" t="s">
        <v>153</v>
      </c>
      <c r="R140" s="51">
        <f>R139+R138</f>
        <v>2000</v>
      </c>
      <c r="S140" s="51">
        <f>S139+S138+R140</f>
        <v>5722.2222222222226</v>
      </c>
      <c r="T140" s="51">
        <f t="shared" ref="T140:BA140" si="61">T139+T138+S140</f>
        <v>9444.4444444444453</v>
      </c>
      <c r="U140" s="51">
        <f t="shared" si="61"/>
        <v>13972.222222222223</v>
      </c>
      <c r="V140" s="51">
        <f t="shared" si="61"/>
        <v>18500</v>
      </c>
      <c r="W140" s="51">
        <f t="shared" si="61"/>
        <v>23027.777777777777</v>
      </c>
      <c r="X140" s="51">
        <f t="shared" si="61"/>
        <v>27805.555555555555</v>
      </c>
      <c r="Y140" s="51">
        <f t="shared" si="61"/>
        <v>32583.333333333332</v>
      </c>
      <c r="Z140" s="51">
        <f t="shared" si="61"/>
        <v>37361.111111111109</v>
      </c>
      <c r="AA140" s="51">
        <f t="shared" si="61"/>
        <v>42138.888888888891</v>
      </c>
      <c r="AB140" s="51">
        <f t="shared" si="61"/>
        <v>49916.666666666672</v>
      </c>
      <c r="AC140" s="51">
        <f t="shared" si="61"/>
        <v>57694.444444444453</v>
      </c>
      <c r="AD140" s="51">
        <f t="shared" si="61"/>
        <v>65472.222222222234</v>
      </c>
      <c r="AE140" s="51">
        <f t="shared" si="61"/>
        <v>73250.000000000015</v>
      </c>
      <c r="AF140" s="51">
        <f t="shared" si="61"/>
        <v>81791.666666666686</v>
      </c>
      <c r="AG140" s="51">
        <f t="shared" si="61"/>
        <v>90333.333333333358</v>
      </c>
      <c r="AH140" s="51">
        <f t="shared" si="61"/>
        <v>99638.888888888905</v>
      </c>
      <c r="AI140" s="51">
        <f t="shared" si="61"/>
        <v>109708.33333333334</v>
      </c>
      <c r="AJ140" s="51">
        <f t="shared" si="61"/>
        <v>119777.77777777778</v>
      </c>
      <c r="AK140" s="51">
        <f t="shared" si="61"/>
        <v>132925.92592592593</v>
      </c>
      <c r="AL140" s="51">
        <f t="shared" si="61"/>
        <v>148388.88888888888</v>
      </c>
      <c r="AM140" s="51">
        <f t="shared" si="61"/>
        <v>166166.66666666666</v>
      </c>
      <c r="AN140" s="51">
        <f t="shared" si="61"/>
        <v>186444.44444444444</v>
      </c>
      <c r="AO140" s="51">
        <f t="shared" si="61"/>
        <v>206722.22222222222</v>
      </c>
      <c r="AP140" s="51">
        <f t="shared" si="61"/>
        <v>227000</v>
      </c>
      <c r="AQ140" s="51">
        <f t="shared" si="61"/>
        <v>247277.77777777778</v>
      </c>
      <c r="AR140" s="51">
        <f t="shared" si="61"/>
        <v>267555.55555555556</v>
      </c>
      <c r="AS140" s="51">
        <f t="shared" si="61"/>
        <v>287833.33333333331</v>
      </c>
      <c r="AT140" s="51">
        <f t="shared" si="61"/>
        <v>308111.11111111107</v>
      </c>
      <c r="AU140" s="51">
        <f t="shared" si="61"/>
        <v>328388.88888888882</v>
      </c>
      <c r="AV140" s="51">
        <f t="shared" si="61"/>
        <v>348666.66666666657</v>
      </c>
      <c r="AW140" s="51">
        <f t="shared" si="61"/>
        <v>368944.44444444432</v>
      </c>
      <c r="AX140" s="51">
        <f t="shared" si="61"/>
        <v>389222.22222222207</v>
      </c>
      <c r="AY140" s="51">
        <f t="shared" si="61"/>
        <v>409499.99999999983</v>
      </c>
      <c r="AZ140" s="51">
        <f t="shared" si="61"/>
        <v>432277.77777777758</v>
      </c>
      <c r="BA140" s="51">
        <f t="shared" si="61"/>
        <v>455055.55555555533</v>
      </c>
    </row>
    <row r="142" spans="2:53" s="119" customFormat="1" x14ac:dyDescent="0.3">
      <c r="B142" s="118" t="s">
        <v>154</v>
      </c>
      <c r="R142" s="118"/>
      <c r="S142" s="119">
        <f t="shared" ref="S142:AI142" si="62">S103/S146</f>
        <v>0.6640625</v>
      </c>
      <c r="T142" s="119">
        <f t="shared" si="62"/>
        <v>0.21249999999999999</v>
      </c>
      <c r="U142" s="119">
        <f>U103/U146</f>
        <v>0.14219444444444446</v>
      </c>
      <c r="V142" s="119">
        <f t="shared" si="62"/>
        <v>0.13765914351851852</v>
      </c>
      <c r="W142" s="119">
        <f t="shared" si="62"/>
        <v>0.11171296296296296</v>
      </c>
      <c r="X142" s="119">
        <f t="shared" si="62"/>
        <v>0.10587638076673164</v>
      </c>
      <c r="Y142" s="119">
        <f t="shared" si="62"/>
        <v>0.10657330246913578</v>
      </c>
      <c r="Z142" s="119">
        <f t="shared" si="62"/>
        <v>0.12483394128232973</v>
      </c>
      <c r="AA142" s="119">
        <f t="shared" si="62"/>
        <v>0.12483394128232973</v>
      </c>
      <c r="AB142" s="119">
        <f t="shared" si="62"/>
        <v>0.11859224421821324</v>
      </c>
      <c r="AC142" s="119">
        <f t="shared" si="62"/>
        <v>0.11859224421821325</v>
      </c>
      <c r="AD142" s="119">
        <f t="shared" si="62"/>
        <v>0.12483394128232973</v>
      </c>
      <c r="AE142" s="119">
        <f t="shared" si="62"/>
        <v>0.11859224421821324</v>
      </c>
      <c r="AF142" s="119">
        <f t="shared" si="62"/>
        <v>0.12483394128232973</v>
      </c>
      <c r="AG142" s="119">
        <f t="shared" si="62"/>
        <v>0.12133738425925926</v>
      </c>
      <c r="AH142" s="119">
        <f t="shared" si="62"/>
        <v>0.11870843886539874</v>
      </c>
      <c r="AI142" s="119">
        <f t="shared" si="62"/>
        <v>0.13160433896700799</v>
      </c>
    </row>
    <row r="144" spans="2:53" x14ac:dyDescent="0.3">
      <c r="B144" t="s">
        <v>155</v>
      </c>
      <c r="C144" t="s">
        <v>156</v>
      </c>
      <c r="O144">
        <f t="shared" ref="O144:BA145" si="63">(O$82-SUM(O$147:O$148))*O6/SUM(O$6:O$7)</f>
        <v>0</v>
      </c>
      <c r="P144" s="51">
        <f t="shared" si="63"/>
        <v>0</v>
      </c>
      <c r="Q144" s="51">
        <f t="shared" si="63"/>
        <v>0</v>
      </c>
      <c r="R144" s="51">
        <f t="shared" si="63"/>
        <v>0</v>
      </c>
      <c r="S144" s="51">
        <f t="shared" si="63"/>
        <v>0</v>
      </c>
      <c r="T144" s="51">
        <f t="shared" si="63"/>
        <v>77963.454746351228</v>
      </c>
      <c r="U144" s="51">
        <f>(U$82-SUM(U$147:U$148))*U6/SUM(U$6:U$7)</f>
        <v>608106.26409525704</v>
      </c>
      <c r="V144" s="51">
        <f t="shared" si="63"/>
        <v>1123121.8437093298</v>
      </c>
      <c r="W144" s="51">
        <f t="shared" si="63"/>
        <v>1214037.7490585204</v>
      </c>
      <c r="X144" s="51">
        <f t="shared" si="63"/>
        <v>1080040.830715663</v>
      </c>
      <c r="Y144" s="51">
        <f t="shared" si="63"/>
        <v>989933.97965232329</v>
      </c>
      <c r="Z144" s="51">
        <f t="shared" si="63"/>
        <v>783221.40466149349</v>
      </c>
      <c r="AA144" s="51">
        <f t="shared" si="63"/>
        <v>844018.68326861609</v>
      </c>
      <c r="AB144" s="51">
        <f t="shared" si="63"/>
        <v>1719794.6384737873</v>
      </c>
      <c r="AC144" s="51">
        <f t="shared" si="63"/>
        <v>1446915.3288255564</v>
      </c>
      <c r="AD144" s="51">
        <f t="shared" si="63"/>
        <v>1191992.8686123476</v>
      </c>
      <c r="AE144" s="51">
        <f t="shared" si="63"/>
        <v>1615501.1238491419</v>
      </c>
      <c r="AF144" s="51">
        <f t="shared" si="63"/>
        <v>1144074.8963308432</v>
      </c>
      <c r="AG144" s="51">
        <f t="shared" si="63"/>
        <v>984802.11976024904</v>
      </c>
      <c r="AH144" s="51">
        <f t="shared" si="63"/>
        <v>1072984.2172445457</v>
      </c>
      <c r="AI144" s="51">
        <f t="shared" si="63"/>
        <v>1288048.3184746932</v>
      </c>
      <c r="AJ144" s="51">
        <f t="shared" si="63"/>
        <v>925826.67499198299</v>
      </c>
      <c r="AK144" s="51">
        <f t="shared" si="63"/>
        <v>1694579.7238764397</v>
      </c>
      <c r="AL144" s="51">
        <f t="shared" si="63"/>
        <v>1252757.3399943777</v>
      </c>
      <c r="AM144" s="51">
        <f t="shared" si="63"/>
        <v>1283323.1897891925</v>
      </c>
      <c r="AN144" s="51">
        <f t="shared" si="63"/>
        <v>1561039.4867851448</v>
      </c>
      <c r="AO144" s="51">
        <f t="shared" si="63"/>
        <v>1446516.2363996941</v>
      </c>
      <c r="AP144" s="51">
        <f t="shared" si="63"/>
        <v>1246366.4582874356</v>
      </c>
      <c r="AQ144" s="51">
        <f t="shared" si="63"/>
        <v>1618821.41411378</v>
      </c>
      <c r="AR144" s="51">
        <f t="shared" si="63"/>
        <v>1223040.99413796</v>
      </c>
      <c r="AS144" s="51">
        <f t="shared" si="63"/>
        <v>1342577.8694117891</v>
      </c>
      <c r="AT144" s="51">
        <f t="shared" si="63"/>
        <v>1410472.6580927973</v>
      </c>
      <c r="AU144" s="51">
        <f t="shared" si="63"/>
        <v>1270976.6909474088</v>
      </c>
      <c r="AV144" s="51">
        <f t="shared" si="63"/>
        <v>1078575.7725742389</v>
      </c>
      <c r="AW144" s="51">
        <f t="shared" si="63"/>
        <v>1432774.8938892712</v>
      </c>
      <c r="AX144" s="51">
        <f t="shared" si="63"/>
        <v>1095105.9965715013</v>
      </c>
      <c r="AY144" s="51">
        <f t="shared" si="63"/>
        <v>1113076.448460324</v>
      </c>
      <c r="AZ144" s="51">
        <f t="shared" si="63"/>
        <v>1536232.0459498949</v>
      </c>
      <c r="BA144" s="51">
        <f t="shared" si="63"/>
        <v>1183602.3813752525</v>
      </c>
    </row>
    <row r="145" spans="2:53" x14ac:dyDescent="0.3">
      <c r="B145" t="s">
        <v>155</v>
      </c>
      <c r="C145" t="s">
        <v>157</v>
      </c>
      <c r="O145" s="51">
        <f t="shared" si="63"/>
        <v>0</v>
      </c>
      <c r="P145" s="51">
        <f t="shared" si="63"/>
        <v>0</v>
      </c>
      <c r="Q145" s="51">
        <f t="shared" si="63"/>
        <v>0</v>
      </c>
      <c r="R145" s="51">
        <f t="shared" si="63"/>
        <v>0</v>
      </c>
      <c r="S145" s="51">
        <f t="shared" si="63"/>
        <v>0</v>
      </c>
      <c r="T145" s="51">
        <f t="shared" si="63"/>
        <v>23568.625110791647</v>
      </c>
      <c r="U145" s="51">
        <f t="shared" si="63"/>
        <v>186175.48819045722</v>
      </c>
      <c r="V145" s="51">
        <f t="shared" si="63"/>
        <v>514162.22090971755</v>
      </c>
      <c r="W145" s="51">
        <f t="shared" si="63"/>
        <v>399240.06089386041</v>
      </c>
      <c r="X145" s="51">
        <f t="shared" si="63"/>
        <v>441798.66866528941</v>
      </c>
      <c r="Y145" s="51">
        <f t="shared" si="63"/>
        <v>349735.90530005738</v>
      </c>
      <c r="Z145" s="51">
        <f t="shared" si="63"/>
        <v>313879.5625817632</v>
      </c>
      <c r="AA145" s="51">
        <f t="shared" si="63"/>
        <v>328867.24997733894</v>
      </c>
      <c r="AB145" s="51">
        <f t="shared" si="63"/>
        <v>496605.04047342652</v>
      </c>
      <c r="AC145" s="51">
        <f t="shared" si="63"/>
        <v>379874.62425602408</v>
      </c>
      <c r="AD145" s="51">
        <f t="shared" si="63"/>
        <v>383566.08281234809</v>
      </c>
      <c r="AE145" s="51">
        <f t="shared" si="63"/>
        <v>542703.64205045265</v>
      </c>
      <c r="AF145" s="51">
        <f t="shared" si="63"/>
        <v>399833.36552242393</v>
      </c>
      <c r="AG145" s="51">
        <f t="shared" si="63"/>
        <v>852088.2039540367</v>
      </c>
      <c r="AH145" s="51">
        <f t="shared" si="63"/>
        <v>1285205.5616602167</v>
      </c>
      <c r="AI145" s="51">
        <f t="shared" si="63"/>
        <v>1399518.0629062594</v>
      </c>
      <c r="AJ145" s="51">
        <f t="shared" si="63"/>
        <v>1572291.3958175406</v>
      </c>
      <c r="AK145" s="51">
        <f t="shared" si="63"/>
        <v>2815750.8753616549</v>
      </c>
      <c r="AL145" s="51">
        <f t="shared" si="63"/>
        <v>2060924.588109897</v>
      </c>
      <c r="AM145" s="51">
        <f t="shared" si="63"/>
        <v>2106143.7043177816</v>
      </c>
      <c r="AN145" s="51">
        <f t="shared" si="63"/>
        <v>2699296.7114053317</v>
      </c>
      <c r="AO145" s="51">
        <f t="shared" si="63"/>
        <v>1965422.9320764965</v>
      </c>
      <c r="AP145" s="51">
        <f t="shared" si="63"/>
        <v>1799644.882569707</v>
      </c>
      <c r="AQ145" s="51">
        <f t="shared" si="63"/>
        <v>2583319.8710290776</v>
      </c>
      <c r="AR145" s="51">
        <f t="shared" si="63"/>
        <v>1791319.657147754</v>
      </c>
      <c r="AS145" s="51">
        <f t="shared" si="63"/>
        <v>2430232.4543024963</v>
      </c>
      <c r="AT145" s="51">
        <f t="shared" si="63"/>
        <v>3367767.2291452987</v>
      </c>
      <c r="AU145" s="51">
        <f t="shared" si="63"/>
        <v>2688800.6580527923</v>
      </c>
      <c r="AV145" s="51">
        <f t="shared" si="63"/>
        <v>3052082.2365686181</v>
      </c>
      <c r="AW145" s="51">
        <f t="shared" si="63"/>
        <v>4179576.9286821568</v>
      </c>
      <c r="AX145" s="51">
        <f t="shared" si="63"/>
        <v>3047042.4148661066</v>
      </c>
      <c r="AY145" s="51">
        <f t="shared" si="63"/>
        <v>3105589.2589799836</v>
      </c>
      <c r="AZ145" s="51">
        <f t="shared" si="63"/>
        <v>4286233.6614904124</v>
      </c>
      <c r="BA145" s="51">
        <f t="shared" si="63"/>
        <v>3302363.3260650551</v>
      </c>
    </row>
    <row r="146" spans="2:53" x14ac:dyDescent="0.3">
      <c r="B146" t="s">
        <v>155</v>
      </c>
      <c r="C146" t="s">
        <v>158</v>
      </c>
      <c r="O146" s="51">
        <f t="shared" ref="O146:BA146" si="64">O94-O149</f>
        <v>0</v>
      </c>
      <c r="P146" s="51">
        <f t="shared" si="64"/>
        <v>0</v>
      </c>
      <c r="Q146" s="51">
        <f t="shared" si="64"/>
        <v>0</v>
      </c>
      <c r="R146" s="51">
        <f t="shared" si="64"/>
        <v>0</v>
      </c>
      <c r="S146" s="51">
        <f>S94-S149</f>
        <v>230400</v>
      </c>
      <c r="T146" s="51">
        <f t="shared" si="64"/>
        <v>576000</v>
      </c>
      <c r="U146" s="51">
        <f t="shared" si="64"/>
        <v>1152000</v>
      </c>
      <c r="V146" s="51">
        <f t="shared" si="64"/>
        <v>1658880</v>
      </c>
      <c r="W146" s="51">
        <f t="shared" si="64"/>
        <v>1728000</v>
      </c>
      <c r="X146" s="51">
        <f t="shared" si="64"/>
        <v>1969920</v>
      </c>
      <c r="Y146" s="51">
        <f t="shared" si="64"/>
        <v>2592000</v>
      </c>
      <c r="Z146" s="51">
        <f t="shared" si="64"/>
        <v>1969920</v>
      </c>
      <c r="AA146" s="51">
        <f t="shared" si="64"/>
        <v>1969920</v>
      </c>
      <c r="AB146" s="51">
        <f t="shared" si="64"/>
        <v>2592000</v>
      </c>
      <c r="AC146" s="51">
        <f t="shared" si="64"/>
        <v>2073600</v>
      </c>
      <c r="AD146" s="51">
        <f t="shared" si="64"/>
        <v>1969920</v>
      </c>
      <c r="AE146" s="51">
        <f t="shared" si="64"/>
        <v>2592000</v>
      </c>
      <c r="AF146" s="51">
        <f t="shared" si="64"/>
        <v>1969920</v>
      </c>
      <c r="AG146" s="51">
        <f t="shared" si="64"/>
        <v>2073600</v>
      </c>
      <c r="AH146" s="51">
        <f t="shared" si="64"/>
        <v>2710806.0886507044</v>
      </c>
      <c r="AI146" s="51">
        <f t="shared" si="64"/>
        <v>2295149.5669444087</v>
      </c>
      <c r="AJ146" s="51">
        <f t="shared" si="64"/>
        <v>2240109.6617961954</v>
      </c>
      <c r="AK146" s="51">
        <f t="shared" si="64"/>
        <v>2973480.2958503901</v>
      </c>
      <c r="AL146" s="51">
        <f t="shared" si="64"/>
        <v>2259845.0248462963</v>
      </c>
      <c r="AM146" s="51">
        <f t="shared" si="64"/>
        <v>2259845.0248462963</v>
      </c>
      <c r="AN146" s="51">
        <f t="shared" si="64"/>
        <v>2987715.1922895103</v>
      </c>
      <c r="AO146" s="51">
        <f t="shared" si="64"/>
        <v>2390172.1538316081</v>
      </c>
      <c r="AP146" s="51">
        <f t="shared" si="64"/>
        <v>2306364.5381063228</v>
      </c>
      <c r="AQ146" s="51">
        <f t="shared" si="64"/>
        <v>3034690.1817188459</v>
      </c>
      <c r="AR146" s="51">
        <f t="shared" si="64"/>
        <v>2306364.5381063228</v>
      </c>
      <c r="AS146" s="51">
        <f t="shared" si="64"/>
        <v>2427752.1453750767</v>
      </c>
      <c r="AT146" s="51">
        <f t="shared" si="64"/>
        <v>2913302.5744500924</v>
      </c>
      <c r="AU146" s="51">
        <f t="shared" si="64"/>
        <v>2427752.1453750767</v>
      </c>
      <c r="AV146" s="51">
        <f t="shared" si="64"/>
        <v>2306364.5381063228</v>
      </c>
      <c r="AW146" s="51">
        <f t="shared" si="64"/>
        <v>3034690.1817188459</v>
      </c>
      <c r="AX146" s="51">
        <f t="shared" si="64"/>
        <v>2306364.5381063228</v>
      </c>
      <c r="AY146" s="51">
        <f t="shared" si="64"/>
        <v>2306364.5381063228</v>
      </c>
      <c r="AZ146" s="51">
        <f t="shared" si="64"/>
        <v>3034690.1817188459</v>
      </c>
      <c r="BA146" s="51">
        <f t="shared" si="64"/>
        <v>2427752.1453750767</v>
      </c>
    </row>
    <row r="147" spans="2:53" x14ac:dyDescent="0.3">
      <c r="B147" t="s">
        <v>155</v>
      </c>
      <c r="C147" t="s">
        <v>159</v>
      </c>
      <c r="O147" s="51">
        <f t="shared" ref="O147:BA147" si="65">MIN((O11+O16),O82-O148)</f>
        <v>0</v>
      </c>
      <c r="P147" s="51">
        <f t="shared" si="65"/>
        <v>0</v>
      </c>
      <c r="Q147" s="51">
        <f t="shared" si="65"/>
        <v>0</v>
      </c>
      <c r="R147" s="51">
        <f t="shared" si="65"/>
        <v>0</v>
      </c>
      <c r="S147" s="51">
        <f t="shared" si="65"/>
        <v>174600</v>
      </c>
      <c r="T147" s="51">
        <f t="shared" si="65"/>
        <v>251267.92014285713</v>
      </c>
      <c r="U147" s="51">
        <f t="shared" si="65"/>
        <v>235318.24771428574</v>
      </c>
      <c r="V147" s="51">
        <f t="shared" si="65"/>
        <v>196690.93538095237</v>
      </c>
      <c r="W147" s="51">
        <f t="shared" si="65"/>
        <v>240002.19004761905</v>
      </c>
      <c r="X147" s="51">
        <f t="shared" si="65"/>
        <v>215610.50061904761</v>
      </c>
      <c r="Y147" s="51">
        <f t="shared" si="65"/>
        <v>843330.1150476191</v>
      </c>
      <c r="Z147" s="51">
        <f t="shared" si="65"/>
        <v>701946.64332429646</v>
      </c>
      <c r="AA147" s="51">
        <f t="shared" si="65"/>
        <v>626161.67732159782</v>
      </c>
      <c r="AB147" s="51">
        <f t="shared" si="65"/>
        <v>835663.80180952384</v>
      </c>
      <c r="AC147" s="51">
        <f t="shared" si="65"/>
        <v>614860.83152380958</v>
      </c>
      <c r="AD147" s="51">
        <f t="shared" si="65"/>
        <v>713488.65914285718</v>
      </c>
      <c r="AE147" s="51">
        <f t="shared" si="65"/>
        <v>893858.71485714288</v>
      </c>
      <c r="AF147" s="51">
        <f t="shared" si="65"/>
        <v>745139.34871428576</v>
      </c>
      <c r="AG147" s="51">
        <f t="shared" si="65"/>
        <v>729189.67628571426</v>
      </c>
      <c r="AH147" s="51">
        <f t="shared" si="65"/>
        <v>689030.22109523811</v>
      </c>
      <c r="AI147" s="51">
        <f t="shared" si="65"/>
        <v>733873.61861904757</v>
      </c>
      <c r="AJ147" s="51">
        <f t="shared" si="65"/>
        <v>709481.92919047619</v>
      </c>
      <c r="AK147" s="51">
        <f t="shared" si="65"/>
        <v>835669.40076190478</v>
      </c>
      <c r="AL147" s="51">
        <f t="shared" si="65"/>
        <v>695818.07189572509</v>
      </c>
      <c r="AM147" s="51">
        <f t="shared" si="65"/>
        <v>620033.10589302634</v>
      </c>
      <c r="AN147" s="51">
        <f t="shared" si="65"/>
        <v>1085663.8018095237</v>
      </c>
      <c r="AO147" s="51">
        <f t="shared" si="65"/>
        <v>864860.83152380958</v>
      </c>
      <c r="AP147" s="51">
        <f t="shared" si="65"/>
        <v>963488.65914285718</v>
      </c>
      <c r="AQ147" s="51">
        <f t="shared" si="65"/>
        <v>1143858.7148571429</v>
      </c>
      <c r="AR147" s="51">
        <f t="shared" si="65"/>
        <v>995139.34871428576</v>
      </c>
      <c r="AS147" s="51">
        <f t="shared" si="65"/>
        <v>979189.67628571426</v>
      </c>
      <c r="AT147" s="51">
        <f t="shared" si="65"/>
        <v>924160.11276190472</v>
      </c>
      <c r="AU147" s="51">
        <f t="shared" si="65"/>
        <v>970200.90028571431</v>
      </c>
      <c r="AV147" s="51">
        <f t="shared" si="65"/>
        <v>948041.99085714284</v>
      </c>
      <c r="AW147" s="51">
        <f t="shared" si="65"/>
        <v>1070148.1774285715</v>
      </c>
      <c r="AX147" s="51">
        <f t="shared" si="65"/>
        <v>936551.5885623917</v>
      </c>
      <c r="AY147" s="51">
        <f t="shared" si="65"/>
        <v>860034.2925596931</v>
      </c>
      <c r="AZ147" s="51">
        <f t="shared" si="65"/>
        <v>860034.2925596931</v>
      </c>
      <c r="BA147" s="51">
        <f t="shared" si="65"/>
        <v>860034.2925596931</v>
      </c>
    </row>
    <row r="148" spans="2:53" x14ac:dyDescent="0.3">
      <c r="B148" t="s">
        <v>155</v>
      </c>
      <c r="C148" t="s">
        <v>160</v>
      </c>
      <c r="O148" s="51">
        <f t="shared" ref="O148:BA148" si="66">MIN((O12+O17),O82)</f>
        <v>0</v>
      </c>
      <c r="P148" s="51">
        <f t="shared" si="66"/>
        <v>0</v>
      </c>
      <c r="Q148" s="51">
        <f t="shared" si="66"/>
        <v>0</v>
      </c>
      <c r="R148" s="51">
        <f t="shared" si="66"/>
        <v>0</v>
      </c>
      <c r="S148" s="51">
        <f t="shared" si="66"/>
        <v>63000</v>
      </c>
      <c r="T148" s="51">
        <f t="shared" si="66"/>
        <v>63000</v>
      </c>
      <c r="U148" s="51">
        <f t="shared" si="66"/>
        <v>0</v>
      </c>
      <c r="V148" s="51">
        <f t="shared" si="66"/>
        <v>0</v>
      </c>
      <c r="W148" s="51">
        <f t="shared" si="66"/>
        <v>0</v>
      </c>
      <c r="X148" s="51">
        <f t="shared" si="66"/>
        <v>0</v>
      </c>
      <c r="Y148" s="51">
        <f t="shared" si="66"/>
        <v>490000</v>
      </c>
      <c r="Z148" s="51">
        <f t="shared" si="66"/>
        <v>490000</v>
      </c>
      <c r="AA148" s="51">
        <f t="shared" si="66"/>
        <v>490000</v>
      </c>
      <c r="AB148" s="51">
        <f t="shared" si="66"/>
        <v>0</v>
      </c>
      <c r="AC148" s="51">
        <f t="shared" si="66"/>
        <v>0</v>
      </c>
      <c r="AD148" s="51">
        <f t="shared" si="66"/>
        <v>0</v>
      </c>
      <c r="AE148" s="51">
        <f t="shared" si="66"/>
        <v>0</v>
      </c>
      <c r="AF148" s="51">
        <f t="shared" si="66"/>
        <v>0</v>
      </c>
      <c r="AG148" s="51">
        <f t="shared" si="66"/>
        <v>0</v>
      </c>
      <c r="AH148" s="51">
        <f t="shared" si="66"/>
        <v>0</v>
      </c>
      <c r="AI148" s="51">
        <f t="shared" si="66"/>
        <v>0</v>
      </c>
      <c r="AJ148" s="51">
        <f t="shared" si="66"/>
        <v>0</v>
      </c>
      <c r="AK148" s="51">
        <f t="shared" si="66"/>
        <v>0</v>
      </c>
      <c r="AL148" s="51">
        <f t="shared" si="66"/>
        <v>0</v>
      </c>
      <c r="AM148" s="51">
        <f t="shared" si="66"/>
        <v>0</v>
      </c>
      <c r="AN148" s="51">
        <f t="shared" si="66"/>
        <v>0</v>
      </c>
      <c r="AO148" s="51">
        <f t="shared" si="66"/>
        <v>0</v>
      </c>
      <c r="AP148" s="51">
        <f t="shared" si="66"/>
        <v>0</v>
      </c>
      <c r="AQ148" s="51">
        <f t="shared" si="66"/>
        <v>0</v>
      </c>
      <c r="AR148" s="51">
        <f t="shared" si="66"/>
        <v>0</v>
      </c>
      <c r="AS148" s="51">
        <f t="shared" si="66"/>
        <v>0</v>
      </c>
      <c r="AT148" s="51">
        <f t="shared" si="66"/>
        <v>0</v>
      </c>
      <c r="AU148" s="51">
        <f t="shared" si="66"/>
        <v>0</v>
      </c>
      <c r="AV148" s="51">
        <f t="shared" si="66"/>
        <v>0</v>
      </c>
      <c r="AW148" s="51">
        <f t="shared" si="66"/>
        <v>0</v>
      </c>
      <c r="AX148" s="51">
        <f t="shared" si="66"/>
        <v>0</v>
      </c>
      <c r="AY148" s="51">
        <f t="shared" si="66"/>
        <v>0</v>
      </c>
      <c r="AZ148" s="51">
        <f t="shared" si="66"/>
        <v>0</v>
      </c>
      <c r="BA148" s="51">
        <f t="shared" si="66"/>
        <v>0</v>
      </c>
    </row>
    <row r="149" spans="2:53" x14ac:dyDescent="0.3">
      <c r="B149" t="s">
        <v>155</v>
      </c>
      <c r="C149" t="s">
        <v>161</v>
      </c>
      <c r="O149" s="51">
        <f t="shared" ref="O149:BA149" si="67">(O13+O18)</f>
        <v>0</v>
      </c>
      <c r="P149" s="51">
        <f t="shared" si="67"/>
        <v>0</v>
      </c>
      <c r="Q149" s="51">
        <f t="shared" si="67"/>
        <v>0</v>
      </c>
      <c r="R149" s="51">
        <f t="shared" si="67"/>
        <v>0</v>
      </c>
      <c r="S149" s="51">
        <f t="shared" si="67"/>
        <v>0</v>
      </c>
      <c r="T149" s="51">
        <f t="shared" si="67"/>
        <v>0</v>
      </c>
      <c r="U149" s="51">
        <f t="shared" si="67"/>
        <v>0</v>
      </c>
      <c r="V149" s="51">
        <f t="shared" si="67"/>
        <v>0</v>
      </c>
      <c r="W149" s="51">
        <f t="shared" si="67"/>
        <v>0</v>
      </c>
      <c r="X149" s="51">
        <f t="shared" si="67"/>
        <v>0</v>
      </c>
      <c r="Y149" s="51">
        <f t="shared" si="67"/>
        <v>0</v>
      </c>
      <c r="Z149" s="51">
        <f t="shared" si="67"/>
        <v>0</v>
      </c>
      <c r="AA149" s="51">
        <f t="shared" si="67"/>
        <v>0</v>
      </c>
      <c r="AB149" s="51">
        <f t="shared" si="67"/>
        <v>0</v>
      </c>
      <c r="AC149" s="51">
        <f t="shared" si="67"/>
        <v>0</v>
      </c>
      <c r="AD149" s="51">
        <f t="shared" si="67"/>
        <v>0</v>
      </c>
      <c r="AE149" s="51">
        <f t="shared" si="67"/>
        <v>0</v>
      </c>
      <c r="AF149" s="51">
        <f t="shared" si="67"/>
        <v>0</v>
      </c>
      <c r="AG149" s="51">
        <f t="shared" si="67"/>
        <v>0</v>
      </c>
      <c r="AH149" s="51">
        <f t="shared" si="67"/>
        <v>0</v>
      </c>
      <c r="AI149" s="51">
        <f t="shared" si="67"/>
        <v>0</v>
      </c>
      <c r="AJ149" s="51">
        <f t="shared" si="67"/>
        <v>0</v>
      </c>
      <c r="AK149" s="51">
        <f t="shared" si="67"/>
        <v>0</v>
      </c>
      <c r="AL149" s="51">
        <f t="shared" si="67"/>
        <v>0</v>
      </c>
      <c r="AM149" s="51">
        <f t="shared" si="67"/>
        <v>0</v>
      </c>
      <c r="AN149" s="51">
        <f t="shared" si="67"/>
        <v>0</v>
      </c>
      <c r="AO149" s="51">
        <f t="shared" si="67"/>
        <v>0</v>
      </c>
      <c r="AP149" s="51">
        <f t="shared" si="67"/>
        <v>0</v>
      </c>
      <c r="AQ149" s="51">
        <f t="shared" si="67"/>
        <v>0</v>
      </c>
      <c r="AR149" s="51">
        <f t="shared" si="67"/>
        <v>0</v>
      </c>
      <c r="AS149" s="51">
        <f t="shared" si="67"/>
        <v>0</v>
      </c>
      <c r="AT149" s="51">
        <f t="shared" si="67"/>
        <v>0</v>
      </c>
      <c r="AU149" s="51">
        <f t="shared" si="67"/>
        <v>0</v>
      </c>
      <c r="AV149" s="51">
        <f t="shared" si="67"/>
        <v>0</v>
      </c>
      <c r="AW149" s="51">
        <f t="shared" si="67"/>
        <v>0</v>
      </c>
      <c r="AX149" s="51">
        <f t="shared" si="67"/>
        <v>0</v>
      </c>
      <c r="AY149" s="51">
        <f t="shared" si="67"/>
        <v>0</v>
      </c>
      <c r="AZ149" s="51">
        <f t="shared" si="67"/>
        <v>0</v>
      </c>
      <c r="BA149" s="51">
        <f t="shared" si="67"/>
        <v>0</v>
      </c>
    </row>
    <row r="150" spans="2:53" x14ac:dyDescent="0.3">
      <c r="S150">
        <f>S103/SUM(S144,S146,S147,S149)</f>
        <v>0.37777777777777777</v>
      </c>
      <c r="T150">
        <f>T103/SUM(T144,T146,T147,T149)</f>
        <v>0.13521404957376845</v>
      </c>
      <c r="U150">
        <f>SUM(U147,U144)/SUM(U144,U146,U147)</f>
        <v>0.42267923783530481</v>
      </c>
      <c r="V150">
        <f>V103/SUM(V144,V146,V147,V149)</f>
        <v>7.6664502496878187E-2</v>
      </c>
    </row>
    <row r="151" spans="2:53" x14ac:dyDescent="0.3">
      <c r="B151" t="s">
        <v>162</v>
      </c>
      <c r="C151" t="s">
        <v>156</v>
      </c>
      <c r="O151" s="56">
        <f t="shared" ref="O151:BA156" si="68">IFERROR(O$158*O144/SUM(O$144:O$149)/O144,0)</f>
        <v>0</v>
      </c>
      <c r="P151" s="56">
        <f t="shared" si="68"/>
        <v>0</v>
      </c>
      <c r="Q151" s="56">
        <f t="shared" si="68"/>
        <v>0</v>
      </c>
      <c r="R151" s="56">
        <f t="shared" si="68"/>
        <v>0</v>
      </c>
      <c r="S151" s="56">
        <f t="shared" si="68"/>
        <v>0</v>
      </c>
      <c r="T151" s="56">
        <f t="shared" si="68"/>
        <v>0.44419508374352379</v>
      </c>
      <c r="U151" s="56">
        <f t="shared" si="68"/>
        <v>0.23152201957415691</v>
      </c>
      <c r="V151" s="56">
        <f t="shared" si="68"/>
        <v>0.18583115845251472</v>
      </c>
      <c r="W151" s="56">
        <f t="shared" si="68"/>
        <v>0.15672799610836927</v>
      </c>
      <c r="X151" s="56">
        <f t="shared" si="68"/>
        <v>0.15574934196019838</v>
      </c>
      <c r="Y151" s="56">
        <f t="shared" si="68"/>
        <v>0.13371982734219529</v>
      </c>
      <c r="Z151" s="56">
        <f t="shared" si="68"/>
        <v>0.14805010496960952</v>
      </c>
      <c r="AA151" s="56">
        <f t="shared" si="68"/>
        <v>0.14805010496960952</v>
      </c>
      <c r="AB151" s="56">
        <f t="shared" si="68"/>
        <v>0.1330187941194057</v>
      </c>
      <c r="AC151" s="56">
        <f t="shared" si="68"/>
        <v>0.14030007332770958</v>
      </c>
      <c r="AD151" s="56">
        <f t="shared" si="68"/>
        <v>0.14874262358823509</v>
      </c>
      <c r="AE151" s="56">
        <f t="shared" si="68"/>
        <v>0.13367200575861238</v>
      </c>
      <c r="AF151" s="56">
        <f t="shared" si="68"/>
        <v>0.14874262358823509</v>
      </c>
      <c r="AG151" s="56">
        <f t="shared" si="68"/>
        <v>0.13800969097870333</v>
      </c>
      <c r="AH151" s="56">
        <f t="shared" si="68"/>
        <v>0.13402833339486539</v>
      </c>
      <c r="AI151" s="56">
        <f t="shared" si="68"/>
        <v>0.12260046391968758</v>
      </c>
      <c r="AJ151" s="56">
        <f t="shared" si="68"/>
        <v>0.12986982583522694</v>
      </c>
      <c r="AK151" s="56">
        <f t="shared" si="68"/>
        <v>0.10963290343988749</v>
      </c>
      <c r="AL151" s="56">
        <f t="shared" si="68"/>
        <v>0.12532658161885835</v>
      </c>
      <c r="AM151" s="56">
        <f t="shared" si="68"/>
        <v>0.12532658161885832</v>
      </c>
      <c r="AN151" s="56">
        <f t="shared" si="68"/>
        <v>0.11330280726166267</v>
      </c>
      <c r="AO151" s="56">
        <f t="shared" si="68"/>
        <v>0.11837529068107161</v>
      </c>
      <c r="AP151" s="56">
        <f t="shared" si="68"/>
        <v>0.12519173107524845</v>
      </c>
      <c r="AQ151" s="56">
        <f t="shared" si="68"/>
        <v>0.11334296301595179</v>
      </c>
      <c r="AR151" s="56">
        <f t="shared" si="68"/>
        <v>0.12519173107524842</v>
      </c>
      <c r="AS151" s="56">
        <f t="shared" si="68"/>
        <v>0.11489717723663981</v>
      </c>
      <c r="AT151" s="56">
        <f t="shared" si="68"/>
        <v>0.11572861644599307</v>
      </c>
      <c r="AU151" s="56">
        <f t="shared" si="68"/>
        <v>0.11410913840955252</v>
      </c>
      <c r="AV151" s="56">
        <f t="shared" si="68"/>
        <v>0.11693391731960688</v>
      </c>
      <c r="AW151" s="56">
        <f t="shared" si="68"/>
        <v>0.10701472022309934</v>
      </c>
      <c r="AX151" s="56">
        <f t="shared" si="68"/>
        <v>0.12100273976340596</v>
      </c>
      <c r="AY151" s="56">
        <f t="shared" si="68"/>
        <v>0.12100273976340599</v>
      </c>
      <c r="AZ151" s="56">
        <f t="shared" si="68"/>
        <v>9.7463012675900282E-2</v>
      </c>
      <c r="BA151" s="56">
        <f t="shared" si="68"/>
        <v>0.10153551390642748</v>
      </c>
    </row>
    <row r="152" spans="2:53" x14ac:dyDescent="0.3">
      <c r="B152" t="s">
        <v>162</v>
      </c>
      <c r="C152" t="s">
        <v>157</v>
      </c>
      <c r="O152" s="56">
        <f t="shared" si="68"/>
        <v>0</v>
      </c>
      <c r="P152" s="56">
        <f t="shared" si="68"/>
        <v>0</v>
      </c>
      <c r="Q152" s="56">
        <f t="shared" si="68"/>
        <v>0</v>
      </c>
      <c r="R152" s="56">
        <f t="shared" si="68"/>
        <v>0</v>
      </c>
      <c r="S152" s="56">
        <f t="shared" si="68"/>
        <v>0</v>
      </c>
      <c r="T152" s="56">
        <f t="shared" si="68"/>
        <v>0.44419508374352384</v>
      </c>
      <c r="U152" s="56">
        <f t="shared" si="68"/>
        <v>0.23152201957415688</v>
      </c>
      <c r="V152" s="56">
        <f t="shared" si="68"/>
        <v>0.18583115845251472</v>
      </c>
      <c r="W152" s="56">
        <f t="shared" si="68"/>
        <v>0.15672799610836927</v>
      </c>
      <c r="X152" s="56">
        <f t="shared" si="68"/>
        <v>0.15574934196019835</v>
      </c>
      <c r="Y152" s="56">
        <f t="shared" si="68"/>
        <v>0.13371982734219529</v>
      </c>
      <c r="Z152" s="56">
        <f t="shared" si="68"/>
        <v>0.14805010496960949</v>
      </c>
      <c r="AA152" s="56">
        <f t="shared" si="68"/>
        <v>0.14805010496960952</v>
      </c>
      <c r="AB152" s="56">
        <f t="shared" si="68"/>
        <v>0.1330187941194057</v>
      </c>
      <c r="AC152" s="56">
        <f t="shared" si="68"/>
        <v>0.14030007332770961</v>
      </c>
      <c r="AD152" s="56">
        <f t="shared" si="68"/>
        <v>0.14874262358823509</v>
      </c>
      <c r="AE152" s="56">
        <f t="shared" si="68"/>
        <v>0.13367200575861238</v>
      </c>
      <c r="AF152" s="56">
        <f t="shared" si="68"/>
        <v>0.14874262358823509</v>
      </c>
      <c r="AG152" s="56">
        <f t="shared" si="68"/>
        <v>0.13800969097870333</v>
      </c>
      <c r="AH152" s="56">
        <f t="shared" si="68"/>
        <v>0.13402833339486536</v>
      </c>
      <c r="AI152" s="56">
        <f t="shared" si="68"/>
        <v>0.12260046391968757</v>
      </c>
      <c r="AJ152" s="56">
        <f t="shared" si="68"/>
        <v>0.12986982583522691</v>
      </c>
      <c r="AK152" s="56">
        <f t="shared" si="68"/>
        <v>0.10963290343988748</v>
      </c>
      <c r="AL152" s="56">
        <f t="shared" si="68"/>
        <v>0.12532658161885835</v>
      </c>
      <c r="AM152" s="56">
        <f t="shared" si="68"/>
        <v>0.12532658161885832</v>
      </c>
      <c r="AN152" s="56">
        <f t="shared" si="68"/>
        <v>0.11330280726166267</v>
      </c>
      <c r="AO152" s="56">
        <f t="shared" si="68"/>
        <v>0.1183752906810716</v>
      </c>
      <c r="AP152" s="56">
        <f t="shared" si="68"/>
        <v>0.12519173107524842</v>
      </c>
      <c r="AQ152" s="56">
        <f t="shared" si="68"/>
        <v>0.1133429630159518</v>
      </c>
      <c r="AR152" s="56">
        <f t="shared" si="68"/>
        <v>0.12519173107524842</v>
      </c>
      <c r="AS152" s="56">
        <f t="shared" si="68"/>
        <v>0.11489717723663979</v>
      </c>
      <c r="AT152" s="56">
        <f t="shared" si="68"/>
        <v>0.11572861644599308</v>
      </c>
      <c r="AU152" s="56">
        <f t="shared" si="68"/>
        <v>0.11410913840955252</v>
      </c>
      <c r="AV152" s="56">
        <f t="shared" si="68"/>
        <v>0.11693391731960688</v>
      </c>
      <c r="AW152" s="56">
        <f t="shared" si="68"/>
        <v>0.10701472022309935</v>
      </c>
      <c r="AX152" s="56">
        <f t="shared" si="68"/>
        <v>0.12100273976340598</v>
      </c>
      <c r="AY152" s="56">
        <f t="shared" si="68"/>
        <v>0.12100273976340598</v>
      </c>
      <c r="AZ152" s="56">
        <f t="shared" si="68"/>
        <v>9.7463012675900282E-2</v>
      </c>
      <c r="BA152" s="56">
        <f t="shared" si="68"/>
        <v>0.10153551390642748</v>
      </c>
    </row>
    <row r="153" spans="2:53" x14ac:dyDescent="0.3">
      <c r="B153" t="s">
        <v>162</v>
      </c>
      <c r="C153" t="s">
        <v>158</v>
      </c>
      <c r="O153" s="56">
        <f t="shared" si="68"/>
        <v>0</v>
      </c>
      <c r="P153" s="56">
        <f t="shared" si="68"/>
        <v>0</v>
      </c>
      <c r="Q153" s="56">
        <f t="shared" si="68"/>
        <v>0</v>
      </c>
      <c r="R153" s="56">
        <f t="shared" si="68"/>
        <v>0</v>
      </c>
      <c r="S153" s="56">
        <f>IFERROR(S$158*S146/SUM(S$144:S$149)/S146,0)</f>
        <v>1.094960680873859</v>
      </c>
      <c r="T153" s="56">
        <f t="shared" si="68"/>
        <v>0.44419508374352379</v>
      </c>
      <c r="U153" s="56">
        <f>IFERROR(U$158*U146/SUM(U$144:U$149)/U146,0)</f>
        <v>0.23152201957415688</v>
      </c>
      <c r="V153" s="56">
        <f t="shared" si="68"/>
        <v>0.18583115845251474</v>
      </c>
      <c r="W153" s="56">
        <f t="shared" si="68"/>
        <v>0.15672799610836929</v>
      </c>
      <c r="X153" s="56">
        <f t="shared" si="68"/>
        <v>0.15574934196019838</v>
      </c>
      <c r="Y153" s="56">
        <f t="shared" si="68"/>
        <v>0.13371982734219529</v>
      </c>
      <c r="Z153" s="56">
        <f t="shared" si="68"/>
        <v>0.14805010496960955</v>
      </c>
      <c r="AA153" s="56">
        <f t="shared" si="68"/>
        <v>0.14805010496960955</v>
      </c>
      <c r="AB153" s="56">
        <f t="shared" si="68"/>
        <v>0.1330187941194057</v>
      </c>
      <c r="AC153" s="56">
        <f t="shared" si="68"/>
        <v>0.14030007332770958</v>
      </c>
      <c r="AD153" s="56">
        <f t="shared" si="68"/>
        <v>0.14874262358823509</v>
      </c>
      <c r="AE153" s="56">
        <f t="shared" si="68"/>
        <v>0.13367200575861238</v>
      </c>
      <c r="AF153" s="56">
        <f t="shared" si="68"/>
        <v>0.14874262358823509</v>
      </c>
      <c r="AG153" s="56">
        <f t="shared" si="68"/>
        <v>0.1380096909787033</v>
      </c>
      <c r="AH153" s="56">
        <f t="shared" si="68"/>
        <v>0.13402833339486536</v>
      </c>
      <c r="AI153" s="56">
        <f t="shared" si="68"/>
        <v>0.12260046391968758</v>
      </c>
      <c r="AJ153" s="56">
        <f t="shared" si="68"/>
        <v>0.12986982583522694</v>
      </c>
      <c r="AK153" s="56">
        <f t="shared" si="68"/>
        <v>0.10963290343988748</v>
      </c>
      <c r="AL153" s="56">
        <f t="shared" si="68"/>
        <v>0.12532658161885835</v>
      </c>
      <c r="AM153" s="56">
        <f t="shared" si="68"/>
        <v>0.12532658161885835</v>
      </c>
      <c r="AN153" s="56">
        <f t="shared" si="68"/>
        <v>0.11330280726166267</v>
      </c>
      <c r="AO153" s="56">
        <f t="shared" si="68"/>
        <v>0.11837529068107161</v>
      </c>
      <c r="AP153" s="56">
        <f t="shared" si="68"/>
        <v>0.12519173107524842</v>
      </c>
      <c r="AQ153" s="56">
        <f t="shared" si="68"/>
        <v>0.11334296301595179</v>
      </c>
      <c r="AR153" s="56">
        <f t="shared" si="68"/>
        <v>0.12519173107524842</v>
      </c>
      <c r="AS153" s="56">
        <f t="shared" si="68"/>
        <v>0.11489717723663979</v>
      </c>
      <c r="AT153" s="56">
        <f t="shared" si="68"/>
        <v>0.1157286164459931</v>
      </c>
      <c r="AU153" s="56">
        <f t="shared" si="68"/>
        <v>0.11410913840955252</v>
      </c>
      <c r="AV153" s="56">
        <f t="shared" si="68"/>
        <v>0.11693391731960689</v>
      </c>
      <c r="AW153" s="56">
        <f t="shared" si="68"/>
        <v>0.10701472022309932</v>
      </c>
      <c r="AX153" s="56">
        <f t="shared" si="68"/>
        <v>0.12100273976340598</v>
      </c>
      <c r="AY153" s="56">
        <f t="shared" si="68"/>
        <v>0.12100273976340598</v>
      </c>
      <c r="AZ153" s="56">
        <f t="shared" si="68"/>
        <v>9.7463012675900282E-2</v>
      </c>
      <c r="BA153" s="56">
        <f t="shared" si="68"/>
        <v>0.10153551390642748</v>
      </c>
    </row>
    <row r="154" spans="2:53" x14ac:dyDescent="0.3">
      <c r="B154" t="s">
        <v>162</v>
      </c>
      <c r="C154" t="s">
        <v>159</v>
      </c>
      <c r="O154" s="56">
        <f t="shared" si="68"/>
        <v>0</v>
      </c>
      <c r="P154" s="56">
        <f t="shared" si="68"/>
        <v>0</v>
      </c>
      <c r="Q154" s="56">
        <f t="shared" si="68"/>
        <v>0</v>
      </c>
      <c r="R154" s="56">
        <f t="shared" si="68"/>
        <v>0</v>
      </c>
      <c r="S154" s="56">
        <f t="shared" si="68"/>
        <v>1.0949606808738588</v>
      </c>
      <c r="T154" s="56">
        <f t="shared" si="68"/>
        <v>0.44419508374352379</v>
      </c>
      <c r="U154" s="56">
        <f t="shared" si="68"/>
        <v>0.23152201957415688</v>
      </c>
      <c r="V154" s="56">
        <f t="shared" si="68"/>
        <v>0.18583115845251472</v>
      </c>
      <c r="W154" s="56">
        <f t="shared" si="68"/>
        <v>0.15672799610836929</v>
      </c>
      <c r="X154" s="56">
        <f t="shared" si="68"/>
        <v>0.15574934196019835</v>
      </c>
      <c r="Y154" s="56">
        <f t="shared" si="68"/>
        <v>0.13371982734219529</v>
      </c>
      <c r="Z154" s="56">
        <f t="shared" si="68"/>
        <v>0.14805010496960952</v>
      </c>
      <c r="AA154" s="56">
        <f t="shared" si="68"/>
        <v>0.14805010496960952</v>
      </c>
      <c r="AB154" s="56">
        <f t="shared" si="68"/>
        <v>0.1330187941194057</v>
      </c>
      <c r="AC154" s="56">
        <f t="shared" si="68"/>
        <v>0.14030007332770961</v>
      </c>
      <c r="AD154" s="56">
        <f t="shared" si="68"/>
        <v>0.14874262358823509</v>
      </c>
      <c r="AE154" s="56">
        <f t="shared" si="68"/>
        <v>0.13367200575861238</v>
      </c>
      <c r="AF154" s="56">
        <f t="shared" si="68"/>
        <v>0.14874262358823509</v>
      </c>
      <c r="AG154" s="56">
        <f t="shared" si="68"/>
        <v>0.13800969097870333</v>
      </c>
      <c r="AH154" s="56">
        <f t="shared" si="68"/>
        <v>0.13402833339486536</v>
      </c>
      <c r="AI154" s="56">
        <f t="shared" si="68"/>
        <v>0.12260046391968758</v>
      </c>
      <c r="AJ154" s="56">
        <f t="shared" si="68"/>
        <v>0.12986982583522691</v>
      </c>
      <c r="AK154" s="56">
        <f t="shared" si="68"/>
        <v>0.10963290343988749</v>
      </c>
      <c r="AL154" s="56">
        <f t="shared" si="68"/>
        <v>0.12532658161885835</v>
      </c>
      <c r="AM154" s="56">
        <f t="shared" si="68"/>
        <v>0.12532658161885835</v>
      </c>
      <c r="AN154" s="56">
        <f t="shared" si="68"/>
        <v>0.11330280726166267</v>
      </c>
      <c r="AO154" s="56">
        <f t="shared" si="68"/>
        <v>0.11837529068107161</v>
      </c>
      <c r="AP154" s="56">
        <f t="shared" si="68"/>
        <v>0.12519173107524842</v>
      </c>
      <c r="AQ154" s="56">
        <f t="shared" si="68"/>
        <v>0.1133429630159518</v>
      </c>
      <c r="AR154" s="56">
        <f t="shared" si="68"/>
        <v>0.12519173107524845</v>
      </c>
      <c r="AS154" s="56">
        <f t="shared" si="68"/>
        <v>0.11489717723663979</v>
      </c>
      <c r="AT154" s="56">
        <f t="shared" si="68"/>
        <v>0.11572861644599308</v>
      </c>
      <c r="AU154" s="56">
        <f t="shared" si="68"/>
        <v>0.11410913840955253</v>
      </c>
      <c r="AV154" s="56">
        <f t="shared" si="68"/>
        <v>0.11693391731960688</v>
      </c>
      <c r="AW154" s="56">
        <f t="shared" si="68"/>
        <v>0.10701472022309932</v>
      </c>
      <c r="AX154" s="56">
        <f t="shared" si="68"/>
        <v>0.12100273976340596</v>
      </c>
      <c r="AY154" s="56">
        <f t="shared" si="68"/>
        <v>0.12100273976340598</v>
      </c>
      <c r="AZ154" s="56">
        <f t="shared" si="68"/>
        <v>9.7463012675900296E-2</v>
      </c>
      <c r="BA154" s="56">
        <f t="shared" si="68"/>
        <v>0.10153551390642748</v>
      </c>
    </row>
    <row r="155" spans="2:53" x14ac:dyDescent="0.3">
      <c r="B155" t="s">
        <v>162</v>
      </c>
      <c r="C155" t="s">
        <v>160</v>
      </c>
      <c r="O155" s="56">
        <f t="shared" si="68"/>
        <v>0</v>
      </c>
      <c r="P155" s="56">
        <f t="shared" si="68"/>
        <v>0</v>
      </c>
      <c r="Q155" s="56">
        <f t="shared" si="68"/>
        <v>0</v>
      </c>
      <c r="R155" s="56">
        <f t="shared" si="68"/>
        <v>0</v>
      </c>
      <c r="S155" s="56">
        <f t="shared" si="68"/>
        <v>1.0949606808738588</v>
      </c>
      <c r="T155" s="56">
        <f t="shared" si="68"/>
        <v>0.44419508374352384</v>
      </c>
      <c r="U155" s="56">
        <f t="shared" si="68"/>
        <v>0</v>
      </c>
      <c r="V155" s="56">
        <f t="shared" si="68"/>
        <v>0</v>
      </c>
      <c r="W155" s="56">
        <f t="shared" si="68"/>
        <v>0</v>
      </c>
      <c r="X155" s="56">
        <f t="shared" si="68"/>
        <v>0</v>
      </c>
      <c r="Y155" s="56">
        <f t="shared" si="68"/>
        <v>0.13371982734219529</v>
      </c>
      <c r="Z155" s="56">
        <f t="shared" si="68"/>
        <v>0.14805010496960952</v>
      </c>
      <c r="AA155" s="56">
        <f t="shared" si="68"/>
        <v>0.14805010496960952</v>
      </c>
      <c r="AB155" s="56">
        <f t="shared" si="68"/>
        <v>0</v>
      </c>
      <c r="AC155" s="56">
        <f t="shared" si="68"/>
        <v>0</v>
      </c>
      <c r="AD155" s="56">
        <f t="shared" si="68"/>
        <v>0</v>
      </c>
      <c r="AE155" s="56">
        <f t="shared" si="68"/>
        <v>0</v>
      </c>
      <c r="AF155" s="56">
        <f t="shared" si="68"/>
        <v>0</v>
      </c>
      <c r="AG155" s="56">
        <f t="shared" si="68"/>
        <v>0</v>
      </c>
      <c r="AH155" s="56">
        <f t="shared" si="68"/>
        <v>0</v>
      </c>
      <c r="AI155" s="56">
        <f t="shared" si="68"/>
        <v>0</v>
      </c>
      <c r="AJ155" s="56">
        <f t="shared" si="68"/>
        <v>0</v>
      </c>
      <c r="AK155" s="56">
        <f t="shared" si="68"/>
        <v>0</v>
      </c>
      <c r="AL155" s="56">
        <f t="shared" si="68"/>
        <v>0</v>
      </c>
      <c r="AM155" s="56">
        <f t="shared" si="68"/>
        <v>0</v>
      </c>
      <c r="AN155" s="56">
        <f t="shared" si="68"/>
        <v>0</v>
      </c>
      <c r="AO155" s="56">
        <f t="shared" si="68"/>
        <v>0</v>
      </c>
      <c r="AP155" s="56">
        <f t="shared" si="68"/>
        <v>0</v>
      </c>
      <c r="AQ155" s="56">
        <f t="shared" si="68"/>
        <v>0</v>
      </c>
      <c r="AR155" s="56">
        <f t="shared" si="68"/>
        <v>0</v>
      </c>
      <c r="AS155" s="56">
        <f t="shared" si="68"/>
        <v>0</v>
      </c>
      <c r="AT155" s="56">
        <f t="shared" si="68"/>
        <v>0</v>
      </c>
      <c r="AU155" s="56">
        <f t="shared" si="68"/>
        <v>0</v>
      </c>
      <c r="AV155" s="56">
        <f t="shared" si="68"/>
        <v>0</v>
      </c>
      <c r="AW155" s="56">
        <f t="shared" si="68"/>
        <v>0</v>
      </c>
      <c r="AX155" s="56">
        <f t="shared" si="68"/>
        <v>0</v>
      </c>
      <c r="AY155" s="56">
        <f t="shared" si="68"/>
        <v>0</v>
      </c>
      <c r="AZ155" s="56">
        <f t="shared" si="68"/>
        <v>0</v>
      </c>
      <c r="BA155" s="56">
        <f t="shared" si="68"/>
        <v>0</v>
      </c>
    </row>
    <row r="156" spans="2:53" x14ac:dyDescent="0.3">
      <c r="B156" t="s">
        <v>162</v>
      </c>
      <c r="C156" t="s">
        <v>161</v>
      </c>
      <c r="O156" s="56">
        <f t="shared" si="68"/>
        <v>0</v>
      </c>
      <c r="P156" s="56">
        <f t="shared" si="68"/>
        <v>0</v>
      </c>
      <c r="Q156" s="56">
        <f t="shared" si="68"/>
        <v>0</v>
      </c>
      <c r="R156" s="56">
        <f t="shared" si="68"/>
        <v>0</v>
      </c>
      <c r="S156" s="56">
        <f t="shared" si="68"/>
        <v>0</v>
      </c>
      <c r="T156" s="56">
        <f t="shared" si="68"/>
        <v>0</v>
      </c>
      <c r="U156" s="56">
        <f t="shared" si="68"/>
        <v>0</v>
      </c>
      <c r="V156" s="56">
        <f t="shared" si="68"/>
        <v>0</v>
      </c>
      <c r="W156" s="56">
        <f t="shared" si="68"/>
        <v>0</v>
      </c>
      <c r="X156" s="56">
        <f t="shared" si="68"/>
        <v>0</v>
      </c>
      <c r="Y156" s="56">
        <f t="shared" si="68"/>
        <v>0</v>
      </c>
      <c r="Z156" s="56">
        <f t="shared" si="68"/>
        <v>0</v>
      </c>
      <c r="AA156" s="56">
        <f t="shared" si="68"/>
        <v>0</v>
      </c>
      <c r="AB156" s="56">
        <f t="shared" si="68"/>
        <v>0</v>
      </c>
      <c r="AC156" s="56">
        <f t="shared" si="68"/>
        <v>0</v>
      </c>
      <c r="AD156" s="56">
        <f t="shared" si="68"/>
        <v>0</v>
      </c>
      <c r="AE156" s="56">
        <f t="shared" si="68"/>
        <v>0</v>
      </c>
      <c r="AF156" s="56">
        <f t="shared" si="68"/>
        <v>0</v>
      </c>
      <c r="AG156" s="56">
        <f t="shared" si="68"/>
        <v>0</v>
      </c>
      <c r="AH156" s="56">
        <f t="shared" si="68"/>
        <v>0</v>
      </c>
      <c r="AI156" s="56">
        <f t="shared" si="68"/>
        <v>0</v>
      </c>
      <c r="AJ156" s="56">
        <f t="shared" si="68"/>
        <v>0</v>
      </c>
      <c r="AK156" s="56">
        <f t="shared" si="68"/>
        <v>0</v>
      </c>
      <c r="AL156" s="56">
        <f t="shared" si="68"/>
        <v>0</v>
      </c>
      <c r="AM156" s="56">
        <f t="shared" si="68"/>
        <v>0</v>
      </c>
      <c r="AN156" s="56">
        <f t="shared" si="68"/>
        <v>0</v>
      </c>
      <c r="AO156" s="56">
        <f t="shared" si="68"/>
        <v>0</v>
      </c>
      <c r="AP156" s="56">
        <f t="shared" si="68"/>
        <v>0</v>
      </c>
      <c r="AQ156" s="56">
        <f t="shared" si="68"/>
        <v>0</v>
      </c>
      <c r="AR156" s="56">
        <f t="shared" si="68"/>
        <v>0</v>
      </c>
      <c r="AS156" s="56">
        <f t="shared" si="68"/>
        <v>0</v>
      </c>
      <c r="AT156" s="56">
        <f t="shared" si="68"/>
        <v>0</v>
      </c>
      <c r="AU156" s="56">
        <f t="shared" si="68"/>
        <v>0</v>
      </c>
      <c r="AV156" s="56">
        <f t="shared" si="68"/>
        <v>0</v>
      </c>
      <c r="AW156" s="56">
        <f t="shared" si="68"/>
        <v>0</v>
      </c>
      <c r="AX156" s="56">
        <f t="shared" si="68"/>
        <v>0</v>
      </c>
      <c r="AY156" s="56">
        <f t="shared" si="68"/>
        <v>0</v>
      </c>
      <c r="AZ156" s="56">
        <f t="shared" si="68"/>
        <v>0</v>
      </c>
      <c r="BA156" s="56">
        <f t="shared" si="68"/>
        <v>0</v>
      </c>
    </row>
    <row r="158" spans="2:53" x14ac:dyDescent="0.3">
      <c r="C158" t="s">
        <v>163</v>
      </c>
      <c r="O158" s="51">
        <f t="shared" ref="O158:BA158" si="69">SUM(O111:O114,O103:O108)</f>
        <v>428422.83849528845</v>
      </c>
      <c r="P158" s="51">
        <f t="shared" si="69"/>
        <v>420470.84716262989</v>
      </c>
      <c r="Q158" s="51">
        <f t="shared" si="69"/>
        <v>366043.77458314272</v>
      </c>
      <c r="R158" s="51">
        <f t="shared" si="69"/>
        <v>435176.68405682693</v>
      </c>
      <c r="S158" s="51">
        <f t="shared" si="69"/>
        <v>512441.59864896594</v>
      </c>
      <c r="T158" s="51">
        <f t="shared" si="69"/>
        <v>440552.68405682693</v>
      </c>
      <c r="U158" s="51">
        <f t="shared" si="69"/>
        <v>505088.43790298072</v>
      </c>
      <c r="V158" s="51">
        <f t="shared" si="69"/>
        <v>649081.29095665831</v>
      </c>
      <c r="W158" s="51">
        <f t="shared" si="69"/>
        <v>561286.83790298074</v>
      </c>
      <c r="X158" s="51">
        <f t="shared" si="69"/>
        <v>577420.43790298072</v>
      </c>
      <c r="Y158" s="51">
        <f t="shared" si="69"/>
        <v>704034.89095665817</v>
      </c>
      <c r="Z158" s="51">
        <f t="shared" si="69"/>
        <v>630540.60180669324</v>
      </c>
      <c r="AA158" s="51">
        <f t="shared" si="69"/>
        <v>630540.60180669324</v>
      </c>
      <c r="AB158" s="51">
        <f t="shared" si="69"/>
        <v>750766.51814363687</v>
      </c>
      <c r="AC158" s="51">
        <f t="shared" si="69"/>
        <v>633490.01617313456</v>
      </c>
      <c r="AD158" s="51">
        <f t="shared" si="69"/>
        <v>633490.01617313456</v>
      </c>
      <c r="AE158" s="51">
        <f t="shared" si="69"/>
        <v>754453.2861016884</v>
      </c>
      <c r="AF158" s="51">
        <f t="shared" si="69"/>
        <v>633490.01617313456</v>
      </c>
      <c r="AG158" s="51">
        <f t="shared" si="69"/>
        <v>640320.80304007023</v>
      </c>
      <c r="AH158" s="51">
        <f t="shared" si="69"/>
        <v>771738.64030600933</v>
      </c>
      <c r="AI158" s="51">
        <f t="shared" si="69"/>
        <v>700856.53294583049</v>
      </c>
      <c r="AJ158" s="51">
        <f t="shared" si="69"/>
        <v>707493.10497835488</v>
      </c>
      <c r="AK158" s="51">
        <f t="shared" si="69"/>
        <v>912088.7799450123</v>
      </c>
      <c r="AL158" s="51">
        <f t="shared" si="69"/>
        <v>785715.58095318277</v>
      </c>
      <c r="AM158" s="51">
        <f t="shared" si="69"/>
        <v>785715.58095318277</v>
      </c>
      <c r="AN158" s="51">
        <f t="shared" si="69"/>
        <v>944233.3262055685</v>
      </c>
      <c r="AO158" s="51">
        <f t="shared" si="69"/>
        <v>789204.76667242672</v>
      </c>
      <c r="AP158" s="51">
        <f t="shared" si="69"/>
        <v>790694.01476230484</v>
      </c>
      <c r="AQ158" s="51">
        <f t="shared" si="69"/>
        <v>949892.2573147096</v>
      </c>
      <c r="AR158" s="51">
        <f t="shared" si="69"/>
        <v>790694.01476230484</v>
      </c>
      <c r="AS158" s="51">
        <f t="shared" si="69"/>
        <v>824933.25476230495</v>
      </c>
      <c r="AT158" s="51">
        <f t="shared" si="69"/>
        <v>997083.33865129016</v>
      </c>
      <c r="AU158" s="51">
        <f t="shared" si="69"/>
        <v>839584.27598454256</v>
      </c>
      <c r="AV158" s="51">
        <f t="shared" si="69"/>
        <v>863564.52609888546</v>
      </c>
      <c r="AW158" s="51">
        <f t="shared" si="69"/>
        <v>1039882.3886512902</v>
      </c>
      <c r="AX158" s="51">
        <f t="shared" si="69"/>
        <v>893613.04244043725</v>
      </c>
      <c r="AY158" s="51">
        <f t="shared" si="69"/>
        <v>893613.04244043725</v>
      </c>
      <c r="AZ158" s="51">
        <f t="shared" si="69"/>
        <v>947066.62985499774</v>
      </c>
      <c r="BA158" s="51">
        <f t="shared" si="69"/>
        <v>789311.91906185157</v>
      </c>
    </row>
    <row r="159" spans="2:53" x14ac:dyDescent="0.3">
      <c r="O159" s="51"/>
      <c r="P159" s="51"/>
      <c r="Q159" s="51"/>
      <c r="R159" s="51"/>
      <c r="S159" s="51"/>
      <c r="T159" s="51"/>
      <c r="U159" s="51"/>
      <c r="V159" s="51"/>
      <c r="W159" s="51"/>
      <c r="X159" s="51"/>
      <c r="Y159" s="51"/>
      <c r="Z159" s="51"/>
      <c r="AA159" s="51"/>
      <c r="AB159" s="51"/>
      <c r="AC159" s="51"/>
      <c r="AD159" s="51"/>
      <c r="AE159" s="51"/>
      <c r="AF159" s="51"/>
      <c r="AG159" s="51"/>
      <c r="AH159" s="51"/>
      <c r="AI159" s="51"/>
      <c r="AJ159" s="51"/>
      <c r="AK159" s="51"/>
      <c r="AL159" s="51"/>
      <c r="AM159" s="51"/>
      <c r="AN159" s="51"/>
      <c r="AO159" s="51"/>
      <c r="AP159" s="51"/>
      <c r="AQ159" s="51"/>
      <c r="AR159" s="51"/>
      <c r="AS159" s="51"/>
      <c r="AT159" s="51"/>
      <c r="AU159" s="51"/>
      <c r="AV159" s="51"/>
      <c r="AW159" s="51"/>
      <c r="AX159" s="51"/>
      <c r="AY159" s="51"/>
      <c r="AZ159" s="51"/>
      <c r="BA159" s="51"/>
    </row>
    <row r="160" spans="2:53" x14ac:dyDescent="0.3">
      <c r="B160" s="61">
        <v>0.4</v>
      </c>
      <c r="C160" t="s">
        <v>164</v>
      </c>
      <c r="O160" s="51"/>
      <c r="P160" s="51"/>
      <c r="Q160" s="51"/>
      <c r="R160" s="51"/>
      <c r="S160" s="51"/>
      <c r="T160" s="51"/>
      <c r="U160" s="51"/>
      <c r="V160" s="51"/>
      <c r="W160" s="51"/>
      <c r="X160" s="51"/>
      <c r="Y160" s="51"/>
      <c r="Z160" s="51"/>
      <c r="AA160" s="51"/>
      <c r="AB160" s="51"/>
      <c r="AC160" s="51"/>
      <c r="AD160" s="51"/>
      <c r="AE160" s="51"/>
      <c r="AF160" s="51"/>
      <c r="AG160" s="51"/>
      <c r="AH160" s="51"/>
      <c r="AI160" s="51"/>
      <c r="AJ160" s="51"/>
      <c r="AK160" s="51"/>
      <c r="AL160" s="51"/>
      <c r="AM160" s="51"/>
      <c r="AN160" s="72">
        <f>-SUM($AK$131:$AM$131)*$B$160/SUM($AN$144:$AY$149)</f>
        <v>-5.4921712906504556E-3</v>
      </c>
      <c r="AO160" s="72">
        <f t="shared" ref="AO160:BA160" si="70">-SUM($AK$131:$AM$131)*$B$160/SUM($AN$144:$AY$149)</f>
        <v>-5.4921712906504556E-3</v>
      </c>
      <c r="AP160" s="72">
        <f t="shared" si="70"/>
        <v>-5.4921712906504556E-3</v>
      </c>
      <c r="AQ160" s="72">
        <f t="shared" si="70"/>
        <v>-5.4921712906504556E-3</v>
      </c>
      <c r="AR160" s="72">
        <f t="shared" si="70"/>
        <v>-5.4921712906504556E-3</v>
      </c>
      <c r="AS160" s="72">
        <f t="shared" si="70"/>
        <v>-5.4921712906504556E-3</v>
      </c>
      <c r="AT160" s="72">
        <f t="shared" si="70"/>
        <v>-5.4921712906504556E-3</v>
      </c>
      <c r="AU160" s="72">
        <f t="shared" si="70"/>
        <v>-5.4921712906504556E-3</v>
      </c>
      <c r="AV160" s="72">
        <f t="shared" si="70"/>
        <v>-5.4921712906504556E-3</v>
      </c>
      <c r="AW160" s="72">
        <f t="shared" si="70"/>
        <v>-5.4921712906504556E-3</v>
      </c>
      <c r="AX160" s="72">
        <f t="shared" si="70"/>
        <v>-5.4921712906504556E-3</v>
      </c>
      <c r="AY160" s="72">
        <f t="shared" si="70"/>
        <v>-5.4921712906504556E-3</v>
      </c>
      <c r="AZ160" s="72">
        <f t="shared" si="70"/>
        <v>-5.4921712906504556E-3</v>
      </c>
      <c r="BA160" s="72">
        <f t="shared" si="70"/>
        <v>-5.4921712906504556E-3</v>
      </c>
    </row>
    <row r="161" spans="2:53" x14ac:dyDescent="0.3">
      <c r="O161" s="51"/>
      <c r="P161" s="51"/>
      <c r="Q161" s="51"/>
      <c r="R161" s="51"/>
      <c r="S161" s="51"/>
      <c r="T161" s="51"/>
      <c r="U161" s="51"/>
      <c r="V161" s="51"/>
      <c r="W161" s="51"/>
      <c r="X161" s="51"/>
      <c r="Y161" s="51"/>
      <c r="Z161" s="51"/>
      <c r="AA161" s="51"/>
      <c r="AB161" s="51"/>
      <c r="AC161" s="51"/>
      <c r="AD161" s="51"/>
      <c r="AE161" s="51"/>
      <c r="AF161" s="51"/>
      <c r="AG161" s="51"/>
      <c r="AH161" s="51"/>
      <c r="AI161" s="51"/>
      <c r="AJ161" s="51"/>
      <c r="AK161" s="51"/>
      <c r="AL161" s="51"/>
      <c r="AM161" s="51"/>
      <c r="AN161" s="51"/>
      <c r="AO161" s="51"/>
      <c r="AP161" s="51"/>
      <c r="AQ161" s="51"/>
      <c r="AR161" s="51"/>
      <c r="AS161" s="51"/>
      <c r="AT161" s="51"/>
      <c r="AU161" s="51"/>
      <c r="AV161" s="51"/>
      <c r="AW161" s="51"/>
      <c r="AX161" s="51"/>
      <c r="AY161" s="51"/>
      <c r="AZ161" s="51"/>
      <c r="BA161" s="51"/>
    </row>
    <row r="163" spans="2:53" x14ac:dyDescent="0.3">
      <c r="B163" t="s">
        <v>165</v>
      </c>
      <c r="C163" t="s">
        <v>156</v>
      </c>
      <c r="O163" s="56">
        <f t="shared" ref="O163:AM165" si="71">O23+O34+O151</f>
        <v>0.30000000000000004</v>
      </c>
      <c r="P163" s="56">
        <f t="shared" si="71"/>
        <v>0.30000000000000004</v>
      </c>
      <c r="Q163" s="56">
        <f t="shared" si="71"/>
        <v>0.30000000000000004</v>
      </c>
      <c r="R163" s="56">
        <f t="shared" si="71"/>
        <v>0.30000000000000004</v>
      </c>
      <c r="S163" s="56">
        <f t="shared" si="71"/>
        <v>0.30000000000000004</v>
      </c>
      <c r="T163" s="56">
        <f t="shared" si="71"/>
        <v>0.74419508374352383</v>
      </c>
      <c r="U163" s="56">
        <f t="shared" si="71"/>
        <v>0.53152201957415701</v>
      </c>
      <c r="V163" s="56">
        <f t="shared" si="71"/>
        <v>0.48583115845251479</v>
      </c>
      <c r="W163" s="56">
        <f t="shared" si="71"/>
        <v>0.45672799610836934</v>
      </c>
      <c r="X163" s="56">
        <f t="shared" si="71"/>
        <v>0.45574934196019845</v>
      </c>
      <c r="Y163" s="56">
        <f t="shared" si="71"/>
        <v>0.43371982734219533</v>
      </c>
      <c r="Z163" s="56">
        <f t="shared" si="71"/>
        <v>0.44805010496960956</v>
      </c>
      <c r="AA163" s="56">
        <f t="shared" si="71"/>
        <v>0.44805010496960956</v>
      </c>
      <c r="AB163" s="56">
        <f t="shared" si="71"/>
        <v>0.43301879411940575</v>
      </c>
      <c r="AC163" s="56">
        <f t="shared" si="71"/>
        <v>0.4403000733277096</v>
      </c>
      <c r="AD163" s="56">
        <f t="shared" si="71"/>
        <v>0.44874262358823513</v>
      </c>
      <c r="AE163" s="56">
        <f t="shared" si="71"/>
        <v>0.43367200575861242</v>
      </c>
      <c r="AF163" s="56">
        <f t="shared" si="71"/>
        <v>0.44874262358823513</v>
      </c>
      <c r="AG163" s="56">
        <f t="shared" si="71"/>
        <v>0.43800969097870335</v>
      </c>
      <c r="AH163" s="56">
        <f t="shared" si="71"/>
        <v>0.43402833339486546</v>
      </c>
      <c r="AI163" s="56">
        <f t="shared" si="71"/>
        <v>0.42260046391968764</v>
      </c>
      <c r="AJ163" s="56">
        <f t="shared" si="71"/>
        <v>0.42986982583522698</v>
      </c>
      <c r="AK163" s="56">
        <f t="shared" si="71"/>
        <v>0.40963290343988756</v>
      </c>
      <c r="AL163" s="56">
        <f t="shared" si="71"/>
        <v>0.42532658161885839</v>
      </c>
      <c r="AM163" s="56">
        <f t="shared" si="71"/>
        <v>0.42532658161885839</v>
      </c>
      <c r="AN163" s="56">
        <f t="shared" ref="AN163:BA165" si="72">AN23+AN34+AN151+AN$160</f>
        <v>0.38481063597101223</v>
      </c>
      <c r="AO163" s="56">
        <f t="shared" si="72"/>
        <v>0.3898831193904212</v>
      </c>
      <c r="AP163" s="56">
        <f t="shared" si="72"/>
        <v>0.39669955978459803</v>
      </c>
      <c r="AQ163" s="56">
        <f t="shared" si="72"/>
        <v>0.3848507917253014</v>
      </c>
      <c r="AR163" s="56">
        <f t="shared" si="72"/>
        <v>0.39669955978459798</v>
      </c>
      <c r="AS163" s="56">
        <f t="shared" si="72"/>
        <v>0.38640500594598942</v>
      </c>
      <c r="AT163" s="56">
        <f t="shared" si="72"/>
        <v>0.38723644515534267</v>
      </c>
      <c r="AU163" s="56">
        <f t="shared" si="72"/>
        <v>0.38561696711890209</v>
      </c>
      <c r="AV163" s="56">
        <f t="shared" si="72"/>
        <v>0.38844174602895648</v>
      </c>
      <c r="AW163" s="56">
        <f t="shared" si="72"/>
        <v>0.37852254893244891</v>
      </c>
      <c r="AX163" s="56">
        <f t="shared" si="72"/>
        <v>0.39251056847275556</v>
      </c>
      <c r="AY163" s="56">
        <f t="shared" si="72"/>
        <v>0.39251056847275556</v>
      </c>
      <c r="AZ163" s="56">
        <f t="shared" si="72"/>
        <v>0.34827084138524989</v>
      </c>
      <c r="BA163" s="56">
        <f t="shared" si="72"/>
        <v>0.3523433426157771</v>
      </c>
    </row>
    <row r="164" spans="2:53" x14ac:dyDescent="0.3">
      <c r="B164" t="s">
        <v>165</v>
      </c>
      <c r="C164" t="s">
        <v>157</v>
      </c>
      <c r="O164" s="56">
        <f t="shared" si="71"/>
        <v>0.12</v>
      </c>
      <c r="P164" s="56">
        <f t="shared" si="71"/>
        <v>0.12</v>
      </c>
      <c r="Q164" s="56">
        <f t="shared" si="71"/>
        <v>0.12</v>
      </c>
      <c r="R164" s="56">
        <f t="shared" si="71"/>
        <v>0.12</v>
      </c>
      <c r="S164" s="56">
        <f t="shared" si="71"/>
        <v>0.12</v>
      </c>
      <c r="T164" s="56">
        <f t="shared" si="71"/>
        <v>0.5641950837435239</v>
      </c>
      <c r="U164" s="56">
        <f t="shared" si="71"/>
        <v>0.35152201957415685</v>
      </c>
      <c r="V164" s="56">
        <f t="shared" si="71"/>
        <v>0.30583115845251474</v>
      </c>
      <c r="W164" s="56">
        <f t="shared" si="71"/>
        <v>0.27672799610836929</v>
      </c>
      <c r="X164" s="56">
        <f t="shared" si="71"/>
        <v>0.27574934196019835</v>
      </c>
      <c r="Y164" s="56">
        <f t="shared" si="71"/>
        <v>0.25371982734219528</v>
      </c>
      <c r="Z164" s="56">
        <f t="shared" si="71"/>
        <v>0.26805010496960946</v>
      </c>
      <c r="AA164" s="56">
        <f t="shared" si="71"/>
        <v>0.26805010496960952</v>
      </c>
      <c r="AB164" s="56">
        <f t="shared" si="71"/>
        <v>0.2530187941194057</v>
      </c>
      <c r="AC164" s="56">
        <f t="shared" si="71"/>
        <v>0.2603000733277096</v>
      </c>
      <c r="AD164" s="56">
        <f t="shared" si="71"/>
        <v>0.26874262358823509</v>
      </c>
      <c r="AE164" s="56">
        <f t="shared" si="71"/>
        <v>0.25367200575861237</v>
      </c>
      <c r="AF164" s="56">
        <f t="shared" si="71"/>
        <v>0.26874262358823509</v>
      </c>
      <c r="AG164" s="56">
        <f t="shared" si="71"/>
        <v>0.2580096909787033</v>
      </c>
      <c r="AH164" s="56">
        <f t="shared" si="71"/>
        <v>0.25402833339486536</v>
      </c>
      <c r="AI164" s="56">
        <f t="shared" si="71"/>
        <v>0.24260046391968756</v>
      </c>
      <c r="AJ164" s="56">
        <f t="shared" si="71"/>
        <v>0.24986982583522691</v>
      </c>
      <c r="AK164" s="56">
        <f t="shared" si="71"/>
        <v>0.22963290343988746</v>
      </c>
      <c r="AL164" s="56">
        <f t="shared" si="71"/>
        <v>0.24532658161885834</v>
      </c>
      <c r="AM164" s="56">
        <f t="shared" si="71"/>
        <v>0.24532658161885831</v>
      </c>
      <c r="AN164" s="56">
        <f t="shared" si="72"/>
        <v>0.21861063597101221</v>
      </c>
      <c r="AO164" s="56">
        <f t="shared" si="72"/>
        <v>0.22368311939042115</v>
      </c>
      <c r="AP164" s="56">
        <f t="shared" si="72"/>
        <v>0.23049955978459796</v>
      </c>
      <c r="AQ164" s="56">
        <f t="shared" si="72"/>
        <v>0.21865079172530136</v>
      </c>
      <c r="AR164" s="56">
        <f t="shared" si="72"/>
        <v>0.23049955978459796</v>
      </c>
      <c r="AS164" s="56">
        <f t="shared" si="72"/>
        <v>0.22020500594598932</v>
      </c>
      <c r="AT164" s="56">
        <f t="shared" si="72"/>
        <v>0.22103644515534263</v>
      </c>
      <c r="AU164" s="56">
        <f t="shared" si="72"/>
        <v>0.21941696711890205</v>
      </c>
      <c r="AV164" s="56">
        <f t="shared" si="72"/>
        <v>0.22224174602895644</v>
      </c>
      <c r="AW164" s="56">
        <f t="shared" si="72"/>
        <v>0.2123225489324489</v>
      </c>
      <c r="AX164" s="56">
        <f t="shared" si="72"/>
        <v>0.22631056847275552</v>
      </c>
      <c r="AY164" s="56">
        <f t="shared" si="72"/>
        <v>0.22631056847275552</v>
      </c>
      <c r="AZ164" s="56">
        <f t="shared" si="72"/>
        <v>0.19449084138524983</v>
      </c>
      <c r="BA164" s="56">
        <f t="shared" si="72"/>
        <v>0.19856334261577702</v>
      </c>
    </row>
    <row r="165" spans="2:53" x14ac:dyDescent="0.3">
      <c r="B165" t="s">
        <v>165</v>
      </c>
      <c r="C165" t="s">
        <v>158</v>
      </c>
      <c r="O165" s="56">
        <f t="shared" si="71"/>
        <v>0.14000000000000001</v>
      </c>
      <c r="P165" s="56">
        <f t="shared" si="71"/>
        <v>0.14000000000000001</v>
      </c>
      <c r="Q165" s="56">
        <f t="shared" si="71"/>
        <v>0.14000000000000001</v>
      </c>
      <c r="R165" s="56">
        <f t="shared" si="71"/>
        <v>0.14000000000000001</v>
      </c>
      <c r="S165" s="56">
        <f t="shared" si="71"/>
        <v>1.2349606808738591</v>
      </c>
      <c r="T165" s="56">
        <f t="shared" si="71"/>
        <v>0.5841950837435238</v>
      </c>
      <c r="U165" s="56">
        <f t="shared" si="71"/>
        <v>0.37152201957415687</v>
      </c>
      <c r="V165" s="56">
        <f t="shared" si="71"/>
        <v>0.32583115845251476</v>
      </c>
      <c r="W165" s="56">
        <f t="shared" si="71"/>
        <v>0.29672799610836931</v>
      </c>
      <c r="X165" s="56">
        <f t="shared" si="71"/>
        <v>0.29574934196019842</v>
      </c>
      <c r="Y165" s="56">
        <f t="shared" si="71"/>
        <v>0.2737198273421953</v>
      </c>
      <c r="Z165" s="56">
        <f t="shared" si="71"/>
        <v>0.28805010496960959</v>
      </c>
      <c r="AA165" s="56">
        <f t="shared" si="71"/>
        <v>0.28805010496960959</v>
      </c>
      <c r="AB165" s="56">
        <f t="shared" si="71"/>
        <v>0.27301879411940572</v>
      </c>
      <c r="AC165" s="56">
        <f t="shared" si="71"/>
        <v>0.28030007332770956</v>
      </c>
      <c r="AD165" s="56">
        <f t="shared" si="71"/>
        <v>0.2887426235882351</v>
      </c>
      <c r="AE165" s="56">
        <f t="shared" si="71"/>
        <v>0.27367200575861239</v>
      </c>
      <c r="AF165" s="56">
        <f t="shared" si="71"/>
        <v>0.2887426235882351</v>
      </c>
      <c r="AG165" s="56">
        <f t="shared" si="71"/>
        <v>0.27800969097870332</v>
      </c>
      <c r="AH165" s="56">
        <f t="shared" si="71"/>
        <v>0.27402833339486538</v>
      </c>
      <c r="AI165" s="56">
        <f t="shared" si="71"/>
        <v>0.26260046391968761</v>
      </c>
      <c r="AJ165" s="56">
        <f t="shared" si="71"/>
        <v>0.26986982583522695</v>
      </c>
      <c r="AK165" s="56">
        <f t="shared" si="71"/>
        <v>0.24963290343988748</v>
      </c>
      <c r="AL165" s="56">
        <f t="shared" si="71"/>
        <v>0.26532658161885836</v>
      </c>
      <c r="AM165" s="56">
        <f t="shared" si="71"/>
        <v>0.26532658161885836</v>
      </c>
      <c r="AN165" s="56">
        <f t="shared" si="72"/>
        <v>0.23981063597101221</v>
      </c>
      <c r="AO165" s="56">
        <f t="shared" si="72"/>
        <v>0.24488311939042115</v>
      </c>
      <c r="AP165" s="56">
        <f t="shared" si="72"/>
        <v>0.25169955978459796</v>
      </c>
      <c r="AQ165" s="56">
        <f t="shared" si="72"/>
        <v>0.23985079172530133</v>
      </c>
      <c r="AR165" s="56">
        <f t="shared" si="72"/>
        <v>0.25169955978459796</v>
      </c>
      <c r="AS165" s="56">
        <f t="shared" si="72"/>
        <v>0.24140500594598932</v>
      </c>
      <c r="AT165" s="56">
        <f t="shared" si="72"/>
        <v>0.24223644515534262</v>
      </c>
      <c r="AU165" s="56">
        <f t="shared" si="72"/>
        <v>0.24061696711890204</v>
      </c>
      <c r="AV165" s="56">
        <f t="shared" si="72"/>
        <v>0.24344174602895643</v>
      </c>
      <c r="AW165" s="56">
        <f t="shared" si="72"/>
        <v>0.23352254893244886</v>
      </c>
      <c r="AX165" s="56">
        <f t="shared" si="72"/>
        <v>0.24751056847275552</v>
      </c>
      <c r="AY165" s="56">
        <f t="shared" si="72"/>
        <v>0.24751056847275552</v>
      </c>
      <c r="AZ165" s="56">
        <f t="shared" si="72"/>
        <v>0.21677084138524982</v>
      </c>
      <c r="BA165" s="56">
        <f t="shared" si="72"/>
        <v>0.22084334261577701</v>
      </c>
    </row>
    <row r="166" spans="2:53" x14ac:dyDescent="0.3">
      <c r="B166" t="s">
        <v>165</v>
      </c>
      <c r="C166" t="s">
        <v>159</v>
      </c>
      <c r="O166" s="56">
        <f t="shared" ref="O166:BA168" si="73">O28+O39+O154</f>
        <v>0.25</v>
      </c>
      <c r="P166" s="56">
        <f t="shared" si="73"/>
        <v>0.25</v>
      </c>
      <c r="Q166" s="56">
        <f t="shared" si="73"/>
        <v>0.25</v>
      </c>
      <c r="R166" s="56">
        <f t="shared" si="73"/>
        <v>0.25</v>
      </c>
      <c r="S166" s="56">
        <f t="shared" si="73"/>
        <v>1.3449606808738588</v>
      </c>
      <c r="T166" s="56">
        <f t="shared" si="73"/>
        <v>0.69419508374352379</v>
      </c>
      <c r="U166" s="56">
        <f t="shared" si="73"/>
        <v>0.48152201957415686</v>
      </c>
      <c r="V166" s="56">
        <f t="shared" si="73"/>
        <v>0.43583115845251474</v>
      </c>
      <c r="W166" s="56">
        <f t="shared" si="73"/>
        <v>0.40672799610836929</v>
      </c>
      <c r="X166" s="56">
        <f t="shared" si="73"/>
        <v>0.40574934196019835</v>
      </c>
      <c r="Y166" s="56">
        <f t="shared" si="73"/>
        <v>0.38371982734219529</v>
      </c>
      <c r="Z166" s="56">
        <f t="shared" si="73"/>
        <v>0.39805010496960952</v>
      </c>
      <c r="AA166" s="56">
        <f t="shared" si="73"/>
        <v>0.39805010496960952</v>
      </c>
      <c r="AB166" s="56">
        <f t="shared" si="73"/>
        <v>0.3830187941194057</v>
      </c>
      <c r="AC166" s="56">
        <f t="shared" si="73"/>
        <v>0.39030007332770961</v>
      </c>
      <c r="AD166" s="56">
        <f t="shared" si="73"/>
        <v>0.39874262358823509</v>
      </c>
      <c r="AE166" s="56">
        <f t="shared" si="73"/>
        <v>0.38367200575861238</v>
      </c>
      <c r="AF166" s="56">
        <f t="shared" si="73"/>
        <v>0.39874262358823509</v>
      </c>
      <c r="AG166" s="56">
        <f t="shared" si="73"/>
        <v>0.3880096909787033</v>
      </c>
      <c r="AH166" s="56">
        <f t="shared" si="73"/>
        <v>0.38402833339486536</v>
      </c>
      <c r="AI166" s="56">
        <f t="shared" si="73"/>
        <v>0.3726004639196876</v>
      </c>
      <c r="AJ166" s="56">
        <f t="shared" si="73"/>
        <v>0.37986982583522688</v>
      </c>
      <c r="AK166" s="56">
        <f t="shared" si="73"/>
        <v>0.35963290343988752</v>
      </c>
      <c r="AL166" s="56">
        <f t="shared" si="73"/>
        <v>0.37532658161885835</v>
      </c>
      <c r="AM166" s="56">
        <f t="shared" si="73"/>
        <v>0.37532658161885835</v>
      </c>
      <c r="AN166" s="56">
        <f t="shared" si="73"/>
        <v>0.34030280726166268</v>
      </c>
      <c r="AO166" s="56">
        <f t="shared" si="73"/>
        <v>0.34537529068107164</v>
      </c>
      <c r="AP166" s="56">
        <f t="shared" si="73"/>
        <v>0.35219173107524843</v>
      </c>
      <c r="AQ166" s="56">
        <f t="shared" si="73"/>
        <v>0.34034296301595179</v>
      </c>
      <c r="AR166" s="56">
        <f t="shared" si="73"/>
        <v>0.35219173107524848</v>
      </c>
      <c r="AS166" s="56">
        <f t="shared" si="73"/>
        <v>0.34189717723663982</v>
      </c>
      <c r="AT166" s="56">
        <f t="shared" si="73"/>
        <v>0.34272861644599306</v>
      </c>
      <c r="AU166" s="56">
        <f t="shared" si="73"/>
        <v>0.34110913840955254</v>
      </c>
      <c r="AV166" s="56">
        <f t="shared" si="73"/>
        <v>0.34393391731960687</v>
      </c>
      <c r="AW166" s="56">
        <f t="shared" si="73"/>
        <v>0.3340147202230993</v>
      </c>
      <c r="AX166" s="56">
        <f t="shared" si="73"/>
        <v>0.34800273976340595</v>
      </c>
      <c r="AY166" s="56">
        <f t="shared" si="73"/>
        <v>0.34800273976340601</v>
      </c>
      <c r="AZ166" s="56">
        <f t="shared" si="73"/>
        <v>0.30376301267590033</v>
      </c>
      <c r="BA166" s="56">
        <f t="shared" si="73"/>
        <v>0.30783551390642749</v>
      </c>
    </row>
    <row r="167" spans="2:53" x14ac:dyDescent="0.3">
      <c r="B167" t="s">
        <v>165</v>
      </c>
      <c r="C167" t="s">
        <v>160</v>
      </c>
      <c r="O167" s="56">
        <f t="shared" si="73"/>
        <v>0.112</v>
      </c>
      <c r="P167" s="56">
        <f t="shared" si="73"/>
        <v>0.112</v>
      </c>
      <c r="Q167" s="56">
        <f t="shared" si="73"/>
        <v>0.112</v>
      </c>
      <c r="R167" s="56">
        <f t="shared" si="73"/>
        <v>0.112</v>
      </c>
      <c r="S167" s="56">
        <f t="shared" si="73"/>
        <v>1.2069606808738589</v>
      </c>
      <c r="T167" s="56">
        <f t="shared" si="73"/>
        <v>0.55619508374352389</v>
      </c>
      <c r="U167" s="56">
        <f t="shared" si="73"/>
        <v>0.112</v>
      </c>
      <c r="V167" s="56">
        <f t="shared" si="73"/>
        <v>0.112</v>
      </c>
      <c r="W167" s="56">
        <f t="shared" si="73"/>
        <v>0.112</v>
      </c>
      <c r="X167" s="56">
        <f t="shared" si="73"/>
        <v>0.112</v>
      </c>
      <c r="Y167" s="56">
        <f t="shared" si="73"/>
        <v>0.24571982734219527</v>
      </c>
      <c r="Z167" s="56">
        <f t="shared" si="73"/>
        <v>0.26005010496960951</v>
      </c>
      <c r="AA167" s="56">
        <f t="shared" si="73"/>
        <v>0.26005010496960951</v>
      </c>
      <c r="AB167" s="56">
        <f t="shared" si="73"/>
        <v>0.112</v>
      </c>
      <c r="AC167" s="56">
        <f t="shared" si="73"/>
        <v>0.112</v>
      </c>
      <c r="AD167" s="56">
        <f t="shared" si="73"/>
        <v>0.112</v>
      </c>
      <c r="AE167" s="56">
        <f t="shared" si="73"/>
        <v>0.112</v>
      </c>
      <c r="AF167" s="56">
        <f t="shared" si="73"/>
        <v>0.112</v>
      </c>
      <c r="AG167" s="56">
        <f t="shared" si="73"/>
        <v>0.112</v>
      </c>
      <c r="AH167" s="56">
        <f t="shared" si="73"/>
        <v>0.112</v>
      </c>
      <c r="AI167" s="56">
        <f t="shared" si="73"/>
        <v>0.112</v>
      </c>
      <c r="AJ167" s="56">
        <f t="shared" si="73"/>
        <v>0.112</v>
      </c>
      <c r="AK167" s="56">
        <f t="shared" si="73"/>
        <v>0.112</v>
      </c>
      <c r="AL167" s="56">
        <f t="shared" si="73"/>
        <v>0.112</v>
      </c>
      <c r="AM167" s="56">
        <f t="shared" si="73"/>
        <v>0.112</v>
      </c>
      <c r="AN167" s="56">
        <f t="shared" si="73"/>
        <v>0.10280000000000002</v>
      </c>
      <c r="AO167" s="56">
        <f t="shared" si="73"/>
        <v>0.10280000000000002</v>
      </c>
      <c r="AP167" s="56">
        <f t="shared" si="73"/>
        <v>0.10280000000000002</v>
      </c>
      <c r="AQ167" s="56">
        <f t="shared" si="73"/>
        <v>0.10280000000000002</v>
      </c>
      <c r="AR167" s="56">
        <f t="shared" si="73"/>
        <v>0.10280000000000002</v>
      </c>
      <c r="AS167" s="56">
        <f t="shared" si="73"/>
        <v>0.10280000000000002</v>
      </c>
      <c r="AT167" s="56">
        <f t="shared" si="73"/>
        <v>0.10280000000000002</v>
      </c>
      <c r="AU167" s="56">
        <f t="shared" si="73"/>
        <v>0.10280000000000002</v>
      </c>
      <c r="AV167" s="56">
        <f t="shared" si="73"/>
        <v>0.10280000000000002</v>
      </c>
      <c r="AW167" s="56">
        <f t="shared" si="73"/>
        <v>0.10280000000000002</v>
      </c>
      <c r="AX167" s="56">
        <f t="shared" si="73"/>
        <v>0.10280000000000002</v>
      </c>
      <c r="AY167" s="56">
        <f t="shared" si="73"/>
        <v>0.10280000000000002</v>
      </c>
      <c r="AZ167" s="56">
        <f t="shared" si="73"/>
        <v>9.4520000000000007E-2</v>
      </c>
      <c r="BA167" s="56">
        <f t="shared" si="73"/>
        <v>9.4520000000000007E-2</v>
      </c>
    </row>
    <row r="168" spans="2:53" x14ac:dyDescent="0.3">
      <c r="B168" t="s">
        <v>165</v>
      </c>
      <c r="C168" t="s">
        <v>161</v>
      </c>
      <c r="O168" s="56">
        <f t="shared" si="73"/>
        <v>0.1</v>
      </c>
      <c r="P168" s="56">
        <f t="shared" si="73"/>
        <v>0.1</v>
      </c>
      <c r="Q168" s="56">
        <f t="shared" si="73"/>
        <v>0.1</v>
      </c>
      <c r="R168" s="56">
        <f t="shared" si="73"/>
        <v>0.1</v>
      </c>
      <c r="S168" s="56">
        <f t="shared" si="73"/>
        <v>0.1</v>
      </c>
      <c r="T168" s="56">
        <f t="shared" si="73"/>
        <v>0.1</v>
      </c>
      <c r="U168" s="56">
        <f t="shared" si="73"/>
        <v>0.1</v>
      </c>
      <c r="V168" s="56">
        <f t="shared" si="73"/>
        <v>0.1</v>
      </c>
      <c r="W168" s="56">
        <f t="shared" si="73"/>
        <v>0.1</v>
      </c>
      <c r="X168" s="56">
        <f t="shared" si="73"/>
        <v>0.1</v>
      </c>
      <c r="Y168" s="56">
        <f t="shared" si="73"/>
        <v>0.1</v>
      </c>
      <c r="Z168" s="56">
        <f t="shared" si="73"/>
        <v>0.1</v>
      </c>
      <c r="AA168" s="56">
        <f t="shared" si="73"/>
        <v>0.1</v>
      </c>
      <c r="AB168" s="56">
        <f t="shared" si="73"/>
        <v>0.1</v>
      </c>
      <c r="AC168" s="56">
        <f t="shared" si="73"/>
        <v>0.1</v>
      </c>
      <c r="AD168" s="56">
        <f t="shared" si="73"/>
        <v>0.1</v>
      </c>
      <c r="AE168" s="56">
        <f t="shared" si="73"/>
        <v>0.1</v>
      </c>
      <c r="AF168" s="56">
        <f t="shared" si="73"/>
        <v>0.1</v>
      </c>
      <c r="AG168" s="56">
        <f t="shared" si="73"/>
        <v>0.1</v>
      </c>
      <c r="AH168" s="56">
        <f t="shared" si="73"/>
        <v>0.1</v>
      </c>
      <c r="AI168" s="56">
        <f t="shared" si="73"/>
        <v>0.1</v>
      </c>
      <c r="AJ168" s="56">
        <f t="shared" si="73"/>
        <v>0.1</v>
      </c>
      <c r="AK168" s="56">
        <f t="shared" si="73"/>
        <v>0.1</v>
      </c>
      <c r="AL168" s="56">
        <f t="shared" si="73"/>
        <v>0.1</v>
      </c>
      <c r="AM168" s="56">
        <f t="shared" si="73"/>
        <v>0.1</v>
      </c>
      <c r="AN168" s="56">
        <f t="shared" si="73"/>
        <v>9.2000000000000012E-2</v>
      </c>
      <c r="AO168" s="56">
        <f t="shared" si="73"/>
        <v>9.2000000000000012E-2</v>
      </c>
      <c r="AP168" s="56">
        <f t="shared" si="73"/>
        <v>9.2000000000000012E-2</v>
      </c>
      <c r="AQ168" s="56">
        <f t="shared" si="73"/>
        <v>9.2000000000000012E-2</v>
      </c>
      <c r="AR168" s="56">
        <f t="shared" si="73"/>
        <v>9.2000000000000012E-2</v>
      </c>
      <c r="AS168" s="56">
        <f t="shared" si="73"/>
        <v>9.2000000000000012E-2</v>
      </c>
      <c r="AT168" s="56">
        <f t="shared" si="73"/>
        <v>9.2000000000000012E-2</v>
      </c>
      <c r="AU168" s="56">
        <f t="shared" si="73"/>
        <v>9.2000000000000012E-2</v>
      </c>
      <c r="AV168" s="56">
        <f t="shared" si="73"/>
        <v>9.2000000000000012E-2</v>
      </c>
      <c r="AW168" s="56">
        <f t="shared" si="73"/>
        <v>9.2000000000000012E-2</v>
      </c>
      <c r="AX168" s="56">
        <f t="shared" si="73"/>
        <v>9.2000000000000012E-2</v>
      </c>
      <c r="AY168" s="56">
        <f t="shared" si="73"/>
        <v>9.2000000000000012E-2</v>
      </c>
      <c r="AZ168" s="56">
        <f t="shared" si="73"/>
        <v>8.4800000000000014E-2</v>
      </c>
      <c r="BA168" s="56">
        <f t="shared" si="73"/>
        <v>8.4800000000000014E-2</v>
      </c>
    </row>
    <row r="170" spans="2:53" x14ac:dyDescent="0.3">
      <c r="B170" t="s">
        <v>166</v>
      </c>
      <c r="C170" t="s">
        <v>156</v>
      </c>
      <c r="O170" s="65">
        <f t="shared" ref="O170:BA172" si="74">IFERROR(N144/O6,0)</f>
        <v>0</v>
      </c>
      <c r="P170" s="65">
        <f t="shared" si="74"/>
        <v>0</v>
      </c>
      <c r="Q170" s="65">
        <f t="shared" si="74"/>
        <v>0</v>
      </c>
      <c r="R170" s="65">
        <f t="shared" si="74"/>
        <v>0</v>
      </c>
      <c r="S170" s="65">
        <f t="shared" si="74"/>
        <v>0</v>
      </c>
      <c r="T170" s="65">
        <f t="shared" si="74"/>
        <v>0</v>
      </c>
      <c r="U170" s="65">
        <f t="shared" si="74"/>
        <v>7.6208367124990573E-2</v>
      </c>
      <c r="V170" s="65">
        <f t="shared" si="74"/>
        <v>0.54446315998659867</v>
      </c>
      <c r="W170" s="65">
        <f t="shared" si="74"/>
        <v>1.1034834532467506</v>
      </c>
      <c r="X170" s="65">
        <f t="shared" si="74"/>
        <v>1.3889696931087119</v>
      </c>
      <c r="Y170" s="65">
        <f t="shared" si="74"/>
        <v>0.92462894162444897</v>
      </c>
      <c r="Z170" s="65">
        <f t="shared" si="74"/>
        <v>1.109586266815519</v>
      </c>
      <c r="AA170" s="65">
        <f t="shared" si="74"/>
        <v>0.91178017113951104</v>
      </c>
      <c r="AB170" s="65">
        <f t="shared" si="74"/>
        <v>0.55961747201300172</v>
      </c>
      <c r="AC170" s="65">
        <f t="shared" si="74"/>
        <v>1.3489963840227708</v>
      </c>
      <c r="AD170" s="65">
        <f t="shared" si="74"/>
        <v>1.3022249382643198</v>
      </c>
      <c r="AE170" s="65">
        <f t="shared" si="74"/>
        <v>0.97033667948523961</v>
      </c>
      <c r="AF170" s="65">
        <f t="shared" si="74"/>
        <v>1.5204024769143847</v>
      </c>
      <c r="AG170" s="65">
        <f t="shared" si="74"/>
        <v>1.0716643448826544</v>
      </c>
      <c r="AH170" s="65">
        <f t="shared" si="74"/>
        <v>0.78810556037402968</v>
      </c>
      <c r="AI170" s="65">
        <f t="shared" si="74"/>
        <v>0.97617125586037745</v>
      </c>
      <c r="AJ170" s="65">
        <f t="shared" si="74"/>
        <v>1.1808589881192866</v>
      </c>
      <c r="AK170" s="65">
        <f t="shared" si="74"/>
        <v>0.6935528349054032</v>
      </c>
      <c r="AL170" s="65">
        <f t="shared" si="74"/>
        <v>1.553559497204148</v>
      </c>
      <c r="AM170" s="65">
        <f t="shared" si="74"/>
        <v>1.1612094380899338</v>
      </c>
      <c r="AN170" s="65">
        <f t="shared" si="74"/>
        <v>0.95940578760421025</v>
      </c>
      <c r="AO170" s="65">
        <f t="shared" si="74"/>
        <v>1.1979487478875164</v>
      </c>
      <c r="AP170" s="65">
        <f t="shared" si="74"/>
        <v>1.127526900224439</v>
      </c>
      <c r="AQ170" s="65">
        <f t="shared" si="74"/>
        <v>0.89146380053840979</v>
      </c>
      <c r="AR170" s="65">
        <f t="shared" si="74"/>
        <v>1.3213009834202711</v>
      </c>
      <c r="AS170" s="65">
        <f t="shared" si="74"/>
        <v>0.99418682885567033</v>
      </c>
      <c r="AT170" s="65">
        <f t="shared" si="74"/>
        <v>0.94596935071566557</v>
      </c>
      <c r="AU170" s="65">
        <f t="shared" si="74"/>
        <v>1.1097549373949616</v>
      </c>
      <c r="AV170" s="65">
        <f t="shared" si="74"/>
        <v>1.0373860495120801</v>
      </c>
      <c r="AW170" s="65">
        <f t="shared" si="74"/>
        <v>0.73407241671573609</v>
      </c>
      <c r="AX170" s="65">
        <f t="shared" si="74"/>
        <v>1.1694476362929487</v>
      </c>
      <c r="AY170" s="65">
        <f t="shared" si="74"/>
        <v>0.90263050572305858</v>
      </c>
      <c r="AZ170" s="65">
        <f t="shared" si="74"/>
        <v>0.91744247655260636</v>
      </c>
      <c r="BA170" s="65">
        <f t="shared" si="74"/>
        <v>1.2662243772611705</v>
      </c>
    </row>
    <row r="171" spans="2:53" x14ac:dyDescent="0.3">
      <c r="B171" t="s">
        <v>166</v>
      </c>
      <c r="C171" t="s">
        <v>157</v>
      </c>
      <c r="O171" s="65">
        <f t="shared" si="74"/>
        <v>0</v>
      </c>
      <c r="P171" s="65">
        <f t="shared" si="74"/>
        <v>0</v>
      </c>
      <c r="Q171" s="65">
        <f t="shared" si="74"/>
        <v>0</v>
      </c>
      <c r="R171" s="65">
        <f t="shared" si="74"/>
        <v>0</v>
      </c>
      <c r="S171" s="65">
        <f t="shared" si="74"/>
        <v>0</v>
      </c>
      <c r="T171" s="65">
        <f t="shared" si="74"/>
        <v>0</v>
      </c>
      <c r="U171" s="65">
        <f t="shared" si="74"/>
        <v>7.5249359042944344E-2</v>
      </c>
      <c r="V171" s="65">
        <f t="shared" si="74"/>
        <v>0.36411471861330963</v>
      </c>
      <c r="W171" s="65">
        <f t="shared" si="74"/>
        <v>1.5361626156205264</v>
      </c>
      <c r="X171" s="65">
        <f t="shared" si="74"/>
        <v>1.116633012686242</v>
      </c>
      <c r="Y171" s="65">
        <f t="shared" si="74"/>
        <v>1.0705765403257377</v>
      </c>
      <c r="Z171" s="65">
        <f t="shared" si="74"/>
        <v>0.97817502758966968</v>
      </c>
      <c r="AA171" s="65">
        <f t="shared" si="74"/>
        <v>0.93777805960211325</v>
      </c>
      <c r="AB171" s="65">
        <f t="shared" si="74"/>
        <v>0.75513621559860977</v>
      </c>
      <c r="AC171" s="65">
        <f t="shared" si="74"/>
        <v>1.4837070225701179</v>
      </c>
      <c r="AD171" s="65">
        <f t="shared" si="74"/>
        <v>1.0624698963735217</v>
      </c>
      <c r="AE171" s="65">
        <f t="shared" si="74"/>
        <v>0.92946601936150497</v>
      </c>
      <c r="AF171" s="65">
        <f t="shared" si="74"/>
        <v>1.4614685156556713</v>
      </c>
      <c r="AG171" s="65">
        <f t="shared" si="74"/>
        <v>0.43286032334900881</v>
      </c>
      <c r="AH171" s="65">
        <f t="shared" si="74"/>
        <v>0.56929937576981071</v>
      </c>
      <c r="AI171" s="65">
        <f t="shared" si="74"/>
        <v>1.076115593669384</v>
      </c>
      <c r="AJ171" s="65">
        <f t="shared" si="74"/>
        <v>0.75551143925331721</v>
      </c>
      <c r="AK171" s="65">
        <f t="shared" si="74"/>
        <v>0.70884401586186563</v>
      </c>
      <c r="AL171" s="65">
        <f t="shared" si="74"/>
        <v>1.5691518302045027</v>
      </c>
      <c r="AM171" s="65">
        <f t="shared" si="74"/>
        <v>1.1640020457683209</v>
      </c>
      <c r="AN171" s="65">
        <f t="shared" si="74"/>
        <v>0.91057884282181956</v>
      </c>
      <c r="AO171" s="65">
        <f t="shared" si="74"/>
        <v>1.5245520929482759</v>
      </c>
      <c r="AP171" s="65">
        <f t="shared" si="74"/>
        <v>1.0610077479607694</v>
      </c>
      <c r="AQ171" s="65">
        <f t="shared" si="74"/>
        <v>0.80661358394529703</v>
      </c>
      <c r="AR171" s="65">
        <f t="shared" si="74"/>
        <v>1.439623490522147</v>
      </c>
      <c r="AS171" s="65">
        <f t="shared" si="74"/>
        <v>0.80443646837887983</v>
      </c>
      <c r="AT171" s="65">
        <f t="shared" si="74"/>
        <v>0.71714669764841321</v>
      </c>
      <c r="AU171" s="65">
        <f t="shared" si="74"/>
        <v>1.2525165147736197</v>
      </c>
      <c r="AV171" s="65">
        <f t="shared" si="74"/>
        <v>0.77556080506050917</v>
      </c>
      <c r="AW171" s="65">
        <f t="shared" si="74"/>
        <v>0.71208217679064678</v>
      </c>
      <c r="AX171" s="65">
        <f t="shared" si="74"/>
        <v>1.2260630328060196</v>
      </c>
      <c r="AY171" s="65">
        <f t="shared" si="74"/>
        <v>0.90014676962585827</v>
      </c>
      <c r="AZ171" s="65">
        <f t="shared" si="74"/>
        <v>0.91744247655260636</v>
      </c>
      <c r="BA171" s="65">
        <f t="shared" si="74"/>
        <v>1.2662243772611705</v>
      </c>
    </row>
    <row r="172" spans="2:53" x14ac:dyDescent="0.3">
      <c r="B172" t="s">
        <v>166</v>
      </c>
      <c r="C172" t="s">
        <v>158</v>
      </c>
      <c r="O172" s="65">
        <f t="shared" si="74"/>
        <v>0</v>
      </c>
      <c r="P172" s="65">
        <f t="shared" si="74"/>
        <v>0</v>
      </c>
      <c r="Q172" s="65">
        <f t="shared" si="74"/>
        <v>0</v>
      </c>
      <c r="R172" s="65">
        <f t="shared" si="74"/>
        <v>0</v>
      </c>
      <c r="S172" s="65">
        <f t="shared" si="74"/>
        <v>0</v>
      </c>
      <c r="T172" s="65">
        <f t="shared" si="74"/>
        <v>0.13526219964730768</v>
      </c>
      <c r="U172" s="65">
        <f t="shared" si="74"/>
        <v>0.33184769501514177</v>
      </c>
      <c r="V172" s="65">
        <f t="shared" si="74"/>
        <v>0.59344017530388116</v>
      </c>
      <c r="W172" s="65">
        <f t="shared" si="74"/>
        <v>0.67061343783135596</v>
      </c>
      <c r="X172" s="65">
        <f t="shared" si="74"/>
        <v>0.62538437033119787</v>
      </c>
      <c r="Y172" s="65">
        <f t="shared" si="74"/>
        <v>0.60207429595969253</v>
      </c>
      <c r="Z172" s="65">
        <f t="shared" si="74"/>
        <v>1.00336606335075</v>
      </c>
      <c r="AA172" s="65">
        <f t="shared" si="74"/>
        <v>0.75579186570095347</v>
      </c>
      <c r="AB172" s="65">
        <f t="shared" si="74"/>
        <v>0.76783643750331765</v>
      </c>
      <c r="AC172" s="65">
        <f t="shared" si="74"/>
        <v>1.2808588398292067</v>
      </c>
      <c r="AD172" s="65">
        <f t="shared" si="74"/>
        <v>0.9951046081066659</v>
      </c>
      <c r="AE172" s="65">
        <f t="shared" si="74"/>
        <v>0.77834714788400494</v>
      </c>
      <c r="AF172" s="65">
        <f t="shared" si="74"/>
        <v>1.2337298483070329</v>
      </c>
      <c r="AG172" s="65">
        <f t="shared" si="74"/>
        <v>0.94684806952155864</v>
      </c>
      <c r="AH172" s="65">
        <f t="shared" si="74"/>
        <v>0.73434098009970272</v>
      </c>
      <c r="AI172" s="65">
        <f t="shared" si="74"/>
        <v>1.1811021502444699</v>
      </c>
      <c r="AJ172" s="65">
        <f t="shared" si="74"/>
        <v>0.97334167419682327</v>
      </c>
      <c r="AK172" s="65">
        <f t="shared" si="74"/>
        <v>0.75336287411164549</v>
      </c>
      <c r="AL172" s="65">
        <f t="shared" si="74"/>
        <v>1.2610124982867339</v>
      </c>
      <c r="AM172" s="65">
        <f t="shared" si="74"/>
        <v>0.97071243038041455</v>
      </c>
      <c r="AN172" s="65">
        <f t="shared" si="74"/>
        <v>0.75637899846623557</v>
      </c>
      <c r="AO172" s="65">
        <f t="shared" si="74"/>
        <v>1.2747447358094415</v>
      </c>
      <c r="AP172" s="65">
        <f t="shared" si="74"/>
        <v>0.98452066385151416</v>
      </c>
      <c r="AQ172" s="65">
        <f t="shared" si="74"/>
        <v>0.78293104721899875</v>
      </c>
      <c r="AR172" s="65">
        <f t="shared" si="74"/>
        <v>1.2869707772793824</v>
      </c>
      <c r="AS172" s="65">
        <f t="shared" si="74"/>
        <v>0.98665184688411944</v>
      </c>
      <c r="AT172" s="65">
        <f t="shared" si="74"/>
        <v>0.82820661358612968</v>
      </c>
      <c r="AU172" s="65">
        <f t="shared" si="74"/>
        <v>1.2150053892514407</v>
      </c>
      <c r="AV172" s="65">
        <f t="shared" si="74"/>
        <v>1.0295766218235058</v>
      </c>
      <c r="AW172" s="65">
        <f t="shared" si="74"/>
        <v>0.77564480293511495</v>
      </c>
      <c r="AX172" s="65">
        <f t="shared" si="74"/>
        <v>1.2869707772793824</v>
      </c>
      <c r="AY172" s="65">
        <f t="shared" si="74"/>
        <v>0.99069480495931983</v>
      </c>
      <c r="AZ172" s="65">
        <f t="shared" si="74"/>
        <v>0.99069480495931983</v>
      </c>
      <c r="BA172" s="65">
        <f t="shared" si="74"/>
        <v>1.303545795999105</v>
      </c>
    </row>
    <row r="173" spans="2:53" x14ac:dyDescent="0.3">
      <c r="B173" t="s">
        <v>166</v>
      </c>
      <c r="C173" t="s">
        <v>159</v>
      </c>
      <c r="O173" s="65">
        <f t="shared" ref="O173:BA175" si="75">IFERROR(N147/(O11+O16),0)</f>
        <v>0</v>
      </c>
      <c r="P173" s="65">
        <f t="shared" si="75"/>
        <v>0</v>
      </c>
      <c r="Q173" s="65">
        <f t="shared" si="75"/>
        <v>0</v>
      </c>
      <c r="R173" s="65">
        <f t="shared" si="75"/>
        <v>0</v>
      </c>
      <c r="S173" s="65">
        <f t="shared" si="75"/>
        <v>0</v>
      </c>
      <c r="T173" s="65">
        <f t="shared" si="75"/>
        <v>0.69487581184550751</v>
      </c>
      <c r="U173" s="65">
        <f t="shared" si="75"/>
        <v>1.067779156880077</v>
      </c>
      <c r="V173" s="65">
        <f t="shared" si="75"/>
        <v>1.1963858286530578</v>
      </c>
      <c r="W173" s="65">
        <f t="shared" si="75"/>
        <v>0.81953808563966335</v>
      </c>
      <c r="X173" s="65">
        <f t="shared" si="75"/>
        <v>1.1131284856653063</v>
      </c>
      <c r="Y173" s="65">
        <f t="shared" si="75"/>
        <v>0.25566560089802204</v>
      </c>
      <c r="Z173" s="65">
        <f t="shared" si="75"/>
        <v>1.2014162658485767</v>
      </c>
      <c r="AA173" s="65">
        <f t="shared" si="75"/>
        <v>1.1210309872793052</v>
      </c>
      <c r="AB173" s="65">
        <f t="shared" si="75"/>
        <v>0.74929855279805613</v>
      </c>
      <c r="AC173" s="65">
        <f t="shared" si="75"/>
        <v>1.3591104831616909</v>
      </c>
      <c r="AD173" s="65">
        <f t="shared" si="75"/>
        <v>0.86176679004606294</v>
      </c>
      <c r="AE173" s="65">
        <f t="shared" si="75"/>
        <v>0.79821189555318861</v>
      </c>
      <c r="AF173" s="65">
        <f t="shared" si="75"/>
        <v>1.1995859786487826</v>
      </c>
      <c r="AG173" s="65">
        <f t="shared" si="75"/>
        <v>1.0218731462433952</v>
      </c>
      <c r="AH173" s="65">
        <f t="shared" si="75"/>
        <v>1.0582840258104227</v>
      </c>
      <c r="AI173" s="65">
        <f t="shared" si="75"/>
        <v>0.93889493178921912</v>
      </c>
      <c r="AJ173" s="65">
        <f t="shared" si="75"/>
        <v>1.034379578147117</v>
      </c>
      <c r="AK173" s="65">
        <f t="shared" si="75"/>
        <v>0.84899833420204251</v>
      </c>
      <c r="AL173" s="65">
        <f t="shared" si="75"/>
        <v>1.2009883538741111</v>
      </c>
      <c r="AM173" s="65">
        <f t="shared" si="75"/>
        <v>1.1222272896114902</v>
      </c>
      <c r="AN173" s="65">
        <f t="shared" si="75"/>
        <v>0.57110967949708724</v>
      </c>
      <c r="AO173" s="65">
        <f t="shared" si="75"/>
        <v>1.2553046250188928</v>
      </c>
      <c r="AP173" s="65">
        <f t="shared" si="75"/>
        <v>0.89763467718780487</v>
      </c>
      <c r="AQ173" s="65">
        <f t="shared" si="75"/>
        <v>0.84231439305263134</v>
      </c>
      <c r="AR173" s="65">
        <f t="shared" si="75"/>
        <v>1.1494457699165466</v>
      </c>
      <c r="AS173" s="65">
        <f t="shared" si="75"/>
        <v>1.0162886443912196</v>
      </c>
      <c r="AT173" s="65">
        <f t="shared" si="75"/>
        <v>1.059545486505959</v>
      </c>
      <c r="AU173" s="65">
        <f t="shared" si="75"/>
        <v>0.95254509915394736</v>
      </c>
      <c r="AV173" s="65">
        <f t="shared" si="75"/>
        <v>1.0233733417319808</v>
      </c>
      <c r="AW173" s="65">
        <f t="shared" si="75"/>
        <v>0.8858978698960791</v>
      </c>
      <c r="AX173" s="65">
        <f t="shared" si="75"/>
        <v>1.1426473357129754</v>
      </c>
      <c r="AY173" s="65">
        <f t="shared" si="75"/>
        <v>1.0889700523161263</v>
      </c>
      <c r="AZ173" s="65">
        <f t="shared" si="75"/>
        <v>1</v>
      </c>
      <c r="BA173" s="65">
        <f t="shared" si="75"/>
        <v>1</v>
      </c>
    </row>
    <row r="174" spans="2:53" x14ac:dyDescent="0.3">
      <c r="B174" t="s">
        <v>166</v>
      </c>
      <c r="C174" t="s">
        <v>160</v>
      </c>
      <c r="O174" s="65">
        <f t="shared" si="75"/>
        <v>0</v>
      </c>
      <c r="P174" s="65">
        <f t="shared" si="75"/>
        <v>0</v>
      </c>
      <c r="Q174" s="65">
        <f t="shared" si="75"/>
        <v>0</v>
      </c>
      <c r="R174" s="65">
        <f t="shared" si="75"/>
        <v>0</v>
      </c>
      <c r="S174" s="65">
        <f t="shared" si="75"/>
        <v>0</v>
      </c>
      <c r="T174" s="65">
        <f t="shared" si="75"/>
        <v>1</v>
      </c>
      <c r="U174" s="65">
        <f t="shared" si="75"/>
        <v>0</v>
      </c>
      <c r="V174" s="65">
        <f t="shared" si="75"/>
        <v>0</v>
      </c>
      <c r="W174" s="65">
        <f t="shared" si="75"/>
        <v>0</v>
      </c>
      <c r="X174" s="65">
        <f t="shared" si="75"/>
        <v>0</v>
      </c>
      <c r="Y174" s="65">
        <f t="shared" si="75"/>
        <v>0</v>
      </c>
      <c r="Z174" s="65">
        <f t="shared" si="75"/>
        <v>1</v>
      </c>
      <c r="AA174" s="65">
        <f t="shared" si="75"/>
        <v>1</v>
      </c>
      <c r="AB174" s="65">
        <f t="shared" si="75"/>
        <v>0</v>
      </c>
      <c r="AC174" s="65">
        <f t="shared" si="75"/>
        <v>0</v>
      </c>
      <c r="AD174" s="65">
        <f t="shared" si="75"/>
        <v>0</v>
      </c>
      <c r="AE174" s="65">
        <f t="shared" si="75"/>
        <v>0</v>
      </c>
      <c r="AF174" s="65">
        <f t="shared" si="75"/>
        <v>0</v>
      </c>
      <c r="AG174" s="65">
        <f t="shared" si="75"/>
        <v>0</v>
      </c>
      <c r="AH174" s="65">
        <f t="shared" si="75"/>
        <v>0</v>
      </c>
      <c r="AI174" s="65">
        <f t="shared" si="75"/>
        <v>0</v>
      </c>
      <c r="AJ174" s="65">
        <f t="shared" si="75"/>
        <v>0</v>
      </c>
      <c r="AK174" s="65">
        <f t="shared" si="75"/>
        <v>0</v>
      </c>
      <c r="AL174" s="65">
        <f t="shared" si="75"/>
        <v>0</v>
      </c>
      <c r="AM174" s="65">
        <f t="shared" si="75"/>
        <v>0</v>
      </c>
      <c r="AN174" s="65">
        <f t="shared" si="75"/>
        <v>0</v>
      </c>
      <c r="AO174" s="65">
        <f t="shared" si="75"/>
        <v>0</v>
      </c>
      <c r="AP174" s="65">
        <f t="shared" si="75"/>
        <v>0</v>
      </c>
      <c r="AQ174" s="65">
        <f t="shared" si="75"/>
        <v>0</v>
      </c>
      <c r="AR174" s="65">
        <f t="shared" si="75"/>
        <v>0</v>
      </c>
      <c r="AS174" s="65">
        <f t="shared" si="75"/>
        <v>0</v>
      </c>
      <c r="AT174" s="65">
        <f t="shared" si="75"/>
        <v>0</v>
      </c>
      <c r="AU174" s="65">
        <f t="shared" si="75"/>
        <v>0</v>
      </c>
      <c r="AV174" s="65">
        <f t="shared" si="75"/>
        <v>0</v>
      </c>
      <c r="AW174" s="65">
        <f t="shared" si="75"/>
        <v>0</v>
      </c>
      <c r="AX174" s="65">
        <f t="shared" si="75"/>
        <v>0</v>
      </c>
      <c r="AY174" s="65">
        <f t="shared" si="75"/>
        <v>0</v>
      </c>
      <c r="AZ174" s="65">
        <f t="shared" si="75"/>
        <v>0</v>
      </c>
      <c r="BA174" s="65">
        <f t="shared" si="75"/>
        <v>0</v>
      </c>
    </row>
    <row r="175" spans="2:53" x14ac:dyDescent="0.3">
      <c r="B175" t="s">
        <v>166</v>
      </c>
      <c r="C175" t="s">
        <v>161</v>
      </c>
      <c r="O175" s="65">
        <f t="shared" si="75"/>
        <v>0</v>
      </c>
      <c r="P175" s="65">
        <f t="shared" si="75"/>
        <v>0</v>
      </c>
      <c r="Q175" s="65">
        <f t="shared" si="75"/>
        <v>0</v>
      </c>
      <c r="R175" s="65">
        <f t="shared" si="75"/>
        <v>0</v>
      </c>
      <c r="S175" s="65">
        <f t="shared" si="75"/>
        <v>0</v>
      </c>
      <c r="T175" s="65">
        <f t="shared" si="75"/>
        <v>0</v>
      </c>
      <c r="U175" s="65">
        <f t="shared" si="75"/>
        <v>0</v>
      </c>
      <c r="V175" s="65">
        <f t="shared" si="75"/>
        <v>0</v>
      </c>
      <c r="W175" s="65">
        <f t="shared" si="75"/>
        <v>0</v>
      </c>
      <c r="X175" s="65">
        <f t="shared" si="75"/>
        <v>0</v>
      </c>
      <c r="Y175" s="65">
        <f t="shared" si="75"/>
        <v>0</v>
      </c>
      <c r="Z175" s="65">
        <f t="shared" si="75"/>
        <v>0</v>
      </c>
      <c r="AA175" s="65">
        <f t="shared" si="75"/>
        <v>0</v>
      </c>
      <c r="AB175" s="65">
        <f t="shared" si="75"/>
        <v>0</v>
      </c>
      <c r="AC175" s="65">
        <f t="shared" si="75"/>
        <v>0</v>
      </c>
      <c r="AD175" s="65">
        <f t="shared" si="75"/>
        <v>0</v>
      </c>
      <c r="AE175" s="65">
        <f t="shared" si="75"/>
        <v>0</v>
      </c>
      <c r="AF175" s="65">
        <f t="shared" si="75"/>
        <v>0</v>
      </c>
      <c r="AG175" s="65">
        <f t="shared" si="75"/>
        <v>0</v>
      </c>
      <c r="AH175" s="65">
        <f t="shared" si="75"/>
        <v>0</v>
      </c>
      <c r="AI175" s="65">
        <f t="shared" si="75"/>
        <v>0</v>
      </c>
      <c r="AJ175" s="65">
        <f t="shared" si="75"/>
        <v>0</v>
      </c>
      <c r="AK175" s="65">
        <f t="shared" si="75"/>
        <v>0</v>
      </c>
      <c r="AL175" s="65">
        <f t="shared" si="75"/>
        <v>0</v>
      </c>
      <c r="AM175" s="65">
        <f t="shared" si="75"/>
        <v>0</v>
      </c>
      <c r="AN175" s="65">
        <f t="shared" si="75"/>
        <v>0</v>
      </c>
      <c r="AO175" s="65">
        <f t="shared" si="75"/>
        <v>0</v>
      </c>
      <c r="AP175" s="65">
        <f t="shared" si="75"/>
        <v>0</v>
      </c>
      <c r="AQ175" s="65">
        <f t="shared" si="75"/>
        <v>0</v>
      </c>
      <c r="AR175" s="65">
        <f t="shared" si="75"/>
        <v>0</v>
      </c>
      <c r="AS175" s="65">
        <f t="shared" si="75"/>
        <v>0</v>
      </c>
      <c r="AT175" s="65">
        <f t="shared" si="75"/>
        <v>0</v>
      </c>
      <c r="AU175" s="65">
        <f t="shared" si="75"/>
        <v>0</v>
      </c>
      <c r="AV175" s="65">
        <f t="shared" si="75"/>
        <v>0</v>
      </c>
      <c r="AW175" s="65">
        <f t="shared" si="75"/>
        <v>0</v>
      </c>
      <c r="AX175" s="65">
        <f t="shared" si="75"/>
        <v>0</v>
      </c>
      <c r="AY175" s="65">
        <f t="shared" si="75"/>
        <v>0</v>
      </c>
      <c r="AZ175" s="65">
        <f t="shared" si="75"/>
        <v>0</v>
      </c>
      <c r="BA175" s="65">
        <f t="shared" si="75"/>
        <v>0</v>
      </c>
    </row>
    <row r="176" spans="2:53" x14ac:dyDescent="0.3">
      <c r="P176" s="51"/>
      <c r="Q176" s="51"/>
      <c r="R176" s="56"/>
      <c r="S176" s="51"/>
      <c r="T176" s="51"/>
      <c r="U176" s="51"/>
      <c r="V176" s="51"/>
      <c r="W176" s="51"/>
      <c r="X176" s="51"/>
      <c r="Y176" s="51"/>
      <c r="Z176" s="51"/>
      <c r="AA176" s="51"/>
      <c r="AB176" s="51"/>
      <c r="AC176" s="51"/>
      <c r="AD176" s="51"/>
      <c r="AE176" s="51"/>
      <c r="AF176" s="51"/>
      <c r="AG176" s="51"/>
      <c r="AH176" s="51"/>
      <c r="AI176" s="51"/>
      <c r="AJ176" s="51"/>
      <c r="AK176" s="51"/>
      <c r="AL176" s="51"/>
      <c r="AM176" s="51"/>
      <c r="AN176" s="51"/>
      <c r="AO176" s="51"/>
      <c r="AP176" s="51"/>
      <c r="AQ176" s="51"/>
      <c r="AR176" s="51"/>
      <c r="AS176" s="51"/>
      <c r="AT176" s="51"/>
      <c r="AU176" s="51"/>
      <c r="AV176" s="51"/>
      <c r="AW176" s="51"/>
      <c r="AX176" s="51"/>
      <c r="AY176" s="51"/>
      <c r="AZ176" s="51"/>
      <c r="BA176" s="51"/>
    </row>
    <row r="177" spans="2:53" x14ac:dyDescent="0.3">
      <c r="B177" t="s">
        <v>167</v>
      </c>
      <c r="C177" t="s">
        <v>156</v>
      </c>
      <c r="O177" s="54">
        <v>0.75</v>
      </c>
      <c r="P177" s="54">
        <f>C247</f>
        <v>0.72418880312023248</v>
      </c>
      <c r="Q177" s="54">
        <f>$P$177</f>
        <v>0.72418880312023248</v>
      </c>
      <c r="R177" s="54">
        <f t="shared" ref="R177:BA177" si="76">$P$177</f>
        <v>0.72418880312023248</v>
      </c>
      <c r="S177" s="54">
        <f t="shared" si="76"/>
        <v>0.72418880312023248</v>
      </c>
      <c r="T177" s="54">
        <f t="shared" si="76"/>
        <v>0.72418880312023248</v>
      </c>
      <c r="U177" s="54">
        <f t="shared" si="76"/>
        <v>0.72418880312023248</v>
      </c>
      <c r="V177" s="54">
        <f t="shared" si="76"/>
        <v>0.72418880312023248</v>
      </c>
      <c r="W177" s="54">
        <f t="shared" si="76"/>
        <v>0.72418880312023248</v>
      </c>
      <c r="X177" s="54">
        <f t="shared" si="76"/>
        <v>0.72418880312023248</v>
      </c>
      <c r="Y177" s="54">
        <f t="shared" si="76"/>
        <v>0.72418880312023248</v>
      </c>
      <c r="Z177" s="54">
        <f t="shared" si="76"/>
        <v>0.72418880312023248</v>
      </c>
      <c r="AA177" s="54">
        <f t="shared" si="76"/>
        <v>0.72418880312023248</v>
      </c>
      <c r="AB177" s="54">
        <f t="shared" si="76"/>
        <v>0.72418880312023248</v>
      </c>
      <c r="AC177" s="54">
        <f t="shared" si="76"/>
        <v>0.72418880312023248</v>
      </c>
      <c r="AD177" s="54">
        <f t="shared" si="76"/>
        <v>0.72418880312023248</v>
      </c>
      <c r="AE177" s="54">
        <f t="shared" si="76"/>
        <v>0.72418880312023248</v>
      </c>
      <c r="AF177" s="54">
        <f t="shared" si="76"/>
        <v>0.72418880312023248</v>
      </c>
      <c r="AG177" s="54">
        <f t="shared" si="76"/>
        <v>0.72418880312023248</v>
      </c>
      <c r="AH177" s="54">
        <f t="shared" si="76"/>
        <v>0.72418880312023248</v>
      </c>
      <c r="AI177" s="54">
        <f t="shared" si="76"/>
        <v>0.72418880312023248</v>
      </c>
      <c r="AJ177" s="54">
        <f t="shared" si="76"/>
        <v>0.72418880312023248</v>
      </c>
      <c r="AK177" s="54">
        <f t="shared" si="76"/>
        <v>0.72418880312023248</v>
      </c>
      <c r="AL177" s="54">
        <f t="shared" si="76"/>
        <v>0.72418880312023248</v>
      </c>
      <c r="AM177" s="54">
        <f t="shared" si="76"/>
        <v>0.72418880312023248</v>
      </c>
      <c r="AN177" s="54">
        <f t="shared" si="76"/>
        <v>0.72418880312023248</v>
      </c>
      <c r="AO177" s="54">
        <f t="shared" si="76"/>
        <v>0.72418880312023248</v>
      </c>
      <c r="AP177" s="54">
        <f t="shared" si="76"/>
        <v>0.72418880312023248</v>
      </c>
      <c r="AQ177" s="54">
        <f t="shared" si="76"/>
        <v>0.72418880312023248</v>
      </c>
      <c r="AR177" s="54">
        <f t="shared" si="76"/>
        <v>0.72418880312023248</v>
      </c>
      <c r="AS177" s="54">
        <f t="shared" si="76"/>
        <v>0.72418880312023248</v>
      </c>
      <c r="AT177" s="54">
        <f t="shared" si="76"/>
        <v>0.72418880312023248</v>
      </c>
      <c r="AU177" s="54">
        <f t="shared" si="76"/>
        <v>0.72418880312023248</v>
      </c>
      <c r="AV177" s="54">
        <f t="shared" si="76"/>
        <v>0.72418880312023248</v>
      </c>
      <c r="AW177" s="54">
        <f t="shared" si="76"/>
        <v>0.72418880312023248</v>
      </c>
      <c r="AX177" s="54">
        <f t="shared" si="76"/>
        <v>0.72418880312023248</v>
      </c>
      <c r="AY177" s="54">
        <f t="shared" si="76"/>
        <v>0.72418880312023248</v>
      </c>
      <c r="AZ177" s="54">
        <f t="shared" si="76"/>
        <v>0.72418880312023248</v>
      </c>
      <c r="BA177" s="54">
        <f t="shared" si="76"/>
        <v>0.72418880312023248</v>
      </c>
    </row>
    <row r="178" spans="2:53" x14ac:dyDescent="0.3">
      <c r="B178" t="s">
        <v>167</v>
      </c>
      <c r="C178" t="s">
        <v>157</v>
      </c>
      <c r="O178" s="54">
        <v>0.35</v>
      </c>
      <c r="P178" s="54">
        <v>0.35</v>
      </c>
      <c r="Q178" s="54">
        <f>$P$178</f>
        <v>0.35</v>
      </c>
      <c r="R178" s="54">
        <f t="shared" ref="R178:BA178" si="77">$P$178</f>
        <v>0.35</v>
      </c>
      <c r="S178" s="54">
        <f t="shared" si="77"/>
        <v>0.35</v>
      </c>
      <c r="T178" s="54">
        <f t="shared" si="77"/>
        <v>0.35</v>
      </c>
      <c r="U178" s="54">
        <f t="shared" si="77"/>
        <v>0.35</v>
      </c>
      <c r="V178" s="54">
        <f t="shared" si="77"/>
        <v>0.35</v>
      </c>
      <c r="W178" s="54">
        <f t="shared" si="77"/>
        <v>0.35</v>
      </c>
      <c r="X178" s="54">
        <f t="shared" si="77"/>
        <v>0.35</v>
      </c>
      <c r="Y178" s="54">
        <f t="shared" si="77"/>
        <v>0.35</v>
      </c>
      <c r="Z178" s="54">
        <f t="shared" si="77"/>
        <v>0.35</v>
      </c>
      <c r="AA178" s="54">
        <f t="shared" si="77"/>
        <v>0.35</v>
      </c>
      <c r="AB178" s="54">
        <f t="shared" si="77"/>
        <v>0.35</v>
      </c>
      <c r="AC178" s="54">
        <f t="shared" si="77"/>
        <v>0.35</v>
      </c>
      <c r="AD178" s="54">
        <f t="shared" si="77"/>
        <v>0.35</v>
      </c>
      <c r="AE178" s="54">
        <f t="shared" si="77"/>
        <v>0.35</v>
      </c>
      <c r="AF178" s="54">
        <f t="shared" si="77"/>
        <v>0.35</v>
      </c>
      <c r="AG178" s="54">
        <f t="shared" si="77"/>
        <v>0.35</v>
      </c>
      <c r="AH178" s="54">
        <f t="shared" si="77"/>
        <v>0.35</v>
      </c>
      <c r="AI178" s="54">
        <f t="shared" si="77"/>
        <v>0.35</v>
      </c>
      <c r="AJ178" s="54">
        <f t="shared" si="77"/>
        <v>0.35</v>
      </c>
      <c r="AK178" s="54">
        <f t="shared" si="77"/>
        <v>0.35</v>
      </c>
      <c r="AL178" s="54">
        <f t="shared" si="77"/>
        <v>0.35</v>
      </c>
      <c r="AM178" s="54">
        <f t="shared" si="77"/>
        <v>0.35</v>
      </c>
      <c r="AN178" s="54">
        <f t="shared" si="77"/>
        <v>0.35</v>
      </c>
      <c r="AO178" s="54">
        <f t="shared" si="77"/>
        <v>0.35</v>
      </c>
      <c r="AP178" s="54">
        <f t="shared" si="77"/>
        <v>0.35</v>
      </c>
      <c r="AQ178" s="54">
        <f t="shared" si="77"/>
        <v>0.35</v>
      </c>
      <c r="AR178" s="54">
        <f t="shared" si="77"/>
        <v>0.35</v>
      </c>
      <c r="AS178" s="54">
        <f t="shared" si="77"/>
        <v>0.35</v>
      </c>
      <c r="AT178" s="54">
        <f t="shared" si="77"/>
        <v>0.35</v>
      </c>
      <c r="AU178" s="54">
        <f t="shared" si="77"/>
        <v>0.35</v>
      </c>
      <c r="AV178" s="54">
        <f t="shared" si="77"/>
        <v>0.35</v>
      </c>
      <c r="AW178" s="54">
        <f t="shared" si="77"/>
        <v>0.35</v>
      </c>
      <c r="AX178" s="54">
        <f t="shared" si="77"/>
        <v>0.35</v>
      </c>
      <c r="AY178" s="54">
        <f t="shared" si="77"/>
        <v>0.35</v>
      </c>
      <c r="AZ178" s="54">
        <f t="shared" si="77"/>
        <v>0.35</v>
      </c>
      <c r="BA178" s="54">
        <f t="shared" si="77"/>
        <v>0.35</v>
      </c>
    </row>
    <row r="179" spans="2:53" x14ac:dyDescent="0.3">
      <c r="B179" t="s">
        <v>167</v>
      </c>
      <c r="C179" t="s">
        <v>158</v>
      </c>
      <c r="O179" s="54">
        <f>2/6</f>
        <v>0.33333333333333331</v>
      </c>
      <c r="P179" s="54">
        <f>2/6</f>
        <v>0.33333333333333331</v>
      </c>
      <c r="Q179" s="54">
        <f>$P$179</f>
        <v>0.33333333333333331</v>
      </c>
      <c r="R179" s="54">
        <f t="shared" ref="R179:BA179" si="78">$P$179</f>
        <v>0.33333333333333331</v>
      </c>
      <c r="S179" s="54">
        <f t="shared" si="78"/>
        <v>0.33333333333333331</v>
      </c>
      <c r="T179" s="54">
        <f t="shared" si="78"/>
        <v>0.33333333333333331</v>
      </c>
      <c r="U179" s="54">
        <f t="shared" si="78"/>
        <v>0.33333333333333331</v>
      </c>
      <c r="V179" s="54">
        <f t="shared" si="78"/>
        <v>0.33333333333333331</v>
      </c>
      <c r="W179" s="54">
        <f t="shared" si="78"/>
        <v>0.33333333333333331</v>
      </c>
      <c r="X179" s="54">
        <f t="shared" si="78"/>
        <v>0.33333333333333331</v>
      </c>
      <c r="Y179" s="54">
        <f t="shared" si="78"/>
        <v>0.33333333333333331</v>
      </c>
      <c r="Z179" s="54">
        <f t="shared" si="78"/>
        <v>0.33333333333333331</v>
      </c>
      <c r="AA179" s="54">
        <f t="shared" si="78"/>
        <v>0.33333333333333331</v>
      </c>
      <c r="AB179" s="54">
        <f t="shared" si="78"/>
        <v>0.33333333333333331</v>
      </c>
      <c r="AC179" s="54">
        <f t="shared" si="78"/>
        <v>0.33333333333333331</v>
      </c>
      <c r="AD179" s="54">
        <f t="shared" si="78"/>
        <v>0.33333333333333331</v>
      </c>
      <c r="AE179" s="54">
        <f t="shared" si="78"/>
        <v>0.33333333333333331</v>
      </c>
      <c r="AF179" s="54">
        <f t="shared" si="78"/>
        <v>0.33333333333333331</v>
      </c>
      <c r="AG179" s="54">
        <f t="shared" si="78"/>
        <v>0.33333333333333331</v>
      </c>
      <c r="AH179" s="54">
        <f t="shared" si="78"/>
        <v>0.33333333333333331</v>
      </c>
      <c r="AI179" s="54">
        <f t="shared" si="78"/>
        <v>0.33333333333333331</v>
      </c>
      <c r="AJ179" s="54">
        <f t="shared" si="78"/>
        <v>0.33333333333333331</v>
      </c>
      <c r="AK179" s="54">
        <f t="shared" si="78"/>
        <v>0.33333333333333331</v>
      </c>
      <c r="AL179" s="54">
        <f t="shared" si="78"/>
        <v>0.33333333333333331</v>
      </c>
      <c r="AM179" s="54">
        <f t="shared" si="78"/>
        <v>0.33333333333333331</v>
      </c>
      <c r="AN179" s="54">
        <f t="shared" si="78"/>
        <v>0.33333333333333331</v>
      </c>
      <c r="AO179" s="54">
        <f t="shared" si="78"/>
        <v>0.33333333333333331</v>
      </c>
      <c r="AP179" s="54">
        <f t="shared" si="78"/>
        <v>0.33333333333333331</v>
      </c>
      <c r="AQ179" s="54">
        <f t="shared" si="78"/>
        <v>0.33333333333333331</v>
      </c>
      <c r="AR179" s="54">
        <f t="shared" si="78"/>
        <v>0.33333333333333331</v>
      </c>
      <c r="AS179" s="54">
        <f t="shared" si="78"/>
        <v>0.33333333333333331</v>
      </c>
      <c r="AT179" s="54">
        <f t="shared" si="78"/>
        <v>0.33333333333333331</v>
      </c>
      <c r="AU179" s="54">
        <f t="shared" si="78"/>
        <v>0.33333333333333331</v>
      </c>
      <c r="AV179" s="54">
        <f t="shared" si="78"/>
        <v>0.33333333333333331</v>
      </c>
      <c r="AW179" s="54">
        <f t="shared" si="78"/>
        <v>0.33333333333333331</v>
      </c>
      <c r="AX179" s="54">
        <f t="shared" si="78"/>
        <v>0.33333333333333331</v>
      </c>
      <c r="AY179" s="54">
        <f t="shared" si="78"/>
        <v>0.33333333333333331</v>
      </c>
      <c r="AZ179" s="54">
        <f t="shared" si="78"/>
        <v>0.33333333333333331</v>
      </c>
      <c r="BA179" s="54">
        <f t="shared" si="78"/>
        <v>0.33333333333333331</v>
      </c>
    </row>
    <row r="180" spans="2:53" x14ac:dyDescent="0.3">
      <c r="B180" t="s">
        <v>167</v>
      </c>
      <c r="C180" t="s">
        <v>159</v>
      </c>
      <c r="O180" s="54">
        <v>0.6</v>
      </c>
      <c r="P180" s="54">
        <v>0.6</v>
      </c>
      <c r="Q180" s="54">
        <f>$P$180</f>
        <v>0.6</v>
      </c>
      <c r="R180" s="54">
        <f t="shared" ref="R180:BA180" si="79">$P$180</f>
        <v>0.6</v>
      </c>
      <c r="S180" s="54">
        <f t="shared" si="79"/>
        <v>0.6</v>
      </c>
      <c r="T180" s="54">
        <f t="shared" si="79"/>
        <v>0.6</v>
      </c>
      <c r="U180" s="54">
        <f t="shared" si="79"/>
        <v>0.6</v>
      </c>
      <c r="V180" s="54">
        <f t="shared" si="79"/>
        <v>0.6</v>
      </c>
      <c r="W180" s="54">
        <f t="shared" si="79"/>
        <v>0.6</v>
      </c>
      <c r="X180" s="54">
        <f t="shared" si="79"/>
        <v>0.6</v>
      </c>
      <c r="Y180" s="54">
        <f t="shared" si="79"/>
        <v>0.6</v>
      </c>
      <c r="Z180" s="54">
        <f t="shared" si="79"/>
        <v>0.6</v>
      </c>
      <c r="AA180" s="54">
        <f t="shared" si="79"/>
        <v>0.6</v>
      </c>
      <c r="AB180" s="54">
        <f t="shared" si="79"/>
        <v>0.6</v>
      </c>
      <c r="AC180" s="54">
        <f t="shared" si="79"/>
        <v>0.6</v>
      </c>
      <c r="AD180" s="54">
        <f t="shared" si="79"/>
        <v>0.6</v>
      </c>
      <c r="AE180" s="54">
        <f t="shared" si="79"/>
        <v>0.6</v>
      </c>
      <c r="AF180" s="54">
        <f t="shared" si="79"/>
        <v>0.6</v>
      </c>
      <c r="AG180" s="54">
        <f t="shared" si="79"/>
        <v>0.6</v>
      </c>
      <c r="AH180" s="54">
        <f t="shared" si="79"/>
        <v>0.6</v>
      </c>
      <c r="AI180" s="54">
        <f t="shared" si="79"/>
        <v>0.6</v>
      </c>
      <c r="AJ180" s="54">
        <f t="shared" si="79"/>
        <v>0.6</v>
      </c>
      <c r="AK180" s="54">
        <f t="shared" si="79"/>
        <v>0.6</v>
      </c>
      <c r="AL180" s="54">
        <f t="shared" si="79"/>
        <v>0.6</v>
      </c>
      <c r="AM180" s="54">
        <f t="shared" si="79"/>
        <v>0.6</v>
      </c>
      <c r="AN180" s="54">
        <f t="shared" si="79"/>
        <v>0.6</v>
      </c>
      <c r="AO180" s="54">
        <f t="shared" si="79"/>
        <v>0.6</v>
      </c>
      <c r="AP180" s="54">
        <f t="shared" si="79"/>
        <v>0.6</v>
      </c>
      <c r="AQ180" s="54">
        <f t="shared" si="79"/>
        <v>0.6</v>
      </c>
      <c r="AR180" s="54">
        <f t="shared" si="79"/>
        <v>0.6</v>
      </c>
      <c r="AS180" s="54">
        <f t="shared" si="79"/>
        <v>0.6</v>
      </c>
      <c r="AT180" s="54">
        <f t="shared" si="79"/>
        <v>0.6</v>
      </c>
      <c r="AU180" s="54">
        <f t="shared" si="79"/>
        <v>0.6</v>
      </c>
      <c r="AV180" s="54">
        <f t="shared" si="79"/>
        <v>0.6</v>
      </c>
      <c r="AW180" s="54">
        <f t="shared" si="79"/>
        <v>0.6</v>
      </c>
      <c r="AX180" s="54">
        <f t="shared" si="79"/>
        <v>0.6</v>
      </c>
      <c r="AY180" s="54">
        <f t="shared" si="79"/>
        <v>0.6</v>
      </c>
      <c r="AZ180" s="54">
        <f t="shared" si="79"/>
        <v>0.6</v>
      </c>
      <c r="BA180" s="54">
        <f t="shared" si="79"/>
        <v>0.6</v>
      </c>
    </row>
    <row r="181" spans="2:53" x14ac:dyDescent="0.3">
      <c r="B181" t="s">
        <v>167</v>
      </c>
      <c r="C181" t="s">
        <v>160</v>
      </c>
      <c r="O181" s="54">
        <v>0.33</v>
      </c>
      <c r="P181" s="54">
        <v>0.33</v>
      </c>
      <c r="Q181" s="54">
        <f>$P$181</f>
        <v>0.33</v>
      </c>
      <c r="R181" s="54">
        <f t="shared" ref="R181:BA181" si="80">$P$181</f>
        <v>0.33</v>
      </c>
      <c r="S181" s="54">
        <f t="shared" si="80"/>
        <v>0.33</v>
      </c>
      <c r="T181" s="54">
        <f t="shared" si="80"/>
        <v>0.33</v>
      </c>
      <c r="U181" s="54">
        <f t="shared" si="80"/>
        <v>0.33</v>
      </c>
      <c r="V181" s="54">
        <f t="shared" si="80"/>
        <v>0.33</v>
      </c>
      <c r="W181" s="54">
        <f t="shared" si="80"/>
        <v>0.33</v>
      </c>
      <c r="X181" s="54">
        <f t="shared" si="80"/>
        <v>0.33</v>
      </c>
      <c r="Y181" s="54">
        <f t="shared" si="80"/>
        <v>0.33</v>
      </c>
      <c r="Z181" s="54">
        <f t="shared" si="80"/>
        <v>0.33</v>
      </c>
      <c r="AA181" s="54">
        <f t="shared" si="80"/>
        <v>0.33</v>
      </c>
      <c r="AB181" s="54">
        <f t="shared" si="80"/>
        <v>0.33</v>
      </c>
      <c r="AC181" s="54">
        <f t="shared" si="80"/>
        <v>0.33</v>
      </c>
      <c r="AD181" s="54">
        <f t="shared" si="80"/>
        <v>0.33</v>
      </c>
      <c r="AE181" s="54">
        <f t="shared" si="80"/>
        <v>0.33</v>
      </c>
      <c r="AF181" s="54">
        <f t="shared" si="80"/>
        <v>0.33</v>
      </c>
      <c r="AG181" s="54">
        <f t="shared" si="80"/>
        <v>0.33</v>
      </c>
      <c r="AH181" s="54">
        <f t="shared" si="80"/>
        <v>0.33</v>
      </c>
      <c r="AI181" s="54">
        <f t="shared" si="80"/>
        <v>0.33</v>
      </c>
      <c r="AJ181" s="54">
        <f t="shared" si="80"/>
        <v>0.33</v>
      </c>
      <c r="AK181" s="54">
        <f t="shared" si="80"/>
        <v>0.33</v>
      </c>
      <c r="AL181" s="54">
        <f t="shared" si="80"/>
        <v>0.33</v>
      </c>
      <c r="AM181" s="54">
        <f t="shared" si="80"/>
        <v>0.33</v>
      </c>
      <c r="AN181" s="54">
        <f t="shared" si="80"/>
        <v>0.33</v>
      </c>
      <c r="AO181" s="54">
        <f t="shared" si="80"/>
        <v>0.33</v>
      </c>
      <c r="AP181" s="54">
        <f t="shared" si="80"/>
        <v>0.33</v>
      </c>
      <c r="AQ181" s="54">
        <f t="shared" si="80"/>
        <v>0.33</v>
      </c>
      <c r="AR181" s="54">
        <f t="shared" si="80"/>
        <v>0.33</v>
      </c>
      <c r="AS181" s="54">
        <f t="shared" si="80"/>
        <v>0.33</v>
      </c>
      <c r="AT181" s="54">
        <f t="shared" si="80"/>
        <v>0.33</v>
      </c>
      <c r="AU181" s="54">
        <f t="shared" si="80"/>
        <v>0.33</v>
      </c>
      <c r="AV181" s="54">
        <f t="shared" si="80"/>
        <v>0.33</v>
      </c>
      <c r="AW181" s="54">
        <f t="shared" si="80"/>
        <v>0.33</v>
      </c>
      <c r="AX181" s="54">
        <f t="shared" si="80"/>
        <v>0.33</v>
      </c>
      <c r="AY181" s="54">
        <f t="shared" si="80"/>
        <v>0.33</v>
      </c>
      <c r="AZ181" s="54">
        <f t="shared" si="80"/>
        <v>0.33</v>
      </c>
      <c r="BA181" s="54">
        <f t="shared" si="80"/>
        <v>0.33</v>
      </c>
    </row>
    <row r="182" spans="2:53" x14ac:dyDescent="0.3">
      <c r="B182" t="s">
        <v>167</v>
      </c>
      <c r="C182" t="s">
        <v>161</v>
      </c>
      <c r="O182" s="54">
        <v>0.25</v>
      </c>
      <c r="P182" s="54">
        <v>0.25</v>
      </c>
      <c r="Q182" s="54">
        <f>$P$182</f>
        <v>0.25</v>
      </c>
      <c r="R182" s="54">
        <f t="shared" ref="R182:BA182" si="81">$P$182</f>
        <v>0.25</v>
      </c>
      <c r="S182" s="54">
        <f t="shared" si="81"/>
        <v>0.25</v>
      </c>
      <c r="T182" s="54">
        <f t="shared" si="81"/>
        <v>0.25</v>
      </c>
      <c r="U182" s="54">
        <f t="shared" si="81"/>
        <v>0.25</v>
      </c>
      <c r="V182" s="54">
        <f t="shared" si="81"/>
        <v>0.25</v>
      </c>
      <c r="W182" s="54">
        <f t="shared" si="81"/>
        <v>0.25</v>
      </c>
      <c r="X182" s="54">
        <f t="shared" si="81"/>
        <v>0.25</v>
      </c>
      <c r="Y182" s="54">
        <f t="shared" si="81"/>
        <v>0.25</v>
      </c>
      <c r="Z182" s="54">
        <f t="shared" si="81"/>
        <v>0.25</v>
      </c>
      <c r="AA182" s="54">
        <f t="shared" si="81"/>
        <v>0.25</v>
      </c>
      <c r="AB182" s="54">
        <f t="shared" si="81"/>
        <v>0.25</v>
      </c>
      <c r="AC182" s="54">
        <f t="shared" si="81"/>
        <v>0.25</v>
      </c>
      <c r="AD182" s="54">
        <f t="shared" si="81"/>
        <v>0.25</v>
      </c>
      <c r="AE182" s="54">
        <f t="shared" si="81"/>
        <v>0.25</v>
      </c>
      <c r="AF182" s="54">
        <f t="shared" si="81"/>
        <v>0.25</v>
      </c>
      <c r="AG182" s="54">
        <f t="shared" si="81"/>
        <v>0.25</v>
      </c>
      <c r="AH182" s="54">
        <f t="shared" si="81"/>
        <v>0.25</v>
      </c>
      <c r="AI182" s="54">
        <f t="shared" si="81"/>
        <v>0.25</v>
      </c>
      <c r="AJ182" s="54">
        <f t="shared" si="81"/>
        <v>0.25</v>
      </c>
      <c r="AK182" s="54">
        <f t="shared" si="81"/>
        <v>0.25</v>
      </c>
      <c r="AL182" s="54">
        <f t="shared" si="81"/>
        <v>0.25</v>
      </c>
      <c r="AM182" s="54">
        <f t="shared" si="81"/>
        <v>0.25</v>
      </c>
      <c r="AN182" s="54">
        <f t="shared" si="81"/>
        <v>0.25</v>
      </c>
      <c r="AO182" s="54">
        <f t="shared" si="81"/>
        <v>0.25</v>
      </c>
      <c r="AP182" s="54">
        <f t="shared" si="81"/>
        <v>0.25</v>
      </c>
      <c r="AQ182" s="54">
        <f t="shared" si="81"/>
        <v>0.25</v>
      </c>
      <c r="AR182" s="54">
        <f t="shared" si="81"/>
        <v>0.25</v>
      </c>
      <c r="AS182" s="54">
        <f t="shared" si="81"/>
        <v>0.25</v>
      </c>
      <c r="AT182" s="54">
        <f t="shared" si="81"/>
        <v>0.25</v>
      </c>
      <c r="AU182" s="54">
        <f t="shared" si="81"/>
        <v>0.25</v>
      </c>
      <c r="AV182" s="54">
        <f t="shared" si="81"/>
        <v>0.25</v>
      </c>
      <c r="AW182" s="54">
        <f t="shared" si="81"/>
        <v>0.25</v>
      </c>
      <c r="AX182" s="54">
        <f t="shared" si="81"/>
        <v>0.25</v>
      </c>
      <c r="AY182" s="54">
        <f t="shared" si="81"/>
        <v>0.25</v>
      </c>
      <c r="AZ182" s="54">
        <f t="shared" si="81"/>
        <v>0.25</v>
      </c>
      <c r="BA182" s="54">
        <f t="shared" si="81"/>
        <v>0.25</v>
      </c>
    </row>
    <row r="184" spans="2:53" x14ac:dyDescent="0.3">
      <c r="B184" t="s">
        <v>168</v>
      </c>
      <c r="C184" t="s">
        <v>156</v>
      </c>
      <c r="O184" s="56">
        <f>MIN(1,O170)*O163+(1-MIN(1,O170))*O177</f>
        <v>0.75</v>
      </c>
      <c r="P184" s="56">
        <f>MIN(1,P170)*P163+(1-MIN(1,P170))*P177</f>
        <v>0.72418880312023248</v>
      </c>
      <c r="Q184" s="56">
        <f>MIN(1,Q170)*Q163+(1-MIN(1,Q170))*Q177</f>
        <v>0.72418880312023248</v>
      </c>
      <c r="R184" s="56">
        <f t="shared" ref="R184:BA189" si="82">MIN(1,R170)*R163+(1-MIN(1,R170))*R177</f>
        <v>0.72418880312023248</v>
      </c>
      <c r="S184" s="56">
        <f t="shared" si="82"/>
        <v>0.72418880312023248</v>
      </c>
      <c r="T184" s="56">
        <f t="shared" si="82"/>
        <v>0.72418880312023248</v>
      </c>
      <c r="U184" s="56">
        <f t="shared" si="82"/>
        <v>0.70950598214696203</v>
      </c>
      <c r="V184" s="56">
        <f t="shared" si="82"/>
        <v>0.59441184669748415</v>
      </c>
      <c r="W184" s="56">
        <f t="shared" si="82"/>
        <v>0.45672799610836934</v>
      </c>
      <c r="X184" s="56">
        <f t="shared" si="82"/>
        <v>0.45574934196019845</v>
      </c>
      <c r="Y184" s="56">
        <f t="shared" si="82"/>
        <v>0.4556127814718483</v>
      </c>
      <c r="Z184" s="56">
        <f t="shared" si="82"/>
        <v>0.44805010496960956</v>
      </c>
      <c r="AA184" s="56">
        <f t="shared" si="82"/>
        <v>0.47241101366221572</v>
      </c>
      <c r="AB184" s="56">
        <f t="shared" si="82"/>
        <v>0.56124497875718682</v>
      </c>
      <c r="AC184" s="56">
        <f t="shared" si="82"/>
        <v>0.4403000733277096</v>
      </c>
      <c r="AD184" s="56">
        <f t="shared" si="82"/>
        <v>0.44874262358823513</v>
      </c>
      <c r="AE184" s="56">
        <f t="shared" si="82"/>
        <v>0.44228969863367185</v>
      </c>
      <c r="AF184" s="56">
        <f t="shared" si="82"/>
        <v>0.44874262358823513</v>
      </c>
      <c r="AG184" s="56">
        <f t="shared" si="82"/>
        <v>0.43800969097870335</v>
      </c>
      <c r="AH184" s="56">
        <f t="shared" si="82"/>
        <v>0.49551172352893041</v>
      </c>
      <c r="AI184" s="56">
        <f t="shared" si="82"/>
        <v>0.42978693528999112</v>
      </c>
      <c r="AJ184" s="56">
        <f t="shared" si="82"/>
        <v>0.42986982583522698</v>
      </c>
      <c r="AK184" s="56">
        <f t="shared" si="82"/>
        <v>0.50602766716070968</v>
      </c>
      <c r="AL184" s="56">
        <f t="shared" si="82"/>
        <v>0.42532658161885839</v>
      </c>
      <c r="AM184" s="56">
        <f t="shared" si="82"/>
        <v>0.42532658161885839</v>
      </c>
      <c r="AN184" s="56">
        <f t="shared" si="82"/>
        <v>0.39858742537076147</v>
      </c>
      <c r="AO184" s="56">
        <f t="shared" si="82"/>
        <v>0.3898831193904212</v>
      </c>
      <c r="AP184" s="56">
        <f t="shared" si="82"/>
        <v>0.39669955978459803</v>
      </c>
      <c r="AQ184" s="56">
        <f t="shared" si="82"/>
        <v>0.42168124981496102</v>
      </c>
      <c r="AR184" s="56">
        <f t="shared" si="82"/>
        <v>0.39669955978459798</v>
      </c>
      <c r="AS184" s="56">
        <f t="shared" si="82"/>
        <v>0.38836860096874487</v>
      </c>
      <c r="AT184" s="56">
        <f t="shared" si="82"/>
        <v>0.40544219983407315</v>
      </c>
      <c r="AU184" s="56">
        <f t="shared" si="82"/>
        <v>0.38561696711890209</v>
      </c>
      <c r="AV184" s="56">
        <f t="shared" si="82"/>
        <v>0.38844174602895648</v>
      </c>
      <c r="AW184" s="56">
        <f t="shared" si="82"/>
        <v>0.47044474053153029</v>
      </c>
      <c r="AX184" s="56">
        <f t="shared" si="82"/>
        <v>0.39251056847275556</v>
      </c>
      <c r="AY184" s="56">
        <f t="shared" si="82"/>
        <v>0.42480591044304911</v>
      </c>
      <c r="AZ184" s="56">
        <f t="shared" si="82"/>
        <v>0.37930569732548214</v>
      </c>
      <c r="BA184" s="56">
        <f t="shared" si="82"/>
        <v>0.3523433426157771</v>
      </c>
    </row>
    <row r="185" spans="2:53" x14ac:dyDescent="0.3">
      <c r="B185" t="s">
        <v>168</v>
      </c>
      <c r="C185" t="s">
        <v>157</v>
      </c>
      <c r="O185" s="56">
        <f t="shared" ref="O185:Q189" si="83">MIN(1,O171)*O164+(1-MIN(1,O171))*O178</f>
        <v>0.35</v>
      </c>
      <c r="P185" s="56">
        <f t="shared" si="83"/>
        <v>0.35</v>
      </c>
      <c r="Q185" s="56">
        <f t="shared" si="83"/>
        <v>0.35</v>
      </c>
      <c r="R185" s="56">
        <f t="shared" si="82"/>
        <v>0.35</v>
      </c>
      <c r="S185" s="56">
        <f t="shared" si="82"/>
        <v>0.35</v>
      </c>
      <c r="T185" s="56">
        <f t="shared" si="82"/>
        <v>0.35</v>
      </c>
      <c r="U185" s="56">
        <f t="shared" si="82"/>
        <v>0.35011453099740608</v>
      </c>
      <c r="V185" s="56">
        <f t="shared" si="82"/>
        <v>0.33391747468846156</v>
      </c>
      <c r="W185" s="56">
        <f t="shared" si="82"/>
        <v>0.27672799610836929</v>
      </c>
      <c r="X185" s="56">
        <f t="shared" si="82"/>
        <v>0.27574934196019835</v>
      </c>
      <c r="Y185" s="56">
        <f t="shared" si="82"/>
        <v>0.25371982734219528</v>
      </c>
      <c r="Z185" s="56">
        <f t="shared" si="82"/>
        <v>0.26983865916767719</v>
      </c>
      <c r="AA185" s="56">
        <f t="shared" si="82"/>
        <v>0.27314918645380354</v>
      </c>
      <c r="AB185" s="56">
        <f t="shared" si="82"/>
        <v>0.27676597920713836</v>
      </c>
      <c r="AC185" s="56">
        <f t="shared" si="82"/>
        <v>0.2603000733277096</v>
      </c>
      <c r="AD185" s="56">
        <f t="shared" si="82"/>
        <v>0.26874262358823509</v>
      </c>
      <c r="AE185" s="56">
        <f t="shared" si="82"/>
        <v>0.26046640263937948</v>
      </c>
      <c r="AF185" s="56">
        <f t="shared" si="82"/>
        <v>0.26874262358823509</v>
      </c>
      <c r="AG185" s="56">
        <f t="shared" si="82"/>
        <v>0.31018104509206629</v>
      </c>
      <c r="AH185" s="56">
        <f t="shared" si="82"/>
        <v>0.29536339011010848</v>
      </c>
      <c r="AI185" s="56">
        <f t="shared" si="82"/>
        <v>0.24260046391968756</v>
      </c>
      <c r="AJ185" s="56">
        <f t="shared" si="82"/>
        <v>0.27435050800408695</v>
      </c>
      <c r="AK185" s="56">
        <f t="shared" si="82"/>
        <v>0.26467850389669689</v>
      </c>
      <c r="AL185" s="56">
        <f t="shared" si="82"/>
        <v>0.24532658161885834</v>
      </c>
      <c r="AM185" s="56">
        <f t="shared" si="82"/>
        <v>0.24532658161885831</v>
      </c>
      <c r="AN185" s="56">
        <f t="shared" si="82"/>
        <v>0.23035962494338952</v>
      </c>
      <c r="AO185" s="56">
        <f t="shared" si="82"/>
        <v>0.22368311939042115</v>
      </c>
      <c r="AP185" s="56">
        <f t="shared" si="82"/>
        <v>0.23049955978459796</v>
      </c>
      <c r="AQ185" s="56">
        <f t="shared" si="82"/>
        <v>0.24405194436516803</v>
      </c>
      <c r="AR185" s="56">
        <f t="shared" si="82"/>
        <v>0.23049955978459796</v>
      </c>
      <c r="AS185" s="56">
        <f t="shared" si="82"/>
        <v>0.24558817336993394</v>
      </c>
      <c r="AT185" s="56">
        <f t="shared" si="82"/>
        <v>0.25751421252615392</v>
      </c>
      <c r="AU185" s="56">
        <f t="shared" si="82"/>
        <v>0.21941696711890205</v>
      </c>
      <c r="AV185" s="56">
        <f t="shared" si="82"/>
        <v>0.25091570569709243</v>
      </c>
      <c r="AW185" s="56">
        <f t="shared" si="82"/>
        <v>0.25196234094883047</v>
      </c>
      <c r="AX185" s="56">
        <f t="shared" si="82"/>
        <v>0.22631056847275552</v>
      </c>
      <c r="AY185" s="56">
        <f t="shared" si="82"/>
        <v>0.23866135777389208</v>
      </c>
      <c r="AZ185" s="56">
        <f t="shared" si="82"/>
        <v>0.20732929239387152</v>
      </c>
      <c r="BA185" s="56">
        <f t="shared" si="82"/>
        <v>0.19856334261577702</v>
      </c>
    </row>
    <row r="186" spans="2:53" x14ac:dyDescent="0.3">
      <c r="B186" t="s">
        <v>168</v>
      </c>
      <c r="C186" t="s">
        <v>158</v>
      </c>
      <c r="O186" s="56">
        <f t="shared" si="83"/>
        <v>0.33333333333333331</v>
      </c>
      <c r="P186" s="56">
        <f t="shared" si="83"/>
        <v>0.33333333333333331</v>
      </c>
      <c r="Q186" s="56">
        <f>MIN(1,Q172)*Q165+(1-MIN(1,Q172))*Q179</f>
        <v>0.33333333333333331</v>
      </c>
      <c r="R186" s="56">
        <f t="shared" si="82"/>
        <v>0.33333333333333331</v>
      </c>
      <c r="S186" s="56">
        <f t="shared" si="82"/>
        <v>0.33333333333333331</v>
      </c>
      <c r="T186" s="56">
        <f t="shared" si="82"/>
        <v>0.36726544550118956</v>
      </c>
      <c r="U186" s="56">
        <f>MIN(1,U172)*U165+(1-MIN(1,U172))*U179</f>
        <v>0.34600616083800706</v>
      </c>
      <c r="V186" s="56">
        <f t="shared" si="82"/>
        <v>0.3288812413569</v>
      </c>
      <c r="W186" s="56">
        <f t="shared" si="82"/>
        <v>0.30878530229392409</v>
      </c>
      <c r="X186" s="56">
        <f t="shared" si="82"/>
        <v>0.30982889255391216</v>
      </c>
      <c r="Y186" s="56">
        <f t="shared" si="82"/>
        <v>0.29744157368403001</v>
      </c>
      <c r="Z186" s="56">
        <f t="shared" si="82"/>
        <v>0.28805010496960959</v>
      </c>
      <c r="AA186" s="56">
        <f t="shared" si="82"/>
        <v>0.29910863768335222</v>
      </c>
      <c r="AB186" s="56">
        <f t="shared" si="82"/>
        <v>0.28702163241365697</v>
      </c>
      <c r="AC186" s="56">
        <f t="shared" si="82"/>
        <v>0.28030007332770956</v>
      </c>
      <c r="AD186" s="56">
        <f t="shared" si="82"/>
        <v>0.28896091258723927</v>
      </c>
      <c r="AE186" s="56">
        <f t="shared" si="82"/>
        <v>0.28689610917657593</v>
      </c>
      <c r="AF186" s="56">
        <f t="shared" si="82"/>
        <v>0.2887426235882351</v>
      </c>
      <c r="AG186" s="56">
        <f t="shared" si="82"/>
        <v>0.28095024937095081</v>
      </c>
      <c r="AH186" s="56">
        <f t="shared" si="82"/>
        <v>0.28978324155370594</v>
      </c>
      <c r="AI186" s="56">
        <f t="shared" si="82"/>
        <v>0.26260046391968761</v>
      </c>
      <c r="AJ186" s="56">
        <f t="shared" si="82"/>
        <v>0.27156165669472382</v>
      </c>
      <c r="AK186" s="56">
        <f t="shared" si="82"/>
        <v>0.27027653690442666</v>
      </c>
      <c r="AL186" s="56">
        <f t="shared" si="82"/>
        <v>0.26532658161885836</v>
      </c>
      <c r="AM186" s="56">
        <f t="shared" si="82"/>
        <v>0.26731833409429789</v>
      </c>
      <c r="AN186" s="56">
        <f t="shared" si="82"/>
        <v>0.26259472916856003</v>
      </c>
      <c r="AO186" s="56">
        <f t="shared" si="82"/>
        <v>0.24488311939042115</v>
      </c>
      <c r="AP186" s="56">
        <f t="shared" si="82"/>
        <v>0.25296319640642823</v>
      </c>
      <c r="AQ186" s="56">
        <f t="shared" si="82"/>
        <v>0.26014294913546321</v>
      </c>
      <c r="AR186" s="56">
        <f t="shared" si="82"/>
        <v>0.25169955978459796</v>
      </c>
      <c r="AS186" s="56">
        <f t="shared" si="82"/>
        <v>0.24263207933564238</v>
      </c>
      <c r="AT186" s="56">
        <f t="shared" si="82"/>
        <v>0.25788628806720532</v>
      </c>
      <c r="AU186" s="56">
        <f t="shared" si="82"/>
        <v>0.24061696711890204</v>
      </c>
      <c r="AV186" s="56">
        <f t="shared" si="82"/>
        <v>0.24344174602895643</v>
      </c>
      <c r="AW186" s="56">
        <f t="shared" si="82"/>
        <v>0.25591561713591005</v>
      </c>
      <c r="AX186" s="56">
        <f t="shared" si="82"/>
        <v>0.24751056847275552</v>
      </c>
      <c r="AY186" s="56">
        <f t="shared" si="82"/>
        <v>0.24830916603871364</v>
      </c>
      <c r="AZ186" s="56">
        <f t="shared" si="82"/>
        <v>0.21785547810725447</v>
      </c>
      <c r="BA186" s="56">
        <f t="shared" si="82"/>
        <v>0.22084334261577701</v>
      </c>
    </row>
    <row r="187" spans="2:53" x14ac:dyDescent="0.3">
      <c r="B187" t="s">
        <v>168</v>
      </c>
      <c r="C187" t="s">
        <v>159</v>
      </c>
      <c r="O187" s="56">
        <f t="shared" si="83"/>
        <v>0.6</v>
      </c>
      <c r="P187" s="56">
        <f t="shared" si="83"/>
        <v>0.6</v>
      </c>
      <c r="Q187" s="56">
        <f t="shared" si="83"/>
        <v>0.6</v>
      </c>
      <c r="R187" s="56">
        <f t="shared" si="82"/>
        <v>0.6</v>
      </c>
      <c r="S187" s="56">
        <f t="shared" si="82"/>
        <v>0.6</v>
      </c>
      <c r="T187" s="56">
        <f t="shared" si="82"/>
        <v>0.66545388528813665</v>
      </c>
      <c r="U187" s="56">
        <f t="shared" si="82"/>
        <v>0.48152201957415686</v>
      </c>
      <c r="V187" s="56">
        <f t="shared" si="82"/>
        <v>0.43583115845251474</v>
      </c>
      <c r="W187" s="56">
        <f t="shared" si="82"/>
        <v>0.44160623192291137</v>
      </c>
      <c r="X187" s="56">
        <f t="shared" si="82"/>
        <v>0.40574934196019835</v>
      </c>
      <c r="Y187" s="56">
        <f t="shared" si="82"/>
        <v>0.54470459969511442</v>
      </c>
      <c r="Z187" s="56">
        <f t="shared" si="82"/>
        <v>0.39805010496960952</v>
      </c>
      <c r="AA187" s="56">
        <f t="shared" si="82"/>
        <v>0.39805010496960952</v>
      </c>
      <c r="AB187" s="56">
        <f t="shared" si="82"/>
        <v>0.43741629644929358</v>
      </c>
      <c r="AC187" s="56">
        <f t="shared" si="82"/>
        <v>0.39030007332770961</v>
      </c>
      <c r="AD187" s="56">
        <f t="shared" si="82"/>
        <v>0.42656307675654109</v>
      </c>
      <c r="AE187" s="56">
        <f t="shared" si="82"/>
        <v>0.42732442165536272</v>
      </c>
      <c r="AF187" s="56">
        <f t="shared" si="82"/>
        <v>0.39874262358823509</v>
      </c>
      <c r="AG187" s="56">
        <f t="shared" si="82"/>
        <v>0.3880096909787033</v>
      </c>
      <c r="AH187" s="56">
        <f t="shared" si="82"/>
        <v>0.38402833339486536</v>
      </c>
      <c r="AI187" s="56">
        <f t="shared" si="82"/>
        <v>0.38649572808297505</v>
      </c>
      <c r="AJ187" s="56">
        <f t="shared" si="82"/>
        <v>0.37986982583522688</v>
      </c>
      <c r="AK187" s="56">
        <f t="shared" si="82"/>
        <v>0.395928735423483</v>
      </c>
      <c r="AL187" s="56">
        <f t="shared" si="82"/>
        <v>0.37532658161885835</v>
      </c>
      <c r="AM187" s="56">
        <f t="shared" si="82"/>
        <v>0.37532658161885835</v>
      </c>
      <c r="AN187" s="56">
        <f t="shared" si="82"/>
        <v>0.45168441948891486</v>
      </c>
      <c r="AO187" s="56">
        <f t="shared" si="82"/>
        <v>0.34537529068107164</v>
      </c>
      <c r="AP187" s="56">
        <f t="shared" si="82"/>
        <v>0.37755870451926188</v>
      </c>
      <c r="AQ187" s="56">
        <f t="shared" si="82"/>
        <v>0.38128714049093676</v>
      </c>
      <c r="AR187" s="56">
        <f t="shared" si="82"/>
        <v>0.35219173107524848</v>
      </c>
      <c r="AS187" s="56">
        <f t="shared" si="82"/>
        <v>0.34189717723663982</v>
      </c>
      <c r="AT187" s="56">
        <f t="shared" si="82"/>
        <v>0.34272861644599306</v>
      </c>
      <c r="AU187" s="56">
        <f t="shared" si="82"/>
        <v>0.35339477857627638</v>
      </c>
      <c r="AV187" s="56">
        <f t="shared" si="82"/>
        <v>0.34393391731960687</v>
      </c>
      <c r="AW187" s="56">
        <f t="shared" si="82"/>
        <v>0.36436420722193102</v>
      </c>
      <c r="AX187" s="56">
        <f t="shared" si="82"/>
        <v>0.34800273976340595</v>
      </c>
      <c r="AY187" s="56">
        <f t="shared" si="82"/>
        <v>0.34800273976340601</v>
      </c>
      <c r="AZ187" s="56">
        <f t="shared" si="82"/>
        <v>0.30376301267590033</v>
      </c>
      <c r="BA187" s="56">
        <f t="shared" si="82"/>
        <v>0.30783551390642749</v>
      </c>
    </row>
    <row r="188" spans="2:53" x14ac:dyDescent="0.3">
      <c r="B188" t="s">
        <v>168</v>
      </c>
      <c r="C188" t="s">
        <v>160</v>
      </c>
      <c r="O188" s="56">
        <f t="shared" si="83"/>
        <v>0.33</v>
      </c>
      <c r="P188" s="56">
        <f t="shared" si="83"/>
        <v>0.33</v>
      </c>
      <c r="Q188" s="56">
        <f t="shared" si="83"/>
        <v>0.33</v>
      </c>
      <c r="R188" s="56">
        <f t="shared" si="82"/>
        <v>0.33</v>
      </c>
      <c r="S188" s="56">
        <f t="shared" si="82"/>
        <v>0.33</v>
      </c>
      <c r="T188" s="56">
        <f t="shared" si="82"/>
        <v>0.55619508374352389</v>
      </c>
      <c r="U188" s="56">
        <f t="shared" si="82"/>
        <v>0.33</v>
      </c>
      <c r="V188" s="56">
        <f t="shared" si="82"/>
        <v>0.33</v>
      </c>
      <c r="W188" s="56">
        <f t="shared" si="82"/>
        <v>0.33</v>
      </c>
      <c r="X188" s="56">
        <f t="shared" si="82"/>
        <v>0.33</v>
      </c>
      <c r="Y188" s="56">
        <f t="shared" si="82"/>
        <v>0.33</v>
      </c>
      <c r="Z188" s="56">
        <f t="shared" si="82"/>
        <v>0.26005010496960951</v>
      </c>
      <c r="AA188" s="56">
        <f t="shared" si="82"/>
        <v>0.26005010496960951</v>
      </c>
      <c r="AB188" s="56">
        <f t="shared" si="82"/>
        <v>0.33</v>
      </c>
      <c r="AC188" s="56">
        <f t="shared" si="82"/>
        <v>0.33</v>
      </c>
      <c r="AD188" s="56">
        <f t="shared" si="82"/>
        <v>0.33</v>
      </c>
      <c r="AE188" s="56">
        <f t="shared" si="82"/>
        <v>0.33</v>
      </c>
      <c r="AF188" s="56">
        <f t="shared" si="82"/>
        <v>0.33</v>
      </c>
      <c r="AG188" s="56">
        <f t="shared" si="82"/>
        <v>0.33</v>
      </c>
      <c r="AH188" s="56">
        <f t="shared" si="82"/>
        <v>0.33</v>
      </c>
      <c r="AI188" s="56">
        <f t="shared" si="82"/>
        <v>0.33</v>
      </c>
      <c r="AJ188" s="56">
        <f t="shared" si="82"/>
        <v>0.33</v>
      </c>
      <c r="AK188" s="56">
        <f t="shared" si="82"/>
        <v>0.33</v>
      </c>
      <c r="AL188" s="56">
        <f t="shared" si="82"/>
        <v>0.33</v>
      </c>
      <c r="AM188" s="56">
        <f t="shared" si="82"/>
        <v>0.33</v>
      </c>
      <c r="AN188" s="56">
        <f t="shared" si="82"/>
        <v>0.33</v>
      </c>
      <c r="AO188" s="56">
        <f t="shared" si="82"/>
        <v>0.33</v>
      </c>
      <c r="AP188" s="56">
        <f t="shared" si="82"/>
        <v>0.33</v>
      </c>
      <c r="AQ188" s="56">
        <f t="shared" si="82"/>
        <v>0.33</v>
      </c>
      <c r="AR188" s="56">
        <f t="shared" si="82"/>
        <v>0.33</v>
      </c>
      <c r="AS188" s="56">
        <f t="shared" si="82"/>
        <v>0.33</v>
      </c>
      <c r="AT188" s="56">
        <f t="shared" si="82"/>
        <v>0.33</v>
      </c>
      <c r="AU188" s="56">
        <f t="shared" si="82"/>
        <v>0.33</v>
      </c>
      <c r="AV188" s="56">
        <f t="shared" si="82"/>
        <v>0.33</v>
      </c>
      <c r="AW188" s="56">
        <f t="shared" si="82"/>
        <v>0.33</v>
      </c>
      <c r="AX188" s="56">
        <f t="shared" si="82"/>
        <v>0.33</v>
      </c>
      <c r="AY188" s="56">
        <f t="shared" si="82"/>
        <v>0.33</v>
      </c>
      <c r="AZ188" s="56">
        <f t="shared" si="82"/>
        <v>0.33</v>
      </c>
      <c r="BA188" s="56">
        <f t="shared" si="82"/>
        <v>0.33</v>
      </c>
    </row>
    <row r="189" spans="2:53" x14ac:dyDescent="0.3">
      <c r="B189" t="s">
        <v>168</v>
      </c>
      <c r="C189" t="s">
        <v>161</v>
      </c>
      <c r="O189" s="56">
        <f t="shared" si="83"/>
        <v>0.25</v>
      </c>
      <c r="P189" s="56">
        <f t="shared" si="83"/>
        <v>0.25</v>
      </c>
      <c r="Q189" s="56">
        <f t="shared" si="83"/>
        <v>0.25</v>
      </c>
      <c r="R189" s="56">
        <f t="shared" si="82"/>
        <v>0.25</v>
      </c>
      <c r="S189" s="56">
        <f t="shared" si="82"/>
        <v>0.25</v>
      </c>
      <c r="T189" s="56">
        <f t="shared" si="82"/>
        <v>0.25</v>
      </c>
      <c r="U189" s="56">
        <f t="shared" si="82"/>
        <v>0.25</v>
      </c>
      <c r="V189" s="56">
        <f t="shared" si="82"/>
        <v>0.25</v>
      </c>
      <c r="W189" s="56">
        <f t="shared" si="82"/>
        <v>0.25</v>
      </c>
      <c r="X189" s="56">
        <f t="shared" si="82"/>
        <v>0.25</v>
      </c>
      <c r="Y189" s="56">
        <f t="shared" si="82"/>
        <v>0.25</v>
      </c>
      <c r="Z189" s="56">
        <f t="shared" si="82"/>
        <v>0.25</v>
      </c>
      <c r="AA189" s="56">
        <f t="shared" si="82"/>
        <v>0.25</v>
      </c>
      <c r="AB189" s="56">
        <f t="shared" si="82"/>
        <v>0.25</v>
      </c>
      <c r="AC189" s="56">
        <f t="shared" si="82"/>
        <v>0.25</v>
      </c>
      <c r="AD189" s="56">
        <f t="shared" si="82"/>
        <v>0.25</v>
      </c>
      <c r="AE189" s="56">
        <f t="shared" si="82"/>
        <v>0.25</v>
      </c>
      <c r="AF189" s="56">
        <f t="shared" si="82"/>
        <v>0.25</v>
      </c>
      <c r="AG189" s="56">
        <f t="shared" si="82"/>
        <v>0.25</v>
      </c>
      <c r="AH189" s="56">
        <f t="shared" si="82"/>
        <v>0.25</v>
      </c>
      <c r="AI189" s="56">
        <f t="shared" si="82"/>
        <v>0.25</v>
      </c>
      <c r="AJ189" s="56">
        <f t="shared" si="82"/>
        <v>0.25</v>
      </c>
      <c r="AK189" s="56">
        <f t="shared" si="82"/>
        <v>0.25</v>
      </c>
      <c r="AL189" s="56">
        <f t="shared" si="82"/>
        <v>0.25</v>
      </c>
      <c r="AM189" s="56">
        <f t="shared" si="82"/>
        <v>0.25</v>
      </c>
      <c r="AN189" s="56">
        <f t="shared" si="82"/>
        <v>0.25</v>
      </c>
      <c r="AO189" s="56">
        <f t="shared" si="82"/>
        <v>0.25</v>
      </c>
      <c r="AP189" s="56">
        <f t="shared" si="82"/>
        <v>0.25</v>
      </c>
      <c r="AQ189" s="56">
        <f t="shared" si="82"/>
        <v>0.25</v>
      </c>
      <c r="AR189" s="56">
        <f t="shared" si="82"/>
        <v>0.25</v>
      </c>
      <c r="AS189" s="56">
        <f t="shared" si="82"/>
        <v>0.25</v>
      </c>
      <c r="AT189" s="56">
        <f t="shared" si="82"/>
        <v>0.25</v>
      </c>
      <c r="AU189" s="56">
        <f t="shared" si="82"/>
        <v>0.25</v>
      </c>
      <c r="AV189" s="56">
        <f t="shared" si="82"/>
        <v>0.25</v>
      </c>
      <c r="AW189" s="56">
        <f t="shared" si="82"/>
        <v>0.25</v>
      </c>
      <c r="AX189" s="56">
        <f t="shared" si="82"/>
        <v>0.25</v>
      </c>
      <c r="AY189" s="56">
        <f t="shared" si="82"/>
        <v>0.25</v>
      </c>
      <c r="AZ189" s="56">
        <f t="shared" si="82"/>
        <v>0.25</v>
      </c>
      <c r="BA189" s="56">
        <f t="shared" si="82"/>
        <v>0.25</v>
      </c>
    </row>
    <row r="191" spans="2:53" x14ac:dyDescent="0.3">
      <c r="B191" s="3" t="s">
        <v>169</v>
      </c>
      <c r="Q191" s="56"/>
    </row>
    <row r="192" spans="2:53" x14ac:dyDescent="0.3">
      <c r="C192" t="s">
        <v>170</v>
      </c>
    </row>
    <row r="193" spans="3:53" x14ac:dyDescent="0.3">
      <c r="C193" s="50" t="s">
        <v>156</v>
      </c>
      <c r="P193">
        <f>P144</f>
        <v>0</v>
      </c>
      <c r="Q193" s="51">
        <f>Q144</f>
        <v>0</v>
      </c>
      <c r="R193" s="51">
        <f t="shared" ref="R193:BA198" si="84">R144</f>
        <v>0</v>
      </c>
      <c r="S193" s="51">
        <f t="shared" si="84"/>
        <v>0</v>
      </c>
      <c r="T193" s="51">
        <f>T144</f>
        <v>77963.454746351228</v>
      </c>
      <c r="U193" s="51">
        <f>U144</f>
        <v>608106.26409525704</v>
      </c>
      <c r="V193" s="51">
        <f t="shared" si="84"/>
        <v>1123121.8437093298</v>
      </c>
      <c r="W193" s="51">
        <f t="shared" si="84"/>
        <v>1214037.7490585204</v>
      </c>
      <c r="X193" s="51">
        <f t="shared" si="84"/>
        <v>1080040.830715663</v>
      </c>
      <c r="Y193" s="51">
        <f t="shared" si="84"/>
        <v>989933.97965232329</v>
      </c>
      <c r="Z193" s="51">
        <f t="shared" si="84"/>
        <v>783221.40466149349</v>
      </c>
      <c r="AA193" s="51">
        <f t="shared" si="84"/>
        <v>844018.68326861609</v>
      </c>
      <c r="AB193" s="51">
        <f t="shared" si="84"/>
        <v>1719794.6384737873</v>
      </c>
      <c r="AC193" s="51">
        <f t="shared" si="84"/>
        <v>1446915.3288255564</v>
      </c>
      <c r="AD193" s="51">
        <f t="shared" si="84"/>
        <v>1191992.8686123476</v>
      </c>
      <c r="AE193" s="51">
        <f t="shared" si="84"/>
        <v>1615501.1238491419</v>
      </c>
      <c r="AF193" s="51">
        <f t="shared" si="84"/>
        <v>1144074.8963308432</v>
      </c>
      <c r="AG193" s="51">
        <f t="shared" si="84"/>
        <v>984802.11976024904</v>
      </c>
      <c r="AH193" s="51">
        <f t="shared" si="84"/>
        <v>1072984.2172445457</v>
      </c>
      <c r="AI193" s="51">
        <f t="shared" si="84"/>
        <v>1288048.3184746932</v>
      </c>
      <c r="AJ193" s="51">
        <f t="shared" si="84"/>
        <v>925826.67499198299</v>
      </c>
      <c r="AK193" s="51">
        <f t="shared" si="84"/>
        <v>1694579.7238764397</v>
      </c>
      <c r="AL193" s="51">
        <f t="shared" si="84"/>
        <v>1252757.3399943777</v>
      </c>
      <c r="AM193" s="51">
        <f t="shared" si="84"/>
        <v>1283323.1897891925</v>
      </c>
      <c r="AN193" s="51">
        <f t="shared" si="84"/>
        <v>1561039.4867851448</v>
      </c>
      <c r="AO193" s="51">
        <f t="shared" si="84"/>
        <v>1446516.2363996941</v>
      </c>
      <c r="AP193" s="51">
        <f t="shared" si="84"/>
        <v>1246366.4582874356</v>
      </c>
      <c r="AQ193" s="51">
        <f t="shared" si="84"/>
        <v>1618821.41411378</v>
      </c>
      <c r="AR193" s="51">
        <f t="shared" si="84"/>
        <v>1223040.99413796</v>
      </c>
      <c r="AS193" s="51">
        <f t="shared" si="84"/>
        <v>1342577.8694117891</v>
      </c>
      <c r="AT193" s="51">
        <f t="shared" si="84"/>
        <v>1410472.6580927973</v>
      </c>
      <c r="AU193" s="51">
        <f t="shared" si="84"/>
        <v>1270976.6909474088</v>
      </c>
      <c r="AV193" s="51">
        <f t="shared" si="84"/>
        <v>1078575.7725742389</v>
      </c>
      <c r="AW193" s="51">
        <f t="shared" si="84"/>
        <v>1432774.8938892712</v>
      </c>
      <c r="AX193" s="51">
        <f t="shared" si="84"/>
        <v>1095105.9965715013</v>
      </c>
      <c r="AY193" s="51">
        <f t="shared" si="84"/>
        <v>1113076.448460324</v>
      </c>
      <c r="AZ193" s="51">
        <f t="shared" si="84"/>
        <v>1536232.0459498949</v>
      </c>
      <c r="BA193" s="51">
        <f t="shared" si="84"/>
        <v>1183602.3813752525</v>
      </c>
    </row>
    <row r="194" spans="3:53" x14ac:dyDescent="0.3">
      <c r="C194" s="50" t="s">
        <v>157</v>
      </c>
      <c r="P194">
        <f>P145</f>
        <v>0</v>
      </c>
      <c r="Q194" s="51">
        <f t="shared" ref="Q194:Z198" si="85">Q145</f>
        <v>0</v>
      </c>
      <c r="R194" s="51">
        <f t="shared" si="85"/>
        <v>0</v>
      </c>
      <c r="S194" s="51">
        <f t="shared" si="85"/>
        <v>0</v>
      </c>
      <c r="T194" s="51">
        <f t="shared" si="85"/>
        <v>23568.625110791647</v>
      </c>
      <c r="U194" s="51">
        <f t="shared" si="85"/>
        <v>186175.48819045722</v>
      </c>
      <c r="V194" s="51">
        <f t="shared" si="85"/>
        <v>514162.22090971755</v>
      </c>
      <c r="W194" s="51">
        <f t="shared" si="85"/>
        <v>399240.06089386041</v>
      </c>
      <c r="X194" s="51">
        <f t="shared" si="85"/>
        <v>441798.66866528941</v>
      </c>
      <c r="Y194" s="51">
        <f t="shared" si="85"/>
        <v>349735.90530005738</v>
      </c>
      <c r="Z194" s="51">
        <f t="shared" si="85"/>
        <v>313879.5625817632</v>
      </c>
      <c r="AA194" s="51">
        <f t="shared" si="84"/>
        <v>328867.24997733894</v>
      </c>
      <c r="AB194" s="51">
        <f t="shared" si="84"/>
        <v>496605.04047342652</v>
      </c>
      <c r="AC194" s="51">
        <f t="shared" si="84"/>
        <v>379874.62425602408</v>
      </c>
      <c r="AD194" s="51">
        <f t="shared" si="84"/>
        <v>383566.08281234809</v>
      </c>
      <c r="AE194" s="51">
        <f t="shared" si="84"/>
        <v>542703.64205045265</v>
      </c>
      <c r="AF194" s="51">
        <f t="shared" si="84"/>
        <v>399833.36552242393</v>
      </c>
      <c r="AG194" s="51">
        <f t="shared" si="84"/>
        <v>852088.2039540367</v>
      </c>
      <c r="AH194" s="51">
        <f t="shared" si="84"/>
        <v>1285205.5616602167</v>
      </c>
      <c r="AI194" s="51">
        <f t="shared" si="84"/>
        <v>1399518.0629062594</v>
      </c>
      <c r="AJ194" s="51">
        <f t="shared" si="84"/>
        <v>1572291.3958175406</v>
      </c>
      <c r="AK194" s="51">
        <f t="shared" si="84"/>
        <v>2815750.8753616549</v>
      </c>
      <c r="AL194" s="51">
        <f t="shared" si="84"/>
        <v>2060924.588109897</v>
      </c>
      <c r="AM194" s="51">
        <f t="shared" si="84"/>
        <v>2106143.7043177816</v>
      </c>
      <c r="AN194" s="51">
        <f t="shared" si="84"/>
        <v>2699296.7114053317</v>
      </c>
      <c r="AO194" s="51">
        <f t="shared" si="84"/>
        <v>1965422.9320764965</v>
      </c>
      <c r="AP194" s="51">
        <f t="shared" si="84"/>
        <v>1799644.882569707</v>
      </c>
      <c r="AQ194" s="51">
        <f t="shared" si="84"/>
        <v>2583319.8710290776</v>
      </c>
      <c r="AR194" s="51">
        <f t="shared" si="84"/>
        <v>1791319.657147754</v>
      </c>
      <c r="AS194" s="51">
        <f t="shared" si="84"/>
        <v>2430232.4543024963</v>
      </c>
      <c r="AT194" s="51">
        <f t="shared" si="84"/>
        <v>3367767.2291452987</v>
      </c>
      <c r="AU194" s="51">
        <f t="shared" si="84"/>
        <v>2688800.6580527923</v>
      </c>
      <c r="AV194" s="51">
        <f t="shared" si="84"/>
        <v>3052082.2365686181</v>
      </c>
      <c r="AW194" s="51">
        <f t="shared" si="84"/>
        <v>4179576.9286821568</v>
      </c>
      <c r="AX194" s="51">
        <f t="shared" si="84"/>
        <v>3047042.4148661066</v>
      </c>
      <c r="AY194" s="51">
        <f t="shared" si="84"/>
        <v>3105589.2589799836</v>
      </c>
      <c r="AZ194" s="51">
        <f t="shared" si="84"/>
        <v>4286233.6614904124</v>
      </c>
      <c r="BA194" s="51">
        <f t="shared" si="84"/>
        <v>3302363.3260650551</v>
      </c>
    </row>
    <row r="195" spans="3:53" x14ac:dyDescent="0.3">
      <c r="C195" s="50" t="s">
        <v>158</v>
      </c>
      <c r="O195" s="51"/>
      <c r="P195" s="51">
        <f>P146</f>
        <v>0</v>
      </c>
      <c r="Q195" s="51">
        <f t="shared" si="85"/>
        <v>0</v>
      </c>
      <c r="R195" s="51">
        <f t="shared" si="85"/>
        <v>0</v>
      </c>
      <c r="S195" s="51">
        <f t="shared" si="85"/>
        <v>230400</v>
      </c>
      <c r="T195" s="51">
        <f t="shared" si="85"/>
        <v>576000</v>
      </c>
      <c r="U195" s="51">
        <f t="shared" si="85"/>
        <v>1152000</v>
      </c>
      <c r="V195" s="51">
        <f t="shared" si="85"/>
        <v>1658880</v>
      </c>
      <c r="W195" s="51">
        <f t="shared" si="85"/>
        <v>1728000</v>
      </c>
      <c r="X195" s="51">
        <f t="shared" si="85"/>
        <v>1969920</v>
      </c>
      <c r="Y195" s="51">
        <f>Y146</f>
        <v>2592000</v>
      </c>
      <c r="Z195" s="51">
        <f t="shared" si="85"/>
        <v>1969920</v>
      </c>
      <c r="AA195" s="51">
        <f t="shared" si="84"/>
        <v>1969920</v>
      </c>
      <c r="AB195" s="51">
        <f t="shared" si="84"/>
        <v>2592000</v>
      </c>
      <c r="AC195" s="51">
        <f t="shared" si="84"/>
        <v>2073600</v>
      </c>
      <c r="AD195" s="51">
        <f t="shared" si="84"/>
        <v>1969920</v>
      </c>
      <c r="AE195" s="51">
        <f t="shared" si="84"/>
        <v>2592000</v>
      </c>
      <c r="AF195" s="51">
        <f t="shared" si="84"/>
        <v>1969920</v>
      </c>
      <c r="AG195" s="51">
        <f t="shared" si="84"/>
        <v>2073600</v>
      </c>
      <c r="AH195" s="51">
        <f t="shared" si="84"/>
        <v>2710806.0886507044</v>
      </c>
      <c r="AI195" s="51">
        <f t="shared" si="84"/>
        <v>2295149.5669444087</v>
      </c>
      <c r="AJ195" s="51">
        <f t="shared" si="84"/>
        <v>2240109.6617961954</v>
      </c>
      <c r="AK195" s="51">
        <f t="shared" si="84"/>
        <v>2973480.2958503901</v>
      </c>
      <c r="AL195" s="51">
        <f t="shared" si="84"/>
        <v>2259845.0248462963</v>
      </c>
      <c r="AM195" s="51">
        <f t="shared" si="84"/>
        <v>2259845.0248462963</v>
      </c>
      <c r="AN195" s="51">
        <f t="shared" si="84"/>
        <v>2987715.1922895103</v>
      </c>
      <c r="AO195" s="51">
        <f t="shared" si="84"/>
        <v>2390172.1538316081</v>
      </c>
      <c r="AP195" s="51">
        <f t="shared" si="84"/>
        <v>2306364.5381063228</v>
      </c>
      <c r="AQ195" s="51">
        <f t="shared" si="84"/>
        <v>3034690.1817188459</v>
      </c>
      <c r="AR195" s="51">
        <f t="shared" si="84"/>
        <v>2306364.5381063228</v>
      </c>
      <c r="AS195" s="51">
        <f t="shared" si="84"/>
        <v>2427752.1453750767</v>
      </c>
      <c r="AT195" s="51">
        <f t="shared" si="84"/>
        <v>2913302.5744500924</v>
      </c>
      <c r="AU195" s="51">
        <f t="shared" si="84"/>
        <v>2427752.1453750767</v>
      </c>
      <c r="AV195" s="51">
        <f t="shared" si="84"/>
        <v>2306364.5381063228</v>
      </c>
      <c r="AW195" s="51">
        <f t="shared" si="84"/>
        <v>3034690.1817188459</v>
      </c>
      <c r="AX195" s="51">
        <f t="shared" si="84"/>
        <v>2306364.5381063228</v>
      </c>
      <c r="AY195" s="51">
        <f t="shared" si="84"/>
        <v>2306364.5381063228</v>
      </c>
      <c r="AZ195" s="51">
        <f t="shared" si="84"/>
        <v>3034690.1817188459</v>
      </c>
      <c r="BA195" s="51">
        <f t="shared" si="84"/>
        <v>2427752.1453750767</v>
      </c>
    </row>
    <row r="196" spans="3:53" x14ac:dyDescent="0.3">
      <c r="C196" s="50" t="s">
        <v>159</v>
      </c>
      <c r="O196" s="51"/>
      <c r="P196" s="51">
        <f>P147</f>
        <v>0</v>
      </c>
      <c r="Q196" s="51">
        <f t="shared" si="85"/>
        <v>0</v>
      </c>
      <c r="R196" s="51">
        <f t="shared" si="85"/>
        <v>0</v>
      </c>
      <c r="S196" s="51">
        <f t="shared" si="85"/>
        <v>174600</v>
      </c>
      <c r="T196" s="51">
        <f t="shared" si="85"/>
        <v>251267.92014285713</v>
      </c>
      <c r="U196" s="51">
        <f t="shared" si="85"/>
        <v>235318.24771428574</v>
      </c>
      <c r="V196" s="51">
        <f t="shared" si="85"/>
        <v>196690.93538095237</v>
      </c>
      <c r="W196" s="51">
        <f t="shared" si="85"/>
        <v>240002.19004761905</v>
      </c>
      <c r="X196" s="51">
        <f t="shared" si="85"/>
        <v>215610.50061904761</v>
      </c>
      <c r="Y196" s="51">
        <f t="shared" si="85"/>
        <v>843330.1150476191</v>
      </c>
      <c r="Z196" s="51">
        <f t="shared" si="85"/>
        <v>701946.64332429646</v>
      </c>
      <c r="AA196" s="51">
        <f t="shared" si="84"/>
        <v>626161.67732159782</v>
      </c>
      <c r="AB196" s="51">
        <f t="shared" si="84"/>
        <v>835663.80180952384</v>
      </c>
      <c r="AC196" s="51">
        <f t="shared" si="84"/>
        <v>614860.83152380958</v>
      </c>
      <c r="AD196" s="51">
        <f t="shared" si="84"/>
        <v>713488.65914285718</v>
      </c>
      <c r="AE196" s="51">
        <f t="shared" si="84"/>
        <v>893858.71485714288</v>
      </c>
      <c r="AF196" s="51">
        <f t="shared" si="84"/>
        <v>745139.34871428576</v>
      </c>
      <c r="AG196" s="51">
        <f t="shared" si="84"/>
        <v>729189.67628571426</v>
      </c>
      <c r="AH196" s="51">
        <f t="shared" si="84"/>
        <v>689030.22109523811</v>
      </c>
      <c r="AI196" s="51">
        <f t="shared" si="84"/>
        <v>733873.61861904757</v>
      </c>
      <c r="AJ196" s="51">
        <f t="shared" si="84"/>
        <v>709481.92919047619</v>
      </c>
      <c r="AK196" s="51">
        <f t="shared" si="84"/>
        <v>835669.40076190478</v>
      </c>
      <c r="AL196" s="51">
        <f t="shared" si="84"/>
        <v>695818.07189572509</v>
      </c>
      <c r="AM196" s="51">
        <f t="shared" si="84"/>
        <v>620033.10589302634</v>
      </c>
      <c r="AN196" s="51">
        <f t="shared" si="84"/>
        <v>1085663.8018095237</v>
      </c>
      <c r="AO196" s="51">
        <f t="shared" si="84"/>
        <v>864860.83152380958</v>
      </c>
      <c r="AP196" s="51">
        <f t="shared" si="84"/>
        <v>963488.65914285718</v>
      </c>
      <c r="AQ196" s="51">
        <f t="shared" si="84"/>
        <v>1143858.7148571429</v>
      </c>
      <c r="AR196" s="51">
        <f t="shared" si="84"/>
        <v>995139.34871428576</v>
      </c>
      <c r="AS196" s="51">
        <f t="shared" si="84"/>
        <v>979189.67628571426</v>
      </c>
      <c r="AT196" s="51">
        <f t="shared" si="84"/>
        <v>924160.11276190472</v>
      </c>
      <c r="AU196" s="51">
        <f t="shared" si="84"/>
        <v>970200.90028571431</v>
      </c>
      <c r="AV196" s="51">
        <f t="shared" si="84"/>
        <v>948041.99085714284</v>
      </c>
      <c r="AW196" s="51">
        <f t="shared" si="84"/>
        <v>1070148.1774285715</v>
      </c>
      <c r="AX196" s="51">
        <f t="shared" si="84"/>
        <v>936551.5885623917</v>
      </c>
      <c r="AY196" s="51">
        <f t="shared" si="84"/>
        <v>860034.2925596931</v>
      </c>
      <c r="AZ196" s="51">
        <f t="shared" si="84"/>
        <v>860034.2925596931</v>
      </c>
      <c r="BA196" s="51">
        <f t="shared" si="84"/>
        <v>860034.2925596931</v>
      </c>
    </row>
    <row r="197" spans="3:53" x14ac:dyDescent="0.3">
      <c r="C197" s="50" t="s">
        <v>160</v>
      </c>
      <c r="O197" s="51"/>
      <c r="P197" s="51">
        <f>P148</f>
        <v>0</v>
      </c>
      <c r="Q197" s="51">
        <f t="shared" si="85"/>
        <v>0</v>
      </c>
      <c r="R197" s="51">
        <f t="shared" si="85"/>
        <v>0</v>
      </c>
      <c r="S197" s="51">
        <f t="shared" si="85"/>
        <v>63000</v>
      </c>
      <c r="T197" s="51">
        <f t="shared" si="85"/>
        <v>63000</v>
      </c>
      <c r="U197" s="51">
        <f t="shared" si="85"/>
        <v>0</v>
      </c>
      <c r="V197" s="51">
        <f t="shared" si="85"/>
        <v>0</v>
      </c>
      <c r="W197" s="51">
        <f t="shared" si="85"/>
        <v>0</v>
      </c>
      <c r="X197" s="51">
        <f t="shared" si="85"/>
        <v>0</v>
      </c>
      <c r="Y197" s="51">
        <f t="shared" si="85"/>
        <v>490000</v>
      </c>
      <c r="Z197" s="51">
        <f t="shared" si="85"/>
        <v>490000</v>
      </c>
      <c r="AA197" s="51">
        <f t="shared" si="84"/>
        <v>490000</v>
      </c>
      <c r="AB197" s="51">
        <f t="shared" si="84"/>
        <v>0</v>
      </c>
      <c r="AC197" s="51">
        <f t="shared" si="84"/>
        <v>0</v>
      </c>
      <c r="AD197" s="51">
        <f t="shared" si="84"/>
        <v>0</v>
      </c>
      <c r="AE197" s="51">
        <f t="shared" si="84"/>
        <v>0</v>
      </c>
      <c r="AF197" s="51">
        <f t="shared" si="84"/>
        <v>0</v>
      </c>
      <c r="AG197" s="51">
        <f t="shared" si="84"/>
        <v>0</v>
      </c>
      <c r="AH197" s="51">
        <f t="shared" si="84"/>
        <v>0</v>
      </c>
      <c r="AI197" s="51">
        <f t="shared" si="84"/>
        <v>0</v>
      </c>
      <c r="AJ197" s="51">
        <f t="shared" si="84"/>
        <v>0</v>
      </c>
      <c r="AK197" s="51">
        <f t="shared" si="84"/>
        <v>0</v>
      </c>
      <c r="AL197" s="51">
        <f t="shared" si="84"/>
        <v>0</v>
      </c>
      <c r="AM197" s="51">
        <f t="shared" si="84"/>
        <v>0</v>
      </c>
      <c r="AN197" s="51">
        <f t="shared" si="84"/>
        <v>0</v>
      </c>
      <c r="AO197" s="51">
        <f t="shared" si="84"/>
        <v>0</v>
      </c>
      <c r="AP197" s="51">
        <f t="shared" si="84"/>
        <v>0</v>
      </c>
      <c r="AQ197" s="51">
        <f t="shared" si="84"/>
        <v>0</v>
      </c>
      <c r="AR197" s="51">
        <f t="shared" si="84"/>
        <v>0</v>
      </c>
      <c r="AS197" s="51">
        <f t="shared" si="84"/>
        <v>0</v>
      </c>
      <c r="AT197" s="51">
        <f t="shared" si="84"/>
        <v>0</v>
      </c>
      <c r="AU197" s="51">
        <f t="shared" si="84"/>
        <v>0</v>
      </c>
      <c r="AV197" s="51">
        <f t="shared" si="84"/>
        <v>0</v>
      </c>
      <c r="AW197" s="51">
        <f t="shared" si="84"/>
        <v>0</v>
      </c>
      <c r="AX197" s="51">
        <f t="shared" si="84"/>
        <v>0</v>
      </c>
      <c r="AY197" s="51">
        <f t="shared" si="84"/>
        <v>0</v>
      </c>
      <c r="AZ197" s="51">
        <f t="shared" si="84"/>
        <v>0</v>
      </c>
      <c r="BA197" s="51">
        <f t="shared" si="84"/>
        <v>0</v>
      </c>
    </row>
    <row r="198" spans="3:53" x14ac:dyDescent="0.3">
      <c r="C198" s="50" t="s">
        <v>161</v>
      </c>
      <c r="O198" s="51"/>
      <c r="P198" s="51">
        <f>P149</f>
        <v>0</v>
      </c>
      <c r="Q198" s="51">
        <f t="shared" si="85"/>
        <v>0</v>
      </c>
      <c r="R198" s="51">
        <f t="shared" si="85"/>
        <v>0</v>
      </c>
      <c r="S198" s="51">
        <f t="shared" si="85"/>
        <v>0</v>
      </c>
      <c r="T198" s="51">
        <f t="shared" si="85"/>
        <v>0</v>
      </c>
      <c r="U198" s="51">
        <f t="shared" si="85"/>
        <v>0</v>
      </c>
      <c r="V198" s="51">
        <f t="shared" si="85"/>
        <v>0</v>
      </c>
      <c r="W198" s="51">
        <f t="shared" si="85"/>
        <v>0</v>
      </c>
      <c r="X198" s="51">
        <f t="shared" si="85"/>
        <v>0</v>
      </c>
      <c r="Y198" s="51">
        <f t="shared" si="85"/>
        <v>0</v>
      </c>
      <c r="Z198" s="51">
        <f t="shared" si="85"/>
        <v>0</v>
      </c>
      <c r="AA198" s="51">
        <f t="shared" si="84"/>
        <v>0</v>
      </c>
      <c r="AB198" s="51">
        <f t="shared" si="84"/>
        <v>0</v>
      </c>
      <c r="AC198" s="51">
        <f t="shared" si="84"/>
        <v>0</v>
      </c>
      <c r="AD198" s="51">
        <f t="shared" si="84"/>
        <v>0</v>
      </c>
      <c r="AE198" s="51">
        <f t="shared" si="84"/>
        <v>0</v>
      </c>
      <c r="AF198" s="51">
        <f t="shared" si="84"/>
        <v>0</v>
      </c>
      <c r="AG198" s="51">
        <f t="shared" si="84"/>
        <v>0</v>
      </c>
      <c r="AH198" s="51">
        <f t="shared" si="84"/>
        <v>0</v>
      </c>
      <c r="AI198" s="51">
        <f t="shared" si="84"/>
        <v>0</v>
      </c>
      <c r="AJ198" s="51">
        <f t="shared" si="84"/>
        <v>0</v>
      </c>
      <c r="AK198" s="51">
        <f t="shared" si="84"/>
        <v>0</v>
      </c>
      <c r="AL198" s="51">
        <f t="shared" si="84"/>
        <v>0</v>
      </c>
      <c r="AM198" s="51">
        <f t="shared" si="84"/>
        <v>0</v>
      </c>
      <c r="AN198" s="51">
        <f t="shared" si="84"/>
        <v>0</v>
      </c>
      <c r="AO198" s="51">
        <f t="shared" si="84"/>
        <v>0</v>
      </c>
      <c r="AP198" s="51">
        <f t="shared" si="84"/>
        <v>0</v>
      </c>
      <c r="AQ198" s="51">
        <f t="shared" si="84"/>
        <v>0</v>
      </c>
      <c r="AR198" s="51">
        <f t="shared" si="84"/>
        <v>0</v>
      </c>
      <c r="AS198" s="51">
        <f t="shared" si="84"/>
        <v>0</v>
      </c>
      <c r="AT198" s="51">
        <f t="shared" si="84"/>
        <v>0</v>
      </c>
      <c r="AU198" s="51">
        <f t="shared" si="84"/>
        <v>0</v>
      </c>
      <c r="AV198" s="51">
        <f t="shared" si="84"/>
        <v>0</v>
      </c>
      <c r="AW198" s="51">
        <f t="shared" si="84"/>
        <v>0</v>
      </c>
      <c r="AX198" s="51">
        <f t="shared" si="84"/>
        <v>0</v>
      </c>
      <c r="AY198" s="51">
        <f t="shared" si="84"/>
        <v>0</v>
      </c>
      <c r="AZ198" s="51">
        <f t="shared" si="84"/>
        <v>0</v>
      </c>
      <c r="BA198" s="51">
        <f t="shared" si="84"/>
        <v>0</v>
      </c>
    </row>
    <row r="200" spans="3:53" x14ac:dyDescent="0.3">
      <c r="C200" t="s">
        <v>171</v>
      </c>
    </row>
    <row r="201" spans="3:53" x14ac:dyDescent="0.3">
      <c r="C201" s="50" t="s">
        <v>156</v>
      </c>
      <c r="O201" s="51"/>
      <c r="P201" s="51">
        <f t="shared" ref="P201:BA203" si="86">MIN(P6,O209)</f>
        <v>0</v>
      </c>
      <c r="Q201" s="51">
        <f t="shared" si="86"/>
        <v>0</v>
      </c>
      <c r="R201" s="51">
        <f t="shared" si="86"/>
        <v>0</v>
      </c>
      <c r="S201" s="51">
        <f t="shared" si="86"/>
        <v>0</v>
      </c>
      <c r="T201" s="51">
        <f t="shared" si="86"/>
        <v>0</v>
      </c>
      <c r="U201" s="51">
        <f t="shared" si="86"/>
        <v>77963.454746351228</v>
      </c>
      <c r="V201" s="51">
        <f t="shared" si="86"/>
        <v>608106.26409525704</v>
      </c>
      <c r="W201" s="51">
        <f t="shared" si="86"/>
        <v>1017796.724005963</v>
      </c>
      <c r="X201" s="51">
        <f t="shared" si="86"/>
        <v>874056.32756560086</v>
      </c>
      <c r="Y201" s="51">
        <f t="shared" si="86"/>
        <v>1168080.2774983186</v>
      </c>
      <c r="Z201" s="51">
        <f t="shared" si="86"/>
        <v>892164.95306255517</v>
      </c>
      <c r="AA201" s="51">
        <f t="shared" si="86"/>
        <v>859002.45415805734</v>
      </c>
      <c r="AB201" s="51">
        <f t="shared" si="86"/>
        <v>1223273.7547754515</v>
      </c>
      <c r="AC201" s="51">
        <f t="shared" si="86"/>
        <v>1274869.7171042659</v>
      </c>
      <c r="AD201" s="51">
        <f t="shared" si="86"/>
        <v>1111110.1364362505</v>
      </c>
      <c r="AE201" s="51">
        <f t="shared" si="86"/>
        <v>1228432.2481189682</v>
      </c>
      <c r="AF201" s="51">
        <f t="shared" si="86"/>
        <v>1062548.3372848467</v>
      </c>
      <c r="AG201" s="51">
        <f t="shared" si="86"/>
        <v>1067568.3125914931</v>
      </c>
      <c r="AH201" s="51">
        <f t="shared" si="86"/>
        <v>1249581.4891762324</v>
      </c>
      <c r="AI201" s="51">
        <f t="shared" si="86"/>
        <v>1099176.2058173278</v>
      </c>
      <c r="AJ201" s="51">
        <f t="shared" si="86"/>
        <v>1090772.3372848467</v>
      </c>
      <c r="AK201" s="51">
        <f t="shared" si="86"/>
        <v>1334904.3193201865</v>
      </c>
      <c r="AL201" s="51">
        <f t="shared" si="86"/>
        <v>1090772.3372848467</v>
      </c>
      <c r="AM201" s="51">
        <f t="shared" si="86"/>
        <v>1078838.4066659245</v>
      </c>
      <c r="AN201" s="51">
        <f t="shared" si="86"/>
        <v>1337622.9395007673</v>
      </c>
      <c r="AO201" s="51">
        <f t="shared" si="86"/>
        <v>1303093.7171042659</v>
      </c>
      <c r="AP201" s="51">
        <f t="shared" si="86"/>
        <v>1282910.6215663315</v>
      </c>
      <c r="AQ201" s="51">
        <f t="shared" si="86"/>
        <v>1398112.2481189682</v>
      </c>
      <c r="AR201" s="51">
        <f t="shared" si="86"/>
        <v>1225172.3372848467</v>
      </c>
      <c r="AS201" s="51">
        <f t="shared" si="86"/>
        <v>1230192.3125914931</v>
      </c>
      <c r="AT201" s="51">
        <f t="shared" si="86"/>
        <v>1419261.4891762324</v>
      </c>
      <c r="AU201" s="51">
        <f t="shared" si="86"/>
        <v>1270976.690947409</v>
      </c>
      <c r="AV201" s="51">
        <f t="shared" si="86"/>
        <v>1225172.3372848467</v>
      </c>
      <c r="AW201" s="51">
        <f t="shared" si="86"/>
        <v>1469304.3193201865</v>
      </c>
      <c r="AX201" s="51">
        <f t="shared" si="86"/>
        <v>1225172.3372848467</v>
      </c>
      <c r="AY201" s="51">
        <f t="shared" si="86"/>
        <v>1213238.4066659245</v>
      </c>
      <c r="AZ201" s="51">
        <f t="shared" si="86"/>
        <v>1213238.4066659245</v>
      </c>
      <c r="BA201" s="51">
        <f t="shared" si="86"/>
        <v>1213238.4066659245</v>
      </c>
    </row>
    <row r="202" spans="3:53" x14ac:dyDescent="0.3">
      <c r="C202" s="50" t="s">
        <v>157</v>
      </c>
      <c r="O202" s="51"/>
      <c r="P202" s="51">
        <f t="shared" si="86"/>
        <v>0</v>
      </c>
      <c r="Q202" s="51">
        <f t="shared" si="86"/>
        <v>0</v>
      </c>
      <c r="R202" s="51">
        <f t="shared" si="86"/>
        <v>0</v>
      </c>
      <c r="S202" s="51">
        <f t="shared" si="86"/>
        <v>0</v>
      </c>
      <c r="T202" s="51">
        <f t="shared" si="86"/>
        <v>0</v>
      </c>
      <c r="U202" s="51">
        <f t="shared" si="86"/>
        <v>23568.625110791647</v>
      </c>
      <c r="V202" s="51">
        <f t="shared" si="86"/>
        <v>186175.48819045722</v>
      </c>
      <c r="W202" s="51">
        <f t="shared" si="86"/>
        <v>334705.59410926944</v>
      </c>
      <c r="X202" s="51">
        <f t="shared" si="86"/>
        <v>357539.18821853888</v>
      </c>
      <c r="Y202" s="51">
        <f t="shared" si="86"/>
        <v>412673.59410926944</v>
      </c>
      <c r="Z202" s="51">
        <f t="shared" si="86"/>
        <v>357539.18821853888</v>
      </c>
      <c r="AA202" s="51">
        <f t="shared" si="86"/>
        <v>334705.59410926944</v>
      </c>
      <c r="AB202" s="51">
        <f t="shared" si="86"/>
        <v>435507.18821853894</v>
      </c>
      <c r="AC202" s="51">
        <f t="shared" si="86"/>
        <v>334705.59410926944</v>
      </c>
      <c r="AD202" s="51">
        <f t="shared" si="86"/>
        <v>357539.18821853888</v>
      </c>
      <c r="AE202" s="51">
        <f t="shared" si="86"/>
        <v>412673.59410926944</v>
      </c>
      <c r="AF202" s="51">
        <f t="shared" si="86"/>
        <v>371341.31610558496</v>
      </c>
      <c r="AG202" s="51">
        <f t="shared" si="86"/>
        <v>841336.38391661423</v>
      </c>
      <c r="AH202" s="51">
        <f t="shared" si="86"/>
        <v>852088.2039540367</v>
      </c>
      <c r="AI202" s="51">
        <f t="shared" si="86"/>
        <v>1194300.6580527923</v>
      </c>
      <c r="AJ202" s="51">
        <f t="shared" si="86"/>
        <v>1490422.9665136836</v>
      </c>
      <c r="AK202" s="51">
        <f t="shared" si="86"/>
        <v>1572291.3958175406</v>
      </c>
      <c r="AL202" s="51">
        <f t="shared" si="86"/>
        <v>1794441.3161055848</v>
      </c>
      <c r="AM202" s="51">
        <f t="shared" si="86"/>
        <v>1770550.6580527923</v>
      </c>
      <c r="AN202" s="51">
        <f t="shared" si="86"/>
        <v>2312972.3701804788</v>
      </c>
      <c r="AO202" s="51">
        <f t="shared" si="86"/>
        <v>1770550.6580527923</v>
      </c>
      <c r="AP202" s="51">
        <f t="shared" si="86"/>
        <v>1852411.4794203821</v>
      </c>
      <c r="AQ202" s="51">
        <f t="shared" si="86"/>
        <v>2231111.548812889</v>
      </c>
      <c r="AR202" s="51">
        <f t="shared" si="86"/>
        <v>1794441.3161055848</v>
      </c>
      <c r="AS202" s="51">
        <f t="shared" si="86"/>
        <v>2226800.6580527923</v>
      </c>
      <c r="AT202" s="51">
        <f t="shared" si="86"/>
        <v>3388752.2068656818</v>
      </c>
      <c r="AU202" s="51">
        <f t="shared" si="86"/>
        <v>2688800.6580527923</v>
      </c>
      <c r="AV202" s="51">
        <f t="shared" si="86"/>
        <v>3466911.4794203821</v>
      </c>
      <c r="AW202" s="51">
        <f t="shared" si="86"/>
        <v>4062961.4509647531</v>
      </c>
      <c r="AX202" s="51">
        <f t="shared" si="86"/>
        <v>3408941.3161055846</v>
      </c>
      <c r="AY202" s="51">
        <f t="shared" si="86"/>
        <v>3385050.6580527923</v>
      </c>
      <c r="AZ202" s="51">
        <f t="shared" si="86"/>
        <v>3385050.6580527923</v>
      </c>
      <c r="BA202" s="51">
        <f t="shared" si="86"/>
        <v>3385050.6580527923</v>
      </c>
    </row>
    <row r="203" spans="3:53" x14ac:dyDescent="0.3">
      <c r="C203" s="50" t="s">
        <v>158</v>
      </c>
      <c r="O203" s="51"/>
      <c r="P203" s="51">
        <f t="shared" si="86"/>
        <v>0</v>
      </c>
      <c r="Q203" s="51">
        <f t="shared" si="86"/>
        <v>0</v>
      </c>
      <c r="R203" s="51">
        <f t="shared" si="86"/>
        <v>0</v>
      </c>
      <c r="S203" s="51">
        <f t="shared" si="86"/>
        <v>0</v>
      </c>
      <c r="T203" s="51">
        <f t="shared" si="86"/>
        <v>230400</v>
      </c>
      <c r="U203" s="51">
        <f t="shared" si="86"/>
        <v>576000</v>
      </c>
      <c r="V203" s="51">
        <f t="shared" si="86"/>
        <v>1152000</v>
      </c>
      <c r="W203" s="51">
        <f t="shared" si="86"/>
        <v>1658880</v>
      </c>
      <c r="X203" s="51">
        <f t="shared" si="86"/>
        <v>1728000</v>
      </c>
      <c r="Y203" s="51">
        <f t="shared" si="86"/>
        <v>1969920</v>
      </c>
      <c r="Z203" s="51">
        <f t="shared" si="86"/>
        <v>2583304.4336221544</v>
      </c>
      <c r="AA203" s="51">
        <f t="shared" si="86"/>
        <v>1978615.5663778456</v>
      </c>
      <c r="AB203" s="51">
        <f t="shared" si="86"/>
        <v>1969920</v>
      </c>
      <c r="AC203" s="51">
        <f t="shared" si="86"/>
        <v>2023642.1995929112</v>
      </c>
      <c r="AD203" s="51">
        <f t="shared" si="86"/>
        <v>2083801.0226335214</v>
      </c>
      <c r="AE203" s="51">
        <f t="shared" si="86"/>
        <v>2528076.7777735679</v>
      </c>
      <c r="AF203" s="51">
        <f t="shared" si="86"/>
        <v>2100946.1703117848</v>
      </c>
      <c r="AG203" s="51">
        <f t="shared" si="86"/>
        <v>2080502.7368280939</v>
      </c>
      <c r="AH203" s="51">
        <f t="shared" si="86"/>
        <v>2454071.0928601217</v>
      </c>
      <c r="AI203" s="51">
        <f t="shared" si="86"/>
        <v>2295149.5669444082</v>
      </c>
      <c r="AJ203" s="51">
        <f t="shared" si="86"/>
        <v>2358010.1703117844</v>
      </c>
      <c r="AK203" s="51">
        <f t="shared" si="86"/>
        <v>2592905.5801351164</v>
      </c>
      <c r="AL203" s="51">
        <f t="shared" si="86"/>
        <v>2358010.1703117844</v>
      </c>
      <c r="AM203" s="51">
        <f t="shared" si="86"/>
        <v>2328027.2860631659</v>
      </c>
      <c r="AN203" s="51">
        <f t="shared" si="86"/>
        <v>2807132.8891680338</v>
      </c>
      <c r="AO203" s="51">
        <f t="shared" si="86"/>
        <v>2343775.2738726637</v>
      </c>
      <c r="AP203" s="51">
        <f t="shared" si="86"/>
        <v>2427752.1453750767</v>
      </c>
      <c r="AQ203" s="51">
        <f t="shared" si="86"/>
        <v>2912724.4649797007</v>
      </c>
      <c r="AR203" s="51">
        <f t="shared" si="86"/>
        <v>2358010.1703117844</v>
      </c>
      <c r="AS203" s="51">
        <f t="shared" si="86"/>
        <v>2337566.7368280934</v>
      </c>
      <c r="AT203" s="51">
        <f t="shared" si="86"/>
        <v>2931336.3423444838</v>
      </c>
      <c r="AU203" s="51">
        <f t="shared" si="86"/>
        <v>2397769.2611264586</v>
      </c>
      <c r="AV203" s="51">
        <f t="shared" si="86"/>
        <v>2358010.1703117844</v>
      </c>
      <c r="AW203" s="51">
        <f t="shared" si="86"/>
        <v>2973480.2958503896</v>
      </c>
      <c r="AX203" s="51">
        <f t="shared" si="86"/>
        <v>2358010.1703117844</v>
      </c>
      <c r="AY203" s="51">
        <f t="shared" si="86"/>
        <v>2328027.2860631659</v>
      </c>
      <c r="AZ203" s="51">
        <f t="shared" si="86"/>
        <v>2328027.2860631659</v>
      </c>
      <c r="BA203" s="51">
        <f t="shared" si="86"/>
        <v>2328027.2860631659</v>
      </c>
    </row>
    <row r="204" spans="3:53" x14ac:dyDescent="0.3">
      <c r="C204" s="50" t="s">
        <v>159</v>
      </c>
      <c r="O204" s="51"/>
      <c r="P204" s="51">
        <f t="shared" ref="P204:BA206" si="87">MIN(O212,P11+P16)</f>
        <v>0</v>
      </c>
      <c r="Q204" s="51">
        <f t="shared" si="87"/>
        <v>0</v>
      </c>
      <c r="R204" s="51">
        <f t="shared" si="87"/>
        <v>0</v>
      </c>
      <c r="S204" s="51">
        <f t="shared" si="87"/>
        <v>0</v>
      </c>
      <c r="T204" s="51">
        <f t="shared" si="87"/>
        <v>174600</v>
      </c>
      <c r="U204" s="51">
        <f t="shared" si="87"/>
        <v>235318.24771428574</v>
      </c>
      <c r="V204" s="51">
        <f t="shared" si="87"/>
        <v>196690.93538095237</v>
      </c>
      <c r="W204" s="51">
        <f t="shared" si="87"/>
        <v>240002.19004761905</v>
      </c>
      <c r="X204" s="51">
        <f t="shared" si="87"/>
        <v>215610.50061904761</v>
      </c>
      <c r="Y204" s="51">
        <f t="shared" si="87"/>
        <v>251267.92014285713</v>
      </c>
      <c r="Z204" s="51">
        <f t="shared" si="87"/>
        <v>701946.64332429646</v>
      </c>
      <c r="AA204" s="51">
        <f t="shared" si="87"/>
        <v>626161.67732159782</v>
      </c>
      <c r="AB204" s="51">
        <f t="shared" si="87"/>
        <v>835663.80180952384</v>
      </c>
      <c r="AC204" s="51">
        <f t="shared" si="87"/>
        <v>614860.83152380958</v>
      </c>
      <c r="AD204" s="51">
        <f t="shared" si="87"/>
        <v>713488.65914285718</v>
      </c>
      <c r="AE204" s="51">
        <f t="shared" si="87"/>
        <v>843330.11504761875</v>
      </c>
      <c r="AF204" s="51">
        <f t="shared" si="87"/>
        <v>745139.34871428576</v>
      </c>
      <c r="AG204" s="51">
        <f t="shared" si="87"/>
        <v>729189.67628571426</v>
      </c>
      <c r="AH204" s="51">
        <f t="shared" si="87"/>
        <v>689030.22109523811</v>
      </c>
      <c r="AI204" s="51">
        <f t="shared" si="87"/>
        <v>733873.61861904757</v>
      </c>
      <c r="AJ204" s="51">
        <f t="shared" si="87"/>
        <v>709481.92919047619</v>
      </c>
      <c r="AK204" s="51">
        <f t="shared" si="87"/>
        <v>835669.40076190478</v>
      </c>
      <c r="AL204" s="51">
        <f t="shared" si="87"/>
        <v>695818.07189572509</v>
      </c>
      <c r="AM204" s="51">
        <f t="shared" si="87"/>
        <v>620033.10589302634</v>
      </c>
      <c r="AN204" s="51">
        <f t="shared" si="87"/>
        <v>893858.71485714335</v>
      </c>
      <c r="AO204" s="51">
        <f t="shared" si="87"/>
        <v>864860.83152380958</v>
      </c>
      <c r="AP204" s="51">
        <f t="shared" si="87"/>
        <v>963488.65914285718</v>
      </c>
      <c r="AQ204" s="51">
        <f t="shared" si="87"/>
        <v>1085663.8018095237</v>
      </c>
      <c r="AR204" s="51">
        <f t="shared" si="87"/>
        <v>995139.34871428576</v>
      </c>
      <c r="AS204" s="51">
        <f t="shared" si="87"/>
        <v>979189.67628571426</v>
      </c>
      <c r="AT204" s="51">
        <f t="shared" si="87"/>
        <v>924160.11276190472</v>
      </c>
      <c r="AU204" s="51">
        <f t="shared" si="87"/>
        <v>970200.90028571431</v>
      </c>
      <c r="AV204" s="51">
        <f t="shared" si="87"/>
        <v>948041.99085714284</v>
      </c>
      <c r="AW204" s="51">
        <f t="shared" si="87"/>
        <v>1070148.1774285715</v>
      </c>
      <c r="AX204" s="51">
        <f t="shared" si="87"/>
        <v>936551.5885623917</v>
      </c>
      <c r="AY204" s="51">
        <f t="shared" si="87"/>
        <v>860034.2925596931</v>
      </c>
      <c r="AZ204" s="51">
        <f t="shared" si="87"/>
        <v>860034.2925596931</v>
      </c>
      <c r="BA204" s="51">
        <f t="shared" si="87"/>
        <v>860034.2925596931</v>
      </c>
    </row>
    <row r="205" spans="3:53" x14ac:dyDescent="0.3">
      <c r="C205" s="50" t="s">
        <v>160</v>
      </c>
      <c r="O205" s="51"/>
      <c r="P205" s="51">
        <f t="shared" si="87"/>
        <v>0</v>
      </c>
      <c r="Q205" s="51">
        <f t="shared" si="87"/>
        <v>0</v>
      </c>
      <c r="R205" s="51">
        <f t="shared" si="87"/>
        <v>0</v>
      </c>
      <c r="S205" s="51">
        <f t="shared" si="87"/>
        <v>0</v>
      </c>
      <c r="T205" s="51">
        <f t="shared" si="87"/>
        <v>63000</v>
      </c>
      <c r="U205" s="51">
        <f t="shared" si="87"/>
        <v>0</v>
      </c>
      <c r="V205" s="51">
        <f t="shared" si="87"/>
        <v>0</v>
      </c>
      <c r="W205" s="51">
        <f t="shared" si="87"/>
        <v>0</v>
      </c>
      <c r="X205" s="51">
        <f t="shared" si="87"/>
        <v>0</v>
      </c>
      <c r="Y205" s="51">
        <f t="shared" si="87"/>
        <v>63000</v>
      </c>
      <c r="Z205" s="51">
        <f t="shared" si="87"/>
        <v>490000</v>
      </c>
      <c r="AA205" s="51">
        <f t="shared" si="87"/>
        <v>490000</v>
      </c>
      <c r="AB205" s="51">
        <f t="shared" si="87"/>
        <v>0</v>
      </c>
      <c r="AC205" s="51">
        <f t="shared" si="87"/>
        <v>0</v>
      </c>
      <c r="AD205" s="51">
        <f t="shared" si="87"/>
        <v>0</v>
      </c>
      <c r="AE205" s="51">
        <f t="shared" si="87"/>
        <v>0</v>
      </c>
      <c r="AF205" s="51">
        <f t="shared" si="87"/>
        <v>0</v>
      </c>
      <c r="AG205" s="51">
        <f t="shared" si="87"/>
        <v>0</v>
      </c>
      <c r="AH205" s="51">
        <f t="shared" si="87"/>
        <v>0</v>
      </c>
      <c r="AI205" s="51">
        <f t="shared" si="87"/>
        <v>0</v>
      </c>
      <c r="AJ205" s="51">
        <f t="shared" si="87"/>
        <v>0</v>
      </c>
      <c r="AK205" s="51">
        <f t="shared" si="87"/>
        <v>0</v>
      </c>
      <c r="AL205" s="51">
        <f t="shared" si="87"/>
        <v>0</v>
      </c>
      <c r="AM205" s="51">
        <f t="shared" si="87"/>
        <v>0</v>
      </c>
      <c r="AN205" s="51">
        <f t="shared" si="87"/>
        <v>0</v>
      </c>
      <c r="AO205" s="51">
        <f t="shared" si="87"/>
        <v>0</v>
      </c>
      <c r="AP205" s="51">
        <f t="shared" si="87"/>
        <v>0</v>
      </c>
      <c r="AQ205" s="51">
        <f t="shared" si="87"/>
        <v>0</v>
      </c>
      <c r="AR205" s="51">
        <f t="shared" si="87"/>
        <v>0</v>
      </c>
      <c r="AS205" s="51">
        <f t="shared" si="87"/>
        <v>0</v>
      </c>
      <c r="AT205" s="51">
        <f t="shared" si="87"/>
        <v>0</v>
      </c>
      <c r="AU205" s="51">
        <f t="shared" si="87"/>
        <v>0</v>
      </c>
      <c r="AV205" s="51">
        <f t="shared" si="87"/>
        <v>0</v>
      </c>
      <c r="AW205" s="51">
        <f t="shared" si="87"/>
        <v>0</v>
      </c>
      <c r="AX205" s="51">
        <f t="shared" si="87"/>
        <v>0</v>
      </c>
      <c r="AY205" s="51">
        <f t="shared" si="87"/>
        <v>0</v>
      </c>
      <c r="AZ205" s="51">
        <f t="shared" si="87"/>
        <v>0</v>
      </c>
      <c r="BA205" s="51">
        <f t="shared" si="87"/>
        <v>0</v>
      </c>
    </row>
    <row r="206" spans="3:53" x14ac:dyDescent="0.3">
      <c r="C206" s="50" t="s">
        <v>161</v>
      </c>
      <c r="O206" s="51"/>
      <c r="P206" s="51">
        <f t="shared" si="87"/>
        <v>0</v>
      </c>
      <c r="Q206" s="51">
        <f t="shared" si="87"/>
        <v>0</v>
      </c>
      <c r="R206" s="51">
        <f t="shared" si="87"/>
        <v>0</v>
      </c>
      <c r="S206" s="51">
        <f t="shared" si="87"/>
        <v>0</v>
      </c>
      <c r="T206" s="51">
        <f t="shared" si="87"/>
        <v>0</v>
      </c>
      <c r="U206" s="51">
        <f t="shared" si="87"/>
        <v>0</v>
      </c>
      <c r="V206" s="51">
        <f t="shared" si="87"/>
        <v>0</v>
      </c>
      <c r="W206" s="51">
        <f t="shared" si="87"/>
        <v>0</v>
      </c>
      <c r="X206" s="51">
        <f t="shared" si="87"/>
        <v>0</v>
      </c>
      <c r="Y206" s="51">
        <f t="shared" si="87"/>
        <v>0</v>
      </c>
      <c r="Z206" s="51">
        <f t="shared" si="87"/>
        <v>0</v>
      </c>
      <c r="AA206" s="51">
        <f t="shared" si="87"/>
        <v>0</v>
      </c>
      <c r="AB206" s="51">
        <f t="shared" si="87"/>
        <v>0</v>
      </c>
      <c r="AC206" s="51">
        <f t="shared" si="87"/>
        <v>0</v>
      </c>
      <c r="AD206" s="51">
        <f t="shared" si="87"/>
        <v>0</v>
      </c>
      <c r="AE206" s="51">
        <f t="shared" si="87"/>
        <v>0</v>
      </c>
      <c r="AF206" s="51">
        <f t="shared" si="87"/>
        <v>0</v>
      </c>
      <c r="AG206" s="51">
        <f t="shared" si="87"/>
        <v>0</v>
      </c>
      <c r="AH206" s="51">
        <f t="shared" si="87"/>
        <v>0</v>
      </c>
      <c r="AI206" s="51">
        <f t="shared" si="87"/>
        <v>0</v>
      </c>
      <c r="AJ206" s="51">
        <f t="shared" si="87"/>
        <v>0</v>
      </c>
      <c r="AK206" s="51">
        <f t="shared" si="87"/>
        <v>0</v>
      </c>
      <c r="AL206" s="51">
        <f t="shared" si="87"/>
        <v>0</v>
      </c>
      <c r="AM206" s="51">
        <f t="shared" si="87"/>
        <v>0</v>
      </c>
      <c r="AN206" s="51">
        <f t="shared" si="87"/>
        <v>0</v>
      </c>
      <c r="AO206" s="51">
        <f t="shared" si="87"/>
        <v>0</v>
      </c>
      <c r="AP206" s="51">
        <f t="shared" si="87"/>
        <v>0</v>
      </c>
      <c r="AQ206" s="51">
        <f t="shared" si="87"/>
        <v>0</v>
      </c>
      <c r="AR206" s="51">
        <f t="shared" si="87"/>
        <v>0</v>
      </c>
      <c r="AS206" s="51">
        <f t="shared" si="87"/>
        <v>0</v>
      </c>
      <c r="AT206" s="51">
        <f t="shared" si="87"/>
        <v>0</v>
      </c>
      <c r="AU206" s="51">
        <f t="shared" si="87"/>
        <v>0</v>
      </c>
      <c r="AV206" s="51">
        <f t="shared" si="87"/>
        <v>0</v>
      </c>
      <c r="AW206" s="51">
        <f t="shared" si="87"/>
        <v>0</v>
      </c>
      <c r="AX206" s="51">
        <f t="shared" si="87"/>
        <v>0</v>
      </c>
      <c r="AY206" s="51">
        <f t="shared" si="87"/>
        <v>0</v>
      </c>
      <c r="AZ206" s="51">
        <f t="shared" si="87"/>
        <v>0</v>
      </c>
      <c r="BA206" s="51">
        <f t="shared" si="87"/>
        <v>0</v>
      </c>
    </row>
    <row r="208" spans="3:53" x14ac:dyDescent="0.3">
      <c r="C208" t="s">
        <v>172</v>
      </c>
    </row>
    <row r="209" spans="2:53" x14ac:dyDescent="0.3">
      <c r="C209" s="50" t="s">
        <v>156</v>
      </c>
      <c r="N209" s="58">
        <v>0</v>
      </c>
      <c r="O209" s="58">
        <v>0</v>
      </c>
      <c r="P209" s="51">
        <f>O209+P193-P201</f>
        <v>0</v>
      </c>
      <c r="Q209" s="51">
        <f>P209+Q193-Q201</f>
        <v>0</v>
      </c>
      <c r="R209" s="51">
        <f t="shared" ref="R209:BA214" si="88">Q209+R193-R201</f>
        <v>0</v>
      </c>
      <c r="S209" s="51">
        <f t="shared" si="88"/>
        <v>0</v>
      </c>
      <c r="T209" s="51">
        <f t="shared" si="88"/>
        <v>77963.454746351228</v>
      </c>
      <c r="U209" s="51">
        <f t="shared" si="88"/>
        <v>608106.26409525704</v>
      </c>
      <c r="V209" s="51">
        <f t="shared" si="88"/>
        <v>1123121.8437093298</v>
      </c>
      <c r="W209" s="51">
        <f t="shared" si="88"/>
        <v>1319362.8687618875</v>
      </c>
      <c r="X209" s="51">
        <f t="shared" si="88"/>
        <v>1525347.3719119497</v>
      </c>
      <c r="Y209" s="51">
        <f t="shared" si="88"/>
        <v>1347201.0740659547</v>
      </c>
      <c r="Z209" s="51">
        <f t="shared" si="88"/>
        <v>1238257.525664893</v>
      </c>
      <c r="AA209" s="51">
        <f t="shared" si="88"/>
        <v>1223273.7547754515</v>
      </c>
      <c r="AB209" s="51">
        <f t="shared" si="88"/>
        <v>1719794.6384737873</v>
      </c>
      <c r="AC209" s="51">
        <f t="shared" si="88"/>
        <v>1891840.2501950781</v>
      </c>
      <c r="AD209" s="51">
        <f t="shared" si="88"/>
        <v>1972722.9823711752</v>
      </c>
      <c r="AE209" s="51">
        <f t="shared" si="88"/>
        <v>2359791.8581013489</v>
      </c>
      <c r="AF209" s="51">
        <f t="shared" si="88"/>
        <v>2441318.4171473454</v>
      </c>
      <c r="AG209" s="51">
        <f t="shared" si="88"/>
        <v>2358552.2243161015</v>
      </c>
      <c r="AH209" s="51">
        <f t="shared" si="88"/>
        <v>2181954.9523844151</v>
      </c>
      <c r="AI209" s="51">
        <f t="shared" si="88"/>
        <v>2370827.0650417805</v>
      </c>
      <c r="AJ209" s="51">
        <f t="shared" si="88"/>
        <v>2205881.4027489168</v>
      </c>
      <c r="AK209" s="51">
        <f t="shared" si="88"/>
        <v>2565556.8073051698</v>
      </c>
      <c r="AL209" s="51">
        <f t="shared" si="88"/>
        <v>2727541.810014701</v>
      </c>
      <c r="AM209" s="51">
        <f t="shared" si="88"/>
        <v>2932026.5931379688</v>
      </c>
      <c r="AN209" s="51">
        <f t="shared" si="88"/>
        <v>3155443.1404223465</v>
      </c>
      <c r="AO209" s="51">
        <f t="shared" si="88"/>
        <v>3298865.6597177745</v>
      </c>
      <c r="AP209" s="51">
        <f t="shared" si="88"/>
        <v>3262321.4964388791</v>
      </c>
      <c r="AQ209" s="51">
        <f t="shared" si="88"/>
        <v>3483030.6624336909</v>
      </c>
      <c r="AR209" s="51">
        <f t="shared" si="88"/>
        <v>3480899.3192868042</v>
      </c>
      <c r="AS209" s="51">
        <f t="shared" si="88"/>
        <v>3593284.8761071004</v>
      </c>
      <c r="AT209" s="51">
        <f t="shared" si="88"/>
        <v>3584496.0450236648</v>
      </c>
      <c r="AU209" s="51">
        <f t="shared" si="88"/>
        <v>3584496.0450236648</v>
      </c>
      <c r="AV209" s="51">
        <f t="shared" si="88"/>
        <v>3437899.4803130566</v>
      </c>
      <c r="AW209" s="51">
        <f t="shared" si="88"/>
        <v>3401370.0548821413</v>
      </c>
      <c r="AX209" s="51">
        <f t="shared" si="88"/>
        <v>3271303.7141687959</v>
      </c>
      <c r="AY209" s="51">
        <f t="shared" si="88"/>
        <v>3171141.7559631956</v>
      </c>
      <c r="AZ209" s="51">
        <f t="shared" si="88"/>
        <v>3494135.3952471656</v>
      </c>
      <c r="BA209" s="51">
        <f t="shared" si="88"/>
        <v>3464499.3699564938</v>
      </c>
    </row>
    <row r="210" spans="2:53" x14ac:dyDescent="0.3">
      <c r="C210" s="50" t="s">
        <v>157</v>
      </c>
      <c r="N210" s="58">
        <v>0</v>
      </c>
      <c r="O210" s="58">
        <v>0</v>
      </c>
      <c r="P210" s="51">
        <f t="shared" ref="P210:Z214" si="89">O210+P194-P202</f>
        <v>0</v>
      </c>
      <c r="Q210" s="51">
        <f t="shared" si="89"/>
        <v>0</v>
      </c>
      <c r="R210" s="51">
        <f t="shared" si="89"/>
        <v>0</v>
      </c>
      <c r="S210" s="51">
        <f t="shared" si="89"/>
        <v>0</v>
      </c>
      <c r="T210" s="51">
        <f t="shared" si="89"/>
        <v>23568.625110791647</v>
      </c>
      <c r="U210" s="51">
        <f t="shared" si="89"/>
        <v>186175.48819045722</v>
      </c>
      <c r="V210" s="51">
        <f t="shared" si="89"/>
        <v>514162.22090971749</v>
      </c>
      <c r="W210" s="51">
        <f t="shared" si="89"/>
        <v>578696.68769430846</v>
      </c>
      <c r="X210" s="51">
        <f t="shared" si="89"/>
        <v>662956.168141059</v>
      </c>
      <c r="Y210" s="51">
        <f t="shared" si="89"/>
        <v>600018.47933184693</v>
      </c>
      <c r="Z210" s="51">
        <f t="shared" si="89"/>
        <v>556358.8536950713</v>
      </c>
      <c r="AA210" s="51">
        <f t="shared" si="88"/>
        <v>550520.5095631408</v>
      </c>
      <c r="AB210" s="51">
        <f t="shared" si="88"/>
        <v>611618.36181802838</v>
      </c>
      <c r="AC210" s="51">
        <f t="shared" si="88"/>
        <v>656787.39196478308</v>
      </c>
      <c r="AD210" s="51">
        <f t="shared" si="88"/>
        <v>682814.28655859223</v>
      </c>
      <c r="AE210" s="51">
        <f t="shared" si="88"/>
        <v>812844.33449977532</v>
      </c>
      <c r="AF210" s="51">
        <f t="shared" si="88"/>
        <v>841336.38391661423</v>
      </c>
      <c r="AG210" s="51">
        <f t="shared" si="88"/>
        <v>852088.2039540367</v>
      </c>
      <c r="AH210" s="51">
        <f t="shared" si="88"/>
        <v>1285205.5616602167</v>
      </c>
      <c r="AI210" s="51">
        <f t="shared" si="88"/>
        <v>1490422.9665136836</v>
      </c>
      <c r="AJ210" s="51">
        <f t="shared" si="88"/>
        <v>1572291.3958175406</v>
      </c>
      <c r="AK210" s="51">
        <f t="shared" si="88"/>
        <v>2815750.8753616549</v>
      </c>
      <c r="AL210" s="51">
        <f t="shared" si="88"/>
        <v>3082234.1473659677</v>
      </c>
      <c r="AM210" s="51">
        <f t="shared" si="88"/>
        <v>3417827.1936309566</v>
      </c>
      <c r="AN210" s="51">
        <f t="shared" si="88"/>
        <v>3804151.5348558095</v>
      </c>
      <c r="AO210" s="51">
        <f t="shared" si="88"/>
        <v>3999023.8088795138</v>
      </c>
      <c r="AP210" s="51">
        <f t="shared" si="88"/>
        <v>3946257.2120288392</v>
      </c>
      <c r="AQ210" s="51">
        <f t="shared" si="88"/>
        <v>4298465.5342450272</v>
      </c>
      <c r="AR210" s="51">
        <f t="shared" si="88"/>
        <v>4295343.8752871966</v>
      </c>
      <c r="AS210" s="51">
        <f t="shared" si="88"/>
        <v>4498775.6715369001</v>
      </c>
      <c r="AT210" s="51">
        <f t="shared" si="88"/>
        <v>4477790.6938165165</v>
      </c>
      <c r="AU210" s="51">
        <f t="shared" si="88"/>
        <v>4477790.6938165165</v>
      </c>
      <c r="AV210" s="51">
        <f t="shared" si="88"/>
        <v>4062961.4509647531</v>
      </c>
      <c r="AW210" s="51">
        <f t="shared" si="88"/>
        <v>4179576.9286821573</v>
      </c>
      <c r="AX210" s="51">
        <f t="shared" si="88"/>
        <v>3817678.0274426797</v>
      </c>
      <c r="AY210" s="51">
        <f t="shared" si="88"/>
        <v>3538216.6283698711</v>
      </c>
      <c r="AZ210" s="51">
        <f t="shared" si="88"/>
        <v>4439399.6318074912</v>
      </c>
      <c r="BA210" s="51">
        <f t="shared" si="88"/>
        <v>4356712.2998197544</v>
      </c>
    </row>
    <row r="211" spans="2:53" x14ac:dyDescent="0.3">
      <c r="C211" s="50" t="s">
        <v>158</v>
      </c>
      <c r="N211" s="58">
        <v>0</v>
      </c>
      <c r="O211" s="58">
        <v>0</v>
      </c>
      <c r="P211" s="51">
        <f t="shared" si="89"/>
        <v>0</v>
      </c>
      <c r="Q211" s="51">
        <f t="shared" si="89"/>
        <v>0</v>
      </c>
      <c r="R211" s="51">
        <f t="shared" si="89"/>
        <v>0</v>
      </c>
      <c r="S211" s="51">
        <f>R211+S195-S203</f>
        <v>230400</v>
      </c>
      <c r="T211" s="51">
        <f t="shared" si="89"/>
        <v>576000</v>
      </c>
      <c r="U211" s="51">
        <f t="shared" si="89"/>
        <v>1152000</v>
      </c>
      <c r="V211" s="51">
        <f t="shared" si="89"/>
        <v>1658880</v>
      </c>
      <c r="W211" s="51">
        <f t="shared" si="89"/>
        <v>1728000</v>
      </c>
      <c r="X211" s="51">
        <f t="shared" si="89"/>
        <v>1969920</v>
      </c>
      <c r="Y211" s="51">
        <f t="shared" si="89"/>
        <v>2592000</v>
      </c>
      <c r="Z211" s="51">
        <f t="shared" si="89"/>
        <v>1978615.5663778456</v>
      </c>
      <c r="AA211" s="51">
        <f t="shared" si="88"/>
        <v>1969920</v>
      </c>
      <c r="AB211" s="51">
        <f t="shared" si="88"/>
        <v>2592000</v>
      </c>
      <c r="AC211" s="51">
        <f t="shared" si="88"/>
        <v>2641957.8004070888</v>
      </c>
      <c r="AD211" s="51">
        <f t="shared" si="88"/>
        <v>2528076.7777735679</v>
      </c>
      <c r="AE211" s="51">
        <f t="shared" si="88"/>
        <v>2592000.0000000005</v>
      </c>
      <c r="AF211" s="51">
        <f t="shared" si="88"/>
        <v>2460973.8296882152</v>
      </c>
      <c r="AG211" s="51">
        <f t="shared" si="88"/>
        <v>2454071.0928601217</v>
      </c>
      <c r="AH211" s="51">
        <f t="shared" si="88"/>
        <v>2710806.0886507048</v>
      </c>
      <c r="AI211" s="51">
        <f t="shared" si="88"/>
        <v>2710806.0886507053</v>
      </c>
      <c r="AJ211" s="51">
        <f t="shared" si="88"/>
        <v>2592905.5801351164</v>
      </c>
      <c r="AK211" s="51">
        <f t="shared" si="88"/>
        <v>2973480.2958503906</v>
      </c>
      <c r="AL211" s="51">
        <f t="shared" si="88"/>
        <v>2875315.150384903</v>
      </c>
      <c r="AM211" s="51">
        <f t="shared" si="88"/>
        <v>2807132.8891680338</v>
      </c>
      <c r="AN211" s="51">
        <f t="shared" si="88"/>
        <v>2987715.1922895103</v>
      </c>
      <c r="AO211" s="51">
        <f t="shared" si="88"/>
        <v>3034112.0722484547</v>
      </c>
      <c r="AP211" s="51">
        <f t="shared" si="88"/>
        <v>2912724.4649797007</v>
      </c>
      <c r="AQ211" s="51">
        <f t="shared" si="88"/>
        <v>3034690.1817188459</v>
      </c>
      <c r="AR211" s="51">
        <f t="shared" si="88"/>
        <v>2983044.5495133847</v>
      </c>
      <c r="AS211" s="51">
        <f t="shared" si="88"/>
        <v>3073229.958060368</v>
      </c>
      <c r="AT211" s="51">
        <f t="shared" si="88"/>
        <v>3055196.1901659765</v>
      </c>
      <c r="AU211" s="51">
        <f t="shared" si="88"/>
        <v>3085179.0744145941</v>
      </c>
      <c r="AV211" s="51">
        <f t="shared" si="88"/>
        <v>3033533.442209132</v>
      </c>
      <c r="AW211" s="51">
        <f t="shared" si="88"/>
        <v>3094743.3280775882</v>
      </c>
      <c r="AX211" s="51">
        <f t="shared" si="88"/>
        <v>3043097.6958721261</v>
      </c>
      <c r="AY211" s="51">
        <f t="shared" si="88"/>
        <v>3021434.9479152826</v>
      </c>
      <c r="AZ211" s="51">
        <f t="shared" si="88"/>
        <v>3728097.843570963</v>
      </c>
      <c r="BA211" s="51">
        <f t="shared" si="88"/>
        <v>3827822.7028828734</v>
      </c>
    </row>
    <row r="212" spans="2:53" x14ac:dyDescent="0.3">
      <c r="C212" s="50" t="s">
        <v>159</v>
      </c>
      <c r="N212" s="58">
        <v>0</v>
      </c>
      <c r="O212" s="58">
        <v>0</v>
      </c>
      <c r="P212" s="51">
        <f t="shared" si="89"/>
        <v>0</v>
      </c>
      <c r="Q212" s="51">
        <f t="shared" si="89"/>
        <v>0</v>
      </c>
      <c r="R212" s="51">
        <f t="shared" si="89"/>
        <v>0</v>
      </c>
      <c r="S212" s="51">
        <f t="shared" si="89"/>
        <v>174600</v>
      </c>
      <c r="T212" s="51">
        <f t="shared" si="89"/>
        <v>251267.92014285713</v>
      </c>
      <c r="U212" s="51">
        <f t="shared" si="89"/>
        <v>251267.92014285713</v>
      </c>
      <c r="V212" s="51">
        <f t="shared" si="89"/>
        <v>251267.92014285713</v>
      </c>
      <c r="W212" s="51">
        <f t="shared" si="89"/>
        <v>251267.92014285713</v>
      </c>
      <c r="X212" s="51">
        <f t="shared" si="89"/>
        <v>251267.92014285713</v>
      </c>
      <c r="Y212" s="51">
        <f t="shared" si="89"/>
        <v>843330.11504761898</v>
      </c>
      <c r="Z212" s="51">
        <f t="shared" si="89"/>
        <v>843330.11504761898</v>
      </c>
      <c r="AA212" s="51">
        <f t="shared" si="88"/>
        <v>843330.11504761886</v>
      </c>
      <c r="AB212" s="51">
        <f t="shared" si="88"/>
        <v>843330.11504761886</v>
      </c>
      <c r="AC212" s="51">
        <f t="shared" si="88"/>
        <v>843330.11504761875</v>
      </c>
      <c r="AD212" s="51">
        <f t="shared" si="88"/>
        <v>843330.11504761875</v>
      </c>
      <c r="AE212" s="51">
        <f t="shared" si="88"/>
        <v>893858.71485714288</v>
      </c>
      <c r="AF212" s="51">
        <f t="shared" si="88"/>
        <v>893858.71485714288</v>
      </c>
      <c r="AG212" s="51">
        <f t="shared" si="88"/>
        <v>893858.714857143</v>
      </c>
      <c r="AH212" s="51">
        <f t="shared" si="88"/>
        <v>893858.71485714312</v>
      </c>
      <c r="AI212" s="51">
        <f t="shared" si="88"/>
        <v>893858.71485714312</v>
      </c>
      <c r="AJ212" s="51">
        <f t="shared" si="88"/>
        <v>893858.71485714312</v>
      </c>
      <c r="AK212" s="51">
        <f t="shared" si="88"/>
        <v>893858.71485714323</v>
      </c>
      <c r="AL212" s="51">
        <f t="shared" si="88"/>
        <v>893858.71485714335</v>
      </c>
      <c r="AM212" s="51">
        <f t="shared" si="88"/>
        <v>893858.71485714335</v>
      </c>
      <c r="AN212" s="51">
        <f t="shared" si="88"/>
        <v>1085663.8018095237</v>
      </c>
      <c r="AO212" s="51">
        <f t="shared" si="88"/>
        <v>1085663.8018095237</v>
      </c>
      <c r="AP212" s="51">
        <f t="shared" si="88"/>
        <v>1085663.8018095237</v>
      </c>
      <c r="AQ212" s="51">
        <f t="shared" si="88"/>
        <v>1143858.7148571429</v>
      </c>
      <c r="AR212" s="51">
        <f t="shared" si="88"/>
        <v>1143858.7148571431</v>
      </c>
      <c r="AS212" s="51">
        <f t="shared" si="88"/>
        <v>1143858.7148571429</v>
      </c>
      <c r="AT212" s="51">
        <f t="shared" si="88"/>
        <v>1143858.7148571429</v>
      </c>
      <c r="AU212" s="51">
        <f t="shared" si="88"/>
        <v>1143858.7148571429</v>
      </c>
      <c r="AV212" s="51">
        <f t="shared" si="88"/>
        <v>1143858.7148571429</v>
      </c>
      <c r="AW212" s="51">
        <f t="shared" si="88"/>
        <v>1143858.7148571429</v>
      </c>
      <c r="AX212" s="51">
        <f t="shared" si="88"/>
        <v>1143858.7148571429</v>
      </c>
      <c r="AY212" s="51">
        <f t="shared" si="88"/>
        <v>1143858.7148571429</v>
      </c>
      <c r="AZ212" s="51">
        <f t="shared" si="88"/>
        <v>1143858.7148571429</v>
      </c>
      <c r="BA212" s="51">
        <f t="shared" si="88"/>
        <v>1143858.7148571429</v>
      </c>
    </row>
    <row r="213" spans="2:53" x14ac:dyDescent="0.3">
      <c r="C213" s="50" t="s">
        <v>160</v>
      </c>
      <c r="N213" s="58">
        <v>0</v>
      </c>
      <c r="O213" s="58">
        <v>0</v>
      </c>
      <c r="P213" s="51">
        <f t="shared" si="89"/>
        <v>0</v>
      </c>
      <c r="Q213" s="51">
        <f t="shared" si="89"/>
        <v>0</v>
      </c>
      <c r="R213" s="51">
        <f t="shared" si="89"/>
        <v>0</v>
      </c>
      <c r="S213" s="51">
        <f t="shared" si="89"/>
        <v>63000</v>
      </c>
      <c r="T213" s="51">
        <f t="shared" si="89"/>
        <v>63000</v>
      </c>
      <c r="U213" s="51">
        <f t="shared" si="89"/>
        <v>63000</v>
      </c>
      <c r="V213" s="51">
        <f t="shared" si="89"/>
        <v>63000</v>
      </c>
      <c r="W213" s="51">
        <f t="shared" si="89"/>
        <v>63000</v>
      </c>
      <c r="X213" s="51">
        <f t="shared" si="89"/>
        <v>63000</v>
      </c>
      <c r="Y213" s="51">
        <f t="shared" si="89"/>
        <v>490000</v>
      </c>
      <c r="Z213" s="51">
        <f t="shared" si="89"/>
        <v>490000</v>
      </c>
      <c r="AA213" s="51">
        <f t="shared" si="88"/>
        <v>490000</v>
      </c>
      <c r="AB213" s="51">
        <f t="shared" si="88"/>
        <v>490000</v>
      </c>
      <c r="AC213" s="51">
        <f t="shared" si="88"/>
        <v>490000</v>
      </c>
      <c r="AD213" s="51">
        <f t="shared" si="88"/>
        <v>490000</v>
      </c>
      <c r="AE213" s="51">
        <f t="shared" si="88"/>
        <v>490000</v>
      </c>
      <c r="AF213" s="51">
        <f t="shared" si="88"/>
        <v>490000</v>
      </c>
      <c r="AG213" s="51">
        <f t="shared" si="88"/>
        <v>490000</v>
      </c>
      <c r="AH213" s="51">
        <f t="shared" si="88"/>
        <v>490000</v>
      </c>
      <c r="AI213" s="51">
        <f t="shared" si="88"/>
        <v>490000</v>
      </c>
      <c r="AJ213" s="51">
        <f t="shared" si="88"/>
        <v>490000</v>
      </c>
      <c r="AK213" s="51">
        <f t="shared" si="88"/>
        <v>490000</v>
      </c>
      <c r="AL213" s="51">
        <f t="shared" si="88"/>
        <v>490000</v>
      </c>
      <c r="AM213" s="51">
        <f t="shared" si="88"/>
        <v>490000</v>
      </c>
      <c r="AN213" s="51">
        <f t="shared" si="88"/>
        <v>490000</v>
      </c>
      <c r="AO213" s="51">
        <f t="shared" si="88"/>
        <v>490000</v>
      </c>
      <c r="AP213" s="51">
        <f t="shared" si="88"/>
        <v>490000</v>
      </c>
      <c r="AQ213" s="51">
        <f t="shared" si="88"/>
        <v>490000</v>
      </c>
      <c r="AR213" s="51">
        <f t="shared" si="88"/>
        <v>490000</v>
      </c>
      <c r="AS213" s="51">
        <f t="shared" si="88"/>
        <v>490000</v>
      </c>
      <c r="AT213" s="51">
        <f t="shared" si="88"/>
        <v>490000</v>
      </c>
      <c r="AU213" s="51">
        <f t="shared" si="88"/>
        <v>490000</v>
      </c>
      <c r="AV213" s="51">
        <f t="shared" si="88"/>
        <v>490000</v>
      </c>
      <c r="AW213" s="51">
        <f t="shared" si="88"/>
        <v>490000</v>
      </c>
      <c r="AX213" s="51">
        <f t="shared" si="88"/>
        <v>490000</v>
      </c>
      <c r="AY213" s="51">
        <f t="shared" si="88"/>
        <v>490000</v>
      </c>
      <c r="AZ213" s="51">
        <f t="shared" si="88"/>
        <v>490000</v>
      </c>
      <c r="BA213" s="51">
        <f t="shared" si="88"/>
        <v>490000</v>
      </c>
    </row>
    <row r="214" spans="2:53" x14ac:dyDescent="0.3">
      <c r="C214" s="50" t="s">
        <v>161</v>
      </c>
      <c r="N214" s="58">
        <v>0</v>
      </c>
      <c r="O214" s="58">
        <v>0</v>
      </c>
      <c r="P214" s="51">
        <f t="shared" si="89"/>
        <v>0</v>
      </c>
      <c r="Q214" s="51">
        <f t="shared" si="89"/>
        <v>0</v>
      </c>
      <c r="R214" s="51">
        <f t="shared" si="89"/>
        <v>0</v>
      </c>
      <c r="S214" s="51">
        <f t="shared" si="89"/>
        <v>0</v>
      </c>
      <c r="T214" s="51">
        <f t="shared" si="89"/>
        <v>0</v>
      </c>
      <c r="U214" s="51">
        <f t="shared" si="89"/>
        <v>0</v>
      </c>
      <c r="V214" s="51">
        <f t="shared" si="89"/>
        <v>0</v>
      </c>
      <c r="W214" s="51">
        <f t="shared" si="89"/>
        <v>0</v>
      </c>
      <c r="X214" s="51">
        <f t="shared" si="89"/>
        <v>0</v>
      </c>
      <c r="Y214" s="51">
        <f t="shared" si="89"/>
        <v>0</v>
      </c>
      <c r="Z214" s="51">
        <f t="shared" si="89"/>
        <v>0</v>
      </c>
      <c r="AA214" s="51">
        <f t="shared" si="88"/>
        <v>0</v>
      </c>
      <c r="AB214" s="51">
        <f t="shared" si="88"/>
        <v>0</v>
      </c>
      <c r="AC214" s="51">
        <f t="shared" si="88"/>
        <v>0</v>
      </c>
      <c r="AD214" s="51">
        <f t="shared" si="88"/>
        <v>0</v>
      </c>
      <c r="AE214" s="51">
        <f t="shared" si="88"/>
        <v>0</v>
      </c>
      <c r="AF214" s="51">
        <f t="shared" si="88"/>
        <v>0</v>
      </c>
      <c r="AG214" s="51">
        <f t="shared" si="88"/>
        <v>0</v>
      </c>
      <c r="AH214" s="51">
        <f t="shared" si="88"/>
        <v>0</v>
      </c>
      <c r="AI214" s="51">
        <f t="shared" si="88"/>
        <v>0</v>
      </c>
      <c r="AJ214" s="51">
        <f t="shared" si="88"/>
        <v>0</v>
      </c>
      <c r="AK214" s="51">
        <f t="shared" si="88"/>
        <v>0</v>
      </c>
      <c r="AL214" s="51">
        <f t="shared" si="88"/>
        <v>0</v>
      </c>
      <c r="AM214" s="51">
        <f t="shared" si="88"/>
        <v>0</v>
      </c>
      <c r="AN214" s="51">
        <f t="shared" si="88"/>
        <v>0</v>
      </c>
      <c r="AO214" s="51">
        <f t="shared" si="88"/>
        <v>0</v>
      </c>
      <c r="AP214" s="51">
        <f t="shared" si="88"/>
        <v>0</v>
      </c>
      <c r="AQ214" s="51">
        <f t="shared" si="88"/>
        <v>0</v>
      </c>
      <c r="AR214" s="51">
        <f t="shared" si="88"/>
        <v>0</v>
      </c>
      <c r="AS214" s="51">
        <f t="shared" si="88"/>
        <v>0</v>
      </c>
      <c r="AT214" s="51">
        <f t="shared" si="88"/>
        <v>0</v>
      </c>
      <c r="AU214" s="51">
        <f t="shared" si="88"/>
        <v>0</v>
      </c>
      <c r="AV214" s="51">
        <f t="shared" si="88"/>
        <v>0</v>
      </c>
      <c r="AW214" s="51">
        <f t="shared" si="88"/>
        <v>0</v>
      </c>
      <c r="AX214" s="51">
        <f t="shared" si="88"/>
        <v>0</v>
      </c>
      <c r="AY214" s="51">
        <f t="shared" si="88"/>
        <v>0</v>
      </c>
      <c r="AZ214" s="51">
        <f t="shared" si="88"/>
        <v>0</v>
      </c>
      <c r="BA214" s="51">
        <f t="shared" si="88"/>
        <v>0</v>
      </c>
    </row>
    <row r="216" spans="2:53" x14ac:dyDescent="0.3">
      <c r="C216" s="3" t="s">
        <v>173</v>
      </c>
      <c r="N216">
        <f>SUMPRODUCT(N209:N214,N163:N168)</f>
        <v>0</v>
      </c>
      <c r="O216" s="51">
        <f>SUMPRODUCT(O209:O214,O163:O168)</f>
        <v>0</v>
      </c>
      <c r="P216" s="51">
        <f>SUMPRODUCT(P209:P214,P163:P168)</f>
        <v>0</v>
      </c>
      <c r="Q216" s="51">
        <f t="shared" ref="Q216:Z216" si="90">SUMPRODUCT(Q209:Q214,Q163:Q168)</f>
        <v>0</v>
      </c>
      <c r="R216" s="51">
        <f t="shared" si="90"/>
        <v>0</v>
      </c>
      <c r="S216" s="51">
        <f t="shared" si="90"/>
        <v>595403.59864896606</v>
      </c>
      <c r="T216" s="51">
        <f t="shared" si="90"/>
        <v>617282.93552974146</v>
      </c>
      <c r="U216" s="51">
        <f t="shared" si="90"/>
        <v>944707.05612233607</v>
      </c>
      <c r="V216" s="51">
        <f t="shared" si="90"/>
        <v>1359975.5949174876</v>
      </c>
      <c r="W216" s="51">
        <f t="shared" si="90"/>
        <v>1384731.2088508874</v>
      </c>
      <c r="X216" s="51">
        <f t="shared" si="90"/>
        <v>1569596.1250908468</v>
      </c>
      <c r="Y216" s="51">
        <f t="shared" si="90"/>
        <v>1890031.3962245008</v>
      </c>
      <c r="Z216" s="51">
        <f t="shared" si="90"/>
        <v>1736986.0773307881</v>
      </c>
      <c r="AA216" s="51">
        <f>SUMPRODUCT(AA209:AA214,AA163:AA168)</f>
        <v>1726202.8696456118</v>
      </c>
      <c r="AB216" s="51">
        <f>SUMPRODUCT(AB209:AB214,AB163:AB168)</f>
        <v>1985010.338921041</v>
      </c>
      <c r="AC216" s="51">
        <f t="shared" ref="AC216:AY216" si="91">SUMPRODUCT(AC209:AC214,AC163:AC168)</f>
        <v>2128511.9780997261</v>
      </c>
      <c r="AD216" s="51">
        <f t="shared" si="91"/>
        <v>2189861.3735872214</v>
      </c>
      <c r="AE216" s="51">
        <f t="shared" si="91"/>
        <v>2336757.9258981165</v>
      </c>
      <c r="AF216" s="51">
        <f t="shared" si="91"/>
        <v>2443514.1879044739</v>
      </c>
      <c r="AG216" s="51">
        <f t="shared" si="91"/>
        <v>2336877.1350147603</v>
      </c>
      <c r="AH216" s="51">
        <f t="shared" si="91"/>
        <v>2414493.6456111083</v>
      </c>
      <c r="AI216" s="51">
        <f t="shared" si="91"/>
        <v>2463281.0289832009</v>
      </c>
      <c r="AJ216" s="51">
        <f t="shared" si="91"/>
        <v>2435286.9633003324</v>
      </c>
      <c r="AK216" s="51">
        <f t="shared" si="91"/>
        <v>2816145.0572526357</v>
      </c>
      <c r="AL216" s="51">
        <f t="shared" si="91"/>
        <v>3069516.4772243733</v>
      </c>
      <c r="AM216" s="51">
        <f t="shared" si="91"/>
        <v>3220728.6195827997</v>
      </c>
      <c r="AN216" s="51">
        <f t="shared" si="91"/>
        <v>3182188.3878625748</v>
      </c>
      <c r="AO216" s="51">
        <f t="shared" si="91"/>
        <v>3349022.4339116565</v>
      </c>
      <c r="AP216" s="51">
        <f t="shared" si="91"/>
        <v>3369637.3310168274</v>
      </c>
      <c r="AQ216" s="51">
        <f t="shared" si="91"/>
        <v>3447859.1073200647</v>
      </c>
      <c r="AR216" s="51">
        <f t="shared" si="91"/>
        <v>3575006.6808141596</v>
      </c>
      <c r="AS216" s="51">
        <f t="shared" si="91"/>
        <v>3562463.3494843962</v>
      </c>
      <c r="AT216" s="51">
        <f t="shared" si="91"/>
        <v>3560287.4223698592</v>
      </c>
      <c r="AU216" s="51">
        <f t="shared" si="91"/>
        <v>3547644.8395537082</v>
      </c>
      <c r="AV216" s="51">
        <f t="shared" si="91"/>
        <v>3420655.8101852047</v>
      </c>
      <c r="AW216" s="51">
        <f t="shared" si="91"/>
        <v>3330043.6888756743</v>
      </c>
      <c r="AX216" s="51">
        <f t="shared" si="91"/>
        <v>3349638.9724279083</v>
      </c>
      <c r="AY216" s="51">
        <f t="shared" si="91"/>
        <v>3241717.5181214446</v>
      </c>
      <c r="AZ216" s="51">
        <f>SUMPRODUCT(AZ209:AZ214,AZ163:AZ168)</f>
        <v>3282247.7192703225</v>
      </c>
      <c r="BA216" s="51">
        <f>SUMPRODUCT(BA209:BA214,BA163:BA168)</f>
        <v>3329560.9415378105</v>
      </c>
    </row>
    <row r="217" spans="2:53" x14ac:dyDescent="0.3">
      <c r="B217" s="60">
        <v>3</v>
      </c>
      <c r="C217" s="3" t="s">
        <v>174</v>
      </c>
      <c r="N217" s="51">
        <f>$B217/O$1*(SUMPRODUCT(O$23:O$25,O$193:O$195)+SUMPRODUCT(O$196:O$198,O$28:O$30))</f>
        <v>0</v>
      </c>
      <c r="O217" s="51">
        <f>$B217/P$1*(SUMPRODUCT(P$23:P$25,P$193:P$195)+SUMPRODUCT(P$196:P$198,P$28:P$30))</f>
        <v>0</v>
      </c>
      <c r="P217" s="51">
        <f>$B217/Q$1*(SUMPRODUCT(Q$23:Q$25,Q$193:Q$195)+SUMPRODUCT(Q$196:Q$198,Q$28:Q$30))</f>
        <v>0</v>
      </c>
      <c r="Q217" s="51">
        <f>$B217/R$1*(SUMPRODUCT(R$23:R$25,R$193:R$195)+SUMPRODUCT(R$196:R$198,R$28:R$30))</f>
        <v>0</v>
      </c>
      <c r="R217" s="51">
        <f>(SUMPRODUCT(S$23:S$25,S$193:S$195)+SUMPRODUCT(S$196:S$198,S$28:S$30))*1.5</f>
        <v>96579</v>
      </c>
      <c r="S217" s="51">
        <f>(SUMPRODUCT(T$23:T$25,T$193:T$195)+SUMPRODUCT(T$196:T$198,T$28:T$30))*1.2</f>
        <v>155721.03568165289</v>
      </c>
      <c r="T217" s="51">
        <f t="shared" ref="T217:BA217" si="92">$B217/U$1*(SUMPRODUCT(U$23:U$25,U$193:U$195)+SUMPRODUCT(U$196:U$198,U$28:U$30))</f>
        <v>227456.83697228768</v>
      </c>
      <c r="U217" s="51">
        <f t="shared" si="92"/>
        <v>290142.15810867539</v>
      </c>
      <c r="V217" s="51">
        <f t="shared" si="92"/>
        <v>382049.45369748538</v>
      </c>
      <c r="W217" s="51">
        <f t="shared" si="92"/>
        <v>372179.16279314255</v>
      </c>
      <c r="X217" s="51">
        <f t="shared" si="92"/>
        <v>423759.86704115523</v>
      </c>
      <c r="Y217" s="51">
        <f t="shared" si="92"/>
        <v>429854.37809569045</v>
      </c>
      <c r="Z217" s="51">
        <f t="shared" si="92"/>
        <v>428303.15245024825</v>
      </c>
      <c r="AA217" s="51">
        <f t="shared" si="92"/>
        <v>504481.86299323005</v>
      </c>
      <c r="AB217" s="51">
        <f t="shared" si="92"/>
        <v>506283.73673393129</v>
      </c>
      <c r="AC217" s="51">
        <f t="shared" si="92"/>
        <v>473356.82325182488</v>
      </c>
      <c r="AD217" s="51">
        <f t="shared" si="92"/>
        <v>500664.89878265222</v>
      </c>
      <c r="AE217" s="51">
        <f t="shared" si="92"/>
        <v>471673.15949133202</v>
      </c>
      <c r="AF217" s="51">
        <f t="shared" si="92"/>
        <v>478873.67089075717</v>
      </c>
      <c r="AG217" s="51">
        <f t="shared" si="92"/>
        <v>444220.03174976795</v>
      </c>
      <c r="AH217" s="51">
        <f t="shared" si="92"/>
        <v>583057.25450586667</v>
      </c>
      <c r="AI217" s="51">
        <f t="shared" si="92"/>
        <v>524985.42024065624</v>
      </c>
      <c r="AJ217" s="51">
        <f t="shared" si="92"/>
        <v>647330.88172087364</v>
      </c>
      <c r="AK217" s="51">
        <f t="shared" si="92"/>
        <v>613923.7566214035</v>
      </c>
      <c r="AL217" s="51">
        <f t="shared" si="92"/>
        <v>609243.57809388754</v>
      </c>
      <c r="AM217" s="51">
        <f t="shared" si="92"/>
        <v>591890.90537298156</v>
      </c>
      <c r="AN217" s="51">
        <f t="shared" si="92"/>
        <v>609963.35018398124</v>
      </c>
      <c r="AO217" s="51">
        <f t="shared" si="92"/>
        <v>579381.6392463732</v>
      </c>
      <c r="AP217" s="51">
        <f t="shared" si="92"/>
        <v>602562.81906116731</v>
      </c>
      <c r="AQ217" s="51">
        <f t="shared" si="92"/>
        <v>580157.13399442821</v>
      </c>
      <c r="AR217" s="51">
        <f t="shared" si="92"/>
        <v>642470.46273197653</v>
      </c>
      <c r="AS217" s="51">
        <f t="shared" si="92"/>
        <v>583126.73730033648</v>
      </c>
      <c r="AT217" s="51">
        <f t="shared" si="92"/>
        <v>646015.95775427495</v>
      </c>
      <c r="AU217" s="51">
        <f t="shared" si="92"/>
        <v>628710.39972137474</v>
      </c>
      <c r="AV217" s="51">
        <f t="shared" si="92"/>
        <v>649603.0431248598</v>
      </c>
      <c r="AW217" s="51">
        <f t="shared" si="92"/>
        <v>629179.85911296355</v>
      </c>
      <c r="AX217" s="51">
        <f t="shared" si="92"/>
        <v>623726.22058375622</v>
      </c>
      <c r="AY217" s="51">
        <f t="shared" si="92"/>
        <v>577489.48505638982</v>
      </c>
      <c r="AZ217" s="51">
        <f t="shared" si="92"/>
        <v>588104.974824565</v>
      </c>
      <c r="BA217" s="51" t="e">
        <f t="shared" si="92"/>
        <v>#DIV/0!</v>
      </c>
    </row>
    <row r="218" spans="2:53" x14ac:dyDescent="0.3">
      <c r="B218" s="60">
        <v>6</v>
      </c>
      <c r="C218" s="3" t="s">
        <v>175</v>
      </c>
      <c r="N218" s="51">
        <f t="shared" ref="N218:BA218" si="93">$B218/O$1*(SUMPRODUCT(O$34:O$36,O$193:O$195)+SUMPRODUCT(O$196:O$198,O$39:O$41))</f>
        <v>0</v>
      </c>
      <c r="O218" s="51">
        <f t="shared" si="93"/>
        <v>0</v>
      </c>
      <c r="P218" s="51">
        <f t="shared" si="93"/>
        <v>0</v>
      </c>
      <c r="Q218" s="51">
        <f t="shared" si="93"/>
        <v>0</v>
      </c>
      <c r="R218" s="51">
        <f t="shared" si="93"/>
        <v>22291.200000000001</v>
      </c>
      <c r="S218" s="51">
        <f t="shared" si="93"/>
        <v>70444.082607305842</v>
      </c>
      <c r="T218" s="51">
        <f t="shared" si="93"/>
        <v>182410.07566542976</v>
      </c>
      <c r="U218" s="51">
        <f t="shared" si="93"/>
        <v>235778.02794329307</v>
      </c>
      <c r="V218" s="51">
        <f t="shared" si="93"/>
        <v>306962.11191011535</v>
      </c>
      <c r="W218" s="51">
        <f t="shared" si="93"/>
        <v>315720.94632765825</v>
      </c>
      <c r="X218" s="51">
        <f t="shared" si="93"/>
        <v>313529.50347001996</v>
      </c>
      <c r="Y218" s="51">
        <f t="shared" si="93"/>
        <v>308472.38841761975</v>
      </c>
      <c r="Z218" s="51">
        <f t="shared" si="93"/>
        <v>313212.03656190087</v>
      </c>
      <c r="AA218" s="51">
        <f t="shared" si="93"/>
        <v>367828.61023513385</v>
      </c>
      <c r="AB218" s="51">
        <f t="shared" si="93"/>
        <v>372950.66869115073</v>
      </c>
      <c r="AC218" s="51">
        <f t="shared" si="93"/>
        <v>339966.48645670083</v>
      </c>
      <c r="AD218" s="51">
        <f t="shared" si="93"/>
        <v>362013.54593279451</v>
      </c>
      <c r="AE218" s="51">
        <f t="shared" si="93"/>
        <v>336567.84592810896</v>
      </c>
      <c r="AF218" s="51">
        <f t="shared" si="93"/>
        <v>347691.61742946715</v>
      </c>
      <c r="AG218" s="51">
        <f t="shared" si="93"/>
        <v>345028.34480946162</v>
      </c>
      <c r="AH218" s="51">
        <f t="shared" si="93"/>
        <v>422604.50166547392</v>
      </c>
      <c r="AI218" s="51">
        <f t="shared" si="93"/>
        <v>386142.36693586677</v>
      </c>
      <c r="AJ218" s="51">
        <f t="shared" si="93"/>
        <v>471100.57313728635</v>
      </c>
      <c r="AK218" s="51">
        <f t="shared" si="93"/>
        <v>442358.94779306377</v>
      </c>
      <c r="AL218" s="51">
        <f t="shared" si="93"/>
        <v>445194.01592216949</v>
      </c>
      <c r="AM218" s="51">
        <f t="shared" si="93"/>
        <v>462995.11148144462</v>
      </c>
      <c r="AN218" s="51">
        <f t="shared" si="93"/>
        <v>475493.28675973974</v>
      </c>
      <c r="AO218" s="51">
        <f t="shared" si="93"/>
        <v>442931.03139196325</v>
      </c>
      <c r="AP218" s="51">
        <f t="shared" si="93"/>
        <v>468730.84869246278</v>
      </c>
      <c r="AQ218" s="51">
        <f t="shared" si="93"/>
        <v>441081.71887568908</v>
      </c>
      <c r="AR218" s="51">
        <f t="shared" si="93"/>
        <v>490913.82274127105</v>
      </c>
      <c r="AS218" s="51">
        <f t="shared" si="93"/>
        <v>463574.31024576933</v>
      </c>
      <c r="AT218" s="51">
        <f t="shared" si="93"/>
        <v>493985.90028002352</v>
      </c>
      <c r="AU218" s="51">
        <f t="shared" si="93"/>
        <v>477451.9782114604</v>
      </c>
      <c r="AV218" s="51">
        <f t="shared" si="93"/>
        <v>504968.1252324619</v>
      </c>
      <c r="AW218" s="51">
        <f t="shared" si="93"/>
        <v>478631.26715082501</v>
      </c>
      <c r="AX218" s="51">
        <f t="shared" si="93"/>
        <v>480681.61317185318</v>
      </c>
      <c r="AY218" s="51">
        <f t="shared" si="93"/>
        <v>512199.45899105852</v>
      </c>
      <c r="AZ218" s="51">
        <f t="shared" si="93"/>
        <v>507276.23159968149</v>
      </c>
      <c r="BA218" s="51" t="e">
        <f t="shared" si="93"/>
        <v>#DIV/0!</v>
      </c>
    </row>
    <row r="221" spans="2:53" x14ac:dyDescent="0.3">
      <c r="C221" s="3" t="s">
        <v>176</v>
      </c>
      <c r="P221" s="51">
        <f t="shared" ref="P221:W221" si="94">P223-P222</f>
        <v>0</v>
      </c>
      <c r="Q221" s="51">
        <f t="shared" si="94"/>
        <v>0</v>
      </c>
      <c r="R221" s="51">
        <f t="shared" si="94"/>
        <v>0</v>
      </c>
      <c r="S221" s="51">
        <f t="shared" si="94"/>
        <v>-448966.76022507646</v>
      </c>
      <c r="T221" s="51">
        <f t="shared" si="94"/>
        <v>-294983.72127137339</v>
      </c>
      <c r="U221" s="51">
        <f t="shared" si="94"/>
        <v>-163170.6415929622</v>
      </c>
      <c r="V221" s="51">
        <f t="shared" si="94"/>
        <v>-101653.12610956025</v>
      </c>
      <c r="W221" s="51">
        <f t="shared" si="94"/>
        <v>0</v>
      </c>
    </row>
    <row r="222" spans="2:53" x14ac:dyDescent="0.3">
      <c r="C222" s="3" t="s">
        <v>177</v>
      </c>
      <c r="P222" s="51">
        <f>P216</f>
        <v>0</v>
      </c>
      <c r="Q222" s="51">
        <f>Q216</f>
        <v>0</v>
      </c>
      <c r="R222" s="51">
        <f>R216</f>
        <v>0</v>
      </c>
      <c r="S222" s="51">
        <f>SUMPRODUCT(S193:S198,S163:S168)</f>
        <v>595403.59864896606</v>
      </c>
      <c r="T222" s="51">
        <f>SUMPRODUCT(T193:T198,T163:T168)</f>
        <v>617282.93552974146</v>
      </c>
      <c r="U222" s="51">
        <f>SUMPRODUCT(U193:U198,U163:U168)</f>
        <v>929970.93764298409</v>
      </c>
      <c r="V222" s="51">
        <f>SUMPRODUCT(V193:V198,V163:V168)</f>
        <v>1329133.2444238616</v>
      </c>
      <c r="W222" s="51">
        <f>SUMPRODUCT(W193:W198,W163:W168)</f>
        <v>1275327.5174397051</v>
      </c>
      <c r="X222" s="51"/>
    </row>
    <row r="223" spans="2:53" x14ac:dyDescent="0.3">
      <c r="C223" s="3" t="s">
        <v>178</v>
      </c>
      <c r="P223" s="51">
        <f>SUMPRODUCT(P209:P214,$W$163:$W$168)</f>
        <v>0</v>
      </c>
      <c r="Q223" s="51">
        <f>SUMPRODUCT(Q209:Q214,$W$163:$W$168)</f>
        <v>0</v>
      </c>
      <c r="R223" s="51">
        <f>SUMPRODUCT(R209:R214,$W$163:$W$168)</f>
        <v>0</v>
      </c>
      <c r="S223" s="51">
        <f>SUMPRODUCT(S193:S198,$W$163:$W$168)</f>
        <v>146436.83842388957</v>
      </c>
      <c r="T223" s="51">
        <f>SUMPRODUCT(T193:T198,$W$163:$W$168)</f>
        <v>322299.21425836807</v>
      </c>
      <c r="U223" s="51">
        <f>SUMPRODUCT(U193:U198,$W$163:$W$168)</f>
        <v>766800.29605002189</v>
      </c>
      <c r="V223" s="51">
        <f>SUMPRODUCT(V193:V198,$W$163:$W$168)</f>
        <v>1227480.1183143014</v>
      </c>
      <c r="W223" s="51">
        <f>SUMPRODUCT(W193:W198,$W$163:$W$168)</f>
        <v>1275327.5174397051</v>
      </c>
      <c r="X223" s="51"/>
    </row>
    <row r="229" spans="1:19" x14ac:dyDescent="0.3">
      <c r="A229" t="s">
        <v>179</v>
      </c>
      <c r="B229" t="s">
        <v>180</v>
      </c>
      <c r="C229" t="s">
        <v>22</v>
      </c>
    </row>
    <row r="230" spans="1:19" x14ac:dyDescent="0.3">
      <c r="A230" s="73">
        <v>122239</v>
      </c>
      <c r="B230">
        <v>24.05</v>
      </c>
      <c r="C230" s="73">
        <v>2939847.95</v>
      </c>
      <c r="R230" s="11"/>
      <c r="S230" s="11"/>
    </row>
    <row r="231" spans="1:19" x14ac:dyDescent="0.3">
      <c r="A231" s="73">
        <v>115562</v>
      </c>
      <c r="B231">
        <v>21.49</v>
      </c>
      <c r="C231" s="73">
        <v>2483427.38</v>
      </c>
      <c r="R231" s="74"/>
    </row>
    <row r="232" spans="1:19" x14ac:dyDescent="0.3">
      <c r="A232" s="73">
        <v>50543</v>
      </c>
      <c r="B232">
        <v>24.05</v>
      </c>
      <c r="C232" s="73">
        <v>1215559.1499999999</v>
      </c>
    </row>
    <row r="233" spans="1:19" x14ac:dyDescent="0.3">
      <c r="A233" s="73">
        <v>43761</v>
      </c>
      <c r="B233">
        <v>24.05</v>
      </c>
      <c r="C233" s="73">
        <v>1052452.05</v>
      </c>
    </row>
    <row r="234" spans="1:19" x14ac:dyDescent="0.3">
      <c r="A234" s="73">
        <v>12591</v>
      </c>
      <c r="B234">
        <v>25.6</v>
      </c>
      <c r="C234" s="73">
        <v>322329.59999999998</v>
      </c>
    </row>
    <row r="235" spans="1:19" x14ac:dyDescent="0.3">
      <c r="A235" s="73">
        <v>5065.41</v>
      </c>
      <c r="B235">
        <v>21.22</v>
      </c>
      <c r="C235" s="73">
        <v>107488</v>
      </c>
    </row>
    <row r="236" spans="1:19" x14ac:dyDescent="0.3">
      <c r="A236" s="73">
        <v>4485</v>
      </c>
      <c r="B236">
        <v>22.7</v>
      </c>
      <c r="C236" s="73">
        <v>101809.5</v>
      </c>
    </row>
    <row r="237" spans="1:19" x14ac:dyDescent="0.3">
      <c r="A237" s="73">
        <v>4040.41</v>
      </c>
      <c r="B237">
        <v>20.29</v>
      </c>
      <c r="C237" s="73">
        <v>81979.92</v>
      </c>
    </row>
    <row r="238" spans="1:19" x14ac:dyDescent="0.3">
      <c r="A238" s="73">
        <v>3248</v>
      </c>
      <c r="B238">
        <v>21.74</v>
      </c>
      <c r="C238" s="73">
        <v>70611.520000000004</v>
      </c>
    </row>
    <row r="239" spans="1:19" x14ac:dyDescent="0.3">
      <c r="A239" s="73">
        <v>2426</v>
      </c>
      <c r="B239">
        <v>24.05</v>
      </c>
      <c r="C239" s="73">
        <v>58345.3</v>
      </c>
    </row>
    <row r="240" spans="1:19" x14ac:dyDescent="0.3">
      <c r="A240" s="73">
        <v>2123</v>
      </c>
      <c r="B240">
        <v>24.13</v>
      </c>
      <c r="C240" s="73">
        <v>51227.99</v>
      </c>
    </row>
    <row r="241" spans="1:28" x14ac:dyDescent="0.3">
      <c r="A241">
        <v>890.41</v>
      </c>
      <c r="B241">
        <v>23.16</v>
      </c>
      <c r="C241" s="73">
        <v>20621.900000000001</v>
      </c>
    </row>
    <row r="242" spans="1:28" x14ac:dyDescent="0.3">
      <c r="A242">
        <v>884</v>
      </c>
      <c r="B242">
        <v>21.57</v>
      </c>
      <c r="C242" s="73">
        <v>19067.88</v>
      </c>
    </row>
    <row r="243" spans="1:28" x14ac:dyDescent="0.3">
      <c r="A243">
        <v>440</v>
      </c>
      <c r="B243">
        <v>23.16</v>
      </c>
      <c r="C243" s="73">
        <v>10190.4</v>
      </c>
    </row>
    <row r="244" spans="1:28" x14ac:dyDescent="0.3">
      <c r="A244" s="73">
        <f>SUM(A230:A243)</f>
        <v>368298.22999999992</v>
      </c>
      <c r="C244" s="73">
        <f>SUM(C230:C243)</f>
        <v>8534958.540000001</v>
      </c>
    </row>
    <row r="245" spans="1:28" x14ac:dyDescent="0.3">
      <c r="B245" t="s">
        <v>181</v>
      </c>
      <c r="C245" s="75">
        <f>C244/A244</f>
        <v>23.174041699847439</v>
      </c>
    </row>
    <row r="246" spans="1:28" x14ac:dyDescent="0.3">
      <c r="B246" t="s">
        <v>182</v>
      </c>
      <c r="C246" s="75">
        <f>C245/8</f>
        <v>2.8967552124809299</v>
      </c>
    </row>
    <row r="247" spans="1:28" x14ac:dyDescent="0.3">
      <c r="B247" t="s">
        <v>183</v>
      </c>
      <c r="C247" s="75">
        <f>C246/4</f>
        <v>0.72418880312023248</v>
      </c>
    </row>
    <row r="252" spans="1:28" x14ac:dyDescent="0.3">
      <c r="B252" t="s">
        <v>184</v>
      </c>
    </row>
    <row r="253" spans="1:28" x14ac:dyDescent="0.3">
      <c r="B253" t="s">
        <v>165</v>
      </c>
      <c r="C253" t="s">
        <v>156</v>
      </c>
      <c r="P253" s="56">
        <f>P163</f>
        <v>0.30000000000000004</v>
      </c>
      <c r="Q253" s="56">
        <f t="shared" ref="Q253:AA253" si="95">Q163</f>
        <v>0.30000000000000004</v>
      </c>
      <c r="R253" s="56">
        <f t="shared" si="95"/>
        <v>0.30000000000000004</v>
      </c>
      <c r="S253" s="56">
        <f t="shared" si="95"/>
        <v>0.30000000000000004</v>
      </c>
      <c r="T253" s="56">
        <f t="shared" si="95"/>
        <v>0.74419508374352383</v>
      </c>
      <c r="U253" s="56">
        <f t="shared" si="95"/>
        <v>0.53152201957415701</v>
      </c>
      <c r="V253" s="56">
        <f t="shared" si="95"/>
        <v>0.48583115845251479</v>
      </c>
      <c r="W253" s="56">
        <f t="shared" si="95"/>
        <v>0.45672799610836934</v>
      </c>
      <c r="X253" s="56">
        <f t="shared" si="95"/>
        <v>0.45574934196019845</v>
      </c>
      <c r="Y253" s="56">
        <f t="shared" si="95"/>
        <v>0.43371982734219533</v>
      </c>
      <c r="Z253" s="56">
        <f t="shared" si="95"/>
        <v>0.44805010496960956</v>
      </c>
      <c r="AA253" s="56">
        <f t="shared" si="95"/>
        <v>0.44805010496960956</v>
      </c>
      <c r="AB253" s="56"/>
    </row>
    <row r="254" spans="1:28" x14ac:dyDescent="0.3">
      <c r="B254" t="s">
        <v>165</v>
      </c>
      <c r="C254" t="s">
        <v>157</v>
      </c>
      <c r="P254" s="56">
        <f t="shared" ref="P254:AA258" si="96">P164</f>
        <v>0.12</v>
      </c>
      <c r="Q254" s="56">
        <f t="shared" si="96"/>
        <v>0.12</v>
      </c>
      <c r="R254" s="56">
        <f t="shared" si="96"/>
        <v>0.12</v>
      </c>
      <c r="S254" s="56">
        <f t="shared" si="96"/>
        <v>0.12</v>
      </c>
      <c r="T254" s="56">
        <f t="shared" si="96"/>
        <v>0.5641950837435239</v>
      </c>
      <c r="U254" s="56">
        <f t="shared" si="96"/>
        <v>0.35152201957415685</v>
      </c>
      <c r="V254" s="56">
        <f t="shared" si="96"/>
        <v>0.30583115845251474</v>
      </c>
      <c r="W254" s="56">
        <f t="shared" si="96"/>
        <v>0.27672799610836929</v>
      </c>
      <c r="X254" s="56">
        <f t="shared" si="96"/>
        <v>0.27574934196019835</v>
      </c>
      <c r="Y254" s="56">
        <f t="shared" si="96"/>
        <v>0.25371982734219528</v>
      </c>
      <c r="Z254" s="56">
        <f t="shared" si="96"/>
        <v>0.26805010496960946</v>
      </c>
      <c r="AA254" s="56">
        <f t="shared" si="96"/>
        <v>0.26805010496960952</v>
      </c>
      <c r="AB254" s="56"/>
    </row>
    <row r="255" spans="1:28" x14ac:dyDescent="0.3">
      <c r="B255" t="s">
        <v>165</v>
      </c>
      <c r="C255" t="s">
        <v>158</v>
      </c>
      <c r="P255" s="56">
        <f t="shared" si="96"/>
        <v>0.14000000000000001</v>
      </c>
      <c r="Q255" s="56">
        <f t="shared" si="96"/>
        <v>0.14000000000000001</v>
      </c>
      <c r="R255" s="56">
        <f t="shared" si="96"/>
        <v>0.14000000000000001</v>
      </c>
      <c r="S255" s="56">
        <f t="shared" si="96"/>
        <v>1.2349606808738591</v>
      </c>
      <c r="T255" s="56">
        <f t="shared" si="96"/>
        <v>0.5841950837435238</v>
      </c>
      <c r="U255" s="56">
        <f t="shared" si="96"/>
        <v>0.37152201957415687</v>
      </c>
      <c r="V255" s="56">
        <f t="shared" si="96"/>
        <v>0.32583115845251476</v>
      </c>
      <c r="W255" s="56">
        <f t="shared" si="96"/>
        <v>0.29672799610836931</v>
      </c>
      <c r="X255" s="56">
        <f t="shared" si="96"/>
        <v>0.29574934196019842</v>
      </c>
      <c r="Y255" s="56">
        <f t="shared" si="96"/>
        <v>0.2737198273421953</v>
      </c>
      <c r="Z255" s="56">
        <f t="shared" si="96"/>
        <v>0.28805010496960959</v>
      </c>
      <c r="AA255" s="56">
        <f t="shared" si="96"/>
        <v>0.28805010496960959</v>
      </c>
      <c r="AB255" s="56"/>
    </row>
    <row r="256" spans="1:28" x14ac:dyDescent="0.3">
      <c r="B256" t="s">
        <v>165</v>
      </c>
      <c r="C256" t="s">
        <v>159</v>
      </c>
      <c r="P256" s="56">
        <f t="shared" si="96"/>
        <v>0.25</v>
      </c>
      <c r="Q256" s="56">
        <f t="shared" si="96"/>
        <v>0.25</v>
      </c>
      <c r="R256" s="56">
        <f t="shared" si="96"/>
        <v>0.25</v>
      </c>
      <c r="S256" s="56">
        <f t="shared" si="96"/>
        <v>1.3449606808738588</v>
      </c>
      <c r="T256" s="56">
        <f t="shared" si="96"/>
        <v>0.69419508374352379</v>
      </c>
      <c r="U256" s="56">
        <f t="shared" si="96"/>
        <v>0.48152201957415686</v>
      </c>
      <c r="V256" s="56">
        <f t="shared" si="96"/>
        <v>0.43583115845251474</v>
      </c>
      <c r="W256" s="56">
        <f t="shared" si="96"/>
        <v>0.40672799610836929</v>
      </c>
      <c r="X256" s="56">
        <f t="shared" si="96"/>
        <v>0.40574934196019835</v>
      </c>
      <c r="Y256" s="56">
        <f t="shared" si="96"/>
        <v>0.38371982734219529</v>
      </c>
      <c r="Z256" s="56">
        <f t="shared" si="96"/>
        <v>0.39805010496960952</v>
      </c>
      <c r="AA256" s="56">
        <f t="shared" si="96"/>
        <v>0.39805010496960952</v>
      </c>
      <c r="AB256" s="56"/>
    </row>
    <row r="257" spans="2:28" x14ac:dyDescent="0.3">
      <c r="B257" t="s">
        <v>165</v>
      </c>
      <c r="C257" t="s">
        <v>160</v>
      </c>
      <c r="P257" s="56">
        <f t="shared" si="96"/>
        <v>0.112</v>
      </c>
      <c r="Q257" s="56">
        <f t="shared" si="96"/>
        <v>0.112</v>
      </c>
      <c r="R257" s="56">
        <f t="shared" si="96"/>
        <v>0.112</v>
      </c>
      <c r="S257" s="56">
        <f t="shared" si="96"/>
        <v>1.2069606808738589</v>
      </c>
      <c r="T257" s="56">
        <f t="shared" si="96"/>
        <v>0.55619508374352389</v>
      </c>
      <c r="U257" s="56">
        <f t="shared" si="96"/>
        <v>0.112</v>
      </c>
      <c r="V257" s="56">
        <f t="shared" si="96"/>
        <v>0.112</v>
      </c>
      <c r="W257" s="56">
        <f t="shared" si="96"/>
        <v>0.112</v>
      </c>
      <c r="X257" s="56">
        <f t="shared" si="96"/>
        <v>0.112</v>
      </c>
      <c r="Y257" s="56">
        <f t="shared" si="96"/>
        <v>0.24571982734219527</v>
      </c>
      <c r="Z257" s="56">
        <f t="shared" si="96"/>
        <v>0.26005010496960951</v>
      </c>
      <c r="AA257" s="56">
        <f t="shared" si="96"/>
        <v>0.26005010496960951</v>
      </c>
      <c r="AB257" s="56"/>
    </row>
    <row r="258" spans="2:28" x14ac:dyDescent="0.3">
      <c r="B258" t="s">
        <v>165</v>
      </c>
      <c r="C258" t="s">
        <v>161</v>
      </c>
      <c r="P258" s="56">
        <f t="shared" si="96"/>
        <v>0.1</v>
      </c>
      <c r="Q258" s="56">
        <f t="shared" si="96"/>
        <v>0.1</v>
      </c>
      <c r="R258" s="56">
        <f t="shared" si="96"/>
        <v>0.1</v>
      </c>
      <c r="S258" s="56">
        <f t="shared" si="96"/>
        <v>0.1</v>
      </c>
      <c r="T258" s="56">
        <f t="shared" si="96"/>
        <v>0.1</v>
      </c>
      <c r="U258" s="56">
        <f t="shared" si="96"/>
        <v>0.1</v>
      </c>
      <c r="V258" s="56">
        <f t="shared" si="96"/>
        <v>0.1</v>
      </c>
      <c r="W258" s="56">
        <f t="shared" si="96"/>
        <v>0.1</v>
      </c>
      <c r="X258" s="56">
        <f t="shared" si="96"/>
        <v>0.1</v>
      </c>
      <c r="Y258" s="56">
        <f t="shared" si="96"/>
        <v>0.1</v>
      </c>
      <c r="Z258" s="56">
        <f t="shared" si="96"/>
        <v>0.1</v>
      </c>
      <c r="AA258" s="56">
        <f t="shared" si="96"/>
        <v>0.1</v>
      </c>
      <c r="AB258" s="56"/>
    </row>
    <row r="260" spans="2:28" x14ac:dyDescent="0.3">
      <c r="B260" t="s">
        <v>185</v>
      </c>
    </row>
    <row r="261" spans="2:28" x14ac:dyDescent="0.3">
      <c r="B261" t="s">
        <v>167</v>
      </c>
      <c r="C261" t="s">
        <v>156</v>
      </c>
      <c r="P261" s="56">
        <f>P177</f>
        <v>0.72418880312023248</v>
      </c>
      <c r="Q261" s="56">
        <f t="shared" ref="Q261:AA261" si="97">Q177</f>
        <v>0.72418880312023248</v>
      </c>
      <c r="R261" s="56">
        <f t="shared" si="97"/>
        <v>0.72418880312023248</v>
      </c>
      <c r="S261" s="56">
        <f t="shared" si="97"/>
        <v>0.72418880312023248</v>
      </c>
      <c r="T261" s="56">
        <f t="shared" si="97"/>
        <v>0.72418880312023248</v>
      </c>
      <c r="U261" s="56">
        <f t="shared" si="97"/>
        <v>0.72418880312023248</v>
      </c>
      <c r="V261" s="56">
        <f t="shared" si="97"/>
        <v>0.72418880312023248</v>
      </c>
      <c r="W261" s="56">
        <f t="shared" si="97"/>
        <v>0.72418880312023248</v>
      </c>
      <c r="X261" s="56">
        <f t="shared" si="97"/>
        <v>0.72418880312023248</v>
      </c>
      <c r="Y261" s="56">
        <f t="shared" si="97"/>
        <v>0.72418880312023248</v>
      </c>
      <c r="Z261" s="56">
        <f t="shared" si="97"/>
        <v>0.72418880312023248</v>
      </c>
      <c r="AA261" s="56">
        <f t="shared" si="97"/>
        <v>0.72418880312023248</v>
      </c>
      <c r="AB261" s="56"/>
    </row>
    <row r="262" spans="2:28" x14ac:dyDescent="0.3">
      <c r="B262" t="s">
        <v>167</v>
      </c>
      <c r="C262" t="s">
        <v>157</v>
      </c>
      <c r="P262" s="56">
        <f t="shared" ref="P262:AA266" si="98">P178</f>
        <v>0.35</v>
      </c>
      <c r="Q262" s="56">
        <f t="shared" si="98"/>
        <v>0.35</v>
      </c>
      <c r="R262" s="56">
        <f t="shared" si="98"/>
        <v>0.35</v>
      </c>
      <c r="S262" s="56">
        <f t="shared" si="98"/>
        <v>0.35</v>
      </c>
      <c r="T262" s="56">
        <f t="shared" si="98"/>
        <v>0.35</v>
      </c>
      <c r="U262" s="56">
        <f t="shared" si="98"/>
        <v>0.35</v>
      </c>
      <c r="V262" s="56">
        <f t="shared" si="98"/>
        <v>0.35</v>
      </c>
      <c r="W262" s="56">
        <f t="shared" si="98"/>
        <v>0.35</v>
      </c>
      <c r="X262" s="56">
        <f t="shared" si="98"/>
        <v>0.35</v>
      </c>
      <c r="Y262" s="56">
        <f t="shared" si="98"/>
        <v>0.35</v>
      </c>
      <c r="Z262" s="56">
        <f t="shared" si="98"/>
        <v>0.35</v>
      </c>
      <c r="AA262" s="56">
        <f t="shared" si="98"/>
        <v>0.35</v>
      </c>
      <c r="AB262" s="56"/>
    </row>
    <row r="263" spans="2:28" x14ac:dyDescent="0.3">
      <c r="B263" t="s">
        <v>167</v>
      </c>
      <c r="C263" t="s">
        <v>158</v>
      </c>
      <c r="P263" s="56">
        <f t="shared" si="98"/>
        <v>0.33333333333333331</v>
      </c>
      <c r="Q263" s="56">
        <f t="shared" si="98"/>
        <v>0.33333333333333331</v>
      </c>
      <c r="R263" s="56">
        <f t="shared" si="98"/>
        <v>0.33333333333333331</v>
      </c>
      <c r="S263" s="56">
        <f t="shared" si="98"/>
        <v>0.33333333333333331</v>
      </c>
      <c r="T263" s="56">
        <f t="shared" si="98"/>
        <v>0.33333333333333331</v>
      </c>
      <c r="U263" s="56">
        <f t="shared" si="98"/>
        <v>0.33333333333333331</v>
      </c>
      <c r="V263" s="56">
        <f t="shared" si="98"/>
        <v>0.33333333333333331</v>
      </c>
      <c r="W263" s="56">
        <f t="shared" si="98"/>
        <v>0.33333333333333331</v>
      </c>
      <c r="X263" s="56">
        <f t="shared" si="98"/>
        <v>0.33333333333333331</v>
      </c>
      <c r="Y263" s="56">
        <f t="shared" si="98"/>
        <v>0.33333333333333331</v>
      </c>
      <c r="Z263" s="56">
        <f t="shared" si="98"/>
        <v>0.33333333333333331</v>
      </c>
      <c r="AA263" s="56">
        <f t="shared" si="98"/>
        <v>0.33333333333333331</v>
      </c>
      <c r="AB263" s="56"/>
    </row>
    <row r="264" spans="2:28" x14ac:dyDescent="0.3">
      <c r="B264" t="s">
        <v>167</v>
      </c>
      <c r="C264" t="s">
        <v>159</v>
      </c>
      <c r="P264" s="56">
        <f t="shared" si="98"/>
        <v>0.6</v>
      </c>
      <c r="Q264" s="56">
        <f t="shared" si="98"/>
        <v>0.6</v>
      </c>
      <c r="R264" s="56">
        <f t="shared" si="98"/>
        <v>0.6</v>
      </c>
      <c r="S264" s="56">
        <f t="shared" si="98"/>
        <v>0.6</v>
      </c>
      <c r="T264" s="56">
        <f t="shared" si="98"/>
        <v>0.6</v>
      </c>
      <c r="U264" s="56">
        <f t="shared" si="98"/>
        <v>0.6</v>
      </c>
      <c r="V264" s="56">
        <f t="shared" si="98"/>
        <v>0.6</v>
      </c>
      <c r="W264" s="56">
        <f t="shared" si="98"/>
        <v>0.6</v>
      </c>
      <c r="X264" s="56">
        <f t="shared" si="98"/>
        <v>0.6</v>
      </c>
      <c r="Y264" s="56">
        <f t="shared" si="98"/>
        <v>0.6</v>
      </c>
      <c r="Z264" s="56">
        <f t="shared" si="98"/>
        <v>0.6</v>
      </c>
      <c r="AA264" s="56">
        <f t="shared" si="98"/>
        <v>0.6</v>
      </c>
      <c r="AB264" s="56"/>
    </row>
    <row r="265" spans="2:28" x14ac:dyDescent="0.3">
      <c r="B265" t="s">
        <v>167</v>
      </c>
      <c r="C265" t="s">
        <v>160</v>
      </c>
      <c r="P265" s="56">
        <f t="shared" si="98"/>
        <v>0.33</v>
      </c>
      <c r="Q265" s="56">
        <f t="shared" si="98"/>
        <v>0.33</v>
      </c>
      <c r="R265" s="56">
        <f t="shared" si="98"/>
        <v>0.33</v>
      </c>
      <c r="S265" s="56">
        <f t="shared" si="98"/>
        <v>0.33</v>
      </c>
      <c r="T265" s="56">
        <f t="shared" si="98"/>
        <v>0.33</v>
      </c>
      <c r="U265" s="56">
        <f t="shared" si="98"/>
        <v>0.33</v>
      </c>
      <c r="V265" s="56">
        <f t="shared" si="98"/>
        <v>0.33</v>
      </c>
      <c r="W265" s="56">
        <f t="shared" si="98"/>
        <v>0.33</v>
      </c>
      <c r="X265" s="56">
        <f t="shared" si="98"/>
        <v>0.33</v>
      </c>
      <c r="Y265" s="56">
        <f t="shared" si="98"/>
        <v>0.33</v>
      </c>
      <c r="Z265" s="56">
        <f t="shared" si="98"/>
        <v>0.33</v>
      </c>
      <c r="AA265" s="56">
        <f t="shared" si="98"/>
        <v>0.33</v>
      </c>
      <c r="AB265" s="56"/>
    </row>
    <row r="266" spans="2:28" x14ac:dyDescent="0.3">
      <c r="B266" t="s">
        <v>167</v>
      </c>
      <c r="C266" t="s">
        <v>161</v>
      </c>
      <c r="P266" s="56">
        <f t="shared" si="98"/>
        <v>0.25</v>
      </c>
      <c r="Q266" s="56">
        <f t="shared" si="98"/>
        <v>0.25</v>
      </c>
      <c r="R266" s="56">
        <f t="shared" si="98"/>
        <v>0.25</v>
      </c>
      <c r="S266" s="56">
        <f t="shared" si="98"/>
        <v>0.25</v>
      </c>
      <c r="T266" s="56">
        <f t="shared" si="98"/>
        <v>0.25</v>
      </c>
      <c r="U266" s="56">
        <f t="shared" si="98"/>
        <v>0.25</v>
      </c>
      <c r="V266" s="56">
        <f t="shared" si="98"/>
        <v>0.25</v>
      </c>
      <c r="W266" s="56">
        <f t="shared" si="98"/>
        <v>0.25</v>
      </c>
      <c r="X266" s="56">
        <f t="shared" si="98"/>
        <v>0.25</v>
      </c>
      <c r="Y266" s="56">
        <f t="shared" si="98"/>
        <v>0.25</v>
      </c>
      <c r="Z266" s="56">
        <f t="shared" si="98"/>
        <v>0.25</v>
      </c>
      <c r="AA266" s="56">
        <f t="shared" si="98"/>
        <v>0.25</v>
      </c>
      <c r="AB266" s="56"/>
    </row>
    <row r="269" spans="2:28" outlineLevel="1" x14ac:dyDescent="0.3">
      <c r="B269" t="s">
        <v>186</v>
      </c>
    </row>
    <row r="270" spans="2:28" outlineLevel="1" x14ac:dyDescent="0.3">
      <c r="C270" t="s">
        <v>85</v>
      </c>
    </row>
    <row r="271" spans="2:28" outlineLevel="1" x14ac:dyDescent="0.3">
      <c r="C271" s="50" t="s">
        <v>52</v>
      </c>
      <c r="P271" s="51">
        <f t="shared" ref="P271:AA273" si="99">P6</f>
        <v>1871965.606803996</v>
      </c>
      <c r="Q271" s="51">
        <f t="shared" si="99"/>
        <v>1095184.9199430179</v>
      </c>
      <c r="R271" s="51">
        <f t="shared" si="99"/>
        <v>1185171.7819489613</v>
      </c>
      <c r="S271" s="51">
        <f t="shared" si="99"/>
        <v>1144529.0733811308</v>
      </c>
      <c r="T271" s="51">
        <f t="shared" si="99"/>
        <v>986224.73731600761</v>
      </c>
      <c r="U271" s="51">
        <f t="shared" si="99"/>
        <v>1023030.1171324417</v>
      </c>
      <c r="V271" s="51">
        <f t="shared" si="99"/>
        <v>1116891.479141077</v>
      </c>
      <c r="W271" s="51">
        <f t="shared" si="99"/>
        <v>1017796.724005963</v>
      </c>
      <c r="X271" s="51">
        <f t="shared" si="99"/>
        <v>874056.32756560086</v>
      </c>
      <c r="Y271" s="51">
        <f t="shared" si="99"/>
        <v>1168080.2774983186</v>
      </c>
      <c r="Z271" s="51">
        <f t="shared" si="99"/>
        <v>892164.95306255517</v>
      </c>
      <c r="AA271" s="51">
        <f t="shared" si="99"/>
        <v>859002.45415805734</v>
      </c>
      <c r="AB271" s="51"/>
    </row>
    <row r="272" spans="2:28" outlineLevel="1" x14ac:dyDescent="0.3">
      <c r="C272" s="50" t="s">
        <v>86</v>
      </c>
      <c r="P272" s="51">
        <f t="shared" si="99"/>
        <v>0</v>
      </c>
      <c r="Q272" s="51">
        <f t="shared" si="99"/>
        <v>0</v>
      </c>
      <c r="R272" s="51">
        <f t="shared" si="99"/>
        <v>0</v>
      </c>
      <c r="S272" s="51">
        <f t="shared" si="99"/>
        <v>0</v>
      </c>
      <c r="T272" s="51">
        <f t="shared" si="99"/>
        <v>298139.18821853894</v>
      </c>
      <c r="U272" s="51">
        <f t="shared" si="99"/>
        <v>313206.98821289866</v>
      </c>
      <c r="V272" s="51">
        <f t="shared" si="99"/>
        <v>511309.97642579745</v>
      </c>
      <c r="W272" s="51">
        <f t="shared" si="99"/>
        <v>334705.59410926944</v>
      </c>
      <c r="X272" s="51">
        <f t="shared" si="99"/>
        <v>357539.18821853888</v>
      </c>
      <c r="Y272" s="51">
        <f t="shared" si="99"/>
        <v>412673.59410926944</v>
      </c>
      <c r="Z272" s="51">
        <f t="shared" si="99"/>
        <v>357539.18821853888</v>
      </c>
      <c r="AA272" s="51">
        <f t="shared" si="99"/>
        <v>334705.59410926944</v>
      </c>
      <c r="AB272" s="51"/>
    </row>
    <row r="273" spans="2:28" outlineLevel="1" x14ac:dyDescent="0.3">
      <c r="C273" s="50" t="s">
        <v>87</v>
      </c>
      <c r="P273" s="51">
        <f t="shared" si="99"/>
        <v>2337247.5256016636</v>
      </c>
      <c r="Q273" s="51">
        <f t="shared" si="99"/>
        <v>1638484.1281490885</v>
      </c>
      <c r="R273" s="51">
        <f t="shared" si="99"/>
        <v>2077402.3332812451</v>
      </c>
      <c r="S273" s="51">
        <f t="shared" si="99"/>
        <v>2047275.2436426086</v>
      </c>
      <c r="T273" s="51">
        <f t="shared" si="99"/>
        <v>1703358.370636892</v>
      </c>
      <c r="U273" s="51">
        <f t="shared" si="99"/>
        <v>1735736.0278597623</v>
      </c>
      <c r="V273" s="51">
        <f t="shared" si="99"/>
        <v>1941223.4761660662</v>
      </c>
      <c r="W273" s="51">
        <f t="shared" si="99"/>
        <v>2473675.4535735543</v>
      </c>
      <c r="X273" s="51">
        <f t="shared" si="99"/>
        <v>2763100.7137016663</v>
      </c>
      <c r="Y273" s="51">
        <f t="shared" si="99"/>
        <v>3271888.5579727218</v>
      </c>
      <c r="Z273" s="51">
        <f t="shared" si="99"/>
        <v>2583304.4336221544</v>
      </c>
      <c r="AA273" s="51">
        <f t="shared" si="99"/>
        <v>2606431.8622601377</v>
      </c>
      <c r="AB273" s="51"/>
    </row>
    <row r="274" spans="2:28" outlineLevel="1" x14ac:dyDescent="0.3"/>
    <row r="275" spans="2:28" outlineLevel="1" x14ac:dyDescent="0.3">
      <c r="C275" t="s">
        <v>88</v>
      </c>
    </row>
    <row r="276" spans="2:28" outlineLevel="1" x14ac:dyDescent="0.3">
      <c r="C276" s="50" t="s">
        <v>52</v>
      </c>
      <c r="P276" s="51">
        <f t="shared" ref="P276:AA278" si="100">P11</f>
        <v>243800</v>
      </c>
      <c r="Q276" s="51">
        <f t="shared" si="100"/>
        <v>28000</v>
      </c>
      <c r="R276" s="51">
        <f t="shared" si="100"/>
        <v>169100</v>
      </c>
      <c r="S276" s="51">
        <f t="shared" si="100"/>
        <v>334500</v>
      </c>
      <c r="T276" s="51">
        <f t="shared" si="100"/>
        <v>190700</v>
      </c>
      <c r="U276" s="51">
        <f t="shared" si="100"/>
        <v>169100</v>
      </c>
      <c r="V276" s="51">
        <f t="shared" si="100"/>
        <v>82500</v>
      </c>
      <c r="W276" s="51">
        <f t="shared" si="100"/>
        <v>176300</v>
      </c>
      <c r="X276" s="51">
        <f t="shared" si="100"/>
        <v>161900</v>
      </c>
      <c r="Y276" s="51">
        <f t="shared" si="100"/>
        <v>776900</v>
      </c>
      <c r="Z276" s="51">
        <f t="shared" si="100"/>
        <v>654700</v>
      </c>
      <c r="AA276" s="51">
        <f t="shared" si="100"/>
        <v>575500</v>
      </c>
      <c r="AB276" s="51"/>
    </row>
    <row r="277" spans="2:28" outlineLevel="1" x14ac:dyDescent="0.3">
      <c r="C277" s="50" t="s">
        <v>86</v>
      </c>
      <c r="P277" s="51">
        <f t="shared" si="100"/>
        <v>52500</v>
      </c>
      <c r="Q277" s="51">
        <f t="shared" si="100"/>
        <v>52500</v>
      </c>
      <c r="R277" s="51">
        <f t="shared" si="100"/>
        <v>63000</v>
      </c>
      <c r="S277" s="51">
        <f t="shared" si="100"/>
        <v>63000</v>
      </c>
      <c r="T277" s="51">
        <f t="shared" si="100"/>
        <v>63000</v>
      </c>
      <c r="U277" s="51">
        <f t="shared" si="100"/>
        <v>0</v>
      </c>
      <c r="V277" s="51">
        <f t="shared" si="100"/>
        <v>0</v>
      </c>
      <c r="W277" s="51">
        <f t="shared" si="100"/>
        <v>0</v>
      </c>
      <c r="X277" s="51">
        <f t="shared" si="100"/>
        <v>0</v>
      </c>
      <c r="Y277" s="51">
        <f t="shared" si="100"/>
        <v>490000</v>
      </c>
      <c r="Z277" s="51">
        <f t="shared" si="100"/>
        <v>490000</v>
      </c>
      <c r="AA277" s="51">
        <f t="shared" si="100"/>
        <v>490000</v>
      </c>
      <c r="AB277" s="51"/>
    </row>
    <row r="278" spans="2:28" outlineLevel="1" x14ac:dyDescent="0.3">
      <c r="C278" s="50" t="s">
        <v>87</v>
      </c>
      <c r="P278" s="51">
        <f t="shared" si="100"/>
        <v>0</v>
      </c>
      <c r="Q278" s="51">
        <f t="shared" si="100"/>
        <v>0</v>
      </c>
      <c r="R278" s="51">
        <f t="shared" si="100"/>
        <v>0</v>
      </c>
      <c r="S278" s="51">
        <f t="shared" si="100"/>
        <v>0</v>
      </c>
      <c r="T278" s="51">
        <f t="shared" si="100"/>
        <v>0</v>
      </c>
      <c r="U278" s="51">
        <f t="shared" si="100"/>
        <v>0</v>
      </c>
      <c r="V278" s="51">
        <f t="shared" si="100"/>
        <v>0</v>
      </c>
      <c r="W278" s="51">
        <f t="shared" si="100"/>
        <v>0</v>
      </c>
      <c r="X278" s="51">
        <f t="shared" si="100"/>
        <v>0</v>
      </c>
      <c r="Y278" s="51">
        <f t="shared" si="100"/>
        <v>0</v>
      </c>
      <c r="Z278" s="51">
        <f t="shared" si="100"/>
        <v>0</v>
      </c>
      <c r="AA278" s="51">
        <f t="shared" si="100"/>
        <v>0</v>
      </c>
      <c r="AB278" s="51"/>
    </row>
    <row r="279" spans="2:28" outlineLevel="1" x14ac:dyDescent="0.3"/>
    <row r="280" spans="2:28" outlineLevel="1" x14ac:dyDescent="0.3">
      <c r="C280" t="s">
        <v>89</v>
      </c>
    </row>
    <row r="281" spans="2:28" outlineLevel="1" x14ac:dyDescent="0.3">
      <c r="C281" s="50" t="s">
        <v>52</v>
      </c>
      <c r="P281" s="51">
        <f t="shared" ref="P281:AA283" si="101">P16</f>
        <v>61399.771095238095</v>
      </c>
      <c r="Q281" s="51">
        <f t="shared" si="101"/>
        <v>52580.067952380952</v>
      </c>
      <c r="R281" s="51">
        <f t="shared" si="101"/>
        <v>58464.09723809523</v>
      </c>
      <c r="S281" s="51">
        <f t="shared" si="101"/>
        <v>67019.429142857145</v>
      </c>
      <c r="T281" s="51">
        <f t="shared" si="101"/>
        <v>60567.920142857132</v>
      </c>
      <c r="U281" s="51">
        <f t="shared" si="101"/>
        <v>66218.247714285724</v>
      </c>
      <c r="V281" s="51">
        <f t="shared" si="101"/>
        <v>114190.93538095237</v>
      </c>
      <c r="W281" s="51">
        <f t="shared" si="101"/>
        <v>63702.190047619042</v>
      </c>
      <c r="X281" s="51">
        <f t="shared" si="101"/>
        <v>53710.500619047627</v>
      </c>
      <c r="Y281" s="51">
        <f t="shared" si="101"/>
        <v>66430.115047619052</v>
      </c>
      <c r="Z281" s="51">
        <f t="shared" si="101"/>
        <v>47246.64332429647</v>
      </c>
      <c r="AA281" s="51">
        <f t="shared" si="101"/>
        <v>50661.677321597803</v>
      </c>
      <c r="AB281" s="51"/>
    </row>
    <row r="282" spans="2:28" outlineLevel="1" x14ac:dyDescent="0.3">
      <c r="C282" s="50" t="s">
        <v>86</v>
      </c>
      <c r="P282" s="51">
        <f t="shared" si="101"/>
        <v>0</v>
      </c>
      <c r="Q282" s="51">
        <f t="shared" si="101"/>
        <v>0</v>
      </c>
      <c r="R282" s="51">
        <f t="shared" si="101"/>
        <v>0</v>
      </c>
      <c r="S282" s="51">
        <f t="shared" si="101"/>
        <v>0</v>
      </c>
      <c r="T282" s="51">
        <f t="shared" si="101"/>
        <v>0</v>
      </c>
      <c r="U282" s="51">
        <f t="shared" si="101"/>
        <v>0</v>
      </c>
      <c r="V282" s="51">
        <f t="shared" si="101"/>
        <v>0</v>
      </c>
      <c r="W282" s="51">
        <f t="shared" si="101"/>
        <v>0</v>
      </c>
      <c r="X282" s="51">
        <f t="shared" si="101"/>
        <v>0</v>
      </c>
      <c r="Y282" s="51">
        <f t="shared" si="101"/>
        <v>0</v>
      </c>
      <c r="Z282" s="51">
        <f t="shared" si="101"/>
        <v>0</v>
      </c>
      <c r="AA282" s="51">
        <f t="shared" si="101"/>
        <v>0</v>
      </c>
      <c r="AB282" s="51"/>
    </row>
    <row r="283" spans="2:28" outlineLevel="1" x14ac:dyDescent="0.3">
      <c r="C283" s="50" t="s">
        <v>87</v>
      </c>
      <c r="P283" s="51">
        <f t="shared" si="101"/>
        <v>0</v>
      </c>
      <c r="Q283" s="51">
        <f t="shared" si="101"/>
        <v>0</v>
      </c>
      <c r="R283" s="51">
        <f t="shared" si="101"/>
        <v>0</v>
      </c>
      <c r="S283" s="51">
        <f t="shared" si="101"/>
        <v>0</v>
      </c>
      <c r="T283" s="51">
        <f t="shared" si="101"/>
        <v>0</v>
      </c>
      <c r="U283" s="51">
        <f t="shared" si="101"/>
        <v>0</v>
      </c>
      <c r="V283" s="51">
        <f t="shared" si="101"/>
        <v>0</v>
      </c>
      <c r="W283" s="51">
        <f t="shared" si="101"/>
        <v>0</v>
      </c>
      <c r="X283" s="51">
        <f t="shared" si="101"/>
        <v>0</v>
      </c>
      <c r="Y283" s="51">
        <f t="shared" si="101"/>
        <v>0</v>
      </c>
      <c r="Z283" s="51">
        <f t="shared" si="101"/>
        <v>0</v>
      </c>
      <c r="AA283" s="51">
        <f t="shared" si="101"/>
        <v>0</v>
      </c>
      <c r="AB283" s="51"/>
    </row>
    <row r="284" spans="2:28" outlineLevel="1" x14ac:dyDescent="0.3"/>
    <row r="285" spans="2:28" x14ac:dyDescent="0.3">
      <c r="B285" s="76"/>
    </row>
    <row r="286" spans="2:28" x14ac:dyDescent="0.3">
      <c r="B286" t="s">
        <v>187</v>
      </c>
    </row>
    <row r="287" spans="2:28" x14ac:dyDescent="0.3">
      <c r="C287" s="50" t="s">
        <v>156</v>
      </c>
      <c r="P287" s="51">
        <f>P201</f>
        <v>0</v>
      </c>
      <c r="Q287" s="51">
        <f t="shared" ref="Q287:AA287" si="102">Q193</f>
        <v>0</v>
      </c>
      <c r="R287" s="51">
        <f t="shared" si="102"/>
        <v>0</v>
      </c>
      <c r="S287" s="51">
        <f t="shared" si="102"/>
        <v>0</v>
      </c>
      <c r="T287" s="51">
        <f t="shared" si="102"/>
        <v>77963.454746351228</v>
      </c>
      <c r="U287" s="51">
        <f t="shared" si="102"/>
        <v>608106.26409525704</v>
      </c>
      <c r="V287" s="51">
        <f t="shared" si="102"/>
        <v>1123121.8437093298</v>
      </c>
      <c r="W287" s="51">
        <f t="shared" si="102"/>
        <v>1214037.7490585204</v>
      </c>
      <c r="X287" s="51">
        <f t="shared" si="102"/>
        <v>1080040.830715663</v>
      </c>
      <c r="Y287" s="51">
        <f t="shared" si="102"/>
        <v>989933.97965232329</v>
      </c>
      <c r="Z287" s="51">
        <f t="shared" si="102"/>
        <v>783221.40466149349</v>
      </c>
      <c r="AA287" s="51">
        <f t="shared" si="102"/>
        <v>844018.68326861609</v>
      </c>
      <c r="AB287" s="51"/>
    </row>
    <row r="288" spans="2:28" x14ac:dyDescent="0.3">
      <c r="C288" s="50" t="s">
        <v>157</v>
      </c>
      <c r="P288" s="51">
        <f t="shared" ref="P288:AA292" si="103">P194</f>
        <v>0</v>
      </c>
      <c r="Q288" s="51">
        <f t="shared" si="103"/>
        <v>0</v>
      </c>
      <c r="R288" s="51">
        <f t="shared" si="103"/>
        <v>0</v>
      </c>
      <c r="S288" s="51">
        <f t="shared" si="103"/>
        <v>0</v>
      </c>
      <c r="T288" s="51">
        <f t="shared" si="103"/>
        <v>23568.625110791647</v>
      </c>
      <c r="U288" s="51">
        <f t="shared" si="103"/>
        <v>186175.48819045722</v>
      </c>
      <c r="V288" s="51">
        <f t="shared" si="103"/>
        <v>514162.22090971755</v>
      </c>
      <c r="W288" s="51">
        <f t="shared" si="103"/>
        <v>399240.06089386041</v>
      </c>
      <c r="X288" s="51">
        <f t="shared" si="103"/>
        <v>441798.66866528941</v>
      </c>
      <c r="Y288" s="51">
        <f t="shared" si="103"/>
        <v>349735.90530005738</v>
      </c>
      <c r="Z288" s="51">
        <f t="shared" si="103"/>
        <v>313879.5625817632</v>
      </c>
      <c r="AA288" s="51">
        <f t="shared" si="103"/>
        <v>328867.24997733894</v>
      </c>
      <c r="AB288" s="51"/>
    </row>
    <row r="289" spans="2:29" x14ac:dyDescent="0.3">
      <c r="C289" s="50" t="s">
        <v>158</v>
      </c>
      <c r="P289" s="51">
        <f t="shared" si="103"/>
        <v>0</v>
      </c>
      <c r="Q289" s="51">
        <f t="shared" si="103"/>
        <v>0</v>
      </c>
      <c r="R289" s="51">
        <f t="shared" si="103"/>
        <v>0</v>
      </c>
      <c r="S289" s="51">
        <f>S195</f>
        <v>230400</v>
      </c>
      <c r="T289" s="51">
        <f t="shared" si="103"/>
        <v>576000</v>
      </c>
      <c r="U289" s="51">
        <f t="shared" si="103"/>
        <v>1152000</v>
      </c>
      <c r="V289" s="51">
        <f t="shared" si="103"/>
        <v>1658880</v>
      </c>
      <c r="W289" s="51">
        <f t="shared" si="103"/>
        <v>1728000</v>
      </c>
      <c r="X289" s="51">
        <f t="shared" si="103"/>
        <v>1969920</v>
      </c>
      <c r="Y289" s="51">
        <f t="shared" si="103"/>
        <v>2592000</v>
      </c>
      <c r="Z289" s="51">
        <f t="shared" si="103"/>
        <v>1969920</v>
      </c>
      <c r="AA289" s="51">
        <f t="shared" si="103"/>
        <v>1969920</v>
      </c>
      <c r="AB289" s="51"/>
      <c r="AC289" s="51">
        <f>Y289/135000</f>
        <v>19.2</v>
      </c>
    </row>
    <row r="290" spans="2:29" x14ac:dyDescent="0.3">
      <c r="C290" s="50" t="s">
        <v>159</v>
      </c>
      <c r="P290" s="51">
        <f t="shared" si="103"/>
        <v>0</v>
      </c>
      <c r="Q290" s="51">
        <f t="shared" si="103"/>
        <v>0</v>
      </c>
      <c r="R290" s="51">
        <f t="shared" si="103"/>
        <v>0</v>
      </c>
      <c r="S290" s="51">
        <f t="shared" si="103"/>
        <v>174600</v>
      </c>
      <c r="T290" s="51">
        <f t="shared" si="103"/>
        <v>251267.92014285713</v>
      </c>
      <c r="U290" s="51">
        <f t="shared" si="103"/>
        <v>235318.24771428574</v>
      </c>
      <c r="V290" s="51">
        <f t="shared" si="103"/>
        <v>196690.93538095237</v>
      </c>
      <c r="W290" s="51">
        <f t="shared" si="103"/>
        <v>240002.19004761905</v>
      </c>
      <c r="X290" s="51">
        <f t="shared" si="103"/>
        <v>215610.50061904761</v>
      </c>
      <c r="Y290" s="51">
        <f t="shared" si="103"/>
        <v>843330.1150476191</v>
      </c>
      <c r="Z290" s="51">
        <f t="shared" si="103"/>
        <v>701946.64332429646</v>
      </c>
      <c r="AA290" s="51">
        <f t="shared" si="103"/>
        <v>626161.67732159782</v>
      </c>
      <c r="AB290" s="51"/>
    </row>
    <row r="291" spans="2:29" x14ac:dyDescent="0.3">
      <c r="C291" s="50" t="s">
        <v>160</v>
      </c>
      <c r="P291" s="51">
        <f t="shared" si="103"/>
        <v>0</v>
      </c>
      <c r="Q291" s="51">
        <f t="shared" si="103"/>
        <v>0</v>
      </c>
      <c r="R291" s="51">
        <f t="shared" si="103"/>
        <v>0</v>
      </c>
      <c r="S291" s="51">
        <f t="shared" si="103"/>
        <v>63000</v>
      </c>
      <c r="T291" s="51">
        <f t="shared" si="103"/>
        <v>63000</v>
      </c>
      <c r="U291" s="51">
        <f t="shared" si="103"/>
        <v>0</v>
      </c>
      <c r="V291" s="51">
        <f t="shared" si="103"/>
        <v>0</v>
      </c>
      <c r="W291" s="51">
        <f t="shared" si="103"/>
        <v>0</v>
      </c>
      <c r="X291" s="51">
        <f t="shared" si="103"/>
        <v>0</v>
      </c>
      <c r="Y291" s="51">
        <f t="shared" si="103"/>
        <v>490000</v>
      </c>
      <c r="Z291" s="51">
        <f t="shared" si="103"/>
        <v>490000</v>
      </c>
      <c r="AA291" s="51">
        <f t="shared" si="103"/>
        <v>490000</v>
      </c>
      <c r="AB291" s="51"/>
    </row>
    <row r="292" spans="2:29" x14ac:dyDescent="0.3">
      <c r="C292" s="50" t="s">
        <v>161</v>
      </c>
      <c r="P292" s="51">
        <f t="shared" si="103"/>
        <v>0</v>
      </c>
      <c r="Q292" s="51">
        <f t="shared" si="103"/>
        <v>0</v>
      </c>
      <c r="R292" s="51">
        <f t="shared" si="103"/>
        <v>0</v>
      </c>
      <c r="S292" s="51">
        <f t="shared" si="103"/>
        <v>0</v>
      </c>
      <c r="T292" s="51">
        <f t="shared" si="103"/>
        <v>0</v>
      </c>
      <c r="U292" s="51">
        <f t="shared" si="103"/>
        <v>0</v>
      </c>
      <c r="V292" s="51">
        <f t="shared" si="103"/>
        <v>0</v>
      </c>
      <c r="W292" s="51">
        <f t="shared" si="103"/>
        <v>0</v>
      </c>
      <c r="X292" s="51">
        <f t="shared" si="103"/>
        <v>0</v>
      </c>
      <c r="Y292" s="51">
        <f t="shared" si="103"/>
        <v>0</v>
      </c>
      <c r="Z292" s="51">
        <f t="shared" si="103"/>
        <v>0</v>
      </c>
      <c r="AA292" s="51">
        <f t="shared" si="103"/>
        <v>0</v>
      </c>
      <c r="AB292" s="51"/>
    </row>
    <row r="294" spans="2:29" x14ac:dyDescent="0.3">
      <c r="B294" t="s">
        <v>188</v>
      </c>
    </row>
    <row r="295" spans="2:29" x14ac:dyDescent="0.3">
      <c r="C295" s="50" t="s">
        <v>156</v>
      </c>
      <c r="P295" s="77">
        <f>P287*(P253-P261)</f>
        <v>0</v>
      </c>
      <c r="Q295" s="77">
        <f t="shared" ref="Q295:AA295" si="104">Q287*(Q261-Q253)</f>
        <v>0</v>
      </c>
      <c r="R295" s="77">
        <f t="shared" si="104"/>
        <v>0</v>
      </c>
      <c r="S295" s="77">
        <f t="shared" si="104"/>
        <v>0</v>
      </c>
      <c r="T295" s="77">
        <f t="shared" si="104"/>
        <v>-1559.7587540167785</v>
      </c>
      <c r="U295" s="77">
        <f t="shared" si="104"/>
        <v>117161.8779574535</v>
      </c>
      <c r="V295" s="77">
        <f t="shared" si="104"/>
        <v>267704.67734142044</v>
      </c>
      <c r="W295" s="77">
        <f t="shared" si="104"/>
        <v>324707.51610605768</v>
      </c>
      <c r="X295" s="77">
        <f t="shared" si="104"/>
        <v>289925.57862814813</v>
      </c>
      <c r="Y295" s="77">
        <f t="shared" si="104"/>
        <v>287545.10915748664</v>
      </c>
      <c r="Z295" s="77">
        <f t="shared" si="104"/>
        <v>216277.73904692705</v>
      </c>
      <c r="AA295" s="77">
        <f t="shared" si="104"/>
        <v>233066.2204125986</v>
      </c>
      <c r="AB295" s="77"/>
    </row>
    <row r="296" spans="2:29" x14ac:dyDescent="0.3">
      <c r="C296" s="50" t="s">
        <v>157</v>
      </c>
      <c r="P296" s="77">
        <f t="shared" ref="P296:AA300" si="105">P288*(P262-P254)</f>
        <v>0</v>
      </c>
      <c r="Q296" s="77">
        <f t="shared" si="105"/>
        <v>0</v>
      </c>
      <c r="R296" s="77">
        <f t="shared" si="105"/>
        <v>0</v>
      </c>
      <c r="S296" s="77">
        <f t="shared" si="105"/>
        <v>0</v>
      </c>
      <c r="T296" s="77">
        <f t="shared" si="105"/>
        <v>-5048.2836293257378</v>
      </c>
      <c r="U296" s="77">
        <f t="shared" si="105"/>
        <v>-283.3627372540879</v>
      </c>
      <c r="V296" s="77">
        <f t="shared" si="105"/>
        <v>22709.949665064414</v>
      </c>
      <c r="W296" s="77">
        <f t="shared" si="105"/>
        <v>29253.119295509812</v>
      </c>
      <c r="X296" s="77">
        <f t="shared" si="105"/>
        <v>32803.841869506032</v>
      </c>
      <c r="Y296" s="77">
        <f t="shared" si="105"/>
        <v>33672.633346923154</v>
      </c>
      <c r="Z296" s="77">
        <f t="shared" si="105"/>
        <v>25722.397205760386</v>
      </c>
      <c r="AA296" s="77">
        <f t="shared" si="105"/>
        <v>26950.636614576106</v>
      </c>
      <c r="AB296" s="77"/>
    </row>
    <row r="297" spans="2:29" x14ac:dyDescent="0.3">
      <c r="C297" s="50" t="s">
        <v>158</v>
      </c>
      <c r="P297" s="77">
        <f t="shared" si="105"/>
        <v>0</v>
      </c>
      <c r="Q297" s="77">
        <f t="shared" si="105"/>
        <v>0</v>
      </c>
      <c r="R297" s="77">
        <f t="shared" si="105"/>
        <v>0</v>
      </c>
      <c r="S297" s="77">
        <f t="shared" si="105"/>
        <v>-207734.94087333715</v>
      </c>
      <c r="T297" s="77">
        <f t="shared" si="105"/>
        <v>-144496.36823626971</v>
      </c>
      <c r="U297" s="77">
        <f t="shared" si="105"/>
        <v>-43993.366549428734</v>
      </c>
      <c r="V297" s="77">
        <f t="shared" si="105"/>
        <v>12445.207866292289</v>
      </c>
      <c r="W297" s="77">
        <f t="shared" si="105"/>
        <v>63254.022724737806</v>
      </c>
      <c r="X297" s="77">
        <f t="shared" si="105"/>
        <v>74037.456285765889</v>
      </c>
      <c r="Y297" s="77">
        <f t="shared" si="105"/>
        <v>154518.20752902975</v>
      </c>
      <c r="Z297" s="77">
        <f t="shared" si="105"/>
        <v>89204.33721826665</v>
      </c>
      <c r="AA297" s="77">
        <f t="shared" si="105"/>
        <v>89204.33721826665</v>
      </c>
      <c r="AB297" s="77"/>
    </row>
    <row r="298" spans="2:29" x14ac:dyDescent="0.3">
      <c r="C298" s="50" t="s">
        <v>159</v>
      </c>
      <c r="P298" s="77">
        <f t="shared" si="105"/>
        <v>0</v>
      </c>
      <c r="Q298" s="77">
        <f t="shared" si="105"/>
        <v>0</v>
      </c>
      <c r="R298" s="77">
        <f t="shared" si="105"/>
        <v>0</v>
      </c>
      <c r="S298" s="77">
        <f t="shared" si="105"/>
        <v>-130070.13488057574</v>
      </c>
      <c r="T298" s="77">
        <f t="shared" si="105"/>
        <v>-23668.202779917479</v>
      </c>
      <c r="U298" s="77">
        <f t="shared" si="105"/>
        <v>27880.03074653685</v>
      </c>
      <c r="V298" s="77">
        <f t="shared" si="105"/>
        <v>32290.523004382227</v>
      </c>
      <c r="W298" s="77">
        <f t="shared" si="105"/>
        <v>46385.704208883319</v>
      </c>
      <c r="X298" s="77">
        <f t="shared" si="105"/>
        <v>41882.481625541055</v>
      </c>
      <c r="Y298" s="77">
        <f t="shared" si="105"/>
        <v>182395.58289002534</v>
      </c>
      <c r="Z298" s="77">
        <f t="shared" si="105"/>
        <v>141758.05093627659</v>
      </c>
      <c r="AA298" s="77">
        <f t="shared" si="105"/>
        <v>126453.2850071499</v>
      </c>
      <c r="AB298" s="77"/>
    </row>
    <row r="299" spans="2:29" x14ac:dyDescent="0.3">
      <c r="C299" s="50" t="s">
        <v>160</v>
      </c>
      <c r="P299" s="77">
        <f t="shared" si="105"/>
        <v>0</v>
      </c>
      <c r="Q299" s="77">
        <f t="shared" si="105"/>
        <v>0</v>
      </c>
      <c r="R299" s="77">
        <f t="shared" si="105"/>
        <v>0</v>
      </c>
      <c r="S299" s="77">
        <f t="shared" si="105"/>
        <v>-55248.522895053102</v>
      </c>
      <c r="T299" s="77">
        <f t="shared" si="105"/>
        <v>-14250.290275842004</v>
      </c>
      <c r="U299" s="77">
        <f t="shared" si="105"/>
        <v>0</v>
      </c>
      <c r="V299" s="77">
        <f t="shared" si="105"/>
        <v>0</v>
      </c>
      <c r="W299" s="77">
        <f t="shared" si="105"/>
        <v>0</v>
      </c>
      <c r="X299" s="77">
        <f t="shared" si="105"/>
        <v>0</v>
      </c>
      <c r="Y299" s="77">
        <f t="shared" si="105"/>
        <v>41297.284602324326</v>
      </c>
      <c r="Z299" s="77">
        <f t="shared" si="105"/>
        <v>34275.448564891347</v>
      </c>
      <c r="AA299" s="77">
        <f t="shared" si="105"/>
        <v>34275.448564891347</v>
      </c>
      <c r="AB299" s="77"/>
    </row>
    <row r="300" spans="2:29" x14ac:dyDescent="0.3">
      <c r="C300" s="50" t="s">
        <v>161</v>
      </c>
      <c r="P300" s="77">
        <f t="shared" si="105"/>
        <v>0</v>
      </c>
      <c r="Q300" s="77">
        <f t="shared" si="105"/>
        <v>0</v>
      </c>
      <c r="R300" s="77">
        <f t="shared" si="105"/>
        <v>0</v>
      </c>
      <c r="S300" s="77">
        <f t="shared" si="105"/>
        <v>0</v>
      </c>
      <c r="T300" s="77">
        <f t="shared" si="105"/>
        <v>0</v>
      </c>
      <c r="U300" s="77">
        <f t="shared" si="105"/>
        <v>0</v>
      </c>
      <c r="V300" s="77">
        <f t="shared" si="105"/>
        <v>0</v>
      </c>
      <c r="W300" s="77">
        <f t="shared" si="105"/>
        <v>0</v>
      </c>
      <c r="X300" s="77">
        <f t="shared" si="105"/>
        <v>0</v>
      </c>
      <c r="Y300" s="77">
        <f t="shared" si="105"/>
        <v>0</v>
      </c>
      <c r="Z300" s="77">
        <f t="shared" si="105"/>
        <v>0</v>
      </c>
      <c r="AA300" s="77">
        <f t="shared" si="105"/>
        <v>0</v>
      </c>
      <c r="AB300" s="77"/>
    </row>
    <row r="301" spans="2:29" x14ac:dyDescent="0.3">
      <c r="S301" s="78">
        <f t="shared" ref="S301:AA301" si="106">SUM(S295:S300)</f>
        <v>-393053.598648966</v>
      </c>
      <c r="T301" s="78">
        <f t="shared" si="106"/>
        <v>-189022.90367537172</v>
      </c>
      <c r="U301" s="78">
        <f t="shared" si="106"/>
        <v>100765.17941730752</v>
      </c>
      <c r="V301" s="78">
        <f t="shared" si="106"/>
        <v>335150.35787715932</v>
      </c>
      <c r="W301" s="78">
        <f t="shared" si="106"/>
        <v>463600.36233518866</v>
      </c>
      <c r="X301" s="78">
        <f t="shared" si="106"/>
        <v>438649.35840896115</v>
      </c>
      <c r="Y301" s="78">
        <f t="shared" si="106"/>
        <v>699428.81752578926</v>
      </c>
      <c r="Z301" s="78">
        <f t="shared" si="106"/>
        <v>507237.97297212202</v>
      </c>
      <c r="AA301" s="78">
        <f t="shared" si="106"/>
        <v>509949.92781748262</v>
      </c>
      <c r="AB301" s="78"/>
    </row>
    <row r="302" spans="2:29" x14ac:dyDescent="0.3">
      <c r="S302" s="78"/>
      <c r="T302" s="78"/>
      <c r="U302" s="78"/>
      <c r="V302" s="78"/>
      <c r="W302" s="78"/>
      <c r="X302" s="78"/>
      <c r="Y302" s="78"/>
      <c r="Z302" s="78"/>
      <c r="AA302" s="78"/>
      <c r="AB302" s="78"/>
    </row>
    <row r="304" spans="2:29" x14ac:dyDescent="0.3">
      <c r="B304" s="78">
        <f>A306/B306</f>
        <v>1.2251904755316527</v>
      </c>
    </row>
    <row r="305" spans="1:27" x14ac:dyDescent="0.3">
      <c r="B305" s="78">
        <f>A308/B308</f>
        <v>0.61468977294585025</v>
      </c>
      <c r="C305" s="50" t="s">
        <v>189</v>
      </c>
      <c r="R305" s="51"/>
    </row>
    <row r="306" spans="1:27" x14ac:dyDescent="0.3">
      <c r="A306" s="77">
        <v>4.9007619021266109</v>
      </c>
      <c r="B306" s="79">
        <v>4</v>
      </c>
      <c r="C306" s="50" t="s">
        <v>156</v>
      </c>
      <c r="P306" s="78">
        <f t="shared" ref="P306:AA311" si="107">P209*$A306/$B306</f>
        <v>0</v>
      </c>
      <c r="Q306" s="78">
        <f t="shared" si="107"/>
        <v>0</v>
      </c>
      <c r="R306" s="78">
        <f t="shared" si="107"/>
        <v>0</v>
      </c>
      <c r="S306" s="78">
        <f t="shared" si="107"/>
        <v>0</v>
      </c>
      <c r="T306" s="78">
        <f t="shared" si="107"/>
        <v>95520.082194772549</v>
      </c>
      <c r="U306" s="78">
        <f t="shared" si="107"/>
        <v>745046.00288064475</v>
      </c>
      <c r="V306" s="78">
        <f t="shared" si="107"/>
        <v>1376038.1857742204</v>
      </c>
      <c r="W306" s="78">
        <f t="shared" si="107"/>
        <v>1616470.8205771826</v>
      </c>
      <c r="X306" s="78">
        <f t="shared" si="107"/>
        <v>1868841.0719437585</v>
      </c>
      <c r="Y306" s="78">
        <f t="shared" si="107"/>
        <v>1650577.9245716203</v>
      </c>
      <c r="Z306" s="78">
        <f t="shared" si="107"/>
        <v>1517101.326700018</v>
      </c>
      <c r="AA306" s="78">
        <f t="shared" si="107"/>
        <v>1498743.3533187257</v>
      </c>
    </row>
    <row r="307" spans="1:27" x14ac:dyDescent="0.3">
      <c r="A307" s="77">
        <v>4.91</v>
      </c>
      <c r="B307" s="79">
        <v>10</v>
      </c>
      <c r="C307" s="50" t="s">
        <v>157</v>
      </c>
      <c r="P307" s="78">
        <f t="shared" si="107"/>
        <v>0</v>
      </c>
      <c r="Q307" s="78">
        <f t="shared" si="107"/>
        <v>0</v>
      </c>
      <c r="R307" s="78">
        <f t="shared" si="107"/>
        <v>0</v>
      </c>
      <c r="S307" s="78">
        <f t="shared" si="107"/>
        <v>0</v>
      </c>
      <c r="T307" s="78">
        <f t="shared" si="107"/>
        <v>11572.1949293987</v>
      </c>
      <c r="U307" s="78">
        <f t="shared" si="107"/>
        <v>91412.164701514499</v>
      </c>
      <c r="V307" s="78">
        <f t="shared" si="107"/>
        <v>252453.6504666713</v>
      </c>
      <c r="W307" s="78">
        <f t="shared" si="107"/>
        <v>284140.07365790545</v>
      </c>
      <c r="X307" s="78">
        <f t="shared" si="107"/>
        <v>325511.47855725995</v>
      </c>
      <c r="Y307" s="78">
        <f t="shared" si="107"/>
        <v>294609.07335193682</v>
      </c>
      <c r="Z307" s="78">
        <f t="shared" si="107"/>
        <v>273172.19716427999</v>
      </c>
      <c r="AA307" s="78">
        <f t="shared" si="107"/>
        <v>270305.57019550214</v>
      </c>
    </row>
    <row r="308" spans="1:27" x14ac:dyDescent="0.3">
      <c r="A308" s="77">
        <v>3.6881386376751015</v>
      </c>
      <c r="B308" s="79">
        <v>6</v>
      </c>
      <c r="C308" s="50" t="s">
        <v>158</v>
      </c>
      <c r="P308" s="78">
        <f t="shared" si="107"/>
        <v>0</v>
      </c>
      <c r="Q308" s="78">
        <f t="shared" si="107"/>
        <v>0</v>
      </c>
      <c r="R308" s="78">
        <f t="shared" si="107"/>
        <v>0</v>
      </c>
      <c r="S308" s="78">
        <f t="shared" si="107"/>
        <v>141624.5236867239</v>
      </c>
      <c r="T308" s="78">
        <f t="shared" si="107"/>
        <v>354061.30921680975</v>
      </c>
      <c r="U308" s="78">
        <f t="shared" si="107"/>
        <v>708122.6184336195</v>
      </c>
      <c r="V308" s="78">
        <f t="shared" si="107"/>
        <v>1019696.570544412</v>
      </c>
      <c r="W308" s="78">
        <f t="shared" si="107"/>
        <v>1062183.9276504293</v>
      </c>
      <c r="X308" s="78">
        <f t="shared" si="107"/>
        <v>1210889.6775214893</v>
      </c>
      <c r="Y308" s="78">
        <f t="shared" si="107"/>
        <v>1593275.891475644</v>
      </c>
      <c r="Z308" s="78">
        <f t="shared" si="107"/>
        <v>1216234.753243923</v>
      </c>
      <c r="AA308" s="78">
        <f t="shared" si="107"/>
        <v>1210889.6775214893</v>
      </c>
    </row>
    <row r="309" spans="1:27" x14ac:dyDescent="0.3">
      <c r="A309" s="77">
        <v>4.9007619021266109</v>
      </c>
      <c r="B309" s="79">
        <v>4</v>
      </c>
      <c r="C309" s="50" t="s">
        <v>159</v>
      </c>
      <c r="P309" s="78">
        <f t="shared" si="107"/>
        <v>0</v>
      </c>
      <c r="Q309" s="78">
        <f t="shared" si="107"/>
        <v>0</v>
      </c>
      <c r="R309" s="78">
        <f t="shared" si="107"/>
        <v>0</v>
      </c>
      <c r="S309" s="78">
        <f t="shared" si="107"/>
        <v>213918.25702782656</v>
      </c>
      <c r="T309" s="78">
        <f t="shared" si="107"/>
        <v>307851.06256567646</v>
      </c>
      <c r="U309" s="78">
        <f t="shared" si="107"/>
        <v>307851.06256567646</v>
      </c>
      <c r="V309" s="78">
        <f t="shared" si="107"/>
        <v>307851.06256567646</v>
      </c>
      <c r="W309" s="78">
        <f t="shared" si="107"/>
        <v>307851.06256567646</v>
      </c>
      <c r="X309" s="78">
        <f t="shared" si="107"/>
        <v>307851.06256567646</v>
      </c>
      <c r="Y309" s="78">
        <f t="shared" si="107"/>
        <v>1033240.0246853557</v>
      </c>
      <c r="Z309" s="78">
        <f t="shared" si="107"/>
        <v>1033240.0246853557</v>
      </c>
      <c r="AA309" s="78">
        <f t="shared" si="107"/>
        <v>1033240.0246853556</v>
      </c>
    </row>
    <row r="310" spans="1:27" x14ac:dyDescent="0.3">
      <c r="A310" s="77">
        <v>4.91</v>
      </c>
      <c r="B310" s="79">
        <v>10</v>
      </c>
      <c r="C310" s="50" t="s">
        <v>160</v>
      </c>
      <c r="P310" s="78">
        <f t="shared" si="107"/>
        <v>0</v>
      </c>
      <c r="Q310" s="78">
        <f t="shared" si="107"/>
        <v>0</v>
      </c>
      <c r="R310" s="78">
        <f t="shared" si="107"/>
        <v>0</v>
      </c>
      <c r="S310" s="78">
        <f t="shared" si="107"/>
        <v>30933</v>
      </c>
      <c r="T310" s="78">
        <f t="shared" si="107"/>
        <v>30933</v>
      </c>
      <c r="U310" s="78">
        <f t="shared" si="107"/>
        <v>30933</v>
      </c>
      <c r="V310" s="78">
        <f t="shared" si="107"/>
        <v>30933</v>
      </c>
      <c r="W310" s="78">
        <f t="shared" si="107"/>
        <v>30933</v>
      </c>
      <c r="X310" s="78">
        <f t="shared" si="107"/>
        <v>30933</v>
      </c>
      <c r="Y310" s="78">
        <f t="shared" si="107"/>
        <v>240590</v>
      </c>
      <c r="Z310" s="78">
        <f t="shared" si="107"/>
        <v>240590</v>
      </c>
      <c r="AA310" s="78">
        <f t="shared" si="107"/>
        <v>240590</v>
      </c>
    </row>
    <row r="311" spans="1:27" x14ac:dyDescent="0.3">
      <c r="A311" s="77">
        <v>3.6881386376751015</v>
      </c>
      <c r="B311" s="79">
        <v>6</v>
      </c>
      <c r="C311" s="50" t="s">
        <v>161</v>
      </c>
      <c r="P311" s="78">
        <f t="shared" si="107"/>
        <v>0</v>
      </c>
      <c r="Q311" s="78">
        <f t="shared" si="107"/>
        <v>0</v>
      </c>
      <c r="R311" s="78">
        <f t="shared" si="107"/>
        <v>0</v>
      </c>
      <c r="S311" s="78">
        <f t="shared" si="107"/>
        <v>0</v>
      </c>
      <c r="T311" s="78">
        <f t="shared" si="107"/>
        <v>0</v>
      </c>
      <c r="U311" s="78">
        <f t="shared" si="107"/>
        <v>0</v>
      </c>
      <c r="V311" s="78">
        <f t="shared" si="107"/>
        <v>0</v>
      </c>
      <c r="W311" s="78">
        <f t="shared" si="107"/>
        <v>0</v>
      </c>
      <c r="X311" s="78">
        <f t="shared" si="107"/>
        <v>0</v>
      </c>
      <c r="Y311" s="78">
        <f t="shared" si="107"/>
        <v>0</v>
      </c>
      <c r="Z311" s="78">
        <f t="shared" si="107"/>
        <v>0</v>
      </c>
      <c r="AA311" s="78">
        <f t="shared" si="107"/>
        <v>0</v>
      </c>
    </row>
    <row r="312" spans="1:27" x14ac:dyDescent="0.3">
      <c r="C312" s="50" t="s">
        <v>22</v>
      </c>
      <c r="P312" s="80">
        <f>SUM(P306:P311)</f>
        <v>0</v>
      </c>
      <c r="Q312" s="80">
        <f t="shared" ref="Q312:AA312" si="108">SUM(Q306:Q311)</f>
        <v>0</v>
      </c>
      <c r="R312" s="80">
        <f t="shared" si="108"/>
        <v>0</v>
      </c>
      <c r="S312" s="80">
        <f t="shared" si="108"/>
        <v>386475.78071455046</v>
      </c>
      <c r="T312" s="80">
        <f t="shared" si="108"/>
        <v>799937.64890665747</v>
      </c>
      <c r="U312" s="80">
        <f t="shared" si="108"/>
        <v>1883364.8485814552</v>
      </c>
      <c r="V312" s="80">
        <f t="shared" si="108"/>
        <v>2986972.4693509801</v>
      </c>
      <c r="W312" s="80">
        <f t="shared" si="108"/>
        <v>3301578.8844511937</v>
      </c>
      <c r="X312" s="80">
        <f t="shared" si="108"/>
        <v>3744026.2905881838</v>
      </c>
      <c r="Y312" s="80">
        <f t="shared" si="108"/>
        <v>4812292.9140845565</v>
      </c>
      <c r="Z312" s="80">
        <f t="shared" si="108"/>
        <v>4280338.3017935771</v>
      </c>
      <c r="AA312" s="80">
        <f t="shared" si="108"/>
        <v>4253768.6257210728</v>
      </c>
    </row>
    <row r="314" spans="1:27" x14ac:dyDescent="0.3">
      <c r="A314" t="s">
        <v>190</v>
      </c>
      <c r="B314">
        <v>4.9007619021266109</v>
      </c>
      <c r="C314" s="50" t="s">
        <v>165</v>
      </c>
    </row>
    <row r="315" spans="1:27" x14ac:dyDescent="0.3">
      <c r="A315" t="s">
        <v>87</v>
      </c>
      <c r="B315">
        <v>3.6881386376751015</v>
      </c>
      <c r="C315" s="50" t="s">
        <v>156</v>
      </c>
      <c r="P315" s="77">
        <f t="shared" ref="P315:AA320" si="109">P193*P163</f>
        <v>0</v>
      </c>
      <c r="Q315" s="77">
        <f t="shared" si="109"/>
        <v>0</v>
      </c>
      <c r="R315" s="77">
        <f t="shared" si="109"/>
        <v>0</v>
      </c>
      <c r="S315" s="77">
        <f t="shared" si="109"/>
        <v>0</v>
      </c>
      <c r="T315" s="77">
        <f t="shared" si="109"/>
        <v>58020.019733895286</v>
      </c>
      <c r="U315" s="77">
        <f t="shared" si="109"/>
        <v>323221.86960760673</v>
      </c>
      <c r="V315" s="77">
        <f t="shared" si="109"/>
        <v>545647.58641262795</v>
      </c>
      <c r="W315" s="77">
        <f t="shared" si="109"/>
        <v>554485.02832741337</v>
      </c>
      <c r="X315" s="77">
        <f t="shared" si="109"/>
        <v>492227.8978888095</v>
      </c>
      <c r="Y315" s="77">
        <f t="shared" si="109"/>
        <v>429353.99473497795</v>
      </c>
      <c r="Z315" s="77">
        <f t="shared" si="109"/>
        <v>350922.43257302721</v>
      </c>
      <c r="AA315" s="77">
        <f t="shared" si="109"/>
        <v>378162.65963481506</v>
      </c>
    </row>
    <row r="316" spans="1:27" x14ac:dyDescent="0.3">
      <c r="A316" t="s">
        <v>191</v>
      </c>
      <c r="B316">
        <v>4.6412072477687545</v>
      </c>
      <c r="C316" s="50" t="s">
        <v>157</v>
      </c>
      <c r="P316" s="77">
        <f t="shared" si="109"/>
        <v>0</v>
      </c>
      <c r="Q316" s="77">
        <f t="shared" si="109"/>
        <v>0</v>
      </c>
      <c r="R316" s="77">
        <f t="shared" si="109"/>
        <v>0</v>
      </c>
      <c r="S316" s="77">
        <f t="shared" si="109"/>
        <v>0</v>
      </c>
      <c r="T316" s="77">
        <f t="shared" si="109"/>
        <v>13297.302418102814</v>
      </c>
      <c r="U316" s="77">
        <f t="shared" si="109"/>
        <v>65444.783603914111</v>
      </c>
      <c r="V316" s="77">
        <f t="shared" si="109"/>
        <v>157246.82765333672</v>
      </c>
      <c r="W316" s="77">
        <f t="shared" si="109"/>
        <v>110480.90201734132</v>
      </c>
      <c r="X316" s="77">
        <f t="shared" si="109"/>
        <v>121825.69216334526</v>
      </c>
      <c r="Y316" s="77">
        <f t="shared" si="109"/>
        <v>88734.933508096918</v>
      </c>
      <c r="Z316" s="77">
        <f t="shared" si="109"/>
        <v>84135.449697856733</v>
      </c>
      <c r="AA316" s="77">
        <f t="shared" si="109"/>
        <v>88152.900877492517</v>
      </c>
    </row>
    <row r="317" spans="1:27" x14ac:dyDescent="0.3">
      <c r="A317" t="s">
        <v>86</v>
      </c>
      <c r="B317">
        <v>0</v>
      </c>
      <c r="C317" s="50" t="s">
        <v>158</v>
      </c>
      <c r="P317" s="77">
        <f t="shared" si="109"/>
        <v>0</v>
      </c>
      <c r="Q317" s="77">
        <f t="shared" si="109"/>
        <v>0</v>
      </c>
      <c r="R317" s="77">
        <f t="shared" si="109"/>
        <v>0</v>
      </c>
      <c r="S317" s="77">
        <f t="shared" si="109"/>
        <v>284534.94087333715</v>
      </c>
      <c r="T317" s="77">
        <f t="shared" si="109"/>
        <v>336496.36823626969</v>
      </c>
      <c r="U317" s="77">
        <f t="shared" si="109"/>
        <v>427993.36654942873</v>
      </c>
      <c r="V317" s="77">
        <f t="shared" si="109"/>
        <v>540514.79213370767</v>
      </c>
      <c r="W317" s="77">
        <f t="shared" si="109"/>
        <v>512745.97727526218</v>
      </c>
      <c r="X317" s="77">
        <f t="shared" si="109"/>
        <v>582602.54371423402</v>
      </c>
      <c r="Y317" s="77">
        <f t="shared" si="109"/>
        <v>709481.79247097019</v>
      </c>
      <c r="Z317" s="77">
        <f t="shared" si="109"/>
        <v>567435.66278173332</v>
      </c>
      <c r="AA317" s="77">
        <f t="shared" si="109"/>
        <v>567435.66278173332</v>
      </c>
    </row>
    <row r="318" spans="1:27" x14ac:dyDescent="0.3">
      <c r="A318" t="s">
        <v>192</v>
      </c>
      <c r="B318">
        <v>0</v>
      </c>
      <c r="C318" s="50" t="s">
        <v>159</v>
      </c>
      <c r="P318" s="77">
        <f t="shared" si="109"/>
        <v>0</v>
      </c>
      <c r="Q318" s="77">
        <f t="shared" si="109"/>
        <v>0</v>
      </c>
      <c r="R318" s="77">
        <f t="shared" si="109"/>
        <v>0</v>
      </c>
      <c r="S318" s="77">
        <f t="shared" si="109"/>
        <v>234830.13488057573</v>
      </c>
      <c r="T318" s="77">
        <f t="shared" si="109"/>
        <v>174428.95486563176</v>
      </c>
      <c r="U318" s="77">
        <f t="shared" si="109"/>
        <v>113310.91788203458</v>
      </c>
      <c r="V318" s="77">
        <f t="shared" si="109"/>
        <v>85724.038224189193</v>
      </c>
      <c r="W318" s="77">
        <f t="shared" si="109"/>
        <v>97615.609819688107</v>
      </c>
      <c r="X318" s="77">
        <f t="shared" si="109"/>
        <v>87483.818745887504</v>
      </c>
      <c r="Y318" s="77">
        <f t="shared" si="109"/>
        <v>323602.48613854608</v>
      </c>
      <c r="Z318" s="77">
        <f t="shared" si="109"/>
        <v>279409.93505830126</v>
      </c>
      <c r="AA318" s="77">
        <f t="shared" si="109"/>
        <v>249243.72138580878</v>
      </c>
    </row>
    <row r="319" spans="1:27" x14ac:dyDescent="0.3">
      <c r="A319" t="s">
        <v>193</v>
      </c>
      <c r="B319">
        <v>0</v>
      </c>
      <c r="C319" s="50" t="s">
        <v>160</v>
      </c>
      <c r="P319" s="77">
        <f t="shared" si="109"/>
        <v>0</v>
      </c>
      <c r="Q319" s="77">
        <f t="shared" si="109"/>
        <v>0</v>
      </c>
      <c r="R319" s="77">
        <f t="shared" si="109"/>
        <v>0</v>
      </c>
      <c r="S319" s="77">
        <f t="shared" si="109"/>
        <v>76038.522895053116</v>
      </c>
      <c r="T319" s="77">
        <f t="shared" si="109"/>
        <v>35040.290275842002</v>
      </c>
      <c r="U319" s="77">
        <f t="shared" si="109"/>
        <v>0</v>
      </c>
      <c r="V319" s="77">
        <f t="shared" si="109"/>
        <v>0</v>
      </c>
      <c r="W319" s="77">
        <f t="shared" si="109"/>
        <v>0</v>
      </c>
      <c r="X319" s="77">
        <f t="shared" si="109"/>
        <v>0</v>
      </c>
      <c r="Y319" s="77">
        <f t="shared" si="109"/>
        <v>120402.71539767568</v>
      </c>
      <c r="Z319" s="77">
        <f t="shared" si="109"/>
        <v>127424.55143510866</v>
      </c>
      <c r="AA319" s="77">
        <f t="shared" si="109"/>
        <v>127424.55143510866</v>
      </c>
    </row>
    <row r="320" spans="1:27" x14ac:dyDescent="0.3">
      <c r="A320" t="s">
        <v>194</v>
      </c>
      <c r="B320">
        <v>2.7899999999999996</v>
      </c>
      <c r="C320" s="50" t="s">
        <v>161</v>
      </c>
      <c r="P320" s="77">
        <f t="shared" si="109"/>
        <v>0</v>
      </c>
      <c r="Q320" s="77">
        <f t="shared" si="109"/>
        <v>0</v>
      </c>
      <c r="R320" s="77">
        <f t="shared" si="109"/>
        <v>0</v>
      </c>
      <c r="S320" s="77">
        <f t="shared" si="109"/>
        <v>0</v>
      </c>
      <c r="T320" s="77">
        <f t="shared" si="109"/>
        <v>0</v>
      </c>
      <c r="U320" s="77">
        <f t="shared" si="109"/>
        <v>0</v>
      </c>
      <c r="V320" s="77">
        <f t="shared" si="109"/>
        <v>0</v>
      </c>
      <c r="W320" s="77">
        <f t="shared" si="109"/>
        <v>0</v>
      </c>
      <c r="X320" s="77">
        <f t="shared" si="109"/>
        <v>0</v>
      </c>
      <c r="Y320" s="77">
        <f t="shared" si="109"/>
        <v>0</v>
      </c>
      <c r="Z320" s="77">
        <f t="shared" si="109"/>
        <v>0</v>
      </c>
      <c r="AA320" s="77">
        <f t="shared" si="109"/>
        <v>0</v>
      </c>
    </row>
    <row r="321" spans="1:27" x14ac:dyDescent="0.3">
      <c r="A321" t="s">
        <v>195</v>
      </c>
      <c r="B321">
        <v>12.948502333621434</v>
      </c>
      <c r="C321" s="50" t="s">
        <v>22</v>
      </c>
      <c r="P321" s="80">
        <f>SUM(P315:P320)</f>
        <v>0</v>
      </c>
      <c r="Q321" s="80">
        <f t="shared" ref="Q321:AA321" si="110">SUM(Q315:Q320)</f>
        <v>0</v>
      </c>
      <c r="R321" s="80">
        <f t="shared" si="110"/>
        <v>0</v>
      </c>
      <c r="S321" s="80">
        <f t="shared" si="110"/>
        <v>595403.59864896606</v>
      </c>
      <c r="T321" s="80">
        <f t="shared" si="110"/>
        <v>617282.93552974146</v>
      </c>
      <c r="U321" s="80">
        <f t="shared" si="110"/>
        <v>929970.93764298409</v>
      </c>
      <c r="V321" s="80">
        <f t="shared" si="110"/>
        <v>1329133.2444238616</v>
      </c>
      <c r="W321" s="80">
        <f t="shared" si="110"/>
        <v>1275327.5174397051</v>
      </c>
      <c r="X321" s="80">
        <f t="shared" si="110"/>
        <v>1284139.9525122764</v>
      </c>
      <c r="Y321" s="80">
        <f t="shared" si="110"/>
        <v>1671575.9222502669</v>
      </c>
      <c r="Z321" s="80">
        <f t="shared" si="110"/>
        <v>1409328.0315460274</v>
      </c>
      <c r="AA321" s="80">
        <f t="shared" si="110"/>
        <v>1410419.4961149585</v>
      </c>
    </row>
    <row r="323" spans="1:27" x14ac:dyDescent="0.3">
      <c r="C323" s="50" t="s">
        <v>196</v>
      </c>
    </row>
    <row r="324" spans="1:27" x14ac:dyDescent="0.3">
      <c r="C324" s="50" t="s">
        <v>156</v>
      </c>
      <c r="P324" s="78">
        <f>P306-P315</f>
        <v>0</v>
      </c>
      <c r="Q324" s="78">
        <f t="shared" ref="Q324:AA324" si="111">Q306-Q315</f>
        <v>0</v>
      </c>
      <c r="R324" s="78">
        <f t="shared" si="111"/>
        <v>0</v>
      </c>
      <c r="S324" s="78">
        <f t="shared" si="111"/>
        <v>0</v>
      </c>
      <c r="T324" s="78">
        <f t="shared" si="111"/>
        <v>37500.062460877263</v>
      </c>
      <c r="U324" s="78">
        <f t="shared" si="111"/>
        <v>421824.13327303802</v>
      </c>
      <c r="V324" s="78">
        <f t="shared" si="111"/>
        <v>830390.59936159244</v>
      </c>
      <c r="W324" s="78">
        <f t="shared" si="111"/>
        <v>1061985.7922497692</v>
      </c>
      <c r="X324" s="78">
        <f t="shared" si="111"/>
        <v>1376613.1740549491</v>
      </c>
      <c r="Y324" s="78">
        <f t="shared" si="111"/>
        <v>1221223.9298366425</v>
      </c>
      <c r="Z324" s="78">
        <f t="shared" si="111"/>
        <v>1166178.8941269908</v>
      </c>
      <c r="AA324" s="78">
        <f t="shared" si="111"/>
        <v>1120580.6936839106</v>
      </c>
    </row>
    <row r="325" spans="1:27" x14ac:dyDescent="0.3">
      <c r="C325" s="50" t="s">
        <v>157</v>
      </c>
      <c r="P325" s="78">
        <f t="shared" ref="P325:AA329" si="112">P307-P316</f>
        <v>0</v>
      </c>
      <c r="Q325" s="78">
        <f t="shared" si="112"/>
        <v>0</v>
      </c>
      <c r="R325" s="78">
        <f t="shared" si="112"/>
        <v>0</v>
      </c>
      <c r="S325" s="78">
        <f t="shared" si="112"/>
        <v>0</v>
      </c>
      <c r="T325" s="78">
        <f t="shared" si="112"/>
        <v>-1725.1074887041141</v>
      </c>
      <c r="U325" s="78">
        <f t="shared" si="112"/>
        <v>25967.381097600388</v>
      </c>
      <c r="V325" s="78">
        <f t="shared" si="112"/>
        <v>95206.822813334584</v>
      </c>
      <c r="W325" s="78">
        <f t="shared" si="112"/>
        <v>173659.17164056413</v>
      </c>
      <c r="X325" s="78">
        <f t="shared" si="112"/>
        <v>203685.78639391469</v>
      </c>
      <c r="Y325" s="78">
        <f t="shared" si="112"/>
        <v>205874.13984383992</v>
      </c>
      <c r="Z325" s="78">
        <f t="shared" si="112"/>
        <v>189036.74746642326</v>
      </c>
      <c r="AA325" s="78">
        <f t="shared" si="112"/>
        <v>182152.66931800963</v>
      </c>
    </row>
    <row r="326" spans="1:27" x14ac:dyDescent="0.3">
      <c r="C326" s="50" t="s">
        <v>158</v>
      </c>
      <c r="P326" s="78">
        <f t="shared" si="112"/>
        <v>0</v>
      </c>
      <c r="Q326" s="78">
        <f t="shared" si="112"/>
        <v>0</v>
      </c>
      <c r="R326" s="78">
        <f t="shared" si="112"/>
        <v>0</v>
      </c>
      <c r="S326" s="78">
        <f t="shared" si="112"/>
        <v>-142910.41718661325</v>
      </c>
      <c r="T326" s="78">
        <f t="shared" si="112"/>
        <v>17564.940980540065</v>
      </c>
      <c r="U326" s="78">
        <f t="shared" si="112"/>
        <v>280129.25188419077</v>
      </c>
      <c r="V326" s="78">
        <f t="shared" si="112"/>
        <v>479181.77841070434</v>
      </c>
      <c r="W326" s="78">
        <f t="shared" si="112"/>
        <v>549437.95037516719</v>
      </c>
      <c r="X326" s="78">
        <f t="shared" si="112"/>
        <v>628287.1338072553</v>
      </c>
      <c r="Y326" s="78">
        <f t="shared" si="112"/>
        <v>883794.09900467377</v>
      </c>
      <c r="Z326" s="78">
        <f t="shared" si="112"/>
        <v>648799.09046218963</v>
      </c>
      <c r="AA326" s="78">
        <f t="shared" si="112"/>
        <v>643454.01473975601</v>
      </c>
    </row>
    <row r="327" spans="1:27" x14ac:dyDescent="0.3">
      <c r="C327" s="50" t="s">
        <v>159</v>
      </c>
      <c r="P327" s="78">
        <f t="shared" si="112"/>
        <v>0</v>
      </c>
      <c r="Q327" s="78">
        <f t="shared" si="112"/>
        <v>0</v>
      </c>
      <c r="R327" s="78">
        <f t="shared" si="112"/>
        <v>0</v>
      </c>
      <c r="S327" s="78">
        <f t="shared" si="112"/>
        <v>-20911.877852749167</v>
      </c>
      <c r="T327" s="78">
        <f t="shared" si="112"/>
        <v>133422.1077000447</v>
      </c>
      <c r="U327" s="78">
        <f t="shared" si="112"/>
        <v>194540.14468364188</v>
      </c>
      <c r="V327" s="78">
        <f t="shared" si="112"/>
        <v>222127.02434148727</v>
      </c>
      <c r="W327" s="78">
        <f t="shared" si="112"/>
        <v>210235.45274598835</v>
      </c>
      <c r="X327" s="78">
        <f t="shared" si="112"/>
        <v>220367.24381978897</v>
      </c>
      <c r="Y327" s="78">
        <f t="shared" si="112"/>
        <v>709637.53854680969</v>
      </c>
      <c r="Z327" s="78">
        <f t="shared" si="112"/>
        <v>753830.08962705452</v>
      </c>
      <c r="AA327" s="78">
        <f t="shared" si="112"/>
        <v>783996.30329954682</v>
      </c>
    </row>
    <row r="328" spans="1:27" x14ac:dyDescent="0.3">
      <c r="C328" s="50" t="s">
        <v>160</v>
      </c>
      <c r="P328" s="78">
        <f t="shared" si="112"/>
        <v>0</v>
      </c>
      <c r="Q328" s="78">
        <f t="shared" si="112"/>
        <v>0</v>
      </c>
      <c r="R328" s="78">
        <f t="shared" si="112"/>
        <v>0</v>
      </c>
      <c r="S328" s="78">
        <f t="shared" si="112"/>
        <v>-45105.522895053116</v>
      </c>
      <c r="T328" s="78">
        <f t="shared" si="112"/>
        <v>-4107.2902758420023</v>
      </c>
      <c r="U328" s="78">
        <f t="shared" si="112"/>
        <v>30933</v>
      </c>
      <c r="V328" s="78">
        <f t="shared" si="112"/>
        <v>30933</v>
      </c>
      <c r="W328" s="78">
        <f t="shared" si="112"/>
        <v>30933</v>
      </c>
      <c r="X328" s="78">
        <f t="shared" si="112"/>
        <v>30933</v>
      </c>
      <c r="Y328" s="78">
        <f t="shared" si="112"/>
        <v>120187.28460232432</v>
      </c>
      <c r="Z328" s="78">
        <f t="shared" si="112"/>
        <v>113165.44856489134</v>
      </c>
      <c r="AA328" s="78">
        <f t="shared" si="112"/>
        <v>113165.44856489134</v>
      </c>
    </row>
    <row r="329" spans="1:27" x14ac:dyDescent="0.3">
      <c r="C329" s="50" t="s">
        <v>161</v>
      </c>
      <c r="P329" s="78">
        <f t="shared" si="112"/>
        <v>0</v>
      </c>
      <c r="Q329" s="78">
        <f t="shared" si="112"/>
        <v>0</v>
      </c>
      <c r="R329" s="78">
        <f t="shared" si="112"/>
        <v>0</v>
      </c>
      <c r="S329" s="78">
        <f t="shared" si="112"/>
        <v>0</v>
      </c>
      <c r="T329" s="78">
        <f t="shared" si="112"/>
        <v>0</v>
      </c>
      <c r="U329" s="78">
        <f t="shared" si="112"/>
        <v>0</v>
      </c>
      <c r="V329" s="78">
        <f t="shared" si="112"/>
        <v>0</v>
      </c>
      <c r="W329" s="78">
        <f t="shared" si="112"/>
        <v>0</v>
      </c>
      <c r="X329" s="78">
        <f t="shared" si="112"/>
        <v>0</v>
      </c>
      <c r="Y329" s="78">
        <f t="shared" si="112"/>
        <v>0</v>
      </c>
      <c r="Z329" s="78">
        <f t="shared" si="112"/>
        <v>0</v>
      </c>
      <c r="AA329" s="78">
        <f t="shared" si="112"/>
        <v>0</v>
      </c>
    </row>
    <row r="330" spans="1:27" x14ac:dyDescent="0.3">
      <c r="C330" s="50" t="s">
        <v>22</v>
      </c>
      <c r="P330" s="80">
        <f>SUM(P324:P329)</f>
        <v>0</v>
      </c>
      <c r="Q330" s="80">
        <f t="shared" ref="Q330:AA330" si="113">SUM(Q324:Q329)</f>
        <v>0</v>
      </c>
      <c r="R330" s="80">
        <f t="shared" si="113"/>
        <v>0</v>
      </c>
      <c r="S330" s="80">
        <f t="shared" si="113"/>
        <v>-208927.81793441554</v>
      </c>
      <c r="T330" s="80">
        <f t="shared" si="113"/>
        <v>182654.7133769159</v>
      </c>
      <c r="U330" s="80">
        <f t="shared" si="113"/>
        <v>953393.91093847109</v>
      </c>
      <c r="V330" s="80">
        <f t="shared" si="113"/>
        <v>1657839.2249271187</v>
      </c>
      <c r="W330" s="80">
        <f t="shared" si="113"/>
        <v>2026251.3670114889</v>
      </c>
      <c r="X330" s="80">
        <f t="shared" si="113"/>
        <v>2459886.3380759079</v>
      </c>
      <c r="Y330" s="80">
        <f t="shared" si="113"/>
        <v>3140716.9918342903</v>
      </c>
      <c r="Z330" s="80">
        <f t="shared" si="113"/>
        <v>2871010.2702475493</v>
      </c>
      <c r="AA330" s="80">
        <f t="shared" si="113"/>
        <v>2843349.1296061142</v>
      </c>
    </row>
    <row r="331" spans="1:27" x14ac:dyDescent="0.3">
      <c r="T331" s="74">
        <f t="shared" ref="T331:Z331" si="114">T330/T312</f>
        <v>0.22833618798485802</v>
      </c>
      <c r="U331" s="74">
        <f t="shared" si="114"/>
        <v>0.50621838442857447</v>
      </c>
      <c r="V331" s="74">
        <f t="shared" si="114"/>
        <v>0.55502326919248102</v>
      </c>
      <c r="W331" s="74">
        <f t="shared" si="114"/>
        <v>0.61372193060542402</v>
      </c>
      <c r="X331" s="74">
        <f t="shared" si="114"/>
        <v>0.65701631002421768</v>
      </c>
      <c r="Y331" s="74">
        <f t="shared" si="114"/>
        <v>0.65264460162889926</v>
      </c>
      <c r="Z331" s="74">
        <f t="shared" si="114"/>
        <v>0.67074377486576675</v>
      </c>
      <c r="AA331" s="74">
        <f>AA330/AA312</f>
        <v>0.66843060349200989</v>
      </c>
    </row>
    <row r="335" spans="1:27" x14ac:dyDescent="0.3">
      <c r="U335" s="18">
        <f t="shared" ref="U335:Z335" si="115">U103/(U287+U289)</f>
        <v>9.3067108129520695E-2</v>
      </c>
      <c r="V335" s="18">
        <f t="shared" si="115"/>
        <v>8.20847766569128E-2</v>
      </c>
      <c r="W335" s="18">
        <f t="shared" si="115"/>
        <v>6.5614385832328162E-2</v>
      </c>
      <c r="X335" s="18">
        <f t="shared" si="115"/>
        <v>6.8383829031358492E-2</v>
      </c>
      <c r="Y335" s="18">
        <f t="shared" si="115"/>
        <v>7.7119791031662929E-2</v>
      </c>
      <c r="Z335" s="18">
        <f t="shared" si="115"/>
        <v>8.9320830813309673E-2</v>
      </c>
    </row>
    <row r="336" spans="1:27" x14ac:dyDescent="0.3">
      <c r="U336" s="122">
        <f>U335*0.73</f>
        <v>6.793898893455011E-2</v>
      </c>
      <c r="V336" s="122">
        <f>V335*0.73</f>
        <v>5.9921886959546346E-2</v>
      </c>
      <c r="W336" s="122">
        <f>W335*0.73</f>
        <v>4.7898501657599554E-2</v>
      </c>
      <c r="X336" s="122">
        <f>X335*0.73</f>
        <v>4.9920195192891696E-2</v>
      </c>
      <c r="Y336" s="122">
        <f>Y335*0.73</f>
        <v>5.6297447453113936E-2</v>
      </c>
    </row>
  </sheetData>
  <conditionalFormatting sqref="O76:BA76 O78:BA78 O80:BA80 O88:BA88 O90:BA90 O92:BA92">
    <cfRule type="cellIs" dxfId="4" priority="1" operator="greaterThan">
      <formula>N76</formula>
    </cfRule>
  </conditionalFormatting>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7984EC-8046-497D-9F0B-FC74A4546D8C}">
  <dimension ref="A1:Z2675"/>
  <sheetViews>
    <sheetView topLeftCell="A358" workbookViewId="0">
      <selection activeCell="E325" sqref="E325:Y377"/>
    </sheetView>
  </sheetViews>
  <sheetFormatPr defaultColWidth="8.6640625" defaultRowHeight="14.4" x14ac:dyDescent="0.3"/>
  <cols>
    <col min="1" max="1" width="12" style="81" customWidth="1"/>
    <col min="2" max="2" width="12" style="101" customWidth="1"/>
    <col min="3" max="3" width="12" style="81" customWidth="1"/>
    <col min="4" max="5" width="8" style="81" customWidth="1"/>
    <col min="6" max="6" width="23.44140625" style="81" customWidth="1"/>
    <col min="7" max="7" width="21" style="81" customWidth="1"/>
    <col min="8" max="8" width="19.109375" style="81" customWidth="1"/>
    <col min="9" max="9" width="17.109375" style="81" customWidth="1"/>
    <col min="10" max="10" width="10.33203125" style="81" customWidth="1"/>
    <col min="11" max="11" width="33.44140625" style="83" customWidth="1"/>
    <col min="12" max="12" width="15" style="81" customWidth="1"/>
    <col min="13" max="13" width="16" style="81" customWidth="1"/>
    <col min="14" max="14" width="11" style="81" customWidth="1"/>
    <col min="15" max="15" width="12" style="81" customWidth="1"/>
    <col min="16" max="18" width="10" style="81" customWidth="1"/>
    <col min="19" max="19" width="17.5546875" style="81" customWidth="1"/>
    <col min="20" max="20" width="14" style="81" customWidth="1"/>
    <col min="21" max="22" width="16" style="81" customWidth="1"/>
    <col min="23" max="23" width="10" style="81" customWidth="1"/>
    <col min="24" max="24" width="30" style="81" customWidth="1"/>
    <col min="25" max="16384" width="8.6640625" style="81"/>
  </cols>
  <sheetData>
    <row r="1" spans="1:26" ht="18" x14ac:dyDescent="0.3">
      <c r="A1" s="141" t="s">
        <v>197</v>
      </c>
      <c r="B1" s="141"/>
      <c r="C1" s="141"/>
      <c r="D1" s="142"/>
      <c r="E1" s="142"/>
      <c r="F1" s="142"/>
      <c r="G1" s="142"/>
      <c r="H1" s="142"/>
      <c r="I1" s="142"/>
      <c r="J1" s="142"/>
      <c r="K1" s="142"/>
      <c r="L1" s="142"/>
      <c r="M1" s="142"/>
      <c r="N1" s="142"/>
      <c r="O1" s="142"/>
      <c r="P1" s="142"/>
      <c r="Q1" s="142"/>
      <c r="R1" s="142"/>
      <c r="S1" s="142"/>
      <c r="T1" s="142"/>
      <c r="U1" s="142"/>
      <c r="V1" s="142"/>
      <c r="W1" s="142"/>
      <c r="X1" s="142"/>
    </row>
    <row r="3" spans="1:26" s="83" customFormat="1" ht="28.8" x14ac:dyDescent="0.3">
      <c r="A3" s="82" t="s">
        <v>39</v>
      </c>
      <c r="B3" s="99" t="s">
        <v>21</v>
      </c>
      <c r="C3" s="82" t="s">
        <v>0</v>
      </c>
      <c r="D3" s="82" t="s">
        <v>198</v>
      </c>
      <c r="E3" s="82" t="s">
        <v>199</v>
      </c>
      <c r="F3" s="82" t="s">
        <v>200</v>
      </c>
      <c r="G3" s="82" t="s">
        <v>201</v>
      </c>
      <c r="H3" s="82" t="s">
        <v>202</v>
      </c>
      <c r="I3" s="82" t="s">
        <v>203</v>
      </c>
      <c r="J3" s="82" t="s">
        <v>204</v>
      </c>
      <c r="K3" s="82" t="s">
        <v>205</v>
      </c>
      <c r="L3" s="82" t="s">
        <v>206</v>
      </c>
      <c r="M3" s="82" t="s">
        <v>207</v>
      </c>
      <c r="N3" s="82" t="s">
        <v>208</v>
      </c>
      <c r="O3" s="82" t="s">
        <v>209</v>
      </c>
      <c r="P3" s="82" t="s">
        <v>210</v>
      </c>
      <c r="Q3" s="82" t="s">
        <v>211</v>
      </c>
      <c r="R3" s="82" t="s">
        <v>212</v>
      </c>
      <c r="S3" s="82" t="s">
        <v>213</v>
      </c>
      <c r="T3" s="82" t="s">
        <v>214</v>
      </c>
      <c r="U3" s="82" t="s">
        <v>215</v>
      </c>
      <c r="V3" s="82" t="s">
        <v>216</v>
      </c>
      <c r="W3" s="82" t="s">
        <v>217</v>
      </c>
      <c r="X3" s="82" t="s">
        <v>218</v>
      </c>
      <c r="Y3" s="82" t="s">
        <v>219</v>
      </c>
      <c r="Z3" s="83" t="s">
        <v>201</v>
      </c>
    </row>
    <row r="4" spans="1:26" x14ac:dyDescent="0.3">
      <c r="A4" s="84">
        <v>46153</v>
      </c>
      <c r="B4" s="100">
        <f>+WEEKNUM(A4)</f>
        <v>20</v>
      </c>
      <c r="C4" s="84" t="str">
        <f>+TEXT(A4,"mmmm")</f>
        <v>May</v>
      </c>
      <c r="D4" s="85" t="str">
        <f t="shared" ref="D4:D67" si="0">IF(A4="","",TEXT(A4,"ddd"))</f>
        <v>Mon</v>
      </c>
      <c r="E4" s="86" t="s">
        <v>220</v>
      </c>
      <c r="F4" s="86" t="s">
        <v>52</v>
      </c>
      <c r="G4" s="86" t="s">
        <v>82</v>
      </c>
      <c r="H4" s="86" t="s">
        <v>221</v>
      </c>
      <c r="I4" s="87">
        <f>IF(F4=0,"",IF(COUNTIF(F4,"Bao"),[1]Setup!$B$4,IF(COUNTIF(F4,"Soup Dumplings"),[1]Setup!$B$5,F4)))</f>
        <v>15000</v>
      </c>
      <c r="J4" s="88">
        <f t="shared" ref="J4:J15" si="1">IF(A4="","",
   IFERROR(
      N(I4)+SUMIFS($V$4:$V$30,$U$4:$U$30,A4,$G$4:$G$30,G4),
   0)
)</f>
        <v>15000</v>
      </c>
      <c r="K4" s="88"/>
      <c r="L4" s="87"/>
      <c r="M4" s="87"/>
      <c r="N4" s="87"/>
      <c r="O4" s="87"/>
      <c r="P4" s="89">
        <f t="shared" ref="P4:P16" si="2">IF(J4="","",IF(J4&gt;0,(L4+M4)/J4,""))</f>
        <v>0</v>
      </c>
      <c r="Q4" s="89">
        <f t="shared" ref="Q4:Q16" si="3">IF(J4="","",IF(J4&gt;0,MAX(0,(J4-(L4+M4))/J4),""))</f>
        <v>1</v>
      </c>
      <c r="R4" s="89">
        <f t="shared" ref="R4:R16" si="4">IF(J4="","",IF(J4&gt;0,MAX(0,(L4+M4-J4)/J4),""))</f>
        <v>0</v>
      </c>
      <c r="S4" s="88">
        <f>IF(F4="Bao",[1]Setup!$B$4,IF(F4="Soup Dumplings",[1]Setup!$B$5,""))</f>
        <v>15000</v>
      </c>
      <c r="T4" s="88" t="str">
        <f t="shared" ref="T4:T16" si="5">IF(L4="","",S4-L4)</f>
        <v/>
      </c>
      <c r="U4" s="84">
        <f t="shared" ref="U4:U67" si="6">IF(A4="","",A4+1)</f>
        <v>46154</v>
      </c>
      <c r="V4" s="88">
        <f>IF(U4="",0,MAX(0,T4)+N4+ROUND(J4*[1]Setup!$B$9,0)+IF(O4&gt;[1]Setup!$B$10,ROUND(J4*[1]Setup!$B$11,0),0))</f>
        <v>300</v>
      </c>
      <c r="W4" s="85" t="str">
        <f>IF(L4="","Open",IF(OR(P4&lt;[1]Setup!$B$6,Q4&gt;[1]Setup!$B$7,R4&gt;[1]Setup!$B$8,O4&gt;[1]Setup!$B$10),"Review","OK"))</f>
        <v>Open</v>
      </c>
      <c r="X4" s="86"/>
      <c r="Z4" s="81" t="str">
        <f>+LEFT(F4,3)</f>
        <v>Bao</v>
      </c>
    </row>
    <row r="5" spans="1:26" ht="28.8" x14ac:dyDescent="0.3">
      <c r="A5" s="84">
        <v>46153</v>
      </c>
      <c r="B5" s="100">
        <f t="shared" ref="B5:B68" si="7">+WEEKNUM(A5)</f>
        <v>20</v>
      </c>
      <c r="C5" s="84" t="str">
        <f t="shared" ref="C5:C68" si="8">+TEXT(A5,"mmmm")</f>
        <v>May</v>
      </c>
      <c r="D5" s="85" t="str">
        <f t="shared" si="0"/>
        <v>Mon</v>
      </c>
      <c r="E5" s="86" t="s">
        <v>220</v>
      </c>
      <c r="F5" s="86" t="s">
        <v>222</v>
      </c>
      <c r="G5" s="86" t="s">
        <v>223</v>
      </c>
      <c r="H5" s="86" t="s">
        <v>224</v>
      </c>
      <c r="I5" s="87" t="str">
        <f>IF(F5=0,"",IF(COUNTIF(F5,"Bao"),[1]Setup!$B$4,IF(COUNTIF(F5,"Soup Dumplings"),[1]Setup!$B$5,F5)))</f>
        <v>Bao Prep</v>
      </c>
      <c r="J5" s="88">
        <f t="shared" si="1"/>
        <v>0</v>
      </c>
      <c r="K5" s="88" t="s">
        <v>225</v>
      </c>
      <c r="L5" s="87"/>
      <c r="M5" s="87"/>
      <c r="N5" s="87"/>
      <c r="O5" s="87"/>
      <c r="P5" s="89" t="str">
        <f t="shared" si="2"/>
        <v/>
      </c>
      <c r="Q5" s="89" t="str">
        <f t="shared" si="3"/>
        <v/>
      </c>
      <c r="R5" s="89" t="str">
        <f t="shared" si="4"/>
        <v/>
      </c>
      <c r="S5" s="88" t="str">
        <f>IF(F5="Bao",[1]Setup!$B$4,IF(F5="Soup Dumplings",[1]Setup!$B$5,""))</f>
        <v/>
      </c>
      <c r="T5" s="88" t="str">
        <f t="shared" si="5"/>
        <v/>
      </c>
      <c r="U5" s="84">
        <f t="shared" si="6"/>
        <v>46154</v>
      </c>
      <c r="V5" s="88">
        <f>IF(U5="",0,MAX(0,T5)+N5+ROUND(J5*[1]Setup!$B$9,0)+IF(O5&gt;[1]Setup!$B$10,ROUND(J5*[1]Setup!$B$11,0),0))</f>
        <v>0</v>
      </c>
      <c r="W5" s="85" t="str">
        <f>IF(L5="","Open",IF(OR(P5&lt;[1]Setup!$B$6,Q5&gt;[1]Setup!$B$7,R5&gt;[1]Setup!$B$8,O5&gt;[1]Setup!$B$10),"Review","OK"))</f>
        <v>Open</v>
      </c>
      <c r="X5" s="86"/>
      <c r="Z5" s="81" t="str">
        <f t="shared" ref="Z5:Z68" si="9">+LEFT(F5,3)</f>
        <v>Bao</v>
      </c>
    </row>
    <row r="6" spans="1:26" x14ac:dyDescent="0.3">
      <c r="A6" s="84">
        <v>46153</v>
      </c>
      <c r="B6" s="100">
        <f t="shared" si="7"/>
        <v>20</v>
      </c>
      <c r="C6" s="84" t="str">
        <f t="shared" si="8"/>
        <v>May</v>
      </c>
      <c r="D6" s="85" t="str">
        <f t="shared" si="0"/>
        <v>Mon</v>
      </c>
      <c r="E6" s="86" t="s">
        <v>220</v>
      </c>
      <c r="F6" s="86" t="s">
        <v>222</v>
      </c>
      <c r="G6" s="86" t="s">
        <v>226</v>
      </c>
      <c r="H6" s="86" t="s">
        <v>227</v>
      </c>
      <c r="I6" s="87" t="str">
        <f>IF(F6=0,"",IF(COUNTIF(F6,"Bao"),[1]Setup!$B$4,IF(COUNTIF(F6,"Soup Dumplings"),[1]Setup!$B$5,F6)))</f>
        <v>Bao Prep</v>
      </c>
      <c r="J6" s="88">
        <f t="shared" si="1"/>
        <v>0</v>
      </c>
      <c r="K6" s="88" t="s">
        <v>228</v>
      </c>
      <c r="L6" s="87"/>
      <c r="M6" s="87"/>
      <c r="N6" s="87"/>
      <c r="O6" s="87"/>
      <c r="P6" s="89" t="str">
        <f t="shared" si="2"/>
        <v/>
      </c>
      <c r="Q6" s="89" t="str">
        <f t="shared" si="3"/>
        <v/>
      </c>
      <c r="R6" s="89" t="str">
        <f t="shared" si="4"/>
        <v/>
      </c>
      <c r="S6" s="88" t="str">
        <f>IF(F6="Bao",[1]Setup!$B$4,IF(F6="Soup Dumplings",[1]Setup!$B$5,""))</f>
        <v/>
      </c>
      <c r="T6" s="88" t="str">
        <f t="shared" si="5"/>
        <v/>
      </c>
      <c r="U6" s="84">
        <f t="shared" si="6"/>
        <v>46154</v>
      </c>
      <c r="V6" s="88">
        <f>IF(U6="",0,MAX(0,T6)+N6+ROUND(J6*[1]Setup!$B$9,0)+IF(O6&gt;[1]Setup!$B$10,ROUND(J6*[1]Setup!$B$11,0),0))</f>
        <v>0</v>
      </c>
      <c r="W6" s="85" t="str">
        <f>IF(L6="","Open",IF(OR(P6&lt;[1]Setup!$B$6,Q6&gt;[1]Setup!$B$7,R6&gt;[1]Setup!$B$8,O6&gt;[1]Setup!$B$10),"Review","OK"))</f>
        <v>Open</v>
      </c>
      <c r="X6" s="86"/>
      <c r="Z6" s="81" t="str">
        <f t="shared" si="9"/>
        <v>Bao</v>
      </c>
    </row>
    <row r="7" spans="1:26" ht="28.8" x14ac:dyDescent="0.3">
      <c r="A7" s="84">
        <v>46153</v>
      </c>
      <c r="B7" s="100">
        <f t="shared" si="7"/>
        <v>20</v>
      </c>
      <c r="C7" s="84" t="str">
        <f t="shared" si="8"/>
        <v>May</v>
      </c>
      <c r="D7" s="85" t="str">
        <f t="shared" si="0"/>
        <v>Mon</v>
      </c>
      <c r="E7" s="86" t="s">
        <v>220</v>
      </c>
      <c r="F7" s="86" t="s">
        <v>222</v>
      </c>
      <c r="G7" s="86" t="s">
        <v>226</v>
      </c>
      <c r="H7" s="86" t="s">
        <v>229</v>
      </c>
      <c r="I7" s="87" t="str">
        <f>IF(F7=0,"",IF(COUNTIF(F7,"Bao"),[1]Setup!$B$4,IF(COUNTIF(F7,"Soup Dumplings"),[1]Setup!$B$5,F7)))</f>
        <v>Bao Prep</v>
      </c>
      <c r="J7" s="88">
        <f t="shared" si="1"/>
        <v>0</v>
      </c>
      <c r="K7" s="88" t="s">
        <v>230</v>
      </c>
      <c r="L7" s="87"/>
      <c r="M7" s="87"/>
      <c r="N7" s="87"/>
      <c r="O7" s="87"/>
      <c r="P7" s="89" t="str">
        <f t="shared" si="2"/>
        <v/>
      </c>
      <c r="Q7" s="89" t="str">
        <f t="shared" si="3"/>
        <v/>
      </c>
      <c r="R7" s="89" t="str">
        <f t="shared" si="4"/>
        <v/>
      </c>
      <c r="S7" s="88" t="str">
        <f>IF(F7="Bao",[1]Setup!$B$4,IF(F7="Soup Dumplings",[1]Setup!$B$5,""))</f>
        <v/>
      </c>
      <c r="T7" s="88" t="str">
        <f t="shared" si="5"/>
        <v/>
      </c>
      <c r="U7" s="84">
        <f t="shared" si="6"/>
        <v>46154</v>
      </c>
      <c r="V7" s="88">
        <f>IF(U7="",0,MAX(0,T7)+N7+ROUND(J7*[1]Setup!$B$9,0)+IF(O7&gt;[1]Setup!$B$10,ROUND(J7*[1]Setup!$B$11,0),0))</f>
        <v>0</v>
      </c>
      <c r="W7" s="85" t="str">
        <f>IF(L7="","Open",IF(OR(P7&lt;[1]Setup!$B$6,Q7&gt;[1]Setup!$B$7,R7&gt;[1]Setup!$B$8,O7&gt;[1]Setup!$B$10),"Review","OK"))</f>
        <v>Open</v>
      </c>
      <c r="X7" s="86"/>
      <c r="Z7" s="81" t="str">
        <f t="shared" si="9"/>
        <v>Bao</v>
      </c>
    </row>
    <row r="8" spans="1:26" x14ac:dyDescent="0.3">
      <c r="A8" s="84">
        <v>46153</v>
      </c>
      <c r="B8" s="100">
        <f t="shared" si="7"/>
        <v>20</v>
      </c>
      <c r="C8" s="84" t="str">
        <f t="shared" si="8"/>
        <v>May</v>
      </c>
      <c r="D8" s="85" t="str">
        <f t="shared" si="0"/>
        <v>Mon</v>
      </c>
      <c r="E8" s="86" t="s">
        <v>220</v>
      </c>
      <c r="F8" s="86" t="s">
        <v>222</v>
      </c>
      <c r="G8" s="86" t="s">
        <v>231</v>
      </c>
      <c r="H8" s="86" t="s">
        <v>232</v>
      </c>
      <c r="I8" s="87" t="str">
        <f>IF(F8=0,"",IF(COUNTIF(F8,"Bao"),[1]Setup!$B$4,IF(COUNTIF(F8,"Soup Dumplings"),[1]Setup!$B$5,F8)))</f>
        <v>Bao Prep</v>
      </c>
      <c r="J8" s="88">
        <f t="shared" si="1"/>
        <v>0</v>
      </c>
      <c r="K8" s="88" t="s">
        <v>233</v>
      </c>
      <c r="L8" s="87"/>
      <c r="M8" s="87"/>
      <c r="N8" s="87"/>
      <c r="O8" s="87"/>
      <c r="P8" s="89" t="str">
        <f t="shared" si="2"/>
        <v/>
      </c>
      <c r="Q8" s="89" t="str">
        <f t="shared" si="3"/>
        <v/>
      </c>
      <c r="R8" s="89" t="str">
        <f t="shared" si="4"/>
        <v/>
      </c>
      <c r="S8" s="88" t="str">
        <f>IF(F8="Bao",[1]Setup!$B$4,IF(F8="Soup Dumplings",[1]Setup!$B$5,""))</f>
        <v/>
      </c>
      <c r="T8" s="88" t="str">
        <f t="shared" si="5"/>
        <v/>
      </c>
      <c r="U8" s="84">
        <f t="shared" si="6"/>
        <v>46154</v>
      </c>
      <c r="V8" s="88">
        <f>IF(U8="",0,MAX(0,T8)+N8+ROUND(J8*[1]Setup!$B$9,0)+IF(O8&gt;[1]Setup!$B$10,ROUND(J8*[1]Setup!$B$11,0),0))</f>
        <v>0</v>
      </c>
      <c r="W8" s="85" t="str">
        <f>IF(L8="","Open",IF(OR(P8&lt;[1]Setup!$B$6,Q8&gt;[1]Setup!$B$7,R8&gt;[1]Setup!$B$8,O8&gt;[1]Setup!$B$10),"Review","OK"))</f>
        <v>Open</v>
      </c>
      <c r="X8" s="86"/>
      <c r="Z8" s="81" t="str">
        <f t="shared" si="9"/>
        <v>Bao</v>
      </c>
    </row>
    <row r="9" spans="1:26" x14ac:dyDescent="0.3">
      <c r="A9" s="84">
        <v>46153</v>
      </c>
      <c r="B9" s="100">
        <f t="shared" si="7"/>
        <v>20</v>
      </c>
      <c r="C9" s="84" t="str">
        <f t="shared" si="8"/>
        <v>May</v>
      </c>
      <c r="D9" s="85" t="str">
        <f t="shared" si="0"/>
        <v>Mon</v>
      </c>
      <c r="E9" s="86" t="s">
        <v>220</v>
      </c>
      <c r="F9" s="86" t="s">
        <v>222</v>
      </c>
      <c r="G9" s="86" t="s">
        <v>231</v>
      </c>
      <c r="H9" s="86" t="s">
        <v>227</v>
      </c>
      <c r="I9" s="87" t="str">
        <f>IF(F9=0,"",IF(COUNTIF(F9,"Bao"),[1]Setup!$B$4,IF(COUNTIF(F9,"Soup Dumplings"),[1]Setup!$B$5,F9)))</f>
        <v>Bao Prep</v>
      </c>
      <c r="J9" s="88">
        <f t="shared" si="1"/>
        <v>0</v>
      </c>
      <c r="K9" s="88" t="s">
        <v>234</v>
      </c>
      <c r="L9" s="87"/>
      <c r="M9" s="87"/>
      <c r="N9" s="87"/>
      <c r="O9" s="87"/>
      <c r="P9" s="89" t="str">
        <f t="shared" si="2"/>
        <v/>
      </c>
      <c r="Q9" s="89" t="str">
        <f t="shared" si="3"/>
        <v/>
      </c>
      <c r="R9" s="89" t="str">
        <f t="shared" si="4"/>
        <v/>
      </c>
      <c r="S9" s="88" t="str">
        <f>IF(F9="Bao",[1]Setup!$B$4,IF(F9="Soup Dumplings",[1]Setup!$B$5,""))</f>
        <v/>
      </c>
      <c r="T9" s="88" t="str">
        <f t="shared" si="5"/>
        <v/>
      </c>
      <c r="U9" s="84">
        <f t="shared" si="6"/>
        <v>46154</v>
      </c>
      <c r="V9" s="88">
        <f>IF(U9="",0,MAX(0,T9)+N9+ROUND(J9*[1]Setup!$B$9,0)+IF(O9&gt;[1]Setup!$B$10,ROUND(J9*[1]Setup!$B$11,0),0))</f>
        <v>0</v>
      </c>
      <c r="W9" s="85" t="str">
        <f>IF(L9="","Open",IF(OR(P9&lt;[1]Setup!$B$6,Q9&gt;[1]Setup!$B$7,R9&gt;[1]Setup!$B$8,O9&gt;[1]Setup!$B$10),"Review","OK"))</f>
        <v>Open</v>
      </c>
      <c r="X9" s="86"/>
      <c r="Z9" s="81" t="str">
        <f t="shared" si="9"/>
        <v>Bao</v>
      </c>
    </row>
    <row r="10" spans="1:26" x14ac:dyDescent="0.3">
      <c r="A10" s="84">
        <v>46153</v>
      </c>
      <c r="B10" s="100">
        <f t="shared" si="7"/>
        <v>20</v>
      </c>
      <c r="C10" s="84" t="str">
        <f t="shared" si="8"/>
        <v>May</v>
      </c>
      <c r="D10" s="85" t="str">
        <f t="shared" si="0"/>
        <v>Mon</v>
      </c>
      <c r="E10" s="86" t="s">
        <v>220</v>
      </c>
      <c r="F10" s="86" t="s">
        <v>222</v>
      </c>
      <c r="G10" s="86" t="s">
        <v>235</v>
      </c>
      <c r="H10" s="86" t="s">
        <v>227</v>
      </c>
      <c r="I10" s="87" t="str">
        <f>IF(F10=0,"",IF(COUNTIF(F10,"Bao"),[1]Setup!$B$4,IF(COUNTIF(F10,"Soup Dumplings"),[1]Setup!$B$5,F10)))</f>
        <v>Bao Prep</v>
      </c>
      <c r="J10" s="88">
        <f t="shared" si="1"/>
        <v>0</v>
      </c>
      <c r="K10" s="88" t="s">
        <v>236</v>
      </c>
      <c r="L10" s="87"/>
      <c r="M10" s="87"/>
      <c r="N10" s="87"/>
      <c r="O10" s="87"/>
      <c r="P10" s="89" t="str">
        <f t="shared" si="2"/>
        <v/>
      </c>
      <c r="Q10" s="89" t="str">
        <f t="shared" si="3"/>
        <v/>
      </c>
      <c r="R10" s="89" t="str">
        <f t="shared" si="4"/>
        <v/>
      </c>
      <c r="S10" s="88" t="str">
        <f>IF(F10="Bao",[1]Setup!$B$4,IF(F10="Soup Dumplings",[1]Setup!$B$5,""))</f>
        <v/>
      </c>
      <c r="T10" s="88" t="str">
        <f t="shared" si="5"/>
        <v/>
      </c>
      <c r="U10" s="84">
        <f t="shared" si="6"/>
        <v>46154</v>
      </c>
      <c r="V10" s="88">
        <f>IF(U10="",0,MAX(0,T10)+N10+ROUND(J10*[1]Setup!$B$9,0)+IF(O10&gt;[1]Setup!$B$10,ROUND(J10*[1]Setup!$B$11,0),0))</f>
        <v>0</v>
      </c>
      <c r="W10" s="85" t="str">
        <f>IF(L10="","Open",IF(OR(P10&lt;[1]Setup!$B$6,Q10&gt;[1]Setup!$B$7,R10&gt;[1]Setup!$B$8,O10&gt;[1]Setup!$B$10),"Review","OK"))</f>
        <v>Open</v>
      </c>
      <c r="X10" s="86"/>
      <c r="Z10" s="81" t="str">
        <f t="shared" si="9"/>
        <v>Bao</v>
      </c>
    </row>
    <row r="11" spans="1:26" ht="43.2" x14ac:dyDescent="0.3">
      <c r="A11" s="84">
        <v>46153</v>
      </c>
      <c r="B11" s="100">
        <f t="shared" si="7"/>
        <v>20</v>
      </c>
      <c r="C11" s="84" t="str">
        <f t="shared" si="8"/>
        <v>May</v>
      </c>
      <c r="D11" s="85" t="str">
        <f t="shared" si="0"/>
        <v>Mon</v>
      </c>
      <c r="E11" s="86" t="s">
        <v>220</v>
      </c>
      <c r="F11" s="86" t="s">
        <v>237</v>
      </c>
      <c r="G11" s="86" t="s">
        <v>238</v>
      </c>
      <c r="H11" s="86" t="s">
        <v>229</v>
      </c>
      <c r="I11" s="87" t="str">
        <f>IF(F11=0,"",IF(COUNTIF(F11,"Bao"),[1]Setup!$B$4,IF(COUNTIF(F11,"Soup Dumplings"),[1]Setup!$B$5,F11)))</f>
        <v>Soup Dumpling Prep</v>
      </c>
      <c r="J11" s="88">
        <f t="shared" si="1"/>
        <v>0</v>
      </c>
      <c r="K11" s="88" t="s">
        <v>239</v>
      </c>
      <c r="L11" s="87"/>
      <c r="M11" s="87"/>
      <c r="N11" s="87"/>
      <c r="O11" s="87"/>
      <c r="P11" s="89" t="str">
        <f t="shared" si="2"/>
        <v/>
      </c>
      <c r="Q11" s="89" t="str">
        <f t="shared" si="3"/>
        <v/>
      </c>
      <c r="R11" s="89" t="str">
        <f t="shared" si="4"/>
        <v/>
      </c>
      <c r="S11" s="88" t="str">
        <f>IF(F11="Bao",[1]Setup!$B$4,IF(F11="Soup Dumplings",[1]Setup!$B$5,""))</f>
        <v/>
      </c>
      <c r="T11" s="88" t="str">
        <f t="shared" si="5"/>
        <v/>
      </c>
      <c r="U11" s="84">
        <f t="shared" si="6"/>
        <v>46154</v>
      </c>
      <c r="V11" s="88">
        <f>IF(U11="",0,MAX(0,T11)+N11+ROUND(J11*[1]Setup!$B$9,0)+IF(O11&gt;[1]Setup!$B$10,ROUND(J11*[1]Setup!$B$11,0),0))</f>
        <v>0</v>
      </c>
      <c r="W11" s="85" t="str">
        <f>IF(L11="","Open",IF(OR(P11&lt;[1]Setup!$B$6,Q11&gt;[1]Setup!$B$7,R11&gt;[1]Setup!$B$8,O11&gt;[1]Setup!$B$10),"Review","OK"))</f>
        <v>Open</v>
      </c>
      <c r="X11" s="86"/>
      <c r="Z11" s="81" t="str">
        <f t="shared" si="9"/>
        <v>Sou</v>
      </c>
    </row>
    <row r="12" spans="1:26" ht="43.2" x14ac:dyDescent="0.3">
      <c r="A12" s="84">
        <v>46153</v>
      </c>
      <c r="B12" s="100">
        <f t="shared" si="7"/>
        <v>20</v>
      </c>
      <c r="C12" s="84" t="str">
        <f t="shared" si="8"/>
        <v>May</v>
      </c>
      <c r="D12" s="85" t="str">
        <f t="shared" si="0"/>
        <v>Mon</v>
      </c>
      <c r="E12" s="86" t="s">
        <v>220</v>
      </c>
      <c r="F12" s="86" t="s">
        <v>237</v>
      </c>
      <c r="G12" s="86" t="s">
        <v>240</v>
      </c>
      <c r="H12" s="86" t="s">
        <v>224</v>
      </c>
      <c r="I12" s="87" t="str">
        <f>IF(F12=0,"",IF(COUNTIF(F12,"Bao"),[1]Setup!$B$4,IF(COUNTIF(F12,"Soup Dumplings"),[1]Setup!$B$5,F12)))</f>
        <v>Soup Dumpling Prep</v>
      </c>
      <c r="J12" s="88">
        <f t="shared" si="1"/>
        <v>0</v>
      </c>
      <c r="K12" s="88" t="s">
        <v>241</v>
      </c>
      <c r="L12" s="87"/>
      <c r="M12" s="87"/>
      <c r="N12" s="87"/>
      <c r="O12" s="87"/>
      <c r="P12" s="89" t="str">
        <f t="shared" si="2"/>
        <v/>
      </c>
      <c r="Q12" s="89" t="str">
        <f t="shared" si="3"/>
        <v/>
      </c>
      <c r="R12" s="89" t="str">
        <f t="shared" si="4"/>
        <v/>
      </c>
      <c r="S12" s="88" t="str">
        <f>IF(F12="Bao",[1]Setup!$B$4,IF(F12="Soup Dumplings",[1]Setup!$B$5,""))</f>
        <v/>
      </c>
      <c r="T12" s="88" t="str">
        <f t="shared" si="5"/>
        <v/>
      </c>
      <c r="U12" s="84">
        <f t="shared" si="6"/>
        <v>46154</v>
      </c>
      <c r="V12" s="88">
        <f>IF(U12="",0,MAX(0,T12)+N12+ROUND(J12*[1]Setup!$B$9,0)+IF(O12&gt;[1]Setup!$B$10,ROUND(J12*[1]Setup!$B$11,0),0))</f>
        <v>0</v>
      </c>
      <c r="W12" s="85" t="str">
        <f>IF(L12="","Open",IF(OR(P12&lt;[1]Setup!$B$6,Q12&gt;[1]Setup!$B$7,R12&gt;[1]Setup!$B$8,O12&gt;[1]Setup!$B$10),"Review","OK"))</f>
        <v>Open</v>
      </c>
      <c r="X12" s="86"/>
      <c r="Z12" s="81" t="str">
        <f t="shared" si="9"/>
        <v>Sou</v>
      </c>
    </row>
    <row r="13" spans="1:26" ht="28.8" x14ac:dyDescent="0.3">
      <c r="A13" s="84">
        <v>46153</v>
      </c>
      <c r="B13" s="100">
        <f t="shared" si="7"/>
        <v>20</v>
      </c>
      <c r="C13" s="84" t="str">
        <f t="shared" si="8"/>
        <v>May</v>
      </c>
      <c r="D13" s="85" t="str">
        <f t="shared" si="0"/>
        <v>Mon</v>
      </c>
      <c r="E13" s="86" t="s">
        <v>220</v>
      </c>
      <c r="F13" s="86" t="s">
        <v>237</v>
      </c>
      <c r="G13" s="86" t="s">
        <v>242</v>
      </c>
      <c r="H13" s="86" t="s">
        <v>232</v>
      </c>
      <c r="I13" s="87" t="str">
        <f>IF(F13=0,"",IF(COUNTIF(F13,"Bao"),[1]Setup!$B$4,IF(COUNTIF(F13,"Soup Dumplings"),[1]Setup!$B$5,F13)))</f>
        <v>Soup Dumpling Prep</v>
      </c>
      <c r="J13" s="88">
        <f t="shared" si="1"/>
        <v>0</v>
      </c>
      <c r="K13" s="88" t="s">
        <v>243</v>
      </c>
      <c r="L13" s="87"/>
      <c r="M13" s="87"/>
      <c r="N13" s="87"/>
      <c r="O13" s="87"/>
      <c r="P13" s="89" t="str">
        <f t="shared" si="2"/>
        <v/>
      </c>
      <c r="Q13" s="89" t="str">
        <f t="shared" si="3"/>
        <v/>
      </c>
      <c r="R13" s="89" t="str">
        <f t="shared" si="4"/>
        <v/>
      </c>
      <c r="S13" s="88" t="str">
        <f>IF(F13="Bao",[1]Setup!$B$4,IF(F13="Soup Dumplings",[1]Setup!$B$5,""))</f>
        <v/>
      </c>
      <c r="T13" s="88" t="str">
        <f t="shared" si="5"/>
        <v/>
      </c>
      <c r="U13" s="84">
        <f t="shared" si="6"/>
        <v>46154</v>
      </c>
      <c r="V13" s="88">
        <f>IF(U13="",0,MAX(0,T13)+N13+ROUND(J13*[1]Setup!$B$9,0)+IF(O13&gt;[1]Setup!$B$10,ROUND(J13*[1]Setup!$B$11,0),0))</f>
        <v>0</v>
      </c>
      <c r="W13" s="85" t="str">
        <f>IF(L13="","Open",IF(OR(P13&lt;[1]Setup!$B$6,Q13&gt;[1]Setup!$B$7,R13&gt;[1]Setup!$B$8,O13&gt;[1]Setup!$B$10),"Review","OK"))</f>
        <v>Open</v>
      </c>
      <c r="X13" s="86"/>
      <c r="Z13" s="81" t="str">
        <f t="shared" si="9"/>
        <v>Sou</v>
      </c>
    </row>
    <row r="14" spans="1:26" ht="28.8" x14ac:dyDescent="0.3">
      <c r="A14" s="84">
        <v>46153</v>
      </c>
      <c r="B14" s="100">
        <f t="shared" si="7"/>
        <v>20</v>
      </c>
      <c r="C14" s="84" t="str">
        <f t="shared" si="8"/>
        <v>May</v>
      </c>
      <c r="D14" s="85" t="str">
        <f t="shared" si="0"/>
        <v>Mon</v>
      </c>
      <c r="E14" s="86" t="s">
        <v>220</v>
      </c>
      <c r="F14" s="86" t="s">
        <v>237</v>
      </c>
      <c r="G14" s="86" t="s">
        <v>238</v>
      </c>
      <c r="H14" s="86" t="s">
        <v>227</v>
      </c>
      <c r="I14" s="87" t="str">
        <f>IF(F14=0,"",IF(COUNTIF(F14,"Bao"),[1]Setup!$B$4,IF(COUNTIF(F14,"Soup Dumplings"),[1]Setup!$B$5,F14)))</f>
        <v>Soup Dumpling Prep</v>
      </c>
      <c r="J14" s="88">
        <f t="shared" si="1"/>
        <v>0</v>
      </c>
      <c r="K14" s="88" t="s">
        <v>228</v>
      </c>
      <c r="L14" s="87"/>
      <c r="M14" s="87"/>
      <c r="N14" s="87"/>
      <c r="O14" s="87"/>
      <c r="P14" s="89" t="str">
        <f t="shared" si="2"/>
        <v/>
      </c>
      <c r="Q14" s="89" t="str">
        <f t="shared" si="3"/>
        <v/>
      </c>
      <c r="R14" s="89" t="str">
        <f t="shared" si="4"/>
        <v/>
      </c>
      <c r="S14" s="88" t="str">
        <f>IF(F14="Bao",[1]Setup!$B$4,IF(F14="Soup Dumplings FG",[1]Setup!$B$5,""))</f>
        <v/>
      </c>
      <c r="T14" s="88" t="str">
        <f t="shared" si="5"/>
        <v/>
      </c>
      <c r="U14" s="84">
        <f t="shared" si="6"/>
        <v>46154</v>
      </c>
      <c r="V14" s="88">
        <f>IF(U14="",0,MAX(0,T14)+N14+ROUND(J14*[1]Setup!$B$9,0)+IF(O14&gt;[1]Setup!$B$10,ROUND(J14*[1]Setup!$B$11,0),0))</f>
        <v>0</v>
      </c>
      <c r="W14" s="85" t="str">
        <f>IF(L14="","Open",IF(OR(P14&lt;[1]Setup!$B$6,Q14&gt;[1]Setup!$B$7,R14&gt;[1]Setup!$B$8,O14&gt;[1]Setup!$B$10),"Review","OK"))</f>
        <v>Open</v>
      </c>
      <c r="X14" s="86"/>
      <c r="Z14" s="81" t="str">
        <f t="shared" si="9"/>
        <v>Sou</v>
      </c>
    </row>
    <row r="15" spans="1:26" x14ac:dyDescent="0.3">
      <c r="A15" s="84">
        <v>46153</v>
      </c>
      <c r="B15" s="100">
        <f t="shared" si="7"/>
        <v>20</v>
      </c>
      <c r="C15" s="84" t="str">
        <f t="shared" si="8"/>
        <v>May</v>
      </c>
      <c r="D15" s="85" t="str">
        <f t="shared" si="0"/>
        <v>Mon</v>
      </c>
      <c r="E15" s="86" t="s">
        <v>220</v>
      </c>
      <c r="F15" s="86" t="s">
        <v>87</v>
      </c>
      <c r="G15" s="86" t="s">
        <v>244</v>
      </c>
      <c r="H15" s="86" t="s">
        <v>245</v>
      </c>
      <c r="I15" s="87">
        <f>IF(F15=0,"",IF(COUNTIF(F15,"Bao"),[1]Setup!$B$4,IF(COUNTIF(F15,"Soup Dumplings"),[1]Setup!$B$5,F15)))</f>
        <v>90000</v>
      </c>
      <c r="J15" s="88">
        <f t="shared" si="1"/>
        <v>90000</v>
      </c>
      <c r="K15" s="88"/>
      <c r="L15" s="87"/>
      <c r="M15" s="87"/>
      <c r="N15" s="87"/>
      <c r="O15" s="87"/>
      <c r="P15" s="89">
        <f t="shared" si="2"/>
        <v>0</v>
      </c>
      <c r="Q15" s="89">
        <f t="shared" si="3"/>
        <v>1</v>
      </c>
      <c r="R15" s="89">
        <f t="shared" si="4"/>
        <v>0</v>
      </c>
      <c r="S15" s="88">
        <f>IF(F15="Bao",[1]Setup!$B$4,IF(F15="Soup Dumplings",[1]Setup!$B$5,""))</f>
        <v>90000</v>
      </c>
      <c r="T15" s="88" t="str">
        <f t="shared" si="5"/>
        <v/>
      </c>
      <c r="U15" s="84">
        <f t="shared" si="6"/>
        <v>46154</v>
      </c>
      <c r="V15" s="88">
        <f>IF(U15="",0,MAX(0,T15)+N15+ROUND(J15*[1]Setup!$B$9,0)+IF(O15&gt;[1]Setup!$B$10,ROUND(J15*[1]Setup!$B$11,0),0))</f>
        <v>1800</v>
      </c>
      <c r="W15" s="85" t="str">
        <f>IF(L15="","Open",IF(OR(P15&lt;[1]Setup!$B$6,Q15&gt;[1]Setup!$B$7,R15&gt;[1]Setup!$B$8,O15&gt;[1]Setup!$B$10),"Review","OK"))</f>
        <v>Open</v>
      </c>
      <c r="X15" s="86"/>
      <c r="Z15" s="81" t="str">
        <f t="shared" si="9"/>
        <v>Sou</v>
      </c>
    </row>
    <row r="16" spans="1:26" ht="57.6" x14ac:dyDescent="0.3">
      <c r="A16" s="84">
        <v>46153</v>
      </c>
      <c r="B16" s="100">
        <f t="shared" si="7"/>
        <v>20</v>
      </c>
      <c r="C16" s="84" t="str">
        <f t="shared" si="8"/>
        <v>May</v>
      </c>
      <c r="D16" s="85" t="str">
        <f t="shared" si="0"/>
        <v>Mon</v>
      </c>
      <c r="E16" s="86" t="s">
        <v>220</v>
      </c>
      <c r="F16" s="86" t="s">
        <v>237</v>
      </c>
      <c r="G16" s="86" t="s">
        <v>246</v>
      </c>
      <c r="H16" s="86" t="s">
        <v>232</v>
      </c>
      <c r="I16" s="87" t="str">
        <f>IF(F16=0,"",IF(COUNTIF(F16,"Bao"),[1]Setup!$B$4,IF(COUNTIF(F16,"Soup Dumplings"),[1]Setup!$B$5,F16)))</f>
        <v>Soup Dumpling Prep</v>
      </c>
      <c r="J16" s="88">
        <v>0</v>
      </c>
      <c r="K16" s="88" t="s">
        <v>247</v>
      </c>
      <c r="L16" s="87"/>
      <c r="M16" s="87"/>
      <c r="N16" s="87"/>
      <c r="O16" s="87"/>
      <c r="P16" s="89" t="str">
        <f t="shared" si="2"/>
        <v/>
      </c>
      <c r="Q16" s="89" t="str">
        <f t="shared" si="3"/>
        <v/>
      </c>
      <c r="R16" s="89" t="str">
        <f t="shared" si="4"/>
        <v/>
      </c>
      <c r="S16" s="88" t="str">
        <f>IF(F16="Bao",[1]Setup!$B$4,IF(F16="Soup Dumplings",[1]Setup!$B$5,""))</f>
        <v/>
      </c>
      <c r="T16" s="88" t="str">
        <f t="shared" si="5"/>
        <v/>
      </c>
      <c r="U16" s="84">
        <f t="shared" si="6"/>
        <v>46154</v>
      </c>
      <c r="V16" s="88">
        <f>IF(U16="",0,MAX(0,T16)+N16+ROUND(J16*[1]Setup!$B$9,0)+IF(O16&gt;[1]Setup!$B$10,ROUND(J16*[1]Setup!$B$11,0),0))</f>
        <v>0</v>
      </c>
      <c r="W16" s="85" t="str">
        <f>IF(L16="","Open",IF(OR(P16&lt;[1]Setup!$B$6,Q16&gt;[1]Setup!$B$7,R16&gt;[1]Setup!$B$8,O16&gt;[1]Setup!$B$10),"Review","OK"))</f>
        <v>Open</v>
      </c>
      <c r="X16" s="86"/>
      <c r="Z16" s="81" t="str">
        <f t="shared" si="9"/>
        <v>Sou</v>
      </c>
    </row>
    <row r="17" spans="1:26" ht="28.8" x14ac:dyDescent="0.3">
      <c r="A17" s="84">
        <v>46153</v>
      </c>
      <c r="B17" s="100">
        <f t="shared" si="7"/>
        <v>20</v>
      </c>
      <c r="C17" s="84" t="str">
        <f t="shared" si="8"/>
        <v>May</v>
      </c>
      <c r="D17" s="85" t="str">
        <f t="shared" si="0"/>
        <v>Mon</v>
      </c>
      <c r="E17" s="86" t="s">
        <v>220</v>
      </c>
      <c r="F17" s="86" t="s">
        <v>248</v>
      </c>
      <c r="G17" s="86" t="s">
        <v>244</v>
      </c>
      <c r="H17" s="86" t="s">
        <v>249</v>
      </c>
      <c r="I17" s="87" t="str">
        <f>IF(F17=0,"",IF(COUNTIF(F17,"Bao"),[1]Setup!$B$4,IF(COUNTIF(F17,"Soup Dumplings"),[1]Setup!$B$5,F17)))</f>
        <v>Pack Soup Dumplings</v>
      </c>
      <c r="J17" s="88"/>
      <c r="K17" s="88" t="s">
        <v>250</v>
      </c>
      <c r="L17" s="87"/>
      <c r="M17" s="87"/>
      <c r="N17" s="87"/>
      <c r="O17" s="87"/>
      <c r="P17" s="89"/>
      <c r="Q17" s="89"/>
      <c r="R17" s="89"/>
      <c r="S17" s="88"/>
      <c r="T17" s="88"/>
      <c r="U17" s="84">
        <f t="shared" si="6"/>
        <v>46154</v>
      </c>
      <c r="V17" s="88"/>
      <c r="W17" s="85"/>
      <c r="X17" s="86"/>
      <c r="Z17" s="81" t="str">
        <f t="shared" si="9"/>
        <v>Pac</v>
      </c>
    </row>
    <row r="18" spans="1:26" ht="28.8" x14ac:dyDescent="0.3">
      <c r="A18" s="84">
        <v>46154</v>
      </c>
      <c r="B18" s="100">
        <f t="shared" si="7"/>
        <v>20</v>
      </c>
      <c r="C18" s="84" t="str">
        <f t="shared" si="8"/>
        <v>May</v>
      </c>
      <c r="D18" s="85" t="str">
        <f t="shared" si="0"/>
        <v>Tue</v>
      </c>
      <c r="E18" s="86" t="s">
        <v>220</v>
      </c>
      <c r="F18" s="86" t="s">
        <v>251</v>
      </c>
      <c r="G18" s="86" t="s">
        <v>82</v>
      </c>
      <c r="H18" s="86" t="s">
        <v>252</v>
      </c>
      <c r="I18" s="87" t="str">
        <f>IF(F18=0,"",IF(COUNTIF(F18,"Bao"),[1]Setup!$B$4,IF(COUNTIF(F18,"Soup Dumplings"),[1]Setup!$B$5,F18)))</f>
        <v>Pack Bao</v>
      </c>
      <c r="J18" s="88"/>
      <c r="K18" s="88" t="s">
        <v>253</v>
      </c>
      <c r="L18" s="87"/>
      <c r="M18" s="87"/>
      <c r="N18" s="87"/>
      <c r="O18" s="87"/>
      <c r="P18" s="89"/>
      <c r="Q18" s="89"/>
      <c r="R18" s="89"/>
      <c r="S18" s="88"/>
      <c r="T18" s="88"/>
      <c r="U18" s="84">
        <f t="shared" si="6"/>
        <v>46155</v>
      </c>
      <c r="V18" s="88"/>
      <c r="W18" s="85"/>
      <c r="X18" s="86"/>
      <c r="Z18" s="81" t="str">
        <f t="shared" si="9"/>
        <v>Pac</v>
      </c>
    </row>
    <row r="19" spans="1:26" x14ac:dyDescent="0.3">
      <c r="A19" s="84">
        <v>46154</v>
      </c>
      <c r="B19" s="100">
        <f t="shared" si="7"/>
        <v>20</v>
      </c>
      <c r="C19" s="84" t="str">
        <f t="shared" si="8"/>
        <v>May</v>
      </c>
      <c r="D19" s="85" t="str">
        <f t="shared" si="0"/>
        <v>Tue</v>
      </c>
      <c r="E19" s="86" t="s">
        <v>220</v>
      </c>
      <c r="F19" s="86" t="s">
        <v>52</v>
      </c>
      <c r="G19" s="86" t="s">
        <v>82</v>
      </c>
      <c r="H19" s="86" t="s">
        <v>221</v>
      </c>
      <c r="I19" s="87">
        <f>IF(F19=0,"",IF(COUNTIF(F19,"Bao"),[1]Setup!$B$4,IF(COUNTIF(F19,"Soup Dumplings"),[1]Setup!$B$5,F19)))</f>
        <v>15000</v>
      </c>
      <c r="J19" s="88">
        <f t="shared" ref="J19:J30" si="10">IF(A19="","",
   IFERROR(
      N(I19)+SUMIFS($V$4:$V$30,$U$4:$U$30,A19,$G$4:$G$30,G19),
   0)
)</f>
        <v>15300</v>
      </c>
      <c r="K19" s="88"/>
      <c r="L19" s="87"/>
      <c r="M19" s="87"/>
      <c r="N19" s="87"/>
      <c r="O19" s="87"/>
      <c r="P19" s="89">
        <f t="shared" ref="P19:P82" si="11">IF(J19="","",IF(J19&gt;0,(L19+M19)/J19,""))</f>
        <v>0</v>
      </c>
      <c r="Q19" s="89">
        <f t="shared" ref="Q19:Q82" si="12">IF(J19="","",IF(J19&gt;0,MAX(0,(J19-(L19+M19))/J19),""))</f>
        <v>1</v>
      </c>
      <c r="R19" s="89">
        <f t="shared" ref="R19:R82" si="13">IF(J19="","",IF(J19&gt;0,MAX(0,(L19+M19-J19)/J19),""))</f>
        <v>0</v>
      </c>
      <c r="S19" s="88">
        <f>IF(F19="Bao",[1]Setup!$B$4,IF(F19="Soup Dumplings",[1]Setup!$B$5,""))</f>
        <v>15000</v>
      </c>
      <c r="T19" s="88" t="str">
        <f t="shared" ref="T19:T82" si="14">IF(L19="","",S19-L19)</f>
        <v/>
      </c>
      <c r="U19" s="84">
        <f t="shared" si="6"/>
        <v>46155</v>
      </c>
      <c r="V19" s="88">
        <f>IF(U19="",0,MAX(0,T19)+N19+ROUND(J19*[1]Setup!$B$9,0)+IF(O19&gt;[1]Setup!$B$10,ROUND(J19*[1]Setup!$B$11,0),0))</f>
        <v>306</v>
      </c>
      <c r="W19" s="85" t="str">
        <f>IF(L19="","Open",IF(OR(P19&lt;[1]Setup!$B$6,Q19&gt;[1]Setup!$B$7,R19&gt;[1]Setup!$B$8,O19&gt;[1]Setup!$B$10),"Review","OK"))</f>
        <v>Open</v>
      </c>
      <c r="X19" s="86"/>
      <c r="Z19" s="81" t="str">
        <f t="shared" si="9"/>
        <v>Bao</v>
      </c>
    </row>
    <row r="20" spans="1:26" ht="28.8" x14ac:dyDescent="0.3">
      <c r="A20" s="84">
        <v>46154</v>
      </c>
      <c r="B20" s="100">
        <f t="shared" si="7"/>
        <v>20</v>
      </c>
      <c r="C20" s="84" t="str">
        <f t="shared" si="8"/>
        <v>May</v>
      </c>
      <c r="D20" s="85" t="str">
        <f t="shared" si="0"/>
        <v>Tue</v>
      </c>
      <c r="E20" s="86" t="s">
        <v>220</v>
      </c>
      <c r="F20" s="86" t="s">
        <v>222</v>
      </c>
      <c r="G20" s="86" t="s">
        <v>223</v>
      </c>
      <c r="H20" s="86" t="s">
        <v>224</v>
      </c>
      <c r="I20" s="87" t="str">
        <f>IF(F20=0,"",IF(COUNTIF(F20,"Bao"),[1]Setup!$B$4,IF(COUNTIF(F20,"Soup Dumplings"),[1]Setup!$B$5,F20)))</f>
        <v>Bao Prep</v>
      </c>
      <c r="J20" s="88">
        <f t="shared" si="10"/>
        <v>0</v>
      </c>
      <c r="K20" s="88" t="s">
        <v>225</v>
      </c>
      <c r="L20" s="87"/>
      <c r="M20" s="87"/>
      <c r="N20" s="87"/>
      <c r="O20" s="87"/>
      <c r="P20" s="89" t="str">
        <f t="shared" si="11"/>
        <v/>
      </c>
      <c r="Q20" s="89" t="str">
        <f t="shared" si="12"/>
        <v/>
      </c>
      <c r="R20" s="89" t="str">
        <f t="shared" si="13"/>
        <v/>
      </c>
      <c r="S20" s="88" t="str">
        <f>IF(F20="Bao",[1]Setup!$B$4,IF(F20="Soup Dumplings",[1]Setup!$B$5,""))</f>
        <v/>
      </c>
      <c r="T20" s="88" t="str">
        <f t="shared" si="14"/>
        <v/>
      </c>
      <c r="U20" s="84">
        <f t="shared" si="6"/>
        <v>46155</v>
      </c>
      <c r="V20" s="88">
        <f>IF(U20="",0,MAX(0,T20)+N20+ROUND(J20*[1]Setup!$B$9,0)+IF(O20&gt;[1]Setup!$B$10,ROUND(J20*[1]Setup!$B$11,0),0))</f>
        <v>0</v>
      </c>
      <c r="W20" s="85" t="str">
        <f>IF(L20="","Open",IF(OR(P20&lt;[1]Setup!$B$6,Q20&gt;[1]Setup!$B$7,R20&gt;[1]Setup!$B$8,O20&gt;[1]Setup!$B$10),"Review","OK"))</f>
        <v>Open</v>
      </c>
      <c r="X20" s="86"/>
      <c r="Z20" s="81" t="str">
        <f t="shared" si="9"/>
        <v>Bao</v>
      </c>
    </row>
    <row r="21" spans="1:26" x14ac:dyDescent="0.3">
      <c r="A21" s="84">
        <v>46154</v>
      </c>
      <c r="B21" s="100">
        <f t="shared" si="7"/>
        <v>20</v>
      </c>
      <c r="C21" s="84" t="str">
        <f t="shared" si="8"/>
        <v>May</v>
      </c>
      <c r="D21" s="85" t="str">
        <f t="shared" si="0"/>
        <v>Tue</v>
      </c>
      <c r="E21" s="86" t="s">
        <v>220</v>
      </c>
      <c r="F21" s="86" t="s">
        <v>222</v>
      </c>
      <c r="G21" s="86" t="s">
        <v>226</v>
      </c>
      <c r="H21" s="86" t="s">
        <v>227</v>
      </c>
      <c r="I21" s="87" t="str">
        <f>IF(F21=0,"",IF(COUNTIF(F21,"Bao"),[1]Setup!$B$4,IF(COUNTIF(F21,"Soup Dumplings"),[1]Setup!$B$5,F21)))</f>
        <v>Bao Prep</v>
      </c>
      <c r="J21" s="88">
        <f t="shared" si="10"/>
        <v>0</v>
      </c>
      <c r="K21" s="88" t="s">
        <v>228</v>
      </c>
      <c r="L21" s="87"/>
      <c r="M21" s="87"/>
      <c r="N21" s="87"/>
      <c r="O21" s="87"/>
      <c r="P21" s="89" t="str">
        <f t="shared" si="11"/>
        <v/>
      </c>
      <c r="Q21" s="89" t="str">
        <f t="shared" si="12"/>
        <v/>
      </c>
      <c r="R21" s="89" t="str">
        <f t="shared" si="13"/>
        <v/>
      </c>
      <c r="S21" s="88" t="str">
        <f>IF(F21="Bao",[1]Setup!$B$4,IF(F21="Soup Dumplings",[1]Setup!$B$5,""))</f>
        <v/>
      </c>
      <c r="T21" s="88" t="str">
        <f t="shared" si="14"/>
        <v/>
      </c>
      <c r="U21" s="84">
        <f t="shared" si="6"/>
        <v>46155</v>
      </c>
      <c r="V21" s="88">
        <f>IF(U21="",0,MAX(0,T21)+N21+ROUND(J21*[1]Setup!$B$9,0)+IF(O21&gt;[1]Setup!$B$10,ROUND(J21*[1]Setup!$B$11,0),0))</f>
        <v>0</v>
      </c>
      <c r="W21" s="85" t="str">
        <f>IF(L21="","Open",IF(OR(P21&lt;[1]Setup!$B$6,Q21&gt;[1]Setup!$B$7,R21&gt;[1]Setup!$B$8,O21&gt;[1]Setup!$B$10),"Review","OK"))</f>
        <v>Open</v>
      </c>
      <c r="X21" s="86"/>
      <c r="Z21" s="81" t="str">
        <f t="shared" si="9"/>
        <v>Bao</v>
      </c>
    </row>
    <row r="22" spans="1:26" ht="28.8" x14ac:dyDescent="0.3">
      <c r="A22" s="84">
        <v>46154</v>
      </c>
      <c r="B22" s="100">
        <f t="shared" si="7"/>
        <v>20</v>
      </c>
      <c r="C22" s="84" t="str">
        <f t="shared" si="8"/>
        <v>May</v>
      </c>
      <c r="D22" s="85" t="str">
        <f t="shared" si="0"/>
        <v>Tue</v>
      </c>
      <c r="E22" s="86" t="s">
        <v>220</v>
      </c>
      <c r="F22" s="86" t="s">
        <v>222</v>
      </c>
      <c r="G22" s="86" t="s">
        <v>226</v>
      </c>
      <c r="H22" s="86" t="s">
        <v>229</v>
      </c>
      <c r="I22" s="87" t="str">
        <f>IF(F22=0,"",IF(COUNTIF(F22,"Bao"),[1]Setup!$B$4,IF(COUNTIF(F22,"Soup Dumplings"),[1]Setup!$B$5,F22)))</f>
        <v>Bao Prep</v>
      </c>
      <c r="J22" s="88">
        <f t="shared" si="10"/>
        <v>0</v>
      </c>
      <c r="K22" s="88" t="s">
        <v>230</v>
      </c>
      <c r="L22" s="87"/>
      <c r="M22" s="87"/>
      <c r="N22" s="87"/>
      <c r="O22" s="87"/>
      <c r="P22" s="89" t="str">
        <f t="shared" si="11"/>
        <v/>
      </c>
      <c r="Q22" s="89" t="str">
        <f t="shared" si="12"/>
        <v/>
      </c>
      <c r="R22" s="89" t="str">
        <f t="shared" si="13"/>
        <v/>
      </c>
      <c r="S22" s="88" t="str">
        <f>IF(F22="Bao",[1]Setup!$B$4,IF(F22="Soup Dumplings",[1]Setup!$B$5,""))</f>
        <v/>
      </c>
      <c r="T22" s="88" t="str">
        <f t="shared" si="14"/>
        <v/>
      </c>
      <c r="U22" s="84">
        <f t="shared" si="6"/>
        <v>46155</v>
      </c>
      <c r="V22" s="88">
        <f>IF(U22="",0,MAX(0,T22)+N22+ROUND(J22*[1]Setup!$B$9,0)+IF(O22&gt;[1]Setup!$B$10,ROUND(J22*[1]Setup!$B$11,0),0))</f>
        <v>0</v>
      </c>
      <c r="W22" s="85" t="str">
        <f>IF(L22="","Open",IF(OR(P22&lt;[1]Setup!$B$6,Q22&gt;[1]Setup!$B$7,R22&gt;[1]Setup!$B$8,O22&gt;[1]Setup!$B$10),"Review","OK"))</f>
        <v>Open</v>
      </c>
      <c r="X22" s="86"/>
      <c r="Z22" s="81" t="str">
        <f t="shared" si="9"/>
        <v>Bao</v>
      </c>
    </row>
    <row r="23" spans="1:26" x14ac:dyDescent="0.3">
      <c r="A23" s="84">
        <v>46154</v>
      </c>
      <c r="B23" s="100">
        <f t="shared" si="7"/>
        <v>20</v>
      </c>
      <c r="C23" s="84" t="str">
        <f t="shared" si="8"/>
        <v>May</v>
      </c>
      <c r="D23" s="85" t="str">
        <f t="shared" si="0"/>
        <v>Tue</v>
      </c>
      <c r="E23" s="86" t="s">
        <v>220</v>
      </c>
      <c r="F23" s="86" t="s">
        <v>222</v>
      </c>
      <c r="G23" s="86" t="s">
        <v>231</v>
      </c>
      <c r="H23" s="86" t="s">
        <v>232</v>
      </c>
      <c r="I23" s="87" t="str">
        <f>IF(F23=0,"",IF(COUNTIF(F23,"Bao"),[1]Setup!$B$4,IF(COUNTIF(F23,"Soup Dumplings"),[1]Setup!$B$5,F23)))</f>
        <v>Bao Prep</v>
      </c>
      <c r="J23" s="88">
        <f t="shared" si="10"/>
        <v>0</v>
      </c>
      <c r="K23" s="88" t="s">
        <v>233</v>
      </c>
      <c r="L23" s="87"/>
      <c r="M23" s="87"/>
      <c r="N23" s="87"/>
      <c r="O23" s="87"/>
      <c r="P23" s="89" t="str">
        <f t="shared" si="11"/>
        <v/>
      </c>
      <c r="Q23" s="89" t="str">
        <f t="shared" si="12"/>
        <v/>
      </c>
      <c r="R23" s="89" t="str">
        <f t="shared" si="13"/>
        <v/>
      </c>
      <c r="S23" s="88" t="str">
        <f>IF(F23="Bao",[1]Setup!$B$4,IF(F23="Soup Dumplings",[1]Setup!$B$5,""))</f>
        <v/>
      </c>
      <c r="T23" s="88" t="str">
        <f t="shared" si="14"/>
        <v/>
      </c>
      <c r="U23" s="84">
        <f t="shared" si="6"/>
        <v>46155</v>
      </c>
      <c r="V23" s="88">
        <f>IF(U23="",0,MAX(0,T23)+N23+ROUND(J23*[1]Setup!$B$9,0)+IF(O23&gt;[1]Setup!$B$10,ROUND(J23*[1]Setup!$B$11,0),0))</f>
        <v>0</v>
      </c>
      <c r="W23" s="85" t="str">
        <f>IF(L23="","Open",IF(OR(P23&lt;[1]Setup!$B$6,Q23&gt;[1]Setup!$B$7,R23&gt;[1]Setup!$B$8,O23&gt;[1]Setup!$B$10),"Review","OK"))</f>
        <v>Open</v>
      </c>
      <c r="X23" s="86"/>
      <c r="Z23" s="81" t="str">
        <f t="shared" si="9"/>
        <v>Bao</v>
      </c>
    </row>
    <row r="24" spans="1:26" x14ac:dyDescent="0.3">
      <c r="A24" s="84">
        <v>46154</v>
      </c>
      <c r="B24" s="100">
        <f t="shared" si="7"/>
        <v>20</v>
      </c>
      <c r="C24" s="84" t="str">
        <f t="shared" si="8"/>
        <v>May</v>
      </c>
      <c r="D24" s="85" t="str">
        <f t="shared" si="0"/>
        <v>Tue</v>
      </c>
      <c r="E24" s="86" t="s">
        <v>220</v>
      </c>
      <c r="F24" s="86" t="s">
        <v>222</v>
      </c>
      <c r="G24" s="86" t="s">
        <v>231</v>
      </c>
      <c r="H24" s="86" t="s">
        <v>227</v>
      </c>
      <c r="I24" s="87" t="str">
        <f>IF(F24=0,"",IF(COUNTIF(F24,"Bao"),[1]Setup!$B$4,IF(COUNTIF(F24,"Soup Dumplings"),[1]Setup!$B$5,F24)))</f>
        <v>Bao Prep</v>
      </c>
      <c r="J24" s="88">
        <f t="shared" si="10"/>
        <v>0</v>
      </c>
      <c r="K24" s="88" t="s">
        <v>234</v>
      </c>
      <c r="L24" s="87"/>
      <c r="M24" s="87"/>
      <c r="N24" s="87"/>
      <c r="O24" s="87"/>
      <c r="P24" s="89" t="str">
        <f t="shared" si="11"/>
        <v/>
      </c>
      <c r="Q24" s="89" t="str">
        <f t="shared" si="12"/>
        <v/>
      </c>
      <c r="R24" s="89" t="str">
        <f t="shared" si="13"/>
        <v/>
      </c>
      <c r="S24" s="88" t="str">
        <f>IF(F24="Bao",[1]Setup!$B$4,IF(F24="Soup Dumplings",[1]Setup!$B$5,""))</f>
        <v/>
      </c>
      <c r="T24" s="88" t="str">
        <f t="shared" si="14"/>
        <v/>
      </c>
      <c r="U24" s="84">
        <f t="shared" si="6"/>
        <v>46155</v>
      </c>
      <c r="V24" s="88">
        <f>IF(U24="",0,MAX(0,T24)+N24+ROUND(J24*[1]Setup!$B$9,0)+IF(O24&gt;[1]Setup!$B$10,ROUND(J24*[1]Setup!$B$11,0),0))</f>
        <v>0</v>
      </c>
      <c r="W24" s="85" t="str">
        <f>IF(L24="","Open",IF(OR(P24&lt;[1]Setup!$B$6,Q24&gt;[1]Setup!$B$7,R24&gt;[1]Setup!$B$8,O24&gt;[1]Setup!$B$10),"Review","OK"))</f>
        <v>Open</v>
      </c>
      <c r="X24" s="86"/>
      <c r="Z24" s="81" t="str">
        <f t="shared" si="9"/>
        <v>Bao</v>
      </c>
    </row>
    <row r="25" spans="1:26" x14ac:dyDescent="0.3">
      <c r="A25" s="84">
        <v>46154</v>
      </c>
      <c r="B25" s="100">
        <f t="shared" si="7"/>
        <v>20</v>
      </c>
      <c r="C25" s="84" t="str">
        <f t="shared" si="8"/>
        <v>May</v>
      </c>
      <c r="D25" s="85" t="str">
        <f t="shared" si="0"/>
        <v>Tue</v>
      </c>
      <c r="E25" s="86" t="s">
        <v>220</v>
      </c>
      <c r="F25" s="86" t="s">
        <v>222</v>
      </c>
      <c r="G25" s="86" t="s">
        <v>235</v>
      </c>
      <c r="H25" s="86" t="s">
        <v>227</v>
      </c>
      <c r="I25" s="87" t="str">
        <f>IF(F25=0,"",IF(COUNTIF(F25,"Bao"),[1]Setup!$B$4,IF(COUNTIF(F25,"Soup Dumplings"),[1]Setup!$B$5,F25)))</f>
        <v>Bao Prep</v>
      </c>
      <c r="J25" s="88">
        <f t="shared" si="10"/>
        <v>0</v>
      </c>
      <c r="K25" s="88" t="s">
        <v>236</v>
      </c>
      <c r="L25" s="87"/>
      <c r="M25" s="87"/>
      <c r="N25" s="87"/>
      <c r="O25" s="87"/>
      <c r="P25" s="89" t="str">
        <f t="shared" si="11"/>
        <v/>
      </c>
      <c r="Q25" s="89" t="str">
        <f t="shared" si="12"/>
        <v/>
      </c>
      <c r="R25" s="89" t="str">
        <f t="shared" si="13"/>
        <v/>
      </c>
      <c r="S25" s="88" t="str">
        <f>IF(F25="Bao",[1]Setup!$B$4,IF(F25="Soup Dumplings",[1]Setup!$B$5,""))</f>
        <v/>
      </c>
      <c r="T25" s="88" t="str">
        <f t="shared" si="14"/>
        <v/>
      </c>
      <c r="U25" s="84">
        <f t="shared" si="6"/>
        <v>46155</v>
      </c>
      <c r="V25" s="88">
        <f>IF(U25="",0,MAX(0,T25)+N25+ROUND(J25*[1]Setup!$B$9,0)+IF(O25&gt;[1]Setup!$B$10,ROUND(J25*[1]Setup!$B$11,0),0))</f>
        <v>0</v>
      </c>
      <c r="W25" s="85" t="str">
        <f>IF(L25="","Open",IF(OR(P25&lt;[1]Setup!$B$6,Q25&gt;[1]Setup!$B$7,R25&gt;[1]Setup!$B$8,O25&gt;[1]Setup!$B$10),"Review","OK"))</f>
        <v>Open</v>
      </c>
      <c r="X25" s="86"/>
      <c r="Z25" s="81" t="str">
        <f t="shared" si="9"/>
        <v>Bao</v>
      </c>
    </row>
    <row r="26" spans="1:26" ht="28.8" x14ac:dyDescent="0.3">
      <c r="A26" s="84">
        <v>46154</v>
      </c>
      <c r="B26" s="100">
        <f t="shared" si="7"/>
        <v>20</v>
      </c>
      <c r="C26" s="84" t="str">
        <f t="shared" si="8"/>
        <v>May</v>
      </c>
      <c r="D26" s="85" t="str">
        <f t="shared" si="0"/>
        <v>Tue</v>
      </c>
      <c r="E26" s="86" t="s">
        <v>220</v>
      </c>
      <c r="F26" s="86" t="s">
        <v>237</v>
      </c>
      <c r="G26" s="86" t="s">
        <v>238</v>
      </c>
      <c r="H26" s="86" t="s">
        <v>227</v>
      </c>
      <c r="I26" s="87" t="str">
        <f>IF(F26=0,"",IF(COUNTIF(F26,"Bao"),[1]Setup!$B$4,IF(COUNTIF(F26,"Soup Dumplings"),[1]Setup!$B$5,F26)))</f>
        <v>Soup Dumpling Prep</v>
      </c>
      <c r="J26" s="88">
        <f t="shared" si="10"/>
        <v>0</v>
      </c>
      <c r="K26" s="88" t="s">
        <v>228</v>
      </c>
      <c r="L26" s="87"/>
      <c r="M26" s="87"/>
      <c r="N26" s="87"/>
      <c r="O26" s="87"/>
      <c r="P26" s="89" t="str">
        <f t="shared" si="11"/>
        <v/>
      </c>
      <c r="Q26" s="89" t="str">
        <f t="shared" si="12"/>
        <v/>
      </c>
      <c r="R26" s="89" t="str">
        <f t="shared" si="13"/>
        <v/>
      </c>
      <c r="S26" s="88" t="str">
        <f>IF(F26="Bao",[1]Setup!$B$4,IF(F26="Soup Dumplings",[1]Setup!$B$5,""))</f>
        <v/>
      </c>
      <c r="T26" s="88" t="str">
        <f t="shared" si="14"/>
        <v/>
      </c>
      <c r="U26" s="84">
        <f t="shared" si="6"/>
        <v>46155</v>
      </c>
      <c r="V26" s="88">
        <f>IF(U26="",0,MAX(0,T26)+N26+ROUND(J26*[1]Setup!$B$9,0)+IF(O26&gt;[1]Setup!$B$10,ROUND(J26*[1]Setup!$B$11,0),0))</f>
        <v>0</v>
      </c>
      <c r="W26" s="85" t="str">
        <f>IF(L26="","Open",IF(OR(P26&lt;[1]Setup!$B$6,Q26&gt;[1]Setup!$B$7,R26&gt;[1]Setup!$B$8,O26&gt;[1]Setup!$B$10),"Review","OK"))</f>
        <v>Open</v>
      </c>
      <c r="X26" s="86"/>
      <c r="Z26" s="81" t="str">
        <f t="shared" si="9"/>
        <v>Sou</v>
      </c>
    </row>
    <row r="27" spans="1:26" ht="28.8" x14ac:dyDescent="0.3">
      <c r="A27" s="84">
        <v>46154</v>
      </c>
      <c r="B27" s="100">
        <f t="shared" si="7"/>
        <v>20</v>
      </c>
      <c r="C27" s="84" t="str">
        <f t="shared" si="8"/>
        <v>May</v>
      </c>
      <c r="D27" s="85" t="str">
        <f t="shared" si="0"/>
        <v>Tue</v>
      </c>
      <c r="E27" s="86" t="s">
        <v>220</v>
      </c>
      <c r="F27" s="86" t="s">
        <v>237</v>
      </c>
      <c r="G27" s="86" t="s">
        <v>238</v>
      </c>
      <c r="H27" s="86" t="s">
        <v>229</v>
      </c>
      <c r="I27" s="87" t="str">
        <f>IF(F27=0,"",IF(COUNTIF(F27,"Bao"),[1]Setup!$B$4,IF(COUNTIF(F27,"Soup Dumplings"),[1]Setup!$B$5,F27)))</f>
        <v>Soup Dumpling Prep</v>
      </c>
      <c r="J27" s="88">
        <f t="shared" si="10"/>
        <v>0</v>
      </c>
      <c r="K27" s="88" t="s">
        <v>254</v>
      </c>
      <c r="L27" s="87"/>
      <c r="M27" s="87"/>
      <c r="N27" s="87"/>
      <c r="O27" s="87"/>
      <c r="P27" s="89" t="str">
        <f t="shared" si="11"/>
        <v/>
      </c>
      <c r="Q27" s="89" t="str">
        <f t="shared" si="12"/>
        <v/>
      </c>
      <c r="R27" s="89" t="str">
        <f t="shared" si="13"/>
        <v/>
      </c>
      <c r="S27" s="88" t="str">
        <f>IF(F27="Bao",[1]Setup!$B$4,IF(F27="Soup Dumplings",[1]Setup!$B$5,""))</f>
        <v/>
      </c>
      <c r="T27" s="88" t="str">
        <f t="shared" si="14"/>
        <v/>
      </c>
      <c r="U27" s="84">
        <f t="shared" si="6"/>
        <v>46155</v>
      </c>
      <c r="V27" s="88">
        <f>IF(U27="",0,MAX(0,T27)+N27+ROUND(J27*[1]Setup!$B$9,0)+IF(O27&gt;[1]Setup!$B$10,ROUND(J27*[1]Setup!$B$11,0),0))</f>
        <v>0</v>
      </c>
      <c r="W27" s="85" t="str">
        <f>IF(L27="","Open",IF(OR(P27&lt;[1]Setup!$B$6,Q27&gt;[1]Setup!$B$7,R27&gt;[1]Setup!$B$8,O27&gt;[1]Setup!$B$10),"Review","OK"))</f>
        <v>Open</v>
      </c>
      <c r="X27" s="86"/>
      <c r="Z27" s="81" t="str">
        <f t="shared" si="9"/>
        <v>Sou</v>
      </c>
    </row>
    <row r="28" spans="1:26" ht="43.2" x14ac:dyDescent="0.3">
      <c r="A28" s="84">
        <v>46154</v>
      </c>
      <c r="B28" s="100">
        <f t="shared" si="7"/>
        <v>20</v>
      </c>
      <c r="C28" s="84" t="str">
        <f t="shared" si="8"/>
        <v>May</v>
      </c>
      <c r="D28" s="85" t="str">
        <f t="shared" si="0"/>
        <v>Tue</v>
      </c>
      <c r="E28" s="86" t="s">
        <v>220</v>
      </c>
      <c r="F28" s="86" t="s">
        <v>237</v>
      </c>
      <c r="G28" s="86" t="s">
        <v>240</v>
      </c>
      <c r="H28" s="86" t="s">
        <v>224</v>
      </c>
      <c r="I28" s="87" t="str">
        <f>IF(F28=0,"",IF(COUNTIF(F28,"Bao"),[1]Setup!$B$4,IF(COUNTIF(F28,"Soup Dumplings"),[1]Setup!$B$5,F28)))</f>
        <v>Soup Dumpling Prep</v>
      </c>
      <c r="J28" s="88">
        <f t="shared" si="10"/>
        <v>0</v>
      </c>
      <c r="K28" s="88" t="s">
        <v>241</v>
      </c>
      <c r="L28" s="87"/>
      <c r="M28" s="87"/>
      <c r="N28" s="87"/>
      <c r="O28" s="87"/>
      <c r="P28" s="89" t="str">
        <f t="shared" si="11"/>
        <v/>
      </c>
      <c r="Q28" s="89" t="str">
        <f t="shared" si="12"/>
        <v/>
      </c>
      <c r="R28" s="89" t="str">
        <f t="shared" si="13"/>
        <v/>
      </c>
      <c r="S28" s="88" t="str">
        <f>IF(F28="Bao",[1]Setup!$B$4,IF(F28="Soup Dumplings",[1]Setup!$B$5,""))</f>
        <v/>
      </c>
      <c r="T28" s="88" t="str">
        <f t="shared" si="14"/>
        <v/>
      </c>
      <c r="U28" s="84">
        <f t="shared" si="6"/>
        <v>46155</v>
      </c>
      <c r="V28" s="88">
        <f>IF(U28="",0,MAX(0,T28)+N28+ROUND(J28*[1]Setup!$B$9,0)+IF(O28&gt;[1]Setup!$B$10,ROUND(J28*[1]Setup!$B$11,0),0))</f>
        <v>0</v>
      </c>
      <c r="W28" s="85" t="str">
        <f>IF(L28="","Open",IF(OR(P28&lt;[1]Setup!$B$6,Q28&gt;[1]Setup!$B$7,R28&gt;[1]Setup!$B$8,O28&gt;[1]Setup!$B$10),"Review","OK"))</f>
        <v>Open</v>
      </c>
      <c r="X28" s="86"/>
      <c r="Z28" s="81" t="str">
        <f t="shared" si="9"/>
        <v>Sou</v>
      </c>
    </row>
    <row r="29" spans="1:26" ht="28.8" x14ac:dyDescent="0.3">
      <c r="A29" s="84">
        <v>46154</v>
      </c>
      <c r="B29" s="100">
        <f t="shared" si="7"/>
        <v>20</v>
      </c>
      <c r="C29" s="84" t="str">
        <f t="shared" si="8"/>
        <v>May</v>
      </c>
      <c r="D29" s="85" t="str">
        <f t="shared" si="0"/>
        <v>Tue</v>
      </c>
      <c r="E29" s="86" t="s">
        <v>220</v>
      </c>
      <c r="F29" s="86" t="s">
        <v>237</v>
      </c>
      <c r="G29" s="86" t="s">
        <v>242</v>
      </c>
      <c r="H29" s="86" t="s">
        <v>232</v>
      </c>
      <c r="I29" s="87" t="str">
        <f>IF(F29=0,"",IF(COUNTIF(F29,"Bao"),[1]Setup!$B$4,IF(COUNTIF(F29,"Soup Dumplings"),[1]Setup!$B$5,F29)))</f>
        <v>Soup Dumpling Prep</v>
      </c>
      <c r="J29" s="88">
        <f t="shared" si="10"/>
        <v>0</v>
      </c>
      <c r="K29" s="88" t="s">
        <v>255</v>
      </c>
      <c r="L29" s="87"/>
      <c r="M29" s="87"/>
      <c r="N29" s="87"/>
      <c r="O29" s="87"/>
      <c r="P29" s="89" t="str">
        <f t="shared" si="11"/>
        <v/>
      </c>
      <c r="Q29" s="89" t="str">
        <f t="shared" si="12"/>
        <v/>
      </c>
      <c r="R29" s="89" t="str">
        <f t="shared" si="13"/>
        <v/>
      </c>
      <c r="S29" s="88" t="str">
        <f>IF(F29="Bao",[1]Setup!$B$4,IF(F29="Soup Dumplings",[1]Setup!$B$5,""))</f>
        <v/>
      </c>
      <c r="T29" s="88" t="str">
        <f t="shared" si="14"/>
        <v/>
      </c>
      <c r="U29" s="84">
        <f t="shared" si="6"/>
        <v>46155</v>
      </c>
      <c r="V29" s="88">
        <f>IF(U29="",0,MAX(0,T29)+N29+ROUND(J29*[1]Setup!$B$9,0)+IF(O29&gt;[1]Setup!$B$10,ROUND(J29*[1]Setup!$B$11,0),0))</f>
        <v>0</v>
      </c>
      <c r="W29" s="85" t="str">
        <f>IF(L29="","Open",IF(OR(P29&lt;[1]Setup!$B$6,Q29&gt;[1]Setup!$B$7,R29&gt;[1]Setup!$B$8,O29&gt;[1]Setup!$B$10),"Review","OK"))</f>
        <v>Open</v>
      </c>
      <c r="X29" s="86"/>
      <c r="Z29" s="81" t="str">
        <f t="shared" si="9"/>
        <v>Sou</v>
      </c>
    </row>
    <row r="30" spans="1:26" x14ac:dyDescent="0.3">
      <c r="A30" s="84">
        <v>46154</v>
      </c>
      <c r="B30" s="100">
        <f t="shared" si="7"/>
        <v>20</v>
      </c>
      <c r="C30" s="84" t="str">
        <f t="shared" si="8"/>
        <v>May</v>
      </c>
      <c r="D30" s="85" t="str">
        <f t="shared" si="0"/>
        <v>Tue</v>
      </c>
      <c r="E30" s="86" t="s">
        <v>220</v>
      </c>
      <c r="F30" s="86" t="s">
        <v>87</v>
      </c>
      <c r="G30" s="86" t="s">
        <v>244</v>
      </c>
      <c r="H30" s="86" t="s">
        <v>245</v>
      </c>
      <c r="I30" s="87">
        <f>IF(F30=0,"",IF(COUNTIF(F30,"Bao"),[1]Setup!$B$4,IF(COUNTIF(F30,"Soup Dumplings"),[1]Setup!$B$5,F30)))</f>
        <v>90000</v>
      </c>
      <c r="J30" s="88">
        <f t="shared" si="10"/>
        <v>91800</v>
      </c>
      <c r="K30" s="88"/>
      <c r="L30" s="87"/>
      <c r="M30" s="87"/>
      <c r="N30" s="87"/>
      <c r="O30" s="87"/>
      <c r="P30" s="89">
        <f t="shared" si="11"/>
        <v>0</v>
      </c>
      <c r="Q30" s="89">
        <f t="shared" si="12"/>
        <v>1</v>
      </c>
      <c r="R30" s="89">
        <f t="shared" si="13"/>
        <v>0</v>
      </c>
      <c r="S30" s="88">
        <f>IF(F30="Bao",[1]Setup!$B$4,IF(F30="Soup Dumplings",[1]Setup!$B$5,""))</f>
        <v>90000</v>
      </c>
      <c r="T30" s="88" t="str">
        <f t="shared" si="14"/>
        <v/>
      </c>
      <c r="U30" s="84">
        <f t="shared" si="6"/>
        <v>46155</v>
      </c>
      <c r="V30" s="88">
        <f>IF(U30="",0,MAX(0,T30)+N30+ROUND(J30*[1]Setup!$B$9,0)+IF(O30&gt;[1]Setup!$B$10,ROUND(J30*[1]Setup!$B$11,0),0))</f>
        <v>1836</v>
      </c>
      <c r="W30" s="85" t="str">
        <f>IF(L30="","Open",IF(OR(P30&lt;[1]Setup!$B$6,Q30&gt;[1]Setup!$B$7,R30&gt;[1]Setup!$B$8,O30&gt;[1]Setup!$B$10),"Review","OK"))</f>
        <v>Open</v>
      </c>
      <c r="X30" s="86"/>
      <c r="Z30" s="81" t="str">
        <f t="shared" si="9"/>
        <v>Sou</v>
      </c>
    </row>
    <row r="31" spans="1:26" ht="28.8" x14ac:dyDescent="0.3">
      <c r="A31" s="84">
        <v>46154</v>
      </c>
      <c r="B31" s="100">
        <f t="shared" si="7"/>
        <v>20</v>
      </c>
      <c r="C31" s="84" t="str">
        <f t="shared" si="8"/>
        <v>May</v>
      </c>
      <c r="D31" s="85" t="str">
        <f t="shared" si="0"/>
        <v>Tue</v>
      </c>
      <c r="E31" s="86" t="s">
        <v>220</v>
      </c>
      <c r="F31" s="86" t="s">
        <v>237</v>
      </c>
      <c r="G31" s="86" t="s">
        <v>246</v>
      </c>
      <c r="H31" s="86" t="s">
        <v>232</v>
      </c>
      <c r="I31" s="87" t="str">
        <f>IF(F31=0,"",IF(COUNTIF(F31,"Bao"),[1]Setup!$B$4,IF(COUNTIF(F31,"Soup Dumplings"),[1]Setup!$B$5,F31)))</f>
        <v>Soup Dumpling Prep</v>
      </c>
      <c r="J31" s="88">
        <v>0</v>
      </c>
      <c r="K31" s="88" t="s">
        <v>256</v>
      </c>
      <c r="L31" s="87"/>
      <c r="M31" s="87"/>
      <c r="N31" s="87"/>
      <c r="O31" s="87"/>
      <c r="P31" s="89" t="str">
        <f t="shared" si="11"/>
        <v/>
      </c>
      <c r="Q31" s="89" t="str">
        <f t="shared" si="12"/>
        <v/>
      </c>
      <c r="R31" s="89" t="str">
        <f t="shared" si="13"/>
        <v/>
      </c>
      <c r="S31" s="88" t="str">
        <f>IF(F31="Bao",[1]Setup!$B$4,IF(F31="Soup Dumplings",[1]Setup!$B$5,""))</f>
        <v/>
      </c>
      <c r="T31" s="88" t="str">
        <f t="shared" si="14"/>
        <v/>
      </c>
      <c r="U31" s="84">
        <f t="shared" si="6"/>
        <v>46155</v>
      </c>
      <c r="V31" s="88">
        <f>IF(U31="",0,MAX(0,T31)+N31+ROUND(J31*[1]Setup!$B$9,0)+IF(O31&gt;[1]Setup!$B$10,ROUND(J31*[1]Setup!$B$11,0),0))</f>
        <v>0</v>
      </c>
      <c r="W31" s="85" t="str">
        <f>IF(L31="","Open",IF(OR(P31&lt;[1]Setup!$B$6,Q31&gt;[1]Setup!$B$7,R31&gt;[1]Setup!$B$8,O31&gt;[1]Setup!$B$10),"Review","OK"))</f>
        <v>Open</v>
      </c>
      <c r="X31" s="86"/>
      <c r="Z31" s="81" t="str">
        <f t="shared" si="9"/>
        <v>Sou</v>
      </c>
    </row>
    <row r="32" spans="1:26" x14ac:dyDescent="0.3">
      <c r="A32" s="84">
        <v>46154</v>
      </c>
      <c r="B32" s="100">
        <f t="shared" si="7"/>
        <v>20</v>
      </c>
      <c r="C32" s="84" t="str">
        <f t="shared" si="8"/>
        <v>May</v>
      </c>
      <c r="D32" s="85" t="str">
        <f t="shared" si="0"/>
        <v>Tue</v>
      </c>
      <c r="E32" s="86" t="s">
        <v>220</v>
      </c>
      <c r="F32" s="86" t="s">
        <v>222</v>
      </c>
      <c r="G32" s="86" t="s">
        <v>257</v>
      </c>
      <c r="H32" s="86" t="s">
        <v>227</v>
      </c>
      <c r="I32" s="87" t="str">
        <f>IF(F32=0,"",IF(COUNTIF(F32,"Bao"),[1]Setup!$B$4,IF(COUNTIF(F32,"Soup Dumplings"),[1]Setup!$B$5,F32)))</f>
        <v>Bao Prep</v>
      </c>
      <c r="J32" s="88">
        <f t="shared" ref="J32:J45" si="15">IF(A32="","",
   IFERROR(
      N(I32)+SUMIFS($V$4:$V$30,$U$4:$U$30,A32,$G$4:$G$30,G32),
   0)
)</f>
        <v>0</v>
      </c>
      <c r="K32" s="88" t="s">
        <v>258</v>
      </c>
      <c r="L32" s="87"/>
      <c r="M32" s="87"/>
      <c r="N32" s="87"/>
      <c r="O32" s="87"/>
      <c r="P32" s="89" t="str">
        <f t="shared" si="11"/>
        <v/>
      </c>
      <c r="Q32" s="89" t="str">
        <f t="shared" si="12"/>
        <v/>
      </c>
      <c r="R32" s="89" t="str">
        <f t="shared" si="13"/>
        <v/>
      </c>
      <c r="S32" s="88" t="str">
        <f>IF(F32="Bao",[1]Setup!$B$4,IF(F32="Soup Dumplings",[1]Setup!$B$5,""))</f>
        <v/>
      </c>
      <c r="T32" s="88" t="str">
        <f t="shared" si="14"/>
        <v/>
      </c>
      <c r="U32" s="84">
        <f t="shared" si="6"/>
        <v>46155</v>
      </c>
      <c r="V32" s="88">
        <f>IF(U32="",0,MAX(0,T32)+N32+ROUND(J32*[1]Setup!$B$9,0)+IF(O32&gt;[1]Setup!$B$10,ROUND(J32*[1]Setup!$B$11,0),0))</f>
        <v>0</v>
      </c>
      <c r="W32" s="85" t="str">
        <f>IF(L32="","Open",IF(OR(P32&lt;[1]Setup!$B$6,Q32&gt;[1]Setup!$B$7,R32&gt;[1]Setup!$B$8,O32&gt;[1]Setup!$B$10),"Review","OK"))</f>
        <v>Open</v>
      </c>
      <c r="X32" s="86"/>
      <c r="Z32" s="81" t="str">
        <f t="shared" si="9"/>
        <v>Bao</v>
      </c>
    </row>
    <row r="33" spans="1:26" ht="28.8" x14ac:dyDescent="0.3">
      <c r="A33" s="84">
        <v>46154</v>
      </c>
      <c r="B33" s="100">
        <f t="shared" si="7"/>
        <v>20</v>
      </c>
      <c r="C33" s="84" t="str">
        <f t="shared" si="8"/>
        <v>May</v>
      </c>
      <c r="D33" s="85" t="str">
        <f t="shared" si="0"/>
        <v>Tue</v>
      </c>
      <c r="E33" s="86" t="s">
        <v>220</v>
      </c>
      <c r="F33" s="86" t="s">
        <v>237</v>
      </c>
      <c r="G33" s="86" t="s">
        <v>259</v>
      </c>
      <c r="H33" s="86" t="s">
        <v>227</v>
      </c>
      <c r="I33" s="87" t="str">
        <f>IF(F33=0,"",IF(COUNTIF(F33,"Bao"),[1]Setup!$B$4,IF(COUNTIF(F33,"Soup Dumplings"),[1]Setup!$B$5,F33)))</f>
        <v>Soup Dumpling Prep</v>
      </c>
      <c r="J33" s="88">
        <f t="shared" si="15"/>
        <v>0</v>
      </c>
      <c r="K33" s="88" t="s">
        <v>260</v>
      </c>
      <c r="L33" s="87"/>
      <c r="M33" s="87"/>
      <c r="N33" s="87"/>
      <c r="O33" s="87"/>
      <c r="P33" s="89" t="str">
        <f t="shared" si="11"/>
        <v/>
      </c>
      <c r="Q33" s="89" t="str">
        <f t="shared" si="12"/>
        <v/>
      </c>
      <c r="R33" s="89" t="str">
        <f t="shared" si="13"/>
        <v/>
      </c>
      <c r="S33" s="88" t="str">
        <f>IF(F33="Bao",[1]Setup!$B$4,IF(F33="Soup Dumplings",[1]Setup!$B$5,""))</f>
        <v/>
      </c>
      <c r="T33" s="88" t="str">
        <f t="shared" si="14"/>
        <v/>
      </c>
      <c r="U33" s="84">
        <f t="shared" si="6"/>
        <v>46155</v>
      </c>
      <c r="V33" s="88">
        <f>IF(U33="",0,MAX(0,T33)+N33+ROUND(J33*[1]Setup!$B$9,0)+IF(O33&gt;[1]Setup!$B$10,ROUND(J33*[1]Setup!$B$11,0),0))</f>
        <v>0</v>
      </c>
      <c r="W33" s="85" t="str">
        <f>IF(L33="","Open",IF(OR(P33&lt;[1]Setup!$B$6,Q33&gt;[1]Setup!$B$7,R33&gt;[1]Setup!$B$8,O33&gt;[1]Setup!$B$10),"Review","OK"))</f>
        <v>Open</v>
      </c>
      <c r="X33" s="86"/>
      <c r="Z33" s="81" t="str">
        <f t="shared" si="9"/>
        <v>Sou</v>
      </c>
    </row>
    <row r="34" spans="1:26" x14ac:dyDescent="0.3">
      <c r="A34" s="84">
        <v>46153</v>
      </c>
      <c r="B34" s="100">
        <f t="shared" si="7"/>
        <v>20</v>
      </c>
      <c r="C34" s="84" t="str">
        <f t="shared" si="8"/>
        <v>May</v>
      </c>
      <c r="D34" s="85" t="str">
        <f t="shared" si="0"/>
        <v>Mon</v>
      </c>
      <c r="E34" s="86" t="s">
        <v>220</v>
      </c>
      <c r="F34" s="86" t="s">
        <v>52</v>
      </c>
      <c r="G34" s="86" t="s">
        <v>82</v>
      </c>
      <c r="H34" s="86" t="s">
        <v>221</v>
      </c>
      <c r="I34" s="87">
        <f>IF(F34=0,"",IF(COUNTIF(F34,"Bao"),[1]Setup!$B$4,IF(COUNTIF(F34,"Soup Dumplings"),[1]Setup!$B$5,F34)))</f>
        <v>15000</v>
      </c>
      <c r="J34" s="88">
        <f t="shared" si="15"/>
        <v>15000</v>
      </c>
      <c r="K34" s="88"/>
      <c r="L34" s="87"/>
      <c r="M34" s="87"/>
      <c r="N34" s="87"/>
      <c r="O34" s="87"/>
      <c r="P34" s="89">
        <f t="shared" si="11"/>
        <v>0</v>
      </c>
      <c r="Q34" s="89">
        <f t="shared" si="12"/>
        <v>1</v>
      </c>
      <c r="R34" s="89">
        <f t="shared" si="13"/>
        <v>0</v>
      </c>
      <c r="S34" s="88">
        <f>IF(F34="Bao",[1]Setup!$B$4,IF(F34="Soup Dumplings",[1]Setup!$B$5,""))</f>
        <v>15000</v>
      </c>
      <c r="T34" s="88" t="str">
        <f t="shared" si="14"/>
        <v/>
      </c>
      <c r="U34" s="84">
        <f t="shared" si="6"/>
        <v>46154</v>
      </c>
      <c r="V34" s="88">
        <f>IF(U34="",0,MAX(0,T34)+N34+ROUND(J34*[1]Setup!$B$9,0)+IF(O34&gt;[1]Setup!$B$10,ROUND(J34*[1]Setup!$B$11,0),0))</f>
        <v>300</v>
      </c>
      <c r="W34" s="85" t="str">
        <f>IF(L34="","Open",IF(OR(P34&lt;[1]Setup!$B$6,Q34&gt;[1]Setup!$B$7,R34&gt;[1]Setup!$B$8,O34&gt;[1]Setup!$B$10),"Review","OK"))</f>
        <v>Open</v>
      </c>
      <c r="X34" s="86"/>
      <c r="Z34" s="81" t="str">
        <f t="shared" si="9"/>
        <v>Bao</v>
      </c>
    </row>
    <row r="35" spans="1:26" ht="28.8" x14ac:dyDescent="0.3">
      <c r="A35" s="84">
        <v>46153</v>
      </c>
      <c r="B35" s="100">
        <f t="shared" si="7"/>
        <v>20</v>
      </c>
      <c r="C35" s="84" t="str">
        <f t="shared" si="8"/>
        <v>May</v>
      </c>
      <c r="D35" s="85" t="str">
        <f t="shared" si="0"/>
        <v>Mon</v>
      </c>
      <c r="E35" s="86" t="s">
        <v>220</v>
      </c>
      <c r="F35" s="86" t="s">
        <v>222</v>
      </c>
      <c r="G35" s="86" t="s">
        <v>223</v>
      </c>
      <c r="H35" s="86" t="s">
        <v>224</v>
      </c>
      <c r="I35" s="87" t="str">
        <f>IF(F35=0,"",IF(COUNTIF(F35,"Bao"),[1]Setup!$B$4,IF(COUNTIF(F35,"Soup Dumplings"),[1]Setup!$B$5,F35)))</f>
        <v>Bao Prep</v>
      </c>
      <c r="J35" s="88">
        <f t="shared" si="15"/>
        <v>0</v>
      </c>
      <c r="K35" s="88" t="s">
        <v>225</v>
      </c>
      <c r="L35" s="87"/>
      <c r="M35" s="87"/>
      <c r="N35" s="87"/>
      <c r="O35" s="87"/>
      <c r="P35" s="89" t="str">
        <f t="shared" si="11"/>
        <v/>
      </c>
      <c r="Q35" s="89" t="str">
        <f t="shared" si="12"/>
        <v/>
      </c>
      <c r="R35" s="89" t="str">
        <f t="shared" si="13"/>
        <v/>
      </c>
      <c r="S35" s="88" t="str">
        <f>IF(F35="Bao",[1]Setup!$B$4,IF(F35="Soup Dumplings",[1]Setup!$B$5,""))</f>
        <v/>
      </c>
      <c r="T35" s="88" t="str">
        <f t="shared" si="14"/>
        <v/>
      </c>
      <c r="U35" s="84">
        <f t="shared" si="6"/>
        <v>46154</v>
      </c>
      <c r="V35" s="88">
        <f>IF(U35="",0,MAX(0,T35)+N35+ROUND(J35*[1]Setup!$B$9,0)+IF(O35&gt;[1]Setup!$B$10,ROUND(J35*[1]Setup!$B$11,0),0))</f>
        <v>0</v>
      </c>
      <c r="W35" s="85" t="str">
        <f>IF(L35="","Open",IF(OR(P35&lt;[1]Setup!$B$6,Q35&gt;[1]Setup!$B$7,R35&gt;[1]Setup!$B$8,O35&gt;[1]Setup!$B$10),"Review","OK"))</f>
        <v>Open</v>
      </c>
      <c r="X35" s="86"/>
      <c r="Z35" s="81" t="str">
        <f t="shared" si="9"/>
        <v>Bao</v>
      </c>
    </row>
    <row r="36" spans="1:26" x14ac:dyDescent="0.3">
      <c r="A36" s="84">
        <v>46153</v>
      </c>
      <c r="B36" s="100">
        <f t="shared" si="7"/>
        <v>20</v>
      </c>
      <c r="C36" s="84" t="str">
        <f t="shared" si="8"/>
        <v>May</v>
      </c>
      <c r="D36" s="85" t="str">
        <f t="shared" si="0"/>
        <v>Mon</v>
      </c>
      <c r="E36" s="86" t="s">
        <v>220</v>
      </c>
      <c r="F36" s="86" t="s">
        <v>222</v>
      </c>
      <c r="G36" s="86" t="s">
        <v>226</v>
      </c>
      <c r="H36" s="86" t="s">
        <v>227</v>
      </c>
      <c r="I36" s="87" t="str">
        <f>IF(F36=0,"",IF(COUNTIF(F36,"Bao"),[1]Setup!$B$4,IF(COUNTIF(F36,"Soup Dumplings"),[1]Setup!$B$5,F36)))</f>
        <v>Bao Prep</v>
      </c>
      <c r="J36" s="88">
        <f t="shared" si="15"/>
        <v>0</v>
      </c>
      <c r="K36" s="88" t="s">
        <v>228</v>
      </c>
      <c r="L36" s="87"/>
      <c r="M36" s="87"/>
      <c r="N36" s="87"/>
      <c r="O36" s="87"/>
      <c r="P36" s="89" t="str">
        <f t="shared" si="11"/>
        <v/>
      </c>
      <c r="Q36" s="89" t="str">
        <f t="shared" si="12"/>
        <v/>
      </c>
      <c r="R36" s="89" t="str">
        <f t="shared" si="13"/>
        <v/>
      </c>
      <c r="S36" s="88" t="str">
        <f>IF(F36="Bao",[1]Setup!$B$4,IF(F36="Soup Dumplings",[1]Setup!$B$5,""))</f>
        <v/>
      </c>
      <c r="T36" s="88" t="str">
        <f t="shared" si="14"/>
        <v/>
      </c>
      <c r="U36" s="84">
        <f t="shared" si="6"/>
        <v>46154</v>
      </c>
      <c r="V36" s="88">
        <f>IF(U36="",0,MAX(0,T36)+N36+ROUND(J36*[1]Setup!$B$9,0)+IF(O36&gt;[1]Setup!$B$10,ROUND(J36*[1]Setup!$B$11,0),0))</f>
        <v>0</v>
      </c>
      <c r="W36" s="85" t="str">
        <f>IF(L36="","Open",IF(OR(P36&lt;[1]Setup!$B$6,Q36&gt;[1]Setup!$B$7,R36&gt;[1]Setup!$B$8,O36&gt;[1]Setup!$B$10),"Review","OK"))</f>
        <v>Open</v>
      </c>
      <c r="X36" s="86"/>
      <c r="Z36" s="81" t="str">
        <f t="shared" si="9"/>
        <v>Bao</v>
      </c>
    </row>
    <row r="37" spans="1:26" ht="28.8" x14ac:dyDescent="0.3">
      <c r="A37" s="84">
        <v>46153</v>
      </c>
      <c r="B37" s="100">
        <f t="shared" si="7"/>
        <v>20</v>
      </c>
      <c r="C37" s="84" t="str">
        <f t="shared" si="8"/>
        <v>May</v>
      </c>
      <c r="D37" s="85" t="str">
        <f t="shared" si="0"/>
        <v>Mon</v>
      </c>
      <c r="E37" s="86" t="s">
        <v>220</v>
      </c>
      <c r="F37" s="86" t="s">
        <v>222</v>
      </c>
      <c r="G37" s="86" t="s">
        <v>226</v>
      </c>
      <c r="H37" s="86" t="s">
        <v>229</v>
      </c>
      <c r="I37" s="87" t="str">
        <f>IF(F37=0,"",IF(COUNTIF(F37,"Bao"),[1]Setup!$B$4,IF(COUNTIF(F37,"Soup Dumplings"),[1]Setup!$B$5,F37)))</f>
        <v>Bao Prep</v>
      </c>
      <c r="J37" s="88">
        <f t="shared" si="15"/>
        <v>0</v>
      </c>
      <c r="K37" s="88" t="s">
        <v>230</v>
      </c>
      <c r="L37" s="87"/>
      <c r="M37" s="87"/>
      <c r="N37" s="87"/>
      <c r="O37" s="87"/>
      <c r="P37" s="89" t="str">
        <f t="shared" si="11"/>
        <v/>
      </c>
      <c r="Q37" s="89" t="str">
        <f t="shared" si="12"/>
        <v/>
      </c>
      <c r="R37" s="89" t="str">
        <f t="shared" si="13"/>
        <v/>
      </c>
      <c r="S37" s="88" t="str">
        <f>IF(F37="Bao",[1]Setup!$B$4,IF(F37="Soup Dumplings",[1]Setup!$B$5,""))</f>
        <v/>
      </c>
      <c r="T37" s="88" t="str">
        <f t="shared" si="14"/>
        <v/>
      </c>
      <c r="U37" s="84">
        <f t="shared" si="6"/>
        <v>46154</v>
      </c>
      <c r="V37" s="88">
        <f>IF(U37="",0,MAX(0,T37)+N37+ROUND(J37*[1]Setup!$B$9,0)+IF(O37&gt;[1]Setup!$B$10,ROUND(J37*[1]Setup!$B$11,0),0))</f>
        <v>0</v>
      </c>
      <c r="W37" s="85" t="str">
        <f>IF(L37="","Open",IF(OR(P37&lt;[1]Setup!$B$6,Q37&gt;[1]Setup!$B$7,R37&gt;[1]Setup!$B$8,O37&gt;[1]Setup!$B$10),"Review","OK"))</f>
        <v>Open</v>
      </c>
      <c r="X37" s="86"/>
      <c r="Z37" s="81" t="str">
        <f t="shared" si="9"/>
        <v>Bao</v>
      </c>
    </row>
    <row r="38" spans="1:26" x14ac:dyDescent="0.3">
      <c r="A38" s="84">
        <v>46153</v>
      </c>
      <c r="B38" s="100">
        <f t="shared" si="7"/>
        <v>20</v>
      </c>
      <c r="C38" s="84" t="str">
        <f t="shared" si="8"/>
        <v>May</v>
      </c>
      <c r="D38" s="85" t="str">
        <f t="shared" si="0"/>
        <v>Mon</v>
      </c>
      <c r="E38" s="86" t="s">
        <v>220</v>
      </c>
      <c r="F38" s="86" t="s">
        <v>222</v>
      </c>
      <c r="G38" s="86" t="s">
        <v>231</v>
      </c>
      <c r="H38" s="86" t="s">
        <v>232</v>
      </c>
      <c r="I38" s="87" t="str">
        <f>IF(F38=0,"",IF(COUNTIF(F38,"Bao"),[1]Setup!$B$4,IF(COUNTIF(F38,"Soup Dumplings"),[1]Setup!$B$5,F38)))</f>
        <v>Bao Prep</v>
      </c>
      <c r="J38" s="88">
        <f t="shared" si="15"/>
        <v>0</v>
      </c>
      <c r="K38" s="88" t="s">
        <v>233</v>
      </c>
      <c r="L38" s="87"/>
      <c r="M38" s="87"/>
      <c r="N38" s="87"/>
      <c r="O38" s="87"/>
      <c r="P38" s="89" t="str">
        <f t="shared" si="11"/>
        <v/>
      </c>
      <c r="Q38" s="89" t="str">
        <f t="shared" si="12"/>
        <v/>
      </c>
      <c r="R38" s="89" t="str">
        <f t="shared" si="13"/>
        <v/>
      </c>
      <c r="S38" s="88" t="str">
        <f>IF(F38="Bao",[1]Setup!$B$4,IF(F38="Soup Dumplings",[1]Setup!$B$5,""))</f>
        <v/>
      </c>
      <c r="T38" s="88" t="str">
        <f t="shared" si="14"/>
        <v/>
      </c>
      <c r="U38" s="84">
        <f t="shared" si="6"/>
        <v>46154</v>
      </c>
      <c r="V38" s="88">
        <f>IF(U38="",0,MAX(0,T38)+N38+ROUND(J38*[1]Setup!$B$9,0)+IF(O38&gt;[1]Setup!$B$10,ROUND(J38*[1]Setup!$B$11,0),0))</f>
        <v>0</v>
      </c>
      <c r="W38" s="85" t="str">
        <f>IF(L38="","Open",IF(OR(P38&lt;[1]Setup!$B$6,Q38&gt;[1]Setup!$B$7,R38&gt;[1]Setup!$B$8,O38&gt;[1]Setup!$B$10),"Review","OK"))</f>
        <v>Open</v>
      </c>
      <c r="X38" s="86"/>
      <c r="Z38" s="81" t="str">
        <f t="shared" si="9"/>
        <v>Bao</v>
      </c>
    </row>
    <row r="39" spans="1:26" x14ac:dyDescent="0.3">
      <c r="A39" s="84">
        <v>46153</v>
      </c>
      <c r="B39" s="100">
        <f t="shared" si="7"/>
        <v>20</v>
      </c>
      <c r="C39" s="84" t="str">
        <f t="shared" si="8"/>
        <v>May</v>
      </c>
      <c r="D39" s="85" t="str">
        <f t="shared" si="0"/>
        <v>Mon</v>
      </c>
      <c r="E39" s="86" t="s">
        <v>220</v>
      </c>
      <c r="F39" s="86" t="s">
        <v>222</v>
      </c>
      <c r="G39" s="86" t="s">
        <v>231</v>
      </c>
      <c r="H39" s="86" t="s">
        <v>227</v>
      </c>
      <c r="I39" s="87" t="str">
        <f>IF(F39=0,"",IF(COUNTIF(F39,"Bao"),[1]Setup!$B$4,IF(COUNTIF(F39,"Soup Dumplings"),[1]Setup!$B$5,F39)))</f>
        <v>Bao Prep</v>
      </c>
      <c r="J39" s="88">
        <f t="shared" si="15"/>
        <v>0</v>
      </c>
      <c r="K39" s="88" t="s">
        <v>234</v>
      </c>
      <c r="L39" s="87"/>
      <c r="M39" s="87"/>
      <c r="N39" s="87"/>
      <c r="O39" s="87"/>
      <c r="P39" s="89" t="str">
        <f t="shared" si="11"/>
        <v/>
      </c>
      <c r="Q39" s="89" t="str">
        <f t="shared" si="12"/>
        <v/>
      </c>
      <c r="R39" s="89" t="str">
        <f t="shared" si="13"/>
        <v/>
      </c>
      <c r="S39" s="88" t="str">
        <f>IF(F39="Bao",[1]Setup!$B$4,IF(F39="Soup Dumplings",[1]Setup!$B$5,""))</f>
        <v/>
      </c>
      <c r="T39" s="88" t="str">
        <f t="shared" si="14"/>
        <v/>
      </c>
      <c r="U39" s="84">
        <f t="shared" si="6"/>
        <v>46154</v>
      </c>
      <c r="V39" s="88">
        <f>IF(U39="",0,MAX(0,T39)+N39+ROUND(J39*[1]Setup!$B$9,0)+IF(O39&gt;[1]Setup!$B$10,ROUND(J39*[1]Setup!$B$11,0),0))</f>
        <v>0</v>
      </c>
      <c r="W39" s="85" t="str">
        <f>IF(L39="","Open",IF(OR(P39&lt;[1]Setup!$B$6,Q39&gt;[1]Setup!$B$7,R39&gt;[1]Setup!$B$8,O39&gt;[1]Setup!$B$10),"Review","OK"))</f>
        <v>Open</v>
      </c>
      <c r="X39" s="86"/>
      <c r="Z39" s="81" t="str">
        <f t="shared" si="9"/>
        <v>Bao</v>
      </c>
    </row>
    <row r="40" spans="1:26" x14ac:dyDescent="0.3">
      <c r="A40" s="84">
        <v>46153</v>
      </c>
      <c r="B40" s="100">
        <f t="shared" si="7"/>
        <v>20</v>
      </c>
      <c r="C40" s="84" t="str">
        <f t="shared" si="8"/>
        <v>May</v>
      </c>
      <c r="D40" s="85" t="str">
        <f t="shared" si="0"/>
        <v>Mon</v>
      </c>
      <c r="E40" s="86" t="s">
        <v>220</v>
      </c>
      <c r="F40" s="86" t="s">
        <v>222</v>
      </c>
      <c r="G40" s="86" t="s">
        <v>235</v>
      </c>
      <c r="H40" s="86" t="s">
        <v>227</v>
      </c>
      <c r="I40" s="87" t="str">
        <f>IF(F40=0,"",IF(COUNTIF(F40,"Bao"),[1]Setup!$B$4,IF(COUNTIF(F40,"Soup Dumplings"),[1]Setup!$B$5,F40)))</f>
        <v>Bao Prep</v>
      </c>
      <c r="J40" s="88">
        <f t="shared" si="15"/>
        <v>0</v>
      </c>
      <c r="K40" s="88" t="s">
        <v>236</v>
      </c>
      <c r="L40" s="87"/>
      <c r="M40" s="87"/>
      <c r="N40" s="87"/>
      <c r="O40" s="87"/>
      <c r="P40" s="89" t="str">
        <f t="shared" si="11"/>
        <v/>
      </c>
      <c r="Q40" s="89" t="str">
        <f t="shared" si="12"/>
        <v/>
      </c>
      <c r="R40" s="89" t="str">
        <f t="shared" si="13"/>
        <v/>
      </c>
      <c r="S40" s="88" t="str">
        <f>IF(F40="Bao",[1]Setup!$B$4,IF(F40="Soup Dumplings",[1]Setup!$B$5,""))</f>
        <v/>
      </c>
      <c r="T40" s="88" t="str">
        <f t="shared" si="14"/>
        <v/>
      </c>
      <c r="U40" s="84">
        <f t="shared" si="6"/>
        <v>46154</v>
      </c>
      <c r="V40" s="88">
        <f>IF(U40="",0,MAX(0,T40)+N40+ROUND(J40*[1]Setup!$B$9,0)+IF(O40&gt;[1]Setup!$B$10,ROUND(J40*[1]Setup!$B$11,0),0))</f>
        <v>0</v>
      </c>
      <c r="W40" s="85" t="str">
        <f>IF(L40="","Open",IF(OR(P40&lt;[1]Setup!$B$6,Q40&gt;[1]Setup!$B$7,R40&gt;[1]Setup!$B$8,O40&gt;[1]Setup!$B$10),"Review","OK"))</f>
        <v>Open</v>
      </c>
      <c r="X40" s="86"/>
      <c r="Z40" s="81" t="str">
        <f t="shared" si="9"/>
        <v>Bao</v>
      </c>
    </row>
    <row r="41" spans="1:26" ht="43.2" x14ac:dyDescent="0.3">
      <c r="A41" s="84">
        <v>46153</v>
      </c>
      <c r="B41" s="100">
        <f t="shared" si="7"/>
        <v>20</v>
      </c>
      <c r="C41" s="84" t="str">
        <f t="shared" si="8"/>
        <v>May</v>
      </c>
      <c r="D41" s="85" t="str">
        <f t="shared" si="0"/>
        <v>Mon</v>
      </c>
      <c r="E41" s="86" t="s">
        <v>220</v>
      </c>
      <c r="F41" s="86" t="s">
        <v>237</v>
      </c>
      <c r="G41" s="86" t="s">
        <v>238</v>
      </c>
      <c r="H41" s="86" t="s">
        <v>229</v>
      </c>
      <c r="I41" s="87" t="str">
        <f>IF(F41=0,"",IF(COUNTIF(F41,"Bao"),[1]Setup!$B$4,IF(COUNTIF(F41,"Soup Dumplings"),[1]Setup!$B$5,F41)))</f>
        <v>Soup Dumpling Prep</v>
      </c>
      <c r="J41" s="88">
        <f t="shared" si="15"/>
        <v>0</v>
      </c>
      <c r="K41" s="88" t="s">
        <v>239</v>
      </c>
      <c r="L41" s="87"/>
      <c r="M41" s="87"/>
      <c r="N41" s="87"/>
      <c r="O41" s="87"/>
      <c r="P41" s="89" t="str">
        <f t="shared" si="11"/>
        <v/>
      </c>
      <c r="Q41" s="89" t="str">
        <f t="shared" si="12"/>
        <v/>
      </c>
      <c r="R41" s="89" t="str">
        <f t="shared" si="13"/>
        <v/>
      </c>
      <c r="S41" s="88" t="str">
        <f>IF(F41="Bao",[1]Setup!$B$4,IF(F41="Soup Dumplings",[1]Setup!$B$5,""))</f>
        <v/>
      </c>
      <c r="T41" s="88" t="str">
        <f t="shared" si="14"/>
        <v/>
      </c>
      <c r="U41" s="84">
        <f t="shared" si="6"/>
        <v>46154</v>
      </c>
      <c r="V41" s="88">
        <f>IF(U41="",0,MAX(0,T41)+N41+ROUND(J41*[1]Setup!$B$9,0)+IF(O41&gt;[1]Setup!$B$10,ROUND(J41*[1]Setup!$B$11,0),0))</f>
        <v>0</v>
      </c>
      <c r="W41" s="85" t="str">
        <f>IF(L41="","Open",IF(OR(P41&lt;[1]Setup!$B$6,Q41&gt;[1]Setup!$B$7,R41&gt;[1]Setup!$B$8,O41&gt;[1]Setup!$B$10),"Review","OK"))</f>
        <v>Open</v>
      </c>
      <c r="X41" s="86"/>
      <c r="Z41" s="81" t="str">
        <f t="shared" si="9"/>
        <v>Sou</v>
      </c>
    </row>
    <row r="42" spans="1:26" ht="43.2" x14ac:dyDescent="0.3">
      <c r="A42" s="84">
        <v>46153</v>
      </c>
      <c r="B42" s="100">
        <f t="shared" si="7"/>
        <v>20</v>
      </c>
      <c r="C42" s="84" t="str">
        <f t="shared" si="8"/>
        <v>May</v>
      </c>
      <c r="D42" s="85" t="str">
        <f t="shared" si="0"/>
        <v>Mon</v>
      </c>
      <c r="E42" s="86" t="s">
        <v>220</v>
      </c>
      <c r="F42" s="86" t="s">
        <v>237</v>
      </c>
      <c r="G42" s="86" t="s">
        <v>240</v>
      </c>
      <c r="H42" s="86" t="s">
        <v>224</v>
      </c>
      <c r="I42" s="87" t="str">
        <f>IF(F42=0,"",IF(COUNTIF(F42,"Bao"),[1]Setup!$B$4,IF(COUNTIF(F42,"Soup Dumplings"),[1]Setup!$B$5,F42)))</f>
        <v>Soup Dumpling Prep</v>
      </c>
      <c r="J42" s="88">
        <f t="shared" si="15"/>
        <v>0</v>
      </c>
      <c r="K42" s="88" t="s">
        <v>241</v>
      </c>
      <c r="L42" s="87"/>
      <c r="M42" s="87"/>
      <c r="N42" s="87"/>
      <c r="O42" s="87"/>
      <c r="P42" s="89" t="str">
        <f t="shared" si="11"/>
        <v/>
      </c>
      <c r="Q42" s="89" t="str">
        <f t="shared" si="12"/>
        <v/>
      </c>
      <c r="R42" s="89" t="str">
        <f t="shared" si="13"/>
        <v/>
      </c>
      <c r="S42" s="88" t="str">
        <f>IF(F42="Bao",[1]Setup!$B$4,IF(F42="Soup Dumplings",[1]Setup!$B$5,""))</f>
        <v/>
      </c>
      <c r="T42" s="88" t="str">
        <f t="shared" si="14"/>
        <v/>
      </c>
      <c r="U42" s="84">
        <f t="shared" si="6"/>
        <v>46154</v>
      </c>
      <c r="V42" s="88">
        <f>IF(U42="",0,MAX(0,T42)+N42+ROUND(J42*[1]Setup!$B$9,0)+IF(O42&gt;[1]Setup!$B$10,ROUND(J42*[1]Setup!$B$11,0),0))</f>
        <v>0</v>
      </c>
      <c r="W42" s="85" t="str">
        <f>IF(L42="","Open",IF(OR(P42&lt;[1]Setup!$B$6,Q42&gt;[1]Setup!$B$7,R42&gt;[1]Setup!$B$8,O42&gt;[1]Setup!$B$10),"Review","OK"))</f>
        <v>Open</v>
      </c>
      <c r="X42" s="86"/>
      <c r="Z42" s="81" t="str">
        <f t="shared" si="9"/>
        <v>Sou</v>
      </c>
    </row>
    <row r="43" spans="1:26" ht="28.8" x14ac:dyDescent="0.3">
      <c r="A43" s="84">
        <v>46153</v>
      </c>
      <c r="B43" s="100">
        <f t="shared" si="7"/>
        <v>20</v>
      </c>
      <c r="C43" s="84" t="str">
        <f t="shared" si="8"/>
        <v>May</v>
      </c>
      <c r="D43" s="85" t="str">
        <f t="shared" si="0"/>
        <v>Mon</v>
      </c>
      <c r="E43" s="86" t="s">
        <v>220</v>
      </c>
      <c r="F43" s="86" t="s">
        <v>237</v>
      </c>
      <c r="G43" s="86" t="s">
        <v>242</v>
      </c>
      <c r="H43" s="86" t="s">
        <v>232</v>
      </c>
      <c r="I43" s="87" t="str">
        <f>IF(F43=0,"",IF(COUNTIF(F43,"Bao"),[1]Setup!$B$4,IF(COUNTIF(F43,"Soup Dumplings"),[1]Setup!$B$5,F43)))</f>
        <v>Soup Dumpling Prep</v>
      </c>
      <c r="J43" s="88">
        <f t="shared" si="15"/>
        <v>0</v>
      </c>
      <c r="K43" s="88" t="s">
        <v>243</v>
      </c>
      <c r="L43" s="87"/>
      <c r="M43" s="87"/>
      <c r="N43" s="87"/>
      <c r="O43" s="87"/>
      <c r="P43" s="89" t="str">
        <f t="shared" si="11"/>
        <v/>
      </c>
      <c r="Q43" s="89" t="str">
        <f t="shared" si="12"/>
        <v/>
      </c>
      <c r="R43" s="89" t="str">
        <f t="shared" si="13"/>
        <v/>
      </c>
      <c r="S43" s="88" t="str">
        <f>IF(F43="Bao",[1]Setup!$B$4,IF(F43="Soup Dumplings",[1]Setup!$B$5,""))</f>
        <v/>
      </c>
      <c r="T43" s="88" t="str">
        <f t="shared" si="14"/>
        <v/>
      </c>
      <c r="U43" s="84">
        <f t="shared" si="6"/>
        <v>46154</v>
      </c>
      <c r="V43" s="88">
        <f>IF(U43="",0,MAX(0,T43)+N43+ROUND(J43*[1]Setup!$B$9,0)+IF(O43&gt;[1]Setup!$B$10,ROUND(J43*[1]Setup!$B$11,0),0))</f>
        <v>0</v>
      </c>
      <c r="W43" s="85" t="str">
        <f>IF(L43="","Open",IF(OR(P43&lt;[1]Setup!$B$6,Q43&gt;[1]Setup!$B$7,R43&gt;[1]Setup!$B$8,O43&gt;[1]Setup!$B$10),"Review","OK"))</f>
        <v>Open</v>
      </c>
      <c r="X43" s="86"/>
      <c r="Z43" s="81" t="str">
        <f t="shared" si="9"/>
        <v>Sou</v>
      </c>
    </row>
    <row r="44" spans="1:26" ht="28.8" x14ac:dyDescent="0.3">
      <c r="A44" s="84">
        <v>46153</v>
      </c>
      <c r="B44" s="100">
        <f t="shared" si="7"/>
        <v>20</v>
      </c>
      <c r="C44" s="84" t="str">
        <f t="shared" si="8"/>
        <v>May</v>
      </c>
      <c r="D44" s="85" t="str">
        <f t="shared" si="0"/>
        <v>Mon</v>
      </c>
      <c r="E44" s="86" t="s">
        <v>220</v>
      </c>
      <c r="F44" s="86" t="s">
        <v>237</v>
      </c>
      <c r="G44" s="86" t="s">
        <v>238</v>
      </c>
      <c r="H44" s="86" t="s">
        <v>227</v>
      </c>
      <c r="I44" s="87" t="str">
        <f>IF(F44=0,"",IF(COUNTIF(F44,"Bao"),[1]Setup!$B$4,IF(COUNTIF(F44,"Soup Dumplings"),[1]Setup!$B$5,F44)))</f>
        <v>Soup Dumpling Prep</v>
      </c>
      <c r="J44" s="88">
        <f t="shared" si="15"/>
        <v>0</v>
      </c>
      <c r="K44" s="88" t="s">
        <v>228</v>
      </c>
      <c r="L44" s="87"/>
      <c r="M44" s="87"/>
      <c r="N44" s="87"/>
      <c r="O44" s="87"/>
      <c r="P44" s="89" t="str">
        <f t="shared" si="11"/>
        <v/>
      </c>
      <c r="Q44" s="89" t="str">
        <f t="shared" si="12"/>
        <v/>
      </c>
      <c r="R44" s="89" t="str">
        <f t="shared" si="13"/>
        <v/>
      </c>
      <c r="S44" s="88" t="str">
        <f>IF(F44="Bao",[1]Setup!$B$4,IF(F44="Soup Dumplings",[1]Setup!$B$5,""))</f>
        <v/>
      </c>
      <c r="T44" s="88" t="str">
        <f t="shared" si="14"/>
        <v/>
      </c>
      <c r="U44" s="84">
        <f t="shared" si="6"/>
        <v>46154</v>
      </c>
      <c r="V44" s="88">
        <f>IF(U44="",0,MAX(0,T44)+N44+ROUND(J44*[1]Setup!$B$9,0)+IF(O44&gt;[1]Setup!$B$10,ROUND(J44*[1]Setup!$B$11,0),0))</f>
        <v>0</v>
      </c>
      <c r="W44" s="85" t="str">
        <f>IF(L44="","Open",IF(OR(P44&lt;[1]Setup!$B$6,Q44&gt;[1]Setup!$B$7,R44&gt;[1]Setup!$B$8,O44&gt;[1]Setup!$B$10),"Review","OK"))</f>
        <v>Open</v>
      </c>
      <c r="X44" s="86"/>
      <c r="Z44" s="81" t="str">
        <f t="shared" si="9"/>
        <v>Sou</v>
      </c>
    </row>
    <row r="45" spans="1:26" x14ac:dyDescent="0.3">
      <c r="A45" s="84">
        <v>46153</v>
      </c>
      <c r="B45" s="100">
        <f t="shared" si="7"/>
        <v>20</v>
      </c>
      <c r="C45" s="84" t="str">
        <f t="shared" si="8"/>
        <v>May</v>
      </c>
      <c r="D45" s="85" t="str">
        <f t="shared" si="0"/>
        <v>Mon</v>
      </c>
      <c r="E45" s="86" t="s">
        <v>220</v>
      </c>
      <c r="F45" s="86" t="s">
        <v>87</v>
      </c>
      <c r="G45" s="86" t="s">
        <v>244</v>
      </c>
      <c r="H45" s="86" t="s">
        <v>245</v>
      </c>
      <c r="I45" s="87">
        <f>IF(F45=0,"",IF(COUNTIF(F45,"Bao"),[1]Setup!$B$4,IF(COUNTIF(F45,"Soup Dumplings"),[1]Setup!$B$5,F45)))</f>
        <v>90000</v>
      </c>
      <c r="J45" s="88">
        <f t="shared" si="15"/>
        <v>90000</v>
      </c>
      <c r="K45" s="88"/>
      <c r="L45" s="87"/>
      <c r="M45" s="87"/>
      <c r="N45" s="87"/>
      <c r="O45" s="87"/>
      <c r="P45" s="89">
        <f t="shared" si="11"/>
        <v>0</v>
      </c>
      <c r="Q45" s="89">
        <f t="shared" si="12"/>
        <v>1</v>
      </c>
      <c r="R45" s="89">
        <f t="shared" si="13"/>
        <v>0</v>
      </c>
      <c r="S45" s="88">
        <f>IF(F45="Bao",[1]Setup!$B$4,IF(F45="Soup Dumplings",[1]Setup!$B$5,""))</f>
        <v>90000</v>
      </c>
      <c r="T45" s="88" t="str">
        <f t="shared" si="14"/>
        <v/>
      </c>
      <c r="U45" s="84">
        <f t="shared" si="6"/>
        <v>46154</v>
      </c>
      <c r="V45" s="88">
        <f>IF(U45="",0,MAX(0,T45)+N45+ROUND(J45*[1]Setup!$B$9,0)+IF(O45&gt;[1]Setup!$B$10,ROUND(J45*[1]Setup!$B$11,0),0))</f>
        <v>1800</v>
      </c>
      <c r="W45" s="85" t="str">
        <f>IF(L45="","Open",IF(OR(P45&lt;[1]Setup!$B$6,Q45&gt;[1]Setup!$B$7,R45&gt;[1]Setup!$B$8,O45&gt;[1]Setup!$B$10),"Review","OK"))</f>
        <v>Open</v>
      </c>
      <c r="X45" s="86"/>
      <c r="Z45" s="81" t="str">
        <f t="shared" si="9"/>
        <v>Sou</v>
      </c>
    </row>
    <row r="46" spans="1:26" ht="57.6" x14ac:dyDescent="0.3">
      <c r="A46" s="84">
        <v>46153</v>
      </c>
      <c r="B46" s="100">
        <f t="shared" si="7"/>
        <v>20</v>
      </c>
      <c r="C46" s="84" t="str">
        <f t="shared" si="8"/>
        <v>May</v>
      </c>
      <c r="D46" s="85" t="str">
        <f t="shared" si="0"/>
        <v>Mon</v>
      </c>
      <c r="E46" s="86" t="s">
        <v>220</v>
      </c>
      <c r="F46" s="86" t="s">
        <v>237</v>
      </c>
      <c r="G46" s="86" t="s">
        <v>246</v>
      </c>
      <c r="H46" s="86" t="s">
        <v>232</v>
      </c>
      <c r="I46" s="87" t="str">
        <f>IF(F46=0,"",IF(COUNTIF(F46,"Bao"),[1]Setup!$B$4,IF(COUNTIF(F46,"Soup Dumplings"),[1]Setup!$B$5,F46)))</f>
        <v>Soup Dumpling Prep</v>
      </c>
      <c r="J46" s="88">
        <v>0</v>
      </c>
      <c r="K46" s="88" t="s">
        <v>261</v>
      </c>
      <c r="L46" s="87"/>
      <c r="M46" s="87"/>
      <c r="N46" s="87"/>
      <c r="O46" s="87"/>
      <c r="P46" s="89" t="str">
        <f t="shared" si="11"/>
        <v/>
      </c>
      <c r="Q46" s="89" t="str">
        <f t="shared" si="12"/>
        <v/>
      </c>
      <c r="R46" s="89" t="str">
        <f t="shared" si="13"/>
        <v/>
      </c>
      <c r="S46" s="88" t="str">
        <f>IF(F46="Bao",[1]Setup!$B$4,IF(F46="Soup Dumplings",[1]Setup!$B$5,""))</f>
        <v/>
      </c>
      <c r="T46" s="88" t="str">
        <f t="shared" si="14"/>
        <v/>
      </c>
      <c r="U46" s="84">
        <f t="shared" si="6"/>
        <v>46154</v>
      </c>
      <c r="V46" s="88">
        <f>IF(U46="",0,MAX(0,T46)+N46+ROUND(J46*[1]Setup!$B$9,0)+IF(O46&gt;[1]Setup!$B$10,ROUND(J46*[1]Setup!$B$11,0),0))</f>
        <v>0</v>
      </c>
      <c r="W46" s="85" t="str">
        <f>IF(L46="","Open",IF(OR(P46&lt;[1]Setup!$B$6,Q46&gt;[1]Setup!$B$7,R46&gt;[1]Setup!$B$8,O46&gt;[1]Setup!$B$10),"Review","OK"))</f>
        <v>Open</v>
      </c>
      <c r="X46" s="86"/>
      <c r="Z46" s="81" t="str">
        <f t="shared" si="9"/>
        <v>Sou</v>
      </c>
    </row>
    <row r="47" spans="1:26" ht="28.8" x14ac:dyDescent="0.3">
      <c r="A47" s="84">
        <v>46153</v>
      </c>
      <c r="B47" s="100">
        <f t="shared" si="7"/>
        <v>20</v>
      </c>
      <c r="C47" s="84" t="str">
        <f t="shared" si="8"/>
        <v>May</v>
      </c>
      <c r="D47" s="85" t="str">
        <f t="shared" si="0"/>
        <v>Mon</v>
      </c>
      <c r="E47" s="86" t="s">
        <v>220</v>
      </c>
      <c r="F47" s="86" t="s">
        <v>248</v>
      </c>
      <c r="G47" s="86" t="s">
        <v>244</v>
      </c>
      <c r="H47" s="86" t="s">
        <v>249</v>
      </c>
      <c r="I47" s="87" t="str">
        <f>IF(F47=0,"",IF(COUNTIF(F47,"Bao"),[1]Setup!$B$4,IF(COUNTIF(F47,"Soup Dumplings"),[1]Setup!$B$5,F47)))</f>
        <v>Pack Soup Dumplings</v>
      </c>
      <c r="J47" s="88"/>
      <c r="K47" s="88" t="s">
        <v>262</v>
      </c>
      <c r="L47" s="87"/>
      <c r="M47" s="87"/>
      <c r="N47" s="87"/>
      <c r="O47" s="87"/>
      <c r="P47" s="89" t="str">
        <f t="shared" si="11"/>
        <v/>
      </c>
      <c r="Q47" s="89" t="str">
        <f t="shared" si="12"/>
        <v/>
      </c>
      <c r="R47" s="89" t="str">
        <f t="shared" si="13"/>
        <v/>
      </c>
      <c r="S47" s="88" t="str">
        <f>IF(F47="Bao",[1]Setup!$B$4,IF(F47="Soup Dumplings",[1]Setup!$B$5,""))</f>
        <v/>
      </c>
      <c r="T47" s="88" t="str">
        <f t="shared" si="14"/>
        <v/>
      </c>
      <c r="U47" s="84">
        <f t="shared" si="6"/>
        <v>46154</v>
      </c>
      <c r="V47" s="88">
        <f>IF(U47="",0,MAX(0,T47)+N47+ROUND(J47*[1]Setup!$B$9,0)+IF(O47&gt;[1]Setup!$B$10,ROUND(J47*[1]Setup!$B$11,0),0))</f>
        <v>0</v>
      </c>
      <c r="W47" s="85" t="str">
        <f>IF(L47="","Open",IF(OR(P47&lt;[1]Setup!$B$6,Q47&gt;[1]Setup!$B$7,R47&gt;[1]Setup!$B$8,O47&gt;[1]Setup!$B$10),"Review","OK"))</f>
        <v>Open</v>
      </c>
      <c r="X47" s="86"/>
      <c r="Z47" s="81" t="str">
        <f t="shared" si="9"/>
        <v>Pac</v>
      </c>
    </row>
    <row r="48" spans="1:26" ht="28.8" x14ac:dyDescent="0.3">
      <c r="A48" s="84">
        <v>46153</v>
      </c>
      <c r="B48" s="100">
        <f t="shared" si="7"/>
        <v>20</v>
      </c>
      <c r="C48" s="84" t="str">
        <f t="shared" si="8"/>
        <v>May</v>
      </c>
      <c r="D48" s="85" t="str">
        <f t="shared" si="0"/>
        <v>Mon</v>
      </c>
      <c r="E48" s="86" t="s">
        <v>220</v>
      </c>
      <c r="F48" s="86" t="s">
        <v>251</v>
      </c>
      <c r="G48" s="86" t="s">
        <v>82</v>
      </c>
      <c r="H48" s="86" t="s">
        <v>252</v>
      </c>
      <c r="I48" s="87" t="str">
        <f>IF(F48=0,"",IF(COUNTIF(F48,"Bao"),[1]Setup!$B$4,IF(COUNTIF(F48,"Soup Dumplings"),[1]Setup!$B$5,F48)))</f>
        <v>Pack Bao</v>
      </c>
      <c r="J48" s="88"/>
      <c r="K48" s="88" t="s">
        <v>263</v>
      </c>
      <c r="L48" s="87"/>
      <c r="M48" s="87"/>
      <c r="N48" s="87"/>
      <c r="O48" s="87"/>
      <c r="P48" s="89" t="str">
        <f t="shared" si="11"/>
        <v/>
      </c>
      <c r="Q48" s="89" t="str">
        <f t="shared" si="12"/>
        <v/>
      </c>
      <c r="R48" s="89" t="str">
        <f t="shared" si="13"/>
        <v/>
      </c>
      <c r="S48" s="88" t="str">
        <f>IF(F48="Bao",[1]Setup!$B$4,IF(F48="Soup Dumplings",[1]Setup!$B$5,""))</f>
        <v/>
      </c>
      <c r="T48" s="88" t="str">
        <f t="shared" si="14"/>
        <v/>
      </c>
      <c r="U48" s="84">
        <f t="shared" si="6"/>
        <v>46154</v>
      </c>
      <c r="V48" s="88">
        <f>IF(U48="",0,MAX(0,T48)+N48+ROUND(J48*[1]Setup!$B$9,0)+IF(O48&gt;[1]Setup!$B$10,ROUND(J48*[1]Setup!$B$11,0),0))</f>
        <v>0</v>
      </c>
      <c r="W48" s="85" t="str">
        <f>IF(L48="","Open",IF(OR(P48&lt;[1]Setup!$B$6,Q48&gt;[1]Setup!$B$7,R48&gt;[1]Setup!$B$8,O48&gt;[1]Setup!$B$10),"Review","OK"))</f>
        <v>Open</v>
      </c>
      <c r="X48" s="86"/>
      <c r="Z48" s="81" t="str">
        <f t="shared" si="9"/>
        <v>Pac</v>
      </c>
    </row>
    <row r="49" spans="1:26" x14ac:dyDescent="0.3">
      <c r="A49" s="84">
        <v>46155</v>
      </c>
      <c r="B49" s="100">
        <f t="shared" si="7"/>
        <v>20</v>
      </c>
      <c r="C49" s="84" t="str">
        <f t="shared" si="8"/>
        <v>May</v>
      </c>
      <c r="D49" s="85" t="str">
        <f t="shared" si="0"/>
        <v>Wed</v>
      </c>
      <c r="E49" s="86" t="s">
        <v>220</v>
      </c>
      <c r="F49" s="86" t="s">
        <v>52</v>
      </c>
      <c r="G49" s="86" t="s">
        <v>82</v>
      </c>
      <c r="H49" s="86" t="s">
        <v>221</v>
      </c>
      <c r="I49" s="87">
        <f>IF(F49=0,"",IF(COUNTIF(F49,"Bao"),[1]Setup!$B$4,IF(COUNTIF(F49,"Soup Dumplings"),[1]Setup!$B$5,F49)))</f>
        <v>15000</v>
      </c>
      <c r="J49" s="88">
        <f t="shared" ref="J49:J60" si="16">IF(A49="","",
   IFERROR(
      N(I49)+SUMIFS($V$4:$V$30,$U$4:$U$30,A49,$G$4:$G$30,G49),
   0)
)</f>
        <v>15306</v>
      </c>
      <c r="K49" s="88"/>
      <c r="L49" s="87"/>
      <c r="M49" s="87"/>
      <c r="N49" s="87"/>
      <c r="O49" s="87"/>
      <c r="P49" s="89">
        <f t="shared" si="11"/>
        <v>0</v>
      </c>
      <c r="Q49" s="89">
        <f t="shared" si="12"/>
        <v>1</v>
      </c>
      <c r="R49" s="89">
        <f t="shared" si="13"/>
        <v>0</v>
      </c>
      <c r="S49" s="88">
        <f>IF(F49="Bao",[1]Setup!$B$4,IF(F49="Soup Dumplings",[1]Setup!$B$5,""))</f>
        <v>15000</v>
      </c>
      <c r="T49" s="88" t="str">
        <f t="shared" si="14"/>
        <v/>
      </c>
      <c r="U49" s="84">
        <f t="shared" si="6"/>
        <v>46156</v>
      </c>
      <c r="V49" s="88">
        <f>IF(U49="",0,MAX(0,T49)+N49+ROUND(J49*[1]Setup!$B$9,0)+IF(O49&gt;[1]Setup!$B$10,ROUND(J49*[1]Setup!$B$11,0),0))</f>
        <v>306</v>
      </c>
      <c r="W49" s="85" t="str">
        <f>IF(L49="","Open",IF(OR(P49&lt;[1]Setup!$B$6,Q49&gt;[1]Setup!$B$7,R49&gt;[1]Setup!$B$8,O49&gt;[1]Setup!$B$10),"Review","OK"))</f>
        <v>Open</v>
      </c>
      <c r="X49" s="86"/>
      <c r="Z49" s="81" t="str">
        <f t="shared" si="9"/>
        <v>Bao</v>
      </c>
    </row>
    <row r="50" spans="1:26" ht="28.8" x14ac:dyDescent="0.3">
      <c r="A50" s="84">
        <v>46155</v>
      </c>
      <c r="B50" s="100">
        <f t="shared" si="7"/>
        <v>20</v>
      </c>
      <c r="C50" s="84" t="str">
        <f t="shared" si="8"/>
        <v>May</v>
      </c>
      <c r="D50" s="85" t="str">
        <f t="shared" si="0"/>
        <v>Wed</v>
      </c>
      <c r="E50" s="86" t="s">
        <v>220</v>
      </c>
      <c r="F50" s="86" t="s">
        <v>222</v>
      </c>
      <c r="G50" s="86" t="s">
        <v>223</v>
      </c>
      <c r="H50" s="86" t="s">
        <v>224</v>
      </c>
      <c r="I50" s="87" t="str">
        <f>IF(F50=0,"",IF(COUNTIF(F50,"Bao"),[1]Setup!$B$4,IF(COUNTIF(F50,"Soup Dumplings"),[1]Setup!$B$5,F50)))</f>
        <v>Bao Prep</v>
      </c>
      <c r="J50" s="88">
        <f t="shared" si="16"/>
        <v>0</v>
      </c>
      <c r="K50" s="88" t="s">
        <v>225</v>
      </c>
      <c r="L50" s="87"/>
      <c r="M50" s="87"/>
      <c r="N50" s="87"/>
      <c r="O50" s="87"/>
      <c r="P50" s="89" t="str">
        <f t="shared" si="11"/>
        <v/>
      </c>
      <c r="Q50" s="89" t="str">
        <f t="shared" si="12"/>
        <v/>
      </c>
      <c r="R50" s="89" t="str">
        <f t="shared" si="13"/>
        <v/>
      </c>
      <c r="S50" s="88" t="str">
        <f>IF(F50="Bao",[1]Setup!$B$4,IF(F50="Soup Dumplings",[1]Setup!$B$5,""))</f>
        <v/>
      </c>
      <c r="T50" s="88" t="str">
        <f t="shared" si="14"/>
        <v/>
      </c>
      <c r="U50" s="84">
        <f t="shared" si="6"/>
        <v>46156</v>
      </c>
      <c r="V50" s="88">
        <f>IF(U50="",0,MAX(0,T50)+N50+ROUND(J50*[1]Setup!$B$9,0)+IF(O50&gt;[1]Setup!$B$10,ROUND(J50*[1]Setup!$B$11,0),0))</f>
        <v>0</v>
      </c>
      <c r="W50" s="85" t="str">
        <f>IF(L50="","Open",IF(OR(P50&lt;[1]Setup!$B$6,Q50&gt;[1]Setup!$B$7,R50&gt;[1]Setup!$B$8,O50&gt;[1]Setup!$B$10),"Review","OK"))</f>
        <v>Open</v>
      </c>
      <c r="X50" s="86"/>
      <c r="Z50" s="81" t="str">
        <f t="shared" si="9"/>
        <v>Bao</v>
      </c>
    </row>
    <row r="51" spans="1:26" x14ac:dyDescent="0.3">
      <c r="A51" s="84">
        <v>46155</v>
      </c>
      <c r="B51" s="100">
        <f t="shared" si="7"/>
        <v>20</v>
      </c>
      <c r="C51" s="84" t="str">
        <f t="shared" si="8"/>
        <v>May</v>
      </c>
      <c r="D51" s="85" t="str">
        <f t="shared" si="0"/>
        <v>Wed</v>
      </c>
      <c r="E51" s="86" t="s">
        <v>220</v>
      </c>
      <c r="F51" s="86" t="s">
        <v>222</v>
      </c>
      <c r="G51" s="86" t="s">
        <v>226</v>
      </c>
      <c r="H51" s="86" t="s">
        <v>227</v>
      </c>
      <c r="I51" s="87" t="str">
        <f>IF(F51=0,"",IF(COUNTIF(F51,"Bao"),[1]Setup!$B$4,IF(COUNTIF(F51,"Soup Dumplings"),[1]Setup!$B$5,F51)))</f>
        <v>Bao Prep</v>
      </c>
      <c r="J51" s="88">
        <f t="shared" si="16"/>
        <v>0</v>
      </c>
      <c r="K51" s="88" t="s">
        <v>228</v>
      </c>
      <c r="L51" s="87"/>
      <c r="M51" s="87"/>
      <c r="N51" s="87"/>
      <c r="O51" s="87"/>
      <c r="P51" s="89" t="str">
        <f t="shared" si="11"/>
        <v/>
      </c>
      <c r="Q51" s="89" t="str">
        <f t="shared" si="12"/>
        <v/>
      </c>
      <c r="R51" s="89" t="str">
        <f t="shared" si="13"/>
        <v/>
      </c>
      <c r="S51" s="88" t="str">
        <f>IF(F51="Bao",[1]Setup!$B$4,IF(F51="Soup Dumplings",[1]Setup!$B$5,""))</f>
        <v/>
      </c>
      <c r="T51" s="88" t="str">
        <f t="shared" si="14"/>
        <v/>
      </c>
      <c r="U51" s="84">
        <f t="shared" si="6"/>
        <v>46156</v>
      </c>
      <c r="V51" s="88">
        <f>IF(U51="",0,MAX(0,T51)+N51+ROUND(J51*[1]Setup!$B$9,0)+IF(O51&gt;[1]Setup!$B$10,ROUND(J51*[1]Setup!$B$11,0),0))</f>
        <v>0</v>
      </c>
      <c r="W51" s="85" t="str">
        <f>IF(L51="","Open",IF(OR(P51&lt;[1]Setup!$B$6,Q51&gt;[1]Setup!$B$7,R51&gt;[1]Setup!$B$8,O51&gt;[1]Setup!$B$10),"Review","OK"))</f>
        <v>Open</v>
      </c>
      <c r="X51" s="86"/>
      <c r="Z51" s="81" t="str">
        <f t="shared" si="9"/>
        <v>Bao</v>
      </c>
    </row>
    <row r="52" spans="1:26" ht="28.8" x14ac:dyDescent="0.3">
      <c r="A52" s="84">
        <v>46155</v>
      </c>
      <c r="B52" s="100">
        <f t="shared" si="7"/>
        <v>20</v>
      </c>
      <c r="C52" s="84" t="str">
        <f t="shared" si="8"/>
        <v>May</v>
      </c>
      <c r="D52" s="85" t="str">
        <f t="shared" si="0"/>
        <v>Wed</v>
      </c>
      <c r="E52" s="86" t="s">
        <v>220</v>
      </c>
      <c r="F52" s="86" t="s">
        <v>222</v>
      </c>
      <c r="G52" s="86" t="s">
        <v>226</v>
      </c>
      <c r="H52" s="86" t="s">
        <v>229</v>
      </c>
      <c r="I52" s="87" t="str">
        <f>IF(F52=0,"",IF(COUNTIF(F52,"Bao"),[1]Setup!$B$4,IF(COUNTIF(F52,"Soup Dumplings"),[1]Setup!$B$5,F52)))</f>
        <v>Bao Prep</v>
      </c>
      <c r="J52" s="88">
        <f t="shared" si="16"/>
        <v>0</v>
      </c>
      <c r="K52" s="88" t="s">
        <v>230</v>
      </c>
      <c r="L52" s="87"/>
      <c r="M52" s="87"/>
      <c r="N52" s="87"/>
      <c r="O52" s="87"/>
      <c r="P52" s="89" t="str">
        <f t="shared" si="11"/>
        <v/>
      </c>
      <c r="Q52" s="89" t="str">
        <f t="shared" si="12"/>
        <v/>
      </c>
      <c r="R52" s="89" t="str">
        <f t="shared" si="13"/>
        <v/>
      </c>
      <c r="S52" s="88" t="str">
        <f>IF(F52="Bao",[1]Setup!$B$4,IF(F52="Soup Dumplings",[1]Setup!$B$5,""))</f>
        <v/>
      </c>
      <c r="T52" s="88" t="str">
        <f t="shared" si="14"/>
        <v/>
      </c>
      <c r="U52" s="84">
        <f t="shared" si="6"/>
        <v>46156</v>
      </c>
      <c r="V52" s="88">
        <f>IF(U52="",0,MAX(0,T52)+N52+ROUND(J52*[1]Setup!$B$9,0)+IF(O52&gt;[1]Setup!$B$10,ROUND(J52*[1]Setup!$B$11,0),0))</f>
        <v>0</v>
      </c>
      <c r="W52" s="85" t="str">
        <f>IF(L52="","Open",IF(OR(P52&lt;[1]Setup!$B$6,Q52&gt;[1]Setup!$B$7,R52&gt;[1]Setup!$B$8,O52&gt;[1]Setup!$B$10),"Review","OK"))</f>
        <v>Open</v>
      </c>
      <c r="X52" s="86"/>
      <c r="Z52" s="81" t="str">
        <f t="shared" si="9"/>
        <v>Bao</v>
      </c>
    </row>
    <row r="53" spans="1:26" x14ac:dyDescent="0.3">
      <c r="A53" s="84">
        <v>46155</v>
      </c>
      <c r="B53" s="100">
        <f t="shared" si="7"/>
        <v>20</v>
      </c>
      <c r="C53" s="84" t="str">
        <f t="shared" si="8"/>
        <v>May</v>
      </c>
      <c r="D53" s="85" t="str">
        <f t="shared" si="0"/>
        <v>Wed</v>
      </c>
      <c r="E53" s="86" t="s">
        <v>220</v>
      </c>
      <c r="F53" s="86" t="s">
        <v>222</v>
      </c>
      <c r="G53" s="86" t="s">
        <v>231</v>
      </c>
      <c r="H53" s="86" t="s">
        <v>232</v>
      </c>
      <c r="I53" s="87" t="str">
        <f>IF(F53=0,"",IF(COUNTIF(F53,"Bao"),[1]Setup!$B$4,IF(COUNTIF(F53,"Soup Dumplings"),[1]Setup!$B$5,F53)))</f>
        <v>Bao Prep</v>
      </c>
      <c r="J53" s="88">
        <f t="shared" si="16"/>
        <v>0</v>
      </c>
      <c r="K53" s="88" t="s">
        <v>264</v>
      </c>
      <c r="L53" s="87"/>
      <c r="M53" s="87"/>
      <c r="N53" s="87"/>
      <c r="O53" s="87"/>
      <c r="P53" s="89" t="str">
        <f t="shared" si="11"/>
        <v/>
      </c>
      <c r="Q53" s="89" t="str">
        <f t="shared" si="12"/>
        <v/>
      </c>
      <c r="R53" s="89" t="str">
        <f t="shared" si="13"/>
        <v/>
      </c>
      <c r="S53" s="88" t="str">
        <f>IF(F53="Bao",[1]Setup!$B$4,IF(F53="Soup Dumplings",[1]Setup!$B$5,""))</f>
        <v/>
      </c>
      <c r="T53" s="88" t="str">
        <f t="shared" si="14"/>
        <v/>
      </c>
      <c r="U53" s="84">
        <f t="shared" si="6"/>
        <v>46156</v>
      </c>
      <c r="V53" s="88">
        <f>IF(U53="",0,MAX(0,T53)+N53+ROUND(J53*[1]Setup!$B$9,0)+IF(O53&gt;[1]Setup!$B$10,ROUND(J53*[1]Setup!$B$11,0),0))</f>
        <v>0</v>
      </c>
      <c r="W53" s="85" t="str">
        <f>IF(L53="","Open",IF(OR(P53&lt;[1]Setup!$B$6,Q53&gt;[1]Setup!$B$7,R53&gt;[1]Setup!$B$8,O53&gt;[1]Setup!$B$10),"Review","OK"))</f>
        <v>Open</v>
      </c>
      <c r="X53" s="86"/>
      <c r="Z53" s="81" t="str">
        <f t="shared" si="9"/>
        <v>Bao</v>
      </c>
    </row>
    <row r="54" spans="1:26" x14ac:dyDescent="0.3">
      <c r="A54" s="90">
        <v>46155</v>
      </c>
      <c r="B54" s="100">
        <f t="shared" si="7"/>
        <v>20</v>
      </c>
      <c r="C54" s="84" t="str">
        <f t="shared" si="8"/>
        <v>May</v>
      </c>
      <c r="D54" s="91" t="str">
        <f t="shared" si="0"/>
        <v>Wed</v>
      </c>
      <c r="E54" s="92" t="s">
        <v>220</v>
      </c>
      <c r="F54" s="92" t="s">
        <v>222</v>
      </c>
      <c r="G54" s="92" t="s">
        <v>231</v>
      </c>
      <c r="H54" s="92" t="s">
        <v>227</v>
      </c>
      <c r="I54" s="93" t="str">
        <f>IF(F54=0,"",IF(COUNTIF(F54,"Bao"),[1]Setup!$B$4,IF(COUNTIF(F54,"Soup Dumplings"),[1]Setup!$B$5,F54)))</f>
        <v>Bao Prep</v>
      </c>
      <c r="J54" s="94">
        <f t="shared" si="16"/>
        <v>0</v>
      </c>
      <c r="K54" s="94" t="s">
        <v>265</v>
      </c>
      <c r="L54" s="87"/>
      <c r="M54" s="87"/>
      <c r="N54" s="87"/>
      <c r="O54" s="87"/>
      <c r="P54" s="89" t="str">
        <f t="shared" si="11"/>
        <v/>
      </c>
      <c r="Q54" s="89" t="str">
        <f t="shared" si="12"/>
        <v/>
      </c>
      <c r="R54" s="89" t="str">
        <f t="shared" si="13"/>
        <v/>
      </c>
      <c r="S54" s="88" t="str">
        <f>IF(F54="Bao",[1]Setup!$B$4,IF(F54="Soup Dumplings",[1]Setup!$B$5,""))</f>
        <v/>
      </c>
      <c r="T54" s="88" t="str">
        <f t="shared" si="14"/>
        <v/>
      </c>
      <c r="U54" s="84">
        <f t="shared" si="6"/>
        <v>46156</v>
      </c>
      <c r="V54" s="88">
        <f>IF(U54="",0,MAX(0,T54)+N54+ROUND(J54*[1]Setup!$B$9,0)+IF(O54&gt;[1]Setup!$B$10,ROUND(J54*[1]Setup!$B$11,0),0))</f>
        <v>0</v>
      </c>
      <c r="W54" s="85" t="str">
        <f>IF(L54="","Open",IF(OR(P54&lt;[1]Setup!$B$6,Q54&gt;[1]Setup!$B$7,R54&gt;[1]Setup!$B$8,O54&gt;[1]Setup!$B$10),"Review","OK"))</f>
        <v>Open</v>
      </c>
      <c r="X54" s="86"/>
      <c r="Z54" s="81" t="str">
        <f t="shared" si="9"/>
        <v>Bao</v>
      </c>
    </row>
    <row r="55" spans="1:26" x14ac:dyDescent="0.3">
      <c r="A55" s="84">
        <v>46155</v>
      </c>
      <c r="B55" s="100">
        <f t="shared" si="7"/>
        <v>20</v>
      </c>
      <c r="C55" s="84" t="str">
        <f t="shared" si="8"/>
        <v>May</v>
      </c>
      <c r="D55" s="85" t="str">
        <f t="shared" si="0"/>
        <v>Wed</v>
      </c>
      <c r="E55" s="86" t="s">
        <v>220</v>
      </c>
      <c r="F55" s="86" t="s">
        <v>222</v>
      </c>
      <c r="G55" s="86" t="s">
        <v>235</v>
      </c>
      <c r="H55" s="86" t="s">
        <v>227</v>
      </c>
      <c r="I55" s="87" t="str">
        <f>IF(F55=0,"",IF(COUNTIF(F55,"Bao"),[1]Setup!$B$4,IF(COUNTIF(F55,"Soup Dumplings"),[1]Setup!$B$5,F55)))</f>
        <v>Bao Prep</v>
      </c>
      <c r="J55" s="88">
        <f t="shared" si="16"/>
        <v>0</v>
      </c>
      <c r="K55" s="88" t="s">
        <v>266</v>
      </c>
      <c r="L55" s="87"/>
      <c r="M55" s="87"/>
      <c r="N55" s="87"/>
      <c r="O55" s="87"/>
      <c r="P55" s="89" t="str">
        <f t="shared" si="11"/>
        <v/>
      </c>
      <c r="Q55" s="89" t="str">
        <f t="shared" si="12"/>
        <v/>
      </c>
      <c r="R55" s="89" t="str">
        <f t="shared" si="13"/>
        <v/>
      </c>
      <c r="S55" s="88" t="str">
        <f>IF(F55="Bao",[1]Setup!$B$4,IF(F55="Soup Dumplings",[1]Setup!$B$5,""))</f>
        <v/>
      </c>
      <c r="T55" s="88" t="str">
        <f t="shared" si="14"/>
        <v/>
      </c>
      <c r="U55" s="84">
        <f t="shared" si="6"/>
        <v>46156</v>
      </c>
      <c r="V55" s="88">
        <f>IF(U55="",0,MAX(0,T55)+N55+ROUND(J55*[1]Setup!$B$9,0)+IF(O55&gt;[1]Setup!$B$10,ROUND(J55*[1]Setup!$B$11,0),0))</f>
        <v>0</v>
      </c>
      <c r="W55" s="85" t="str">
        <f>IF(L55="","Open",IF(OR(P55&lt;[1]Setup!$B$6,Q55&gt;[1]Setup!$B$7,R55&gt;[1]Setup!$B$8,O55&gt;[1]Setup!$B$10),"Review","OK"))</f>
        <v>Open</v>
      </c>
      <c r="X55" s="86"/>
      <c r="Z55" s="81" t="str">
        <f t="shared" si="9"/>
        <v>Bao</v>
      </c>
    </row>
    <row r="56" spans="1:26" ht="28.8" x14ac:dyDescent="0.3">
      <c r="A56" s="84">
        <v>46155</v>
      </c>
      <c r="B56" s="100">
        <f t="shared" si="7"/>
        <v>20</v>
      </c>
      <c r="C56" s="84" t="str">
        <f t="shared" si="8"/>
        <v>May</v>
      </c>
      <c r="D56" s="85" t="str">
        <f t="shared" si="0"/>
        <v>Wed</v>
      </c>
      <c r="E56" s="86" t="s">
        <v>220</v>
      </c>
      <c r="F56" s="86" t="s">
        <v>237</v>
      </c>
      <c r="G56" s="86" t="s">
        <v>238</v>
      </c>
      <c r="H56" s="86" t="s">
        <v>227</v>
      </c>
      <c r="I56" s="87" t="str">
        <f>IF(F56=0,"",IF(COUNTIF(F56,"Bao"),[1]Setup!$B$4,IF(COUNTIF(F56,"Soup Dumplings"),[1]Setup!$B$5,F56)))</f>
        <v>Soup Dumpling Prep</v>
      </c>
      <c r="J56" s="88">
        <f t="shared" si="16"/>
        <v>0</v>
      </c>
      <c r="K56" s="88" t="s">
        <v>228</v>
      </c>
      <c r="L56" s="87"/>
      <c r="M56" s="87"/>
      <c r="N56" s="87"/>
      <c r="O56" s="87"/>
      <c r="P56" s="89" t="str">
        <f t="shared" si="11"/>
        <v/>
      </c>
      <c r="Q56" s="89" t="str">
        <f t="shared" si="12"/>
        <v/>
      </c>
      <c r="R56" s="89" t="str">
        <f t="shared" si="13"/>
        <v/>
      </c>
      <c r="S56" s="88" t="str">
        <f>IF(F56="Bao",[1]Setup!$B$4,IF(F56="Soup Dumplings",[1]Setup!$B$5,""))</f>
        <v/>
      </c>
      <c r="T56" s="88" t="str">
        <f t="shared" si="14"/>
        <v/>
      </c>
      <c r="U56" s="84">
        <f t="shared" si="6"/>
        <v>46156</v>
      </c>
      <c r="V56" s="88">
        <f>IF(U56="",0,MAX(0,T56)+N56+ROUND(J56*[1]Setup!$B$9,0)+IF(O56&gt;[1]Setup!$B$10,ROUND(J56*[1]Setup!$B$11,0),0))</f>
        <v>0</v>
      </c>
      <c r="W56" s="85" t="str">
        <f>IF(L56="","Open",IF(OR(P56&lt;[1]Setup!$B$6,Q56&gt;[1]Setup!$B$7,R56&gt;[1]Setup!$B$8,O56&gt;[1]Setup!$B$10),"Review","OK"))</f>
        <v>Open</v>
      </c>
      <c r="X56" s="86"/>
      <c r="Z56" s="81" t="str">
        <f t="shared" si="9"/>
        <v>Sou</v>
      </c>
    </row>
    <row r="57" spans="1:26" ht="28.8" x14ac:dyDescent="0.3">
      <c r="A57" s="84">
        <v>46155</v>
      </c>
      <c r="B57" s="100">
        <f t="shared" si="7"/>
        <v>20</v>
      </c>
      <c r="C57" s="84" t="str">
        <f t="shared" si="8"/>
        <v>May</v>
      </c>
      <c r="D57" s="85" t="str">
        <f t="shared" si="0"/>
        <v>Wed</v>
      </c>
      <c r="E57" s="86" t="s">
        <v>220</v>
      </c>
      <c r="F57" s="86" t="s">
        <v>237</v>
      </c>
      <c r="G57" s="86" t="s">
        <v>238</v>
      </c>
      <c r="H57" s="86" t="s">
        <v>229</v>
      </c>
      <c r="I57" s="87" t="str">
        <f>IF(F57=0,"",IF(COUNTIF(F57,"Bao"),[1]Setup!$B$4,IF(COUNTIF(F57,"Soup Dumplings"),[1]Setup!$B$5,F57)))</f>
        <v>Soup Dumpling Prep</v>
      </c>
      <c r="J57" s="88">
        <f t="shared" si="16"/>
        <v>0</v>
      </c>
      <c r="K57" s="88" t="s">
        <v>267</v>
      </c>
      <c r="L57" s="87"/>
      <c r="M57" s="87"/>
      <c r="N57" s="87"/>
      <c r="O57" s="87"/>
      <c r="P57" s="89" t="str">
        <f t="shared" si="11"/>
        <v/>
      </c>
      <c r="Q57" s="89" t="str">
        <f t="shared" si="12"/>
        <v/>
      </c>
      <c r="R57" s="89" t="str">
        <f t="shared" si="13"/>
        <v/>
      </c>
      <c r="S57" s="88" t="str">
        <f>IF(F57="Bao",[1]Setup!$B$4,IF(F57="Soup Dumplings",[1]Setup!$B$5,""))</f>
        <v/>
      </c>
      <c r="T57" s="88" t="str">
        <f t="shared" si="14"/>
        <v/>
      </c>
      <c r="U57" s="84">
        <f t="shared" si="6"/>
        <v>46156</v>
      </c>
      <c r="V57" s="88">
        <f>IF(U57="",0,MAX(0,T57)+N57+ROUND(J57*[1]Setup!$B$9,0)+IF(O57&gt;[1]Setup!$B$10,ROUND(J57*[1]Setup!$B$11,0),0))</f>
        <v>0</v>
      </c>
      <c r="W57" s="85" t="str">
        <f>IF(L57="","Open",IF(OR(P57&lt;[1]Setup!$B$6,Q57&gt;[1]Setup!$B$7,R57&gt;[1]Setup!$B$8,O57&gt;[1]Setup!$B$10),"Review","OK"))</f>
        <v>Open</v>
      </c>
      <c r="X57" s="86"/>
      <c r="Z57" s="81" t="str">
        <f t="shared" si="9"/>
        <v>Sou</v>
      </c>
    </row>
    <row r="58" spans="1:26" ht="43.2" x14ac:dyDescent="0.3">
      <c r="A58" s="84">
        <v>46155</v>
      </c>
      <c r="B58" s="100">
        <f t="shared" si="7"/>
        <v>20</v>
      </c>
      <c r="C58" s="84" t="str">
        <f t="shared" si="8"/>
        <v>May</v>
      </c>
      <c r="D58" s="85" t="str">
        <f t="shared" si="0"/>
        <v>Wed</v>
      </c>
      <c r="E58" s="86" t="s">
        <v>220</v>
      </c>
      <c r="F58" s="86" t="s">
        <v>237</v>
      </c>
      <c r="G58" s="86" t="s">
        <v>240</v>
      </c>
      <c r="H58" s="86" t="s">
        <v>224</v>
      </c>
      <c r="I58" s="87" t="str">
        <f>IF(F58=0,"",IF(COUNTIF(F58,"Bao"),[1]Setup!$B$4,IF(COUNTIF(F58,"Soup Dumplings"),[1]Setup!$B$5,F58)))</f>
        <v>Soup Dumpling Prep</v>
      </c>
      <c r="J58" s="88">
        <f t="shared" si="16"/>
        <v>0</v>
      </c>
      <c r="K58" s="88" t="s">
        <v>241</v>
      </c>
      <c r="L58" s="87"/>
      <c r="M58" s="87"/>
      <c r="N58" s="87"/>
      <c r="O58" s="87"/>
      <c r="P58" s="89" t="str">
        <f t="shared" si="11"/>
        <v/>
      </c>
      <c r="Q58" s="89" t="str">
        <f t="shared" si="12"/>
        <v/>
      </c>
      <c r="R58" s="89" t="str">
        <f t="shared" si="13"/>
        <v/>
      </c>
      <c r="S58" s="88" t="str">
        <f>IF(F58="Bao",[1]Setup!$B$4,IF(F58="Soup Dumplings",[1]Setup!$B$5,""))</f>
        <v/>
      </c>
      <c r="T58" s="88" t="str">
        <f t="shared" si="14"/>
        <v/>
      </c>
      <c r="U58" s="84">
        <f t="shared" si="6"/>
        <v>46156</v>
      </c>
      <c r="V58" s="88">
        <f>IF(U58="",0,MAX(0,T58)+N58+ROUND(J58*[1]Setup!$B$9,0)+IF(O58&gt;[1]Setup!$B$10,ROUND(J58*[1]Setup!$B$11,0),0))</f>
        <v>0</v>
      </c>
      <c r="W58" s="85" t="str">
        <f>IF(L58="","Open",IF(OR(P58&lt;[1]Setup!$B$6,Q58&gt;[1]Setup!$B$7,R58&gt;[1]Setup!$B$8,O58&gt;[1]Setup!$B$10),"Review","OK"))</f>
        <v>Open</v>
      </c>
      <c r="X58" s="86"/>
      <c r="Z58" s="81" t="str">
        <f t="shared" si="9"/>
        <v>Sou</v>
      </c>
    </row>
    <row r="59" spans="1:26" ht="28.8" x14ac:dyDescent="0.3">
      <c r="A59" s="84">
        <v>46155</v>
      </c>
      <c r="B59" s="100">
        <f t="shared" si="7"/>
        <v>20</v>
      </c>
      <c r="C59" s="84" t="str">
        <f t="shared" si="8"/>
        <v>May</v>
      </c>
      <c r="D59" s="85" t="str">
        <f t="shared" si="0"/>
        <v>Wed</v>
      </c>
      <c r="E59" s="86" t="s">
        <v>220</v>
      </c>
      <c r="F59" s="86" t="s">
        <v>237</v>
      </c>
      <c r="G59" s="86" t="s">
        <v>242</v>
      </c>
      <c r="H59" s="86" t="s">
        <v>232</v>
      </c>
      <c r="I59" s="87" t="str">
        <f>IF(F59=0,"",IF(COUNTIF(F59,"Bao"),[1]Setup!$B$4,IF(COUNTIF(F59,"Soup Dumplings"),[1]Setup!$B$5,F59)))</f>
        <v>Soup Dumpling Prep</v>
      </c>
      <c r="J59" s="88">
        <f t="shared" si="16"/>
        <v>0</v>
      </c>
      <c r="K59" s="88" t="s">
        <v>255</v>
      </c>
      <c r="L59" s="87"/>
      <c r="M59" s="87"/>
      <c r="N59" s="87"/>
      <c r="O59" s="87"/>
      <c r="P59" s="89" t="str">
        <f t="shared" si="11"/>
        <v/>
      </c>
      <c r="Q59" s="89" t="str">
        <f t="shared" si="12"/>
        <v/>
      </c>
      <c r="R59" s="89" t="str">
        <f t="shared" si="13"/>
        <v/>
      </c>
      <c r="S59" s="88" t="str">
        <f>IF(F59="Bao",[1]Setup!$B$4,IF(F59="Soup Dumplings",[1]Setup!$B$5,""))</f>
        <v/>
      </c>
      <c r="T59" s="88" t="str">
        <f t="shared" si="14"/>
        <v/>
      </c>
      <c r="U59" s="84">
        <f t="shared" si="6"/>
        <v>46156</v>
      </c>
      <c r="V59" s="88">
        <f>IF(U59="",0,MAX(0,T59)+N59+ROUND(J59*[1]Setup!$B$9,0)+IF(O59&gt;[1]Setup!$B$10,ROUND(J59*[1]Setup!$B$11,0),0))</f>
        <v>0</v>
      </c>
      <c r="W59" s="85" t="str">
        <f>IF(L59="","Open",IF(OR(P59&lt;[1]Setup!$B$6,Q59&gt;[1]Setup!$B$7,R59&gt;[1]Setup!$B$8,O59&gt;[1]Setup!$B$10),"Review","OK"))</f>
        <v>Open</v>
      </c>
      <c r="X59" s="86"/>
      <c r="Z59" s="81" t="str">
        <f t="shared" si="9"/>
        <v>Sou</v>
      </c>
    </row>
    <row r="60" spans="1:26" x14ac:dyDescent="0.3">
      <c r="A60" s="84">
        <v>46155</v>
      </c>
      <c r="B60" s="100">
        <f t="shared" si="7"/>
        <v>20</v>
      </c>
      <c r="C60" s="84" t="str">
        <f t="shared" si="8"/>
        <v>May</v>
      </c>
      <c r="D60" s="85" t="str">
        <f t="shared" si="0"/>
        <v>Wed</v>
      </c>
      <c r="E60" s="86" t="s">
        <v>220</v>
      </c>
      <c r="F60" s="86" t="s">
        <v>87</v>
      </c>
      <c r="G60" s="86" t="s">
        <v>244</v>
      </c>
      <c r="H60" s="86" t="s">
        <v>245</v>
      </c>
      <c r="I60" s="87">
        <f>IF(F60=0,"",IF(COUNTIF(F60,"Bao"),[1]Setup!$B$4,IF(COUNTIF(F60,"Soup Dumplings"),[1]Setup!$B$5,F60)))</f>
        <v>90000</v>
      </c>
      <c r="J60" s="88">
        <f t="shared" si="16"/>
        <v>91836</v>
      </c>
      <c r="K60" s="88"/>
      <c r="L60" s="87"/>
      <c r="M60" s="87"/>
      <c r="N60" s="87"/>
      <c r="O60" s="87"/>
      <c r="P60" s="89">
        <f t="shared" si="11"/>
        <v>0</v>
      </c>
      <c r="Q60" s="89">
        <f t="shared" si="12"/>
        <v>1</v>
      </c>
      <c r="R60" s="89">
        <f t="shared" si="13"/>
        <v>0</v>
      </c>
      <c r="S60" s="88">
        <f>IF(F60="Bao",[1]Setup!$B$4,IF(F60="Soup Dumplings",[1]Setup!$B$5,""))</f>
        <v>90000</v>
      </c>
      <c r="T60" s="88" t="str">
        <f t="shared" si="14"/>
        <v/>
      </c>
      <c r="U60" s="84">
        <f t="shared" si="6"/>
        <v>46156</v>
      </c>
      <c r="V60" s="88">
        <f>IF(U60="",0,MAX(0,T60)+N60+ROUND(J60*[1]Setup!$B$9,0)+IF(O60&gt;[1]Setup!$B$10,ROUND(J60*[1]Setup!$B$11,0),0))</f>
        <v>1837</v>
      </c>
      <c r="W60" s="85" t="str">
        <f>IF(L60="","Open",IF(OR(P60&lt;[1]Setup!$B$6,Q60&gt;[1]Setup!$B$7,R60&gt;[1]Setup!$B$8,O60&gt;[1]Setup!$B$10),"Review","OK"))</f>
        <v>Open</v>
      </c>
      <c r="X60" s="86"/>
      <c r="Z60" s="81" t="str">
        <f t="shared" si="9"/>
        <v>Sou</v>
      </c>
    </row>
    <row r="61" spans="1:26" ht="28.8" x14ac:dyDescent="0.3">
      <c r="A61" s="84">
        <v>46155</v>
      </c>
      <c r="B61" s="100">
        <f t="shared" si="7"/>
        <v>20</v>
      </c>
      <c r="C61" s="84" t="str">
        <f t="shared" si="8"/>
        <v>May</v>
      </c>
      <c r="D61" s="85" t="str">
        <f t="shared" si="0"/>
        <v>Wed</v>
      </c>
      <c r="E61" s="86" t="s">
        <v>220</v>
      </c>
      <c r="F61" s="86" t="s">
        <v>237</v>
      </c>
      <c r="G61" s="86" t="s">
        <v>246</v>
      </c>
      <c r="H61" s="86" t="s">
        <v>232</v>
      </c>
      <c r="I61" s="87" t="str">
        <f>IF(F61=0,"",IF(COUNTIF(F61,"Bao"),[1]Setup!$B$4,IF(COUNTIF(F61,"Soup Dumplings"),[1]Setup!$B$5,F61)))</f>
        <v>Soup Dumpling Prep</v>
      </c>
      <c r="J61" s="88">
        <v>0</v>
      </c>
      <c r="K61" s="88" t="s">
        <v>268</v>
      </c>
      <c r="L61" s="87"/>
      <c r="M61" s="87"/>
      <c r="N61" s="87"/>
      <c r="O61" s="87"/>
      <c r="P61" s="89" t="str">
        <f t="shared" si="11"/>
        <v/>
      </c>
      <c r="Q61" s="89" t="str">
        <f t="shared" si="12"/>
        <v/>
      </c>
      <c r="R61" s="89" t="str">
        <f t="shared" si="13"/>
        <v/>
      </c>
      <c r="S61" s="88" t="str">
        <f>IF(F61="Bao",[1]Setup!$B$4,IF(F61="Soup Dumplings",[1]Setup!$B$5,""))</f>
        <v/>
      </c>
      <c r="T61" s="88" t="str">
        <f t="shared" si="14"/>
        <v/>
      </c>
      <c r="U61" s="84">
        <f t="shared" si="6"/>
        <v>46156</v>
      </c>
      <c r="V61" s="88">
        <f>IF(U61="",0,MAX(0,T61)+N61+ROUND(J61*[1]Setup!$B$9,0)+IF(O61&gt;[1]Setup!$B$10,ROUND(J61*[1]Setup!$B$11,0),0))</f>
        <v>0</v>
      </c>
      <c r="W61" s="85" t="str">
        <f>IF(L61="","Open",IF(OR(P61&lt;[1]Setup!$B$6,Q61&gt;[1]Setup!$B$7,R61&gt;[1]Setup!$B$8,O61&gt;[1]Setup!$B$10),"Review","OK"))</f>
        <v>Open</v>
      </c>
      <c r="X61" s="86"/>
      <c r="Z61" s="81" t="str">
        <f t="shared" si="9"/>
        <v>Sou</v>
      </c>
    </row>
    <row r="62" spans="1:26" x14ac:dyDescent="0.3">
      <c r="A62" s="84">
        <v>46155</v>
      </c>
      <c r="B62" s="100">
        <f t="shared" si="7"/>
        <v>20</v>
      </c>
      <c r="C62" s="84" t="str">
        <f t="shared" si="8"/>
        <v>May</v>
      </c>
      <c r="D62" s="85" t="str">
        <f t="shared" si="0"/>
        <v>Wed</v>
      </c>
      <c r="E62" s="86" t="s">
        <v>220</v>
      </c>
      <c r="F62" s="86" t="s">
        <v>222</v>
      </c>
      <c r="G62" s="86" t="s">
        <v>257</v>
      </c>
      <c r="H62" s="86" t="s">
        <v>227</v>
      </c>
      <c r="I62" s="87" t="str">
        <f>IF(F62=0,"",IF(COUNTIF(F62,"Bao"),[1]Setup!$B$4,IF(COUNTIF(F62,"Soup Dumplings"),[1]Setup!$B$5,F62)))</f>
        <v>Bao Prep</v>
      </c>
      <c r="J62" s="88">
        <f>IF(A62="","",
   IFERROR(
      N(I62)+SUMIFS($V$4:$V$30,$U$4:$U$30,A62,$G$4:$G$30,G62),
   0)
)</f>
        <v>0</v>
      </c>
      <c r="K62" s="88" t="s">
        <v>258</v>
      </c>
      <c r="L62" s="87"/>
      <c r="M62" s="87"/>
      <c r="N62" s="87"/>
      <c r="O62" s="87"/>
      <c r="P62" s="89" t="str">
        <f t="shared" si="11"/>
        <v/>
      </c>
      <c r="Q62" s="89" t="str">
        <f t="shared" si="12"/>
        <v/>
      </c>
      <c r="R62" s="89" t="str">
        <f t="shared" si="13"/>
        <v/>
      </c>
      <c r="S62" s="88" t="str">
        <f>IF(F62="Bao",[1]Setup!$B$4,IF(F62="Soup Dumplings",[1]Setup!$B$5,""))</f>
        <v/>
      </c>
      <c r="T62" s="88" t="str">
        <f t="shared" si="14"/>
        <v/>
      </c>
      <c r="U62" s="84">
        <f t="shared" si="6"/>
        <v>46156</v>
      </c>
      <c r="V62" s="88">
        <f>IF(U62="",0,MAX(0,T62)+N62+ROUND(J62*[1]Setup!$B$9,0)+IF(O62&gt;[1]Setup!$B$10,ROUND(J62*[1]Setup!$B$11,0),0))</f>
        <v>0</v>
      </c>
      <c r="W62" s="85" t="str">
        <f>IF(L62="","Open",IF(OR(P62&lt;[1]Setup!$B$6,Q62&gt;[1]Setup!$B$7,R62&gt;[1]Setup!$B$8,O62&gt;[1]Setup!$B$10),"Review","OK"))</f>
        <v>Open</v>
      </c>
      <c r="X62" s="86"/>
      <c r="Z62" s="81" t="str">
        <f t="shared" si="9"/>
        <v>Bao</v>
      </c>
    </row>
    <row r="63" spans="1:26" ht="28.8" x14ac:dyDescent="0.3">
      <c r="A63" s="84">
        <v>46155</v>
      </c>
      <c r="B63" s="100">
        <f t="shared" si="7"/>
        <v>20</v>
      </c>
      <c r="C63" s="84" t="str">
        <f t="shared" si="8"/>
        <v>May</v>
      </c>
      <c r="D63" s="85" t="str">
        <f t="shared" si="0"/>
        <v>Wed</v>
      </c>
      <c r="E63" s="86" t="s">
        <v>220</v>
      </c>
      <c r="F63" s="86" t="s">
        <v>237</v>
      </c>
      <c r="G63" s="86" t="s">
        <v>259</v>
      </c>
      <c r="H63" s="86" t="s">
        <v>227</v>
      </c>
      <c r="I63" s="87" t="str">
        <f>IF(F63=0,"",IF(COUNTIF(F63,"Bao"),[1]Setup!$B$4,IF(COUNTIF(F63,"Soup Dumplings"),[1]Setup!$B$5,F63)))</f>
        <v>Soup Dumpling Prep</v>
      </c>
      <c r="J63" s="88">
        <f>IF(A63="","",
   IFERROR(
      N(I63)+SUMIFS($V$4:$V$30,$U$4:$U$30,A63,$G$4:$G$30,G63),
   0)
)</f>
        <v>0</v>
      </c>
      <c r="K63" s="88" t="s">
        <v>269</v>
      </c>
      <c r="L63" s="87"/>
      <c r="M63" s="87"/>
      <c r="N63" s="87"/>
      <c r="O63" s="87"/>
      <c r="P63" s="89" t="str">
        <f t="shared" si="11"/>
        <v/>
      </c>
      <c r="Q63" s="89" t="str">
        <f t="shared" si="12"/>
        <v/>
      </c>
      <c r="R63" s="89" t="str">
        <f t="shared" si="13"/>
        <v/>
      </c>
      <c r="S63" s="88" t="str">
        <f>IF(F63="Bao",[1]Setup!$B$4,IF(F63="Soup Dumplings",[1]Setup!$B$5,""))</f>
        <v/>
      </c>
      <c r="T63" s="88" t="str">
        <f t="shared" si="14"/>
        <v/>
      </c>
      <c r="U63" s="84">
        <f t="shared" si="6"/>
        <v>46156</v>
      </c>
      <c r="V63" s="88">
        <f>IF(U63="",0,MAX(0,T63)+N63+ROUND(J63*[1]Setup!$B$9,0)+IF(O63&gt;[1]Setup!$B$10,ROUND(J63*[1]Setup!$B$11,0),0))</f>
        <v>0</v>
      </c>
      <c r="W63" s="85" t="str">
        <f>IF(L63="","Open",IF(OR(P63&lt;[1]Setup!$B$6,Q63&gt;[1]Setup!$B$7,R63&gt;[1]Setup!$B$8,O63&gt;[1]Setup!$B$10),"Review","OK"))</f>
        <v>Open</v>
      </c>
      <c r="X63" s="86"/>
      <c r="Z63" s="81" t="str">
        <f t="shared" si="9"/>
        <v>Sou</v>
      </c>
    </row>
    <row r="64" spans="1:26" ht="28.8" x14ac:dyDescent="0.3">
      <c r="A64" s="84">
        <v>46154</v>
      </c>
      <c r="B64" s="100">
        <f t="shared" si="7"/>
        <v>20</v>
      </c>
      <c r="C64" s="84" t="str">
        <f t="shared" si="8"/>
        <v>May</v>
      </c>
      <c r="D64" s="85" t="str">
        <f t="shared" si="0"/>
        <v>Tue</v>
      </c>
      <c r="E64" s="86" t="s">
        <v>220</v>
      </c>
      <c r="F64" s="86" t="s">
        <v>248</v>
      </c>
      <c r="G64" s="86" t="s">
        <v>244</v>
      </c>
      <c r="H64" s="86" t="s">
        <v>249</v>
      </c>
      <c r="I64" s="87" t="str">
        <f>IF(F64=0,"",IF(COUNTIF(F64,"Bao"),[1]Setup!$B$4,IF(COUNTIF(F64,"Soup Dumplings"),[1]Setup!$B$5,F64)))</f>
        <v>Pack Soup Dumplings</v>
      </c>
      <c r="J64" s="88">
        <v>0</v>
      </c>
      <c r="K64" s="88" t="s">
        <v>250</v>
      </c>
      <c r="L64" s="87"/>
      <c r="M64" s="87"/>
      <c r="N64" s="87"/>
      <c r="O64" s="87"/>
      <c r="P64" s="89" t="str">
        <f t="shared" si="11"/>
        <v/>
      </c>
      <c r="Q64" s="89" t="str">
        <f t="shared" si="12"/>
        <v/>
      </c>
      <c r="R64" s="89" t="str">
        <f t="shared" si="13"/>
        <v/>
      </c>
      <c r="S64" s="88" t="str">
        <f>IF(F64="Bao",[1]Setup!$B$4,IF(F64="Soup Dumplings",[1]Setup!$B$5,""))</f>
        <v/>
      </c>
      <c r="T64" s="88" t="str">
        <f t="shared" si="14"/>
        <v/>
      </c>
      <c r="U64" s="84">
        <f t="shared" si="6"/>
        <v>46155</v>
      </c>
      <c r="V64" s="88">
        <f>IF(U64="",0,MAX(0,T64)+N64+ROUND(J64*[1]Setup!$B$9,0)+IF(O64&gt;[1]Setup!$B$10,ROUND(J64*[1]Setup!$B$11,0),0))</f>
        <v>0</v>
      </c>
      <c r="W64" s="85" t="str">
        <f>IF(L64="","Open",IF(OR(P64&lt;[1]Setup!$B$6,Q64&gt;[1]Setup!$B$7,R64&gt;[1]Setup!$B$8,O64&gt;[1]Setup!$B$10),"Review","OK"))</f>
        <v>Open</v>
      </c>
      <c r="X64" s="86"/>
      <c r="Z64" s="81" t="str">
        <f t="shared" si="9"/>
        <v>Pac</v>
      </c>
    </row>
    <row r="65" spans="1:26" x14ac:dyDescent="0.3">
      <c r="A65" s="84">
        <v>46156</v>
      </c>
      <c r="B65" s="100">
        <f t="shared" si="7"/>
        <v>20</v>
      </c>
      <c r="C65" s="84" t="str">
        <f t="shared" si="8"/>
        <v>May</v>
      </c>
      <c r="D65" s="85" t="str">
        <f t="shared" si="0"/>
        <v>Thu</v>
      </c>
      <c r="E65" s="86" t="s">
        <v>220</v>
      </c>
      <c r="F65" s="86" t="s">
        <v>52</v>
      </c>
      <c r="G65" s="86" t="s">
        <v>82</v>
      </c>
      <c r="H65" s="86" t="s">
        <v>221</v>
      </c>
      <c r="I65" s="87">
        <v>20000</v>
      </c>
      <c r="J65" s="88">
        <f t="shared" ref="J65:J75" si="17">IF(A65="","",
   IFERROR(
      N(I65)+SUMIFS($V$4:$V$30,$U$4:$U$30,A65,$G$4:$G$30,G65),
   0)
)</f>
        <v>20000</v>
      </c>
      <c r="K65" s="88"/>
      <c r="L65" s="87"/>
      <c r="M65" s="87"/>
      <c r="N65" s="87"/>
      <c r="O65" s="87"/>
      <c r="P65" s="89">
        <f t="shared" si="11"/>
        <v>0</v>
      </c>
      <c r="Q65" s="89">
        <f t="shared" si="12"/>
        <v>1</v>
      </c>
      <c r="R65" s="89">
        <f t="shared" si="13"/>
        <v>0</v>
      </c>
      <c r="S65" s="88">
        <f>IF(F65="Bao",[1]Setup!$B$4,IF(F65="Soup Dumplings",[1]Setup!$B$5,""))</f>
        <v>15000</v>
      </c>
      <c r="T65" s="88" t="str">
        <f t="shared" si="14"/>
        <v/>
      </c>
      <c r="U65" s="84">
        <f t="shared" si="6"/>
        <v>46157</v>
      </c>
      <c r="V65" s="88">
        <f>IF(U65="",0,MAX(0,T65)+N65+ROUND(J65*[1]Setup!$B$9,0)+IF(O65&gt;[1]Setup!$B$10,ROUND(J65*[1]Setup!$B$11,0),0))</f>
        <v>400</v>
      </c>
      <c r="W65" s="85" t="str">
        <f>IF(L65="","Open",IF(OR(P65&lt;[1]Setup!$B$6,Q65&gt;[1]Setup!$B$7,R65&gt;[1]Setup!$B$8,O65&gt;[1]Setup!$B$10),"Review","OK"))</f>
        <v>Open</v>
      </c>
      <c r="X65" s="86"/>
      <c r="Z65" s="81" t="str">
        <f t="shared" si="9"/>
        <v>Bao</v>
      </c>
    </row>
    <row r="66" spans="1:26" ht="28.8" x14ac:dyDescent="0.3">
      <c r="A66" s="84">
        <v>46156</v>
      </c>
      <c r="B66" s="100">
        <f t="shared" si="7"/>
        <v>20</v>
      </c>
      <c r="C66" s="84" t="str">
        <f t="shared" si="8"/>
        <v>May</v>
      </c>
      <c r="D66" s="85" t="str">
        <f t="shared" si="0"/>
        <v>Thu</v>
      </c>
      <c r="E66" s="86" t="s">
        <v>220</v>
      </c>
      <c r="F66" s="86" t="s">
        <v>222</v>
      </c>
      <c r="G66" s="86" t="s">
        <v>223</v>
      </c>
      <c r="H66" s="86" t="s">
        <v>224</v>
      </c>
      <c r="I66" s="87" t="str">
        <f>IF(F66=0,"",IF(COUNTIF(F66,"Bao"),[1]Setup!$B$4,IF(COUNTIF(F66,"Soup Dumplings"),[1]Setup!$B$5,F66)))</f>
        <v>Bao Prep</v>
      </c>
      <c r="J66" s="88">
        <f t="shared" si="17"/>
        <v>0</v>
      </c>
      <c r="K66" s="88" t="s">
        <v>270</v>
      </c>
      <c r="L66" s="87"/>
      <c r="M66" s="87"/>
      <c r="N66" s="87"/>
      <c r="O66" s="87"/>
      <c r="P66" s="89" t="str">
        <f t="shared" si="11"/>
        <v/>
      </c>
      <c r="Q66" s="89" t="str">
        <f t="shared" si="12"/>
        <v/>
      </c>
      <c r="R66" s="89" t="str">
        <f t="shared" si="13"/>
        <v/>
      </c>
      <c r="S66" s="88" t="str">
        <f>IF(F66="Bao",[1]Setup!$B$4,IF(F66="Soup Dumplings",[1]Setup!$B$5,""))</f>
        <v/>
      </c>
      <c r="T66" s="88" t="str">
        <f t="shared" si="14"/>
        <v/>
      </c>
      <c r="U66" s="84">
        <f t="shared" si="6"/>
        <v>46157</v>
      </c>
      <c r="V66" s="88">
        <f>IF(U66="",0,MAX(0,T66)+N66+ROUND(J66*[1]Setup!$B$9,0)+IF(O66&gt;[1]Setup!$B$10,ROUND(J66*[1]Setup!$B$11,0),0))</f>
        <v>0</v>
      </c>
      <c r="W66" s="85" t="str">
        <f>IF(L66="","Open",IF(OR(P66&lt;[1]Setup!$B$6,Q66&gt;[1]Setup!$B$7,R66&gt;[1]Setup!$B$8,O66&gt;[1]Setup!$B$10),"Review","OK"))</f>
        <v>Open</v>
      </c>
      <c r="X66" s="86"/>
      <c r="Z66" s="81" t="str">
        <f t="shared" si="9"/>
        <v>Bao</v>
      </c>
    </row>
    <row r="67" spans="1:26" x14ac:dyDescent="0.3">
      <c r="A67" s="90">
        <v>46156</v>
      </c>
      <c r="B67" s="100">
        <f t="shared" si="7"/>
        <v>20</v>
      </c>
      <c r="C67" s="84" t="str">
        <f t="shared" si="8"/>
        <v>May</v>
      </c>
      <c r="D67" s="91" t="str">
        <f t="shared" si="0"/>
        <v>Thu</v>
      </c>
      <c r="E67" s="92" t="s">
        <v>220</v>
      </c>
      <c r="F67" s="92" t="s">
        <v>222</v>
      </c>
      <c r="G67" s="92" t="s">
        <v>226</v>
      </c>
      <c r="H67" s="92" t="s">
        <v>227</v>
      </c>
      <c r="I67" s="93" t="str">
        <f>IF(F67=0,"",IF(COUNTIF(F67,"Bao"),[1]Setup!$B$4,IF(COUNTIF(F67,"Soup Dumplings"),[1]Setup!$B$5,F67)))</f>
        <v>Bao Prep</v>
      </c>
      <c r="J67" s="94">
        <f t="shared" si="17"/>
        <v>0</v>
      </c>
      <c r="K67" s="94" t="s">
        <v>265</v>
      </c>
      <c r="L67" s="87"/>
      <c r="M67" s="87"/>
      <c r="N67" s="87"/>
      <c r="O67" s="87"/>
      <c r="P67" s="89" t="str">
        <f t="shared" si="11"/>
        <v/>
      </c>
      <c r="Q67" s="89" t="str">
        <f t="shared" si="12"/>
        <v/>
      </c>
      <c r="R67" s="89" t="str">
        <f t="shared" si="13"/>
        <v/>
      </c>
      <c r="S67" s="88" t="str">
        <f>IF(F67="Bao",[1]Setup!$B$4,IF(F67="Soup Dumplings",[1]Setup!$B$5,""))</f>
        <v/>
      </c>
      <c r="T67" s="88" t="str">
        <f t="shared" si="14"/>
        <v/>
      </c>
      <c r="U67" s="84">
        <f t="shared" si="6"/>
        <v>46157</v>
      </c>
      <c r="V67" s="88">
        <f>IF(U67="",0,MAX(0,T67)+N67+ROUND(J67*[1]Setup!$B$9,0)+IF(O67&gt;[1]Setup!$B$10,ROUND(J67*[1]Setup!$B$11,0),0))</f>
        <v>0</v>
      </c>
      <c r="W67" s="85" t="str">
        <f>IF(L67="","Open",IF(OR(P67&lt;[1]Setup!$B$6,Q67&gt;[1]Setup!$B$7,R67&gt;[1]Setup!$B$8,O67&gt;[1]Setup!$B$10),"Review","OK"))</f>
        <v>Open</v>
      </c>
      <c r="X67" s="86"/>
      <c r="Z67" s="81" t="str">
        <f t="shared" si="9"/>
        <v>Bao</v>
      </c>
    </row>
    <row r="68" spans="1:26" ht="28.8" x14ac:dyDescent="0.3">
      <c r="A68" s="84">
        <v>46156</v>
      </c>
      <c r="B68" s="100">
        <f t="shared" si="7"/>
        <v>20</v>
      </c>
      <c r="C68" s="84" t="str">
        <f t="shared" si="8"/>
        <v>May</v>
      </c>
      <c r="D68" s="85" t="str">
        <f t="shared" ref="D68:D131" si="18">IF(A68="","",TEXT(A68,"ddd"))</f>
        <v>Thu</v>
      </c>
      <c r="E68" s="86" t="s">
        <v>220</v>
      </c>
      <c r="F68" s="86" t="s">
        <v>222</v>
      </c>
      <c r="G68" s="86" t="s">
        <v>226</v>
      </c>
      <c r="H68" s="86" t="s">
        <v>229</v>
      </c>
      <c r="I68" s="87" t="str">
        <f>IF(F68=0,"",IF(COUNTIF(F68,"Bao"),[1]Setup!$B$4,IF(COUNTIF(F68,"Soup Dumplings"),[1]Setup!$B$5,F68)))</f>
        <v>Bao Prep</v>
      </c>
      <c r="J68" s="88">
        <f t="shared" si="17"/>
        <v>0</v>
      </c>
      <c r="K68" s="88" t="s">
        <v>271</v>
      </c>
      <c r="L68" s="87"/>
      <c r="M68" s="87"/>
      <c r="N68" s="87"/>
      <c r="O68" s="87"/>
      <c r="P68" s="89" t="str">
        <f t="shared" si="11"/>
        <v/>
      </c>
      <c r="Q68" s="89" t="str">
        <f t="shared" si="12"/>
        <v/>
      </c>
      <c r="R68" s="89" t="str">
        <f t="shared" si="13"/>
        <v/>
      </c>
      <c r="S68" s="88" t="str">
        <f>IF(F68="Bao",[1]Setup!$B$4,IF(F68="Soup Dumplings",[1]Setup!$B$5,""))</f>
        <v/>
      </c>
      <c r="T68" s="88" t="str">
        <f t="shared" si="14"/>
        <v/>
      </c>
      <c r="U68" s="84">
        <f t="shared" ref="U68:U131" si="19">IF(A68="","",A68+1)</f>
        <v>46157</v>
      </c>
      <c r="V68" s="88">
        <f>IF(U68="",0,MAX(0,T68)+N68+ROUND(J68*[1]Setup!$B$9,0)+IF(O68&gt;[1]Setup!$B$10,ROUND(J68*[1]Setup!$B$11,0),0))</f>
        <v>0</v>
      </c>
      <c r="W68" s="85" t="str">
        <f>IF(L68="","Open",IF(OR(P68&lt;[1]Setup!$B$6,Q68&gt;[1]Setup!$B$7,R68&gt;[1]Setup!$B$8,O68&gt;[1]Setup!$B$10),"Review","OK"))</f>
        <v>Open</v>
      </c>
      <c r="X68" s="86"/>
      <c r="Z68" s="81" t="str">
        <f t="shared" si="9"/>
        <v>Bao</v>
      </c>
    </row>
    <row r="69" spans="1:26" x14ac:dyDescent="0.3">
      <c r="A69" s="90">
        <v>46156</v>
      </c>
      <c r="B69" s="100">
        <f t="shared" ref="B69:B132" si="20">+WEEKNUM(A69)</f>
        <v>20</v>
      </c>
      <c r="C69" s="84" t="str">
        <f t="shared" ref="C69:C132" si="21">+TEXT(A69,"mmmm")</f>
        <v>May</v>
      </c>
      <c r="D69" s="91" t="str">
        <f t="shared" si="18"/>
        <v>Thu</v>
      </c>
      <c r="E69" s="92" t="s">
        <v>220</v>
      </c>
      <c r="F69" s="92" t="s">
        <v>222</v>
      </c>
      <c r="G69" s="92" t="s">
        <v>231</v>
      </c>
      <c r="H69" s="92" t="s">
        <v>232</v>
      </c>
      <c r="I69" s="93" t="str">
        <f>IF(F69=0,"",IF(COUNTIF(F69,"Bao"),[1]Setup!$B$4,IF(COUNTIF(F69,"Soup Dumplings"),[1]Setup!$B$5,F69)))</f>
        <v>Bao Prep</v>
      </c>
      <c r="J69" s="94">
        <f t="shared" si="17"/>
        <v>0</v>
      </c>
      <c r="K69" s="94" t="s">
        <v>265</v>
      </c>
      <c r="L69" s="87"/>
      <c r="M69" s="87"/>
      <c r="N69" s="87"/>
      <c r="O69" s="87"/>
      <c r="P69" s="89" t="str">
        <f t="shared" si="11"/>
        <v/>
      </c>
      <c r="Q69" s="89" t="str">
        <f t="shared" si="12"/>
        <v/>
      </c>
      <c r="R69" s="89" t="str">
        <f t="shared" si="13"/>
        <v/>
      </c>
      <c r="S69" s="88" t="str">
        <f>IF(F69="Bao",[1]Setup!$B$4,IF(F69="Soup Dumplings",[1]Setup!$B$5,""))</f>
        <v/>
      </c>
      <c r="T69" s="88" t="str">
        <f t="shared" si="14"/>
        <v/>
      </c>
      <c r="U69" s="84">
        <f t="shared" si="19"/>
        <v>46157</v>
      </c>
      <c r="V69" s="88">
        <f>IF(U69="",0,MAX(0,T69)+N69+ROUND(J69*[1]Setup!$B$9,0)+IF(O69&gt;[1]Setup!$B$10,ROUND(J69*[1]Setup!$B$11,0),0))</f>
        <v>0</v>
      </c>
      <c r="W69" s="85" t="str">
        <f>IF(L69="","Open",IF(OR(P69&lt;[1]Setup!$B$6,Q69&gt;[1]Setup!$B$7,R69&gt;[1]Setup!$B$8,O69&gt;[1]Setup!$B$10),"Review","OK"))</f>
        <v>Open</v>
      </c>
      <c r="X69" s="86"/>
      <c r="Z69" s="81" t="str">
        <f t="shared" ref="Z69:Z132" si="22">+LEFT(F69,3)</f>
        <v>Bao</v>
      </c>
    </row>
    <row r="70" spans="1:26" x14ac:dyDescent="0.3">
      <c r="A70" s="84">
        <v>46156</v>
      </c>
      <c r="B70" s="100">
        <f t="shared" si="20"/>
        <v>20</v>
      </c>
      <c r="C70" s="84" t="str">
        <f t="shared" si="21"/>
        <v>May</v>
      </c>
      <c r="D70" s="85" t="str">
        <f t="shared" si="18"/>
        <v>Thu</v>
      </c>
      <c r="E70" s="86" t="s">
        <v>220</v>
      </c>
      <c r="F70" s="86" t="s">
        <v>222</v>
      </c>
      <c r="G70" s="86" t="s">
        <v>257</v>
      </c>
      <c r="H70" s="86" t="s">
        <v>227</v>
      </c>
      <c r="I70" s="87" t="str">
        <f>IF(F70=0,"",IF(COUNTIF(F70,"Bao"),[1]Setup!$B$4,IF(COUNTIF(F70,"Soup Dumplings"),[1]Setup!$B$5,F70)))</f>
        <v>Bao Prep</v>
      </c>
      <c r="J70" s="88">
        <f t="shared" si="17"/>
        <v>0</v>
      </c>
      <c r="K70" s="88" t="s">
        <v>258</v>
      </c>
      <c r="L70" s="87"/>
      <c r="M70" s="87"/>
      <c r="N70" s="87"/>
      <c r="O70" s="87"/>
      <c r="P70" s="89" t="str">
        <f t="shared" si="11"/>
        <v/>
      </c>
      <c r="Q70" s="89" t="str">
        <f t="shared" si="12"/>
        <v/>
      </c>
      <c r="R70" s="89" t="str">
        <f t="shared" si="13"/>
        <v/>
      </c>
      <c r="S70" s="88" t="str">
        <f>IF(F70="Bao",[1]Setup!$B$4,IF(F70="Soup Dumplings",[1]Setup!$B$5,""))</f>
        <v/>
      </c>
      <c r="T70" s="88" t="str">
        <f t="shared" si="14"/>
        <v/>
      </c>
      <c r="U70" s="84">
        <f t="shared" si="19"/>
        <v>46157</v>
      </c>
      <c r="V70" s="88">
        <f>IF(U70="",0,MAX(0,T70)+N70+ROUND(J70*[1]Setup!$B$9,0)+IF(O70&gt;[1]Setup!$B$10,ROUND(J70*[1]Setup!$B$11,0),0))</f>
        <v>0</v>
      </c>
      <c r="W70" s="85" t="str">
        <f>IF(L70="","Open",IF(OR(P70&lt;[1]Setup!$B$6,Q70&gt;[1]Setup!$B$7,R70&gt;[1]Setup!$B$8,O70&gt;[1]Setup!$B$10),"Review","OK"))</f>
        <v>Open</v>
      </c>
      <c r="X70" s="86"/>
      <c r="Z70" s="81" t="str">
        <f t="shared" si="22"/>
        <v>Bao</v>
      </c>
    </row>
    <row r="71" spans="1:26" x14ac:dyDescent="0.3">
      <c r="A71" s="84">
        <v>46156</v>
      </c>
      <c r="B71" s="100">
        <f t="shared" si="20"/>
        <v>20</v>
      </c>
      <c r="C71" s="84" t="str">
        <f t="shared" si="21"/>
        <v>May</v>
      </c>
      <c r="D71" s="85" t="str">
        <f t="shared" si="18"/>
        <v>Thu</v>
      </c>
      <c r="E71" s="86" t="s">
        <v>220</v>
      </c>
      <c r="F71" s="86" t="s">
        <v>251</v>
      </c>
      <c r="G71" s="86" t="s">
        <v>82</v>
      </c>
      <c r="H71" s="86" t="s">
        <v>252</v>
      </c>
      <c r="I71" s="87" t="str">
        <f>IF(F71=0,"",IF(COUNTIF(F71,"Bao"),[1]Setup!$B$4,IF(COUNTIF(F71,"Soup Dumplings"),[1]Setup!$B$5,F71)))</f>
        <v>Pack Bao</v>
      </c>
      <c r="J71" s="88">
        <f t="shared" si="17"/>
        <v>0</v>
      </c>
      <c r="K71" s="88" t="s">
        <v>272</v>
      </c>
      <c r="L71" s="87"/>
      <c r="M71" s="87"/>
      <c r="N71" s="87"/>
      <c r="O71" s="87"/>
      <c r="P71" s="89" t="str">
        <f t="shared" si="11"/>
        <v/>
      </c>
      <c r="Q71" s="89" t="str">
        <f t="shared" si="12"/>
        <v/>
      </c>
      <c r="R71" s="89" t="str">
        <f t="shared" si="13"/>
        <v/>
      </c>
      <c r="S71" s="88" t="str">
        <f>IF(F71="Bao",[1]Setup!$B$4,IF(F71="Soup Dumplings",[1]Setup!$B$5,""))</f>
        <v/>
      </c>
      <c r="T71" s="88" t="str">
        <f t="shared" si="14"/>
        <v/>
      </c>
      <c r="U71" s="84">
        <f t="shared" si="19"/>
        <v>46157</v>
      </c>
      <c r="V71" s="88">
        <f>IF(U71="",0,MAX(0,T71)+N71+ROUND(J71*[1]Setup!$B$9,0)+IF(O71&gt;[1]Setup!$B$10,ROUND(J71*[1]Setup!$B$11,0),0))</f>
        <v>0</v>
      </c>
      <c r="W71" s="85" t="str">
        <f>IF(L71="","Open",IF(OR(P71&lt;[1]Setup!$B$6,Q71&gt;[1]Setup!$B$7,R71&gt;[1]Setup!$B$8,O71&gt;[1]Setup!$B$10),"Review","OK"))</f>
        <v>Open</v>
      </c>
      <c r="X71" s="86"/>
      <c r="Z71" s="81" t="str">
        <f t="shared" si="22"/>
        <v>Pac</v>
      </c>
    </row>
    <row r="72" spans="1:26" ht="28.8" x14ac:dyDescent="0.3">
      <c r="A72" s="84">
        <v>46156</v>
      </c>
      <c r="B72" s="100">
        <f t="shared" si="20"/>
        <v>20</v>
      </c>
      <c r="C72" s="84" t="str">
        <f t="shared" si="21"/>
        <v>May</v>
      </c>
      <c r="D72" s="85" t="str">
        <f t="shared" si="18"/>
        <v>Thu</v>
      </c>
      <c r="E72" s="86" t="s">
        <v>220</v>
      </c>
      <c r="F72" s="86" t="s">
        <v>248</v>
      </c>
      <c r="G72" s="86" t="s">
        <v>244</v>
      </c>
      <c r="H72" s="86" t="s">
        <v>249</v>
      </c>
      <c r="I72" s="87" t="str">
        <f>IF(F72=0,"",IF(COUNTIF(F72,"Bao"),[1]Setup!$B$4,IF(COUNTIF(F72,"Soup Dumplings"),[1]Setup!$B$5,F72)))</f>
        <v>Pack Soup Dumplings</v>
      </c>
      <c r="J72" s="88">
        <f t="shared" si="17"/>
        <v>0</v>
      </c>
      <c r="K72" s="88" t="s">
        <v>273</v>
      </c>
      <c r="L72" s="87"/>
      <c r="M72" s="87"/>
      <c r="N72" s="87"/>
      <c r="O72" s="87"/>
      <c r="P72" s="89" t="str">
        <f t="shared" si="11"/>
        <v/>
      </c>
      <c r="Q72" s="89" t="str">
        <f t="shared" si="12"/>
        <v/>
      </c>
      <c r="R72" s="89" t="str">
        <f t="shared" si="13"/>
        <v/>
      </c>
      <c r="S72" s="88" t="str">
        <f>IF(F72="Bao",[1]Setup!$B$4,IF(F72="Soup Dumplings",[1]Setup!$B$5,""))</f>
        <v/>
      </c>
      <c r="T72" s="88" t="str">
        <f t="shared" si="14"/>
        <v/>
      </c>
      <c r="U72" s="84">
        <f t="shared" si="19"/>
        <v>46157</v>
      </c>
      <c r="V72" s="88">
        <f>IF(U72="",0,MAX(0,T72)+N72+ROUND(J72*[1]Setup!$B$9,0)+IF(O72&gt;[1]Setup!$B$10,ROUND(J72*[1]Setup!$B$11,0),0))</f>
        <v>0</v>
      </c>
      <c r="W72" s="85" t="str">
        <f>IF(L72="","Open",IF(OR(P72&lt;[1]Setup!$B$6,Q72&gt;[1]Setup!$B$7,R72&gt;[1]Setup!$B$8,O72&gt;[1]Setup!$B$10),"Review","OK"))</f>
        <v>Open</v>
      </c>
      <c r="X72" s="86"/>
      <c r="Z72" s="81" t="str">
        <f t="shared" si="22"/>
        <v>Pac</v>
      </c>
    </row>
    <row r="73" spans="1:26" ht="28.8" x14ac:dyDescent="0.3">
      <c r="A73" s="84">
        <v>46156</v>
      </c>
      <c r="B73" s="100">
        <f t="shared" si="20"/>
        <v>20</v>
      </c>
      <c r="C73" s="84" t="str">
        <f t="shared" si="21"/>
        <v>May</v>
      </c>
      <c r="D73" s="85" t="str">
        <f t="shared" si="18"/>
        <v>Thu</v>
      </c>
      <c r="E73" s="86" t="s">
        <v>220</v>
      </c>
      <c r="F73" s="86" t="s">
        <v>237</v>
      </c>
      <c r="G73" s="86" t="s">
        <v>238</v>
      </c>
      <c r="H73" s="86" t="s">
        <v>229</v>
      </c>
      <c r="I73" s="87" t="str">
        <f>IF(F73=0,"",IF(COUNTIF(F73,"Bao"),[1]Setup!$B$4,IF(COUNTIF(F73,"Soup Dumplings"),[1]Setup!$B$5,F73)))</f>
        <v>Soup Dumpling Prep</v>
      </c>
      <c r="J73" s="88">
        <f t="shared" si="17"/>
        <v>0</v>
      </c>
      <c r="K73" s="88" t="s">
        <v>274</v>
      </c>
      <c r="L73" s="87"/>
      <c r="M73" s="87"/>
      <c r="N73" s="87"/>
      <c r="O73" s="87"/>
      <c r="P73" s="89" t="str">
        <f t="shared" si="11"/>
        <v/>
      </c>
      <c r="Q73" s="89" t="str">
        <f t="shared" si="12"/>
        <v/>
      </c>
      <c r="R73" s="89" t="str">
        <f t="shared" si="13"/>
        <v/>
      </c>
      <c r="S73" s="88" t="str">
        <f>IF(F73="Bao",[1]Setup!$B$4,IF(F73="Soup Dumplings",[1]Setup!$B$5,""))</f>
        <v/>
      </c>
      <c r="T73" s="88" t="str">
        <f t="shared" si="14"/>
        <v/>
      </c>
      <c r="U73" s="84">
        <f t="shared" si="19"/>
        <v>46157</v>
      </c>
      <c r="V73" s="88">
        <f>IF(U73="",0,MAX(0,T73)+N73+ROUND(J73*[1]Setup!$B$9,0)+IF(O73&gt;[1]Setup!$B$10,ROUND(J73*[1]Setup!$B$11,0),0))</f>
        <v>0</v>
      </c>
      <c r="W73" s="85" t="str">
        <f>IF(L73="","Open",IF(OR(P73&lt;[1]Setup!$B$6,Q73&gt;[1]Setup!$B$7,R73&gt;[1]Setup!$B$8,O73&gt;[1]Setup!$B$10),"Review","OK"))</f>
        <v>Open</v>
      </c>
      <c r="X73" s="86"/>
      <c r="Z73" s="81" t="str">
        <f t="shared" si="22"/>
        <v>Sou</v>
      </c>
    </row>
    <row r="74" spans="1:26" ht="43.2" x14ac:dyDescent="0.3">
      <c r="A74" s="84">
        <v>46156</v>
      </c>
      <c r="B74" s="100">
        <f t="shared" si="20"/>
        <v>20</v>
      </c>
      <c r="C74" s="84" t="str">
        <f t="shared" si="21"/>
        <v>May</v>
      </c>
      <c r="D74" s="85" t="str">
        <f t="shared" si="18"/>
        <v>Thu</v>
      </c>
      <c r="E74" s="86" t="s">
        <v>220</v>
      </c>
      <c r="F74" s="86" t="s">
        <v>237</v>
      </c>
      <c r="G74" s="86" t="s">
        <v>240</v>
      </c>
      <c r="H74" s="86" t="s">
        <v>224</v>
      </c>
      <c r="I74" s="87" t="str">
        <f>IF(F74=0,"",IF(COUNTIF(F74,"Bao"),[1]Setup!$B$4,IF(COUNTIF(F74,"Soup Dumplings"),[1]Setup!$B$5,F74)))</f>
        <v>Soup Dumpling Prep</v>
      </c>
      <c r="J74" s="88">
        <f t="shared" si="17"/>
        <v>0</v>
      </c>
      <c r="K74" s="88" t="s">
        <v>241</v>
      </c>
      <c r="L74" s="87"/>
      <c r="M74" s="87"/>
      <c r="N74" s="87"/>
      <c r="O74" s="87"/>
      <c r="P74" s="89" t="str">
        <f t="shared" si="11"/>
        <v/>
      </c>
      <c r="Q74" s="89" t="str">
        <f t="shared" si="12"/>
        <v/>
      </c>
      <c r="R74" s="89" t="str">
        <f t="shared" si="13"/>
        <v/>
      </c>
      <c r="S74" s="88" t="str">
        <f>IF(F74="Bao",[1]Setup!$B$4,IF(F74="Soup Dumplings",[1]Setup!$B$5,""))</f>
        <v/>
      </c>
      <c r="T74" s="88" t="str">
        <f t="shared" si="14"/>
        <v/>
      </c>
      <c r="U74" s="84">
        <f t="shared" si="19"/>
        <v>46157</v>
      </c>
      <c r="V74" s="88">
        <f>IF(U74="",0,MAX(0,T74)+N74+ROUND(J74*[1]Setup!$B$9,0)+IF(O74&gt;[1]Setup!$B$10,ROUND(J74*[1]Setup!$B$11,0),0))</f>
        <v>0</v>
      </c>
      <c r="W74" s="85" t="str">
        <f>IF(L74="","Open",IF(OR(P74&lt;[1]Setup!$B$6,Q74&gt;[1]Setup!$B$7,R74&gt;[1]Setup!$B$8,O74&gt;[1]Setup!$B$10),"Review","OK"))</f>
        <v>Open</v>
      </c>
      <c r="X74" s="86"/>
      <c r="Z74" s="81" t="str">
        <f t="shared" si="22"/>
        <v>Sou</v>
      </c>
    </row>
    <row r="75" spans="1:26" ht="28.8" x14ac:dyDescent="0.3">
      <c r="A75" s="84">
        <v>46156</v>
      </c>
      <c r="B75" s="100">
        <f t="shared" si="20"/>
        <v>20</v>
      </c>
      <c r="C75" s="84" t="str">
        <f t="shared" si="21"/>
        <v>May</v>
      </c>
      <c r="D75" s="85" t="str">
        <f t="shared" si="18"/>
        <v>Thu</v>
      </c>
      <c r="E75" s="86" t="s">
        <v>220</v>
      </c>
      <c r="F75" s="86" t="s">
        <v>237</v>
      </c>
      <c r="G75" s="86" t="s">
        <v>242</v>
      </c>
      <c r="H75" s="86" t="s">
        <v>232</v>
      </c>
      <c r="I75" s="87" t="str">
        <f>IF(F75=0,"",IF(COUNTIF(F75,"Bao"),[1]Setup!$B$4,IF(COUNTIF(F75,"Soup Dumplings"),[1]Setup!$B$5,F75)))</f>
        <v>Soup Dumpling Prep</v>
      </c>
      <c r="J75" s="88">
        <f t="shared" si="17"/>
        <v>0</v>
      </c>
      <c r="K75" s="88" t="s">
        <v>255</v>
      </c>
      <c r="L75" s="87"/>
      <c r="M75" s="87"/>
      <c r="N75" s="87"/>
      <c r="O75" s="87"/>
      <c r="P75" s="89" t="str">
        <f t="shared" si="11"/>
        <v/>
      </c>
      <c r="Q75" s="89" t="str">
        <f t="shared" si="12"/>
        <v/>
      </c>
      <c r="R75" s="89" t="str">
        <f t="shared" si="13"/>
        <v/>
      </c>
      <c r="S75" s="88" t="str">
        <f>IF(F75="Bao",[1]Setup!$B$4,IF(F75="Soup Dumplings",[1]Setup!$B$5,""))</f>
        <v/>
      </c>
      <c r="T75" s="88" t="str">
        <f t="shared" si="14"/>
        <v/>
      </c>
      <c r="U75" s="84">
        <f t="shared" si="19"/>
        <v>46157</v>
      </c>
      <c r="V75" s="88">
        <f>IF(U75="",0,MAX(0,T75)+N75+ROUND(J75*[1]Setup!$B$9,0)+IF(O75&gt;[1]Setup!$B$10,ROUND(J75*[1]Setup!$B$11,0),0))</f>
        <v>0</v>
      </c>
      <c r="W75" s="85" t="str">
        <f>IF(L75="","Open",IF(OR(P75&lt;[1]Setup!$B$6,Q75&gt;[1]Setup!$B$7,R75&gt;[1]Setup!$B$8,O75&gt;[1]Setup!$B$10),"Review","OK"))</f>
        <v>Open</v>
      </c>
      <c r="X75" s="86"/>
      <c r="Z75" s="81" t="str">
        <f t="shared" si="22"/>
        <v>Sou</v>
      </c>
    </row>
    <row r="76" spans="1:26" ht="28.8" x14ac:dyDescent="0.3">
      <c r="A76" s="84">
        <v>46156</v>
      </c>
      <c r="B76" s="100">
        <f t="shared" si="20"/>
        <v>20</v>
      </c>
      <c r="C76" s="84" t="str">
        <f t="shared" si="21"/>
        <v>May</v>
      </c>
      <c r="D76" s="85" t="str">
        <f t="shared" si="18"/>
        <v>Thu</v>
      </c>
      <c r="E76" s="86" t="s">
        <v>220</v>
      </c>
      <c r="F76" s="86" t="s">
        <v>237</v>
      </c>
      <c r="G76" s="86" t="s">
        <v>246</v>
      </c>
      <c r="H76" s="86" t="s">
        <v>232</v>
      </c>
      <c r="I76" s="87" t="str">
        <f>IF(F76=0,"",IF(COUNTIF(F76,"Bao"),[1]Setup!$B$4,IF(COUNTIF(F76,"Soup Dumplings"),[1]Setup!$B$5,F76)))</f>
        <v>Soup Dumpling Prep</v>
      </c>
      <c r="J76" s="88">
        <v>0</v>
      </c>
      <c r="K76" s="88" t="s">
        <v>275</v>
      </c>
      <c r="L76" s="87"/>
      <c r="M76" s="87"/>
      <c r="N76" s="87"/>
      <c r="O76" s="87"/>
      <c r="P76" s="89" t="str">
        <f t="shared" si="11"/>
        <v/>
      </c>
      <c r="Q76" s="89" t="str">
        <f t="shared" si="12"/>
        <v/>
      </c>
      <c r="R76" s="89" t="str">
        <f t="shared" si="13"/>
        <v/>
      </c>
      <c r="S76" s="88" t="str">
        <f>IF(F76="Bao",[1]Setup!$B$4,IF(F76="Soup Dumplings",[1]Setup!$B$5,""))</f>
        <v/>
      </c>
      <c r="T76" s="88" t="str">
        <f t="shared" si="14"/>
        <v/>
      </c>
      <c r="U76" s="84">
        <f t="shared" si="19"/>
        <v>46157</v>
      </c>
      <c r="V76" s="88">
        <f>IF(U76="",0,MAX(0,T76)+N76+ROUND(J76*[1]Setup!$B$9,0)+IF(O76&gt;[1]Setup!$B$10,ROUND(J76*[1]Setup!$B$11,0),0))</f>
        <v>0</v>
      </c>
      <c r="W76" s="85" t="str">
        <f>IF(L76="","Open",IF(OR(P76&lt;[1]Setup!$B$6,Q76&gt;[1]Setup!$B$7,R76&gt;[1]Setup!$B$8,O76&gt;[1]Setup!$B$10),"Review","OK"))</f>
        <v>Open</v>
      </c>
      <c r="X76" s="86"/>
      <c r="Z76" s="81" t="str">
        <f t="shared" si="22"/>
        <v>Sou</v>
      </c>
    </row>
    <row r="77" spans="1:26" ht="28.8" x14ac:dyDescent="0.3">
      <c r="A77" s="84">
        <v>46156</v>
      </c>
      <c r="B77" s="100">
        <f t="shared" si="20"/>
        <v>20</v>
      </c>
      <c r="C77" s="84" t="str">
        <f t="shared" si="21"/>
        <v>May</v>
      </c>
      <c r="D77" s="85" t="str">
        <f t="shared" si="18"/>
        <v>Thu</v>
      </c>
      <c r="E77" s="86" t="s">
        <v>220</v>
      </c>
      <c r="F77" s="86" t="s">
        <v>237</v>
      </c>
      <c r="G77" s="86" t="s">
        <v>259</v>
      </c>
      <c r="H77" s="86" t="s">
        <v>227</v>
      </c>
      <c r="I77" s="87" t="str">
        <f>IF(F77=0,"",IF(COUNTIF(F77,"Bao"),[1]Setup!$B$4,IF(COUNTIF(F77,"Soup Dumplings"),[1]Setup!$B$5,F77)))</f>
        <v>Soup Dumpling Prep</v>
      </c>
      <c r="J77" s="88">
        <f t="shared" ref="J77:J90" si="23">IF(A77="","",
   IFERROR(
      N(I77)+SUMIFS($V$4:$V$30,$U$4:$U$30,A77,$G$4:$G$30,G77),
   0)
)</f>
        <v>0</v>
      </c>
      <c r="K77" s="88" t="s">
        <v>269</v>
      </c>
      <c r="L77" s="87"/>
      <c r="M77" s="87"/>
      <c r="N77" s="87"/>
      <c r="O77" s="87"/>
      <c r="P77" s="89" t="str">
        <f t="shared" si="11"/>
        <v/>
      </c>
      <c r="Q77" s="89" t="str">
        <f t="shared" si="12"/>
        <v/>
      </c>
      <c r="R77" s="89" t="str">
        <f t="shared" si="13"/>
        <v/>
      </c>
      <c r="S77" s="88" t="str">
        <f>IF(F77="Bao",[1]Setup!$B$4,IF(F77="Soup Dumplings",[1]Setup!$B$5,""))</f>
        <v/>
      </c>
      <c r="T77" s="88" t="str">
        <f t="shared" si="14"/>
        <v/>
      </c>
      <c r="U77" s="84">
        <f t="shared" si="19"/>
        <v>46157</v>
      </c>
      <c r="V77" s="88">
        <f>IF(U77="",0,MAX(0,T77)+N77+ROUND(J77*[1]Setup!$B$9,0)+IF(O77&gt;[1]Setup!$B$10,ROUND(J77*[1]Setup!$B$11,0),0))</f>
        <v>0</v>
      </c>
      <c r="W77" s="85" t="str">
        <f>IF(L77="","Open",IF(OR(P77&lt;[1]Setup!$B$6,Q77&gt;[1]Setup!$B$7,R77&gt;[1]Setup!$B$8,O77&gt;[1]Setup!$B$10),"Review","OK"))</f>
        <v>Open</v>
      </c>
      <c r="X77" s="86"/>
      <c r="Z77" s="81" t="str">
        <f t="shared" si="22"/>
        <v>Sou</v>
      </c>
    </row>
    <row r="78" spans="1:26" ht="28.8" x14ac:dyDescent="0.3">
      <c r="A78" s="84">
        <v>46156</v>
      </c>
      <c r="B78" s="100">
        <f t="shared" si="20"/>
        <v>20</v>
      </c>
      <c r="C78" s="84" t="str">
        <f t="shared" si="21"/>
        <v>May</v>
      </c>
      <c r="D78" s="85" t="str">
        <f t="shared" si="18"/>
        <v>Thu</v>
      </c>
      <c r="E78" s="86" t="s">
        <v>220</v>
      </c>
      <c r="F78" s="86" t="s">
        <v>237</v>
      </c>
      <c r="G78" s="86" t="s">
        <v>276</v>
      </c>
      <c r="H78" s="86" t="s">
        <v>229</v>
      </c>
      <c r="I78" s="87" t="s">
        <v>237</v>
      </c>
      <c r="J78" s="88">
        <f t="shared" si="23"/>
        <v>0</v>
      </c>
      <c r="K78" s="88" t="s">
        <v>277</v>
      </c>
      <c r="L78" s="87"/>
      <c r="M78" s="87"/>
      <c r="N78" s="87"/>
      <c r="O78" s="87"/>
      <c r="P78" s="89" t="str">
        <f t="shared" si="11"/>
        <v/>
      </c>
      <c r="Q78" s="89" t="str">
        <f t="shared" si="12"/>
        <v/>
      </c>
      <c r="R78" s="89" t="str">
        <f t="shared" si="13"/>
        <v/>
      </c>
      <c r="S78" s="88" t="str">
        <f>IF(F78="Bao",[1]Setup!$B$4,IF(F78="Soup Dumplings",[1]Setup!$B$5,""))</f>
        <v/>
      </c>
      <c r="T78" s="88" t="str">
        <f t="shared" si="14"/>
        <v/>
      </c>
      <c r="U78" s="84">
        <f t="shared" si="19"/>
        <v>46157</v>
      </c>
      <c r="V78" s="88">
        <f>IF(U78="",0,MAX(0,T78)+N78+ROUND(J78*[1]Setup!$B$9,0)+IF(O78&gt;[1]Setup!$B$10,ROUND(J78*[1]Setup!$B$11,0),0))</f>
        <v>0</v>
      </c>
      <c r="W78" s="85" t="str">
        <f>IF(L78="","Open",IF(OR(P78&lt;[1]Setup!$B$6,Q78&gt;[1]Setup!$B$7,R78&gt;[1]Setup!$B$8,O78&gt;[1]Setup!$B$10),"Review","OK"))</f>
        <v>Open</v>
      </c>
      <c r="X78" s="86"/>
      <c r="Z78" s="81" t="str">
        <f t="shared" si="22"/>
        <v>Sou</v>
      </c>
    </row>
    <row r="79" spans="1:26" x14ac:dyDescent="0.3">
      <c r="A79" s="84">
        <v>46156</v>
      </c>
      <c r="B79" s="100">
        <f t="shared" si="20"/>
        <v>20</v>
      </c>
      <c r="C79" s="84" t="str">
        <f t="shared" si="21"/>
        <v>May</v>
      </c>
      <c r="D79" s="85" t="str">
        <f t="shared" si="18"/>
        <v>Thu</v>
      </c>
      <c r="E79" s="86" t="s">
        <v>220</v>
      </c>
      <c r="F79" s="86" t="s">
        <v>87</v>
      </c>
      <c r="G79" s="86" t="s">
        <v>244</v>
      </c>
      <c r="H79" s="86" t="s">
        <v>245</v>
      </c>
      <c r="I79" s="87">
        <v>100000</v>
      </c>
      <c r="J79" s="88">
        <f t="shared" si="23"/>
        <v>100000</v>
      </c>
      <c r="K79" s="88"/>
      <c r="L79" s="87"/>
      <c r="M79" s="87"/>
      <c r="N79" s="87"/>
      <c r="O79" s="87"/>
      <c r="P79" s="89">
        <f t="shared" si="11"/>
        <v>0</v>
      </c>
      <c r="Q79" s="89">
        <f t="shared" si="12"/>
        <v>1</v>
      </c>
      <c r="R79" s="89">
        <f t="shared" si="13"/>
        <v>0</v>
      </c>
      <c r="S79" s="88">
        <f>IF(F79="Bao",[1]Setup!$B$4,IF(F79="Soup Dumplings",[1]Setup!$B$5,""))</f>
        <v>90000</v>
      </c>
      <c r="T79" s="88" t="str">
        <f t="shared" si="14"/>
        <v/>
      </c>
      <c r="U79" s="84">
        <f t="shared" si="19"/>
        <v>46157</v>
      </c>
      <c r="V79" s="88">
        <f>IF(U79="",0,MAX(0,T79)+N79+ROUND(J79*[1]Setup!$B$9,0)+IF(O79&gt;[1]Setup!$B$10,ROUND(J79*[1]Setup!$B$11,0),0))</f>
        <v>2000</v>
      </c>
      <c r="W79" s="85" t="str">
        <f>IF(L79="","Open",IF(OR(P79&lt;[1]Setup!$B$6,Q79&gt;[1]Setup!$B$7,R79&gt;[1]Setup!$B$8,O79&gt;[1]Setup!$B$10),"Review","OK"))</f>
        <v>Open</v>
      </c>
      <c r="X79" s="86"/>
      <c r="Z79" s="81" t="str">
        <f t="shared" si="22"/>
        <v>Sou</v>
      </c>
    </row>
    <row r="80" spans="1:26" x14ac:dyDescent="0.3">
      <c r="A80" s="84">
        <v>46160</v>
      </c>
      <c r="B80" s="100">
        <f t="shared" si="20"/>
        <v>21</v>
      </c>
      <c r="C80" s="84" t="str">
        <f t="shared" si="21"/>
        <v>May</v>
      </c>
      <c r="D80" s="85" t="str">
        <f t="shared" si="18"/>
        <v>Mon</v>
      </c>
      <c r="E80" s="86" t="s">
        <v>220</v>
      </c>
      <c r="F80" s="86" t="s">
        <v>52</v>
      </c>
      <c r="G80" s="86" t="s">
        <v>82</v>
      </c>
      <c r="H80" s="86" t="s">
        <v>221</v>
      </c>
      <c r="I80" s="87">
        <v>25000</v>
      </c>
      <c r="J80" s="88">
        <f t="shared" si="23"/>
        <v>25000</v>
      </c>
      <c r="K80" s="88"/>
      <c r="L80" s="87"/>
      <c r="M80" s="87"/>
      <c r="N80" s="87"/>
      <c r="O80" s="87"/>
      <c r="P80" s="89">
        <f t="shared" si="11"/>
        <v>0</v>
      </c>
      <c r="Q80" s="89">
        <f t="shared" si="12"/>
        <v>1</v>
      </c>
      <c r="R80" s="89">
        <f t="shared" si="13"/>
        <v>0</v>
      </c>
      <c r="S80" s="88">
        <f>IF(F80="Bao",[1]Setup!$B$4,IF(F80="Soup Dumplings",[1]Setup!$B$5,""))</f>
        <v>15000</v>
      </c>
      <c r="T80" s="88" t="str">
        <f t="shared" si="14"/>
        <v/>
      </c>
      <c r="U80" s="84">
        <f t="shared" si="19"/>
        <v>46161</v>
      </c>
      <c r="V80" s="88">
        <f>IF(U80="",0,MAX(0,T80)+N80+ROUND(J80*[1]Setup!$B$9,0)+IF(O80&gt;[1]Setup!$B$10,ROUND(J80*[1]Setup!$B$11,0),0))</f>
        <v>500</v>
      </c>
      <c r="W80" s="85" t="str">
        <f>IF(L80="","Open",IF(OR(P80&lt;[1]Setup!$B$6,Q80&gt;[1]Setup!$B$7,R80&gt;[1]Setup!$B$8,O80&gt;[1]Setup!$B$10),"Review","OK"))</f>
        <v>Open</v>
      </c>
      <c r="X80" s="86"/>
      <c r="Z80" s="81" t="str">
        <f t="shared" si="22"/>
        <v>Bao</v>
      </c>
    </row>
    <row r="81" spans="1:26" ht="28.8" x14ac:dyDescent="0.3">
      <c r="A81" s="84">
        <v>46160</v>
      </c>
      <c r="B81" s="100">
        <f t="shared" si="20"/>
        <v>21</v>
      </c>
      <c r="C81" s="84" t="str">
        <f t="shared" si="21"/>
        <v>May</v>
      </c>
      <c r="D81" s="85" t="str">
        <f t="shared" si="18"/>
        <v>Mon</v>
      </c>
      <c r="E81" s="86" t="s">
        <v>220</v>
      </c>
      <c r="F81" s="86" t="s">
        <v>222</v>
      </c>
      <c r="G81" s="86" t="s">
        <v>223</v>
      </c>
      <c r="H81" s="86" t="s">
        <v>224</v>
      </c>
      <c r="I81" s="87" t="str">
        <f>IF(F81=0,"",IF(COUNTIF(F81,"Bao"),[1]Setup!$B$4,IF(COUNTIF(F81,"Soup Dumplings"),[1]Setup!$B$5,F81)))</f>
        <v>Bao Prep</v>
      </c>
      <c r="J81" s="88">
        <f t="shared" si="23"/>
        <v>0</v>
      </c>
      <c r="K81" s="88" t="s">
        <v>270</v>
      </c>
      <c r="L81" s="87"/>
      <c r="M81" s="87"/>
      <c r="N81" s="87"/>
      <c r="O81" s="87"/>
      <c r="P81" s="89" t="str">
        <f t="shared" si="11"/>
        <v/>
      </c>
      <c r="Q81" s="89" t="str">
        <f t="shared" si="12"/>
        <v/>
      </c>
      <c r="R81" s="89" t="str">
        <f t="shared" si="13"/>
        <v/>
      </c>
      <c r="S81" s="88" t="str">
        <f>IF(F81="Bao",[1]Setup!$B$4,IF(F81="Soup Dumplings",[1]Setup!$B$5,""))</f>
        <v/>
      </c>
      <c r="T81" s="88" t="str">
        <f t="shared" si="14"/>
        <v/>
      </c>
      <c r="U81" s="84">
        <f t="shared" si="19"/>
        <v>46161</v>
      </c>
      <c r="V81" s="88">
        <f>IF(U81="",0,MAX(0,T81)+N81+ROUND(J81*[1]Setup!$B$9,0)+IF(O81&gt;[1]Setup!$B$10,ROUND(J81*[1]Setup!$B$11,0),0))</f>
        <v>0</v>
      </c>
      <c r="W81" s="85" t="str">
        <f>IF(L81="","Open",IF(OR(P81&lt;[1]Setup!$B$6,Q81&gt;[1]Setup!$B$7,R81&gt;[1]Setup!$B$8,O81&gt;[1]Setup!$B$10),"Review","OK"))</f>
        <v>Open</v>
      </c>
      <c r="X81" s="86"/>
      <c r="Z81" s="81" t="str">
        <f t="shared" si="22"/>
        <v>Bao</v>
      </c>
    </row>
    <row r="82" spans="1:26" x14ac:dyDescent="0.3">
      <c r="A82" s="84">
        <v>46160</v>
      </c>
      <c r="B82" s="100">
        <f t="shared" si="20"/>
        <v>21</v>
      </c>
      <c r="C82" s="84" t="str">
        <f t="shared" si="21"/>
        <v>May</v>
      </c>
      <c r="D82" s="85" t="str">
        <f t="shared" si="18"/>
        <v>Mon</v>
      </c>
      <c r="E82" s="86" t="s">
        <v>220</v>
      </c>
      <c r="F82" s="86" t="s">
        <v>222</v>
      </c>
      <c r="G82" s="86" t="s">
        <v>226</v>
      </c>
      <c r="H82" s="86" t="s">
        <v>227</v>
      </c>
      <c r="I82" s="87" t="str">
        <f>IF(F82=0,"",IF(COUNTIF(F82,"Bao"),[1]Setup!$B$4,IF(COUNTIF(F82,"Soup Dumplings"),[1]Setup!$B$5,F82)))</f>
        <v>Bao Prep</v>
      </c>
      <c r="J82" s="88">
        <f t="shared" si="23"/>
        <v>0</v>
      </c>
      <c r="K82" s="88" t="s">
        <v>228</v>
      </c>
      <c r="L82" s="87"/>
      <c r="M82" s="87"/>
      <c r="N82" s="87"/>
      <c r="O82" s="87"/>
      <c r="P82" s="89" t="str">
        <f t="shared" si="11"/>
        <v/>
      </c>
      <c r="Q82" s="89" t="str">
        <f t="shared" si="12"/>
        <v/>
      </c>
      <c r="R82" s="89" t="str">
        <f t="shared" si="13"/>
        <v/>
      </c>
      <c r="S82" s="88" t="str">
        <f>IF(F82="Bao",[1]Setup!$B$4,IF(F82="Soup Dumplings",[1]Setup!$B$5,""))</f>
        <v/>
      </c>
      <c r="T82" s="88" t="str">
        <f t="shared" si="14"/>
        <v/>
      </c>
      <c r="U82" s="84">
        <f t="shared" si="19"/>
        <v>46161</v>
      </c>
      <c r="V82" s="88">
        <f>IF(U82="",0,MAX(0,T82)+N82+ROUND(J82*[1]Setup!$B$9,0)+IF(O82&gt;[1]Setup!$B$10,ROUND(J82*[1]Setup!$B$11,0),0))</f>
        <v>0</v>
      </c>
      <c r="W82" s="85" t="str">
        <f>IF(L82="","Open",IF(OR(P82&lt;[1]Setup!$B$6,Q82&gt;[1]Setup!$B$7,R82&gt;[1]Setup!$B$8,O82&gt;[1]Setup!$B$10),"Review","OK"))</f>
        <v>Open</v>
      </c>
      <c r="X82" s="86"/>
      <c r="Z82" s="81" t="str">
        <f t="shared" si="22"/>
        <v>Bao</v>
      </c>
    </row>
    <row r="83" spans="1:26" ht="28.8" x14ac:dyDescent="0.3">
      <c r="A83" s="84">
        <v>46160</v>
      </c>
      <c r="B83" s="100">
        <f t="shared" si="20"/>
        <v>21</v>
      </c>
      <c r="C83" s="84" t="str">
        <f t="shared" si="21"/>
        <v>May</v>
      </c>
      <c r="D83" s="85" t="str">
        <f t="shared" si="18"/>
        <v>Mon</v>
      </c>
      <c r="E83" s="86" t="s">
        <v>220</v>
      </c>
      <c r="F83" s="86" t="s">
        <v>222</v>
      </c>
      <c r="G83" s="86" t="s">
        <v>226</v>
      </c>
      <c r="H83" s="86" t="s">
        <v>229</v>
      </c>
      <c r="I83" s="87" t="str">
        <f>IF(F83=0,"",IF(COUNTIF(F83,"Bao"),[1]Setup!$B$4,IF(COUNTIF(F83,"Soup Dumplings"),[1]Setup!$B$5,F83)))</f>
        <v>Bao Prep</v>
      </c>
      <c r="J83" s="88">
        <f t="shared" si="23"/>
        <v>0</v>
      </c>
      <c r="K83" s="88" t="s">
        <v>230</v>
      </c>
      <c r="L83" s="87"/>
      <c r="M83" s="87"/>
      <c r="N83" s="87"/>
      <c r="O83" s="87"/>
      <c r="P83" s="89" t="str">
        <f t="shared" ref="P83:P146" si="24">IF(J83="","",IF(J83&gt;0,(L83+M83)/J83,""))</f>
        <v/>
      </c>
      <c r="Q83" s="89" t="str">
        <f t="shared" ref="Q83:Q146" si="25">IF(J83="","",IF(J83&gt;0,MAX(0,(J83-(L83+M83))/J83),""))</f>
        <v/>
      </c>
      <c r="R83" s="89" t="str">
        <f t="shared" ref="R83:R146" si="26">IF(J83="","",IF(J83&gt;0,MAX(0,(L83+M83-J83)/J83),""))</f>
        <v/>
      </c>
      <c r="S83" s="88" t="str">
        <f>IF(F83="Bao",[1]Setup!$B$4,IF(F83="Soup Dumplings",[1]Setup!$B$5,""))</f>
        <v/>
      </c>
      <c r="T83" s="88" t="str">
        <f t="shared" ref="T83:T146" si="27">IF(L83="","",S83-L83)</f>
        <v/>
      </c>
      <c r="U83" s="84">
        <f t="shared" si="19"/>
        <v>46161</v>
      </c>
      <c r="V83" s="88">
        <f>IF(U83="",0,MAX(0,T83)+N83+ROUND(J83*[1]Setup!$B$9,0)+IF(O83&gt;[1]Setup!$B$10,ROUND(J83*[1]Setup!$B$11,0),0))</f>
        <v>0</v>
      </c>
      <c r="W83" s="85" t="str">
        <f>IF(L83="","Open",IF(OR(P83&lt;[1]Setup!$B$6,Q83&gt;[1]Setup!$B$7,R83&gt;[1]Setup!$B$8,O83&gt;[1]Setup!$B$10),"Review","OK"))</f>
        <v>Open</v>
      </c>
      <c r="X83" s="86"/>
      <c r="Z83" s="81" t="str">
        <f t="shared" si="22"/>
        <v>Bao</v>
      </c>
    </row>
    <row r="84" spans="1:26" x14ac:dyDescent="0.3">
      <c r="A84" s="84">
        <v>46160</v>
      </c>
      <c r="B84" s="100">
        <f t="shared" si="20"/>
        <v>21</v>
      </c>
      <c r="C84" s="84" t="str">
        <f t="shared" si="21"/>
        <v>May</v>
      </c>
      <c r="D84" s="85" t="str">
        <f t="shared" si="18"/>
        <v>Mon</v>
      </c>
      <c r="E84" s="86" t="s">
        <v>220</v>
      </c>
      <c r="F84" s="86" t="s">
        <v>222</v>
      </c>
      <c r="G84" s="86" t="s">
        <v>231</v>
      </c>
      <c r="H84" s="86" t="s">
        <v>232</v>
      </c>
      <c r="I84" s="87" t="str">
        <f>IF(F84=0,"",IF(COUNTIF(F84,"Bao"),[1]Setup!$B$4,IF(COUNTIF(F84,"Soup Dumplings"),[1]Setup!$B$5,F84)))</f>
        <v>Bao Prep</v>
      </c>
      <c r="J84" s="88">
        <f t="shared" si="23"/>
        <v>0</v>
      </c>
      <c r="K84" s="88" t="s">
        <v>233</v>
      </c>
      <c r="L84" s="87"/>
      <c r="M84" s="87"/>
      <c r="N84" s="87"/>
      <c r="O84" s="87"/>
      <c r="P84" s="89" t="str">
        <f t="shared" si="24"/>
        <v/>
      </c>
      <c r="Q84" s="89" t="str">
        <f t="shared" si="25"/>
        <v/>
      </c>
      <c r="R84" s="89" t="str">
        <f t="shared" si="26"/>
        <v/>
      </c>
      <c r="S84" s="88" t="str">
        <f>IF(F84="Bao",[1]Setup!$B$4,IF(F84="Soup Dumplings",[1]Setup!$B$5,""))</f>
        <v/>
      </c>
      <c r="T84" s="88" t="str">
        <f t="shared" si="27"/>
        <v/>
      </c>
      <c r="U84" s="84">
        <f t="shared" si="19"/>
        <v>46161</v>
      </c>
      <c r="V84" s="88">
        <f>IF(U84="",0,MAX(0,T84)+N84+ROUND(J84*[1]Setup!$B$9,0)+IF(O84&gt;[1]Setup!$B$10,ROUND(J84*[1]Setup!$B$11,0),0))</f>
        <v>0</v>
      </c>
      <c r="W84" s="85" t="str">
        <f>IF(L84="","Open",IF(OR(P84&lt;[1]Setup!$B$6,Q84&gt;[1]Setup!$B$7,R84&gt;[1]Setup!$B$8,O84&gt;[1]Setup!$B$10),"Review","OK"))</f>
        <v>Open</v>
      </c>
      <c r="X84" s="86"/>
      <c r="Z84" s="81" t="str">
        <f t="shared" si="22"/>
        <v>Bao</v>
      </c>
    </row>
    <row r="85" spans="1:26" x14ac:dyDescent="0.3">
      <c r="A85" s="84">
        <v>46160</v>
      </c>
      <c r="B85" s="100">
        <f t="shared" si="20"/>
        <v>21</v>
      </c>
      <c r="C85" s="84" t="str">
        <f t="shared" si="21"/>
        <v>May</v>
      </c>
      <c r="D85" s="85" t="str">
        <f t="shared" si="18"/>
        <v>Mon</v>
      </c>
      <c r="E85" s="86" t="s">
        <v>220</v>
      </c>
      <c r="F85" s="86" t="s">
        <v>222</v>
      </c>
      <c r="G85" s="86" t="s">
        <v>235</v>
      </c>
      <c r="H85" s="86" t="s">
        <v>227</v>
      </c>
      <c r="I85" s="87" t="str">
        <f>IF(F85=0,"",IF(COUNTIF(F85,"Bao"),[1]Setup!$B$4,IF(COUNTIF(F85,"Soup Dumplings"),[1]Setup!$B$5,F85)))</f>
        <v>Bao Prep</v>
      </c>
      <c r="J85" s="88">
        <f t="shared" si="23"/>
        <v>0</v>
      </c>
      <c r="K85" s="88" t="s">
        <v>236</v>
      </c>
      <c r="L85" s="87"/>
      <c r="M85" s="87"/>
      <c r="N85" s="87"/>
      <c r="O85" s="87"/>
      <c r="P85" s="89" t="str">
        <f t="shared" si="24"/>
        <v/>
      </c>
      <c r="Q85" s="89" t="str">
        <f t="shared" si="25"/>
        <v/>
      </c>
      <c r="R85" s="89" t="str">
        <f t="shared" si="26"/>
        <v/>
      </c>
      <c r="S85" s="88" t="str">
        <f>IF(F85="Bao",[1]Setup!$B$4,IF(F85="Soup Dumplings",[1]Setup!$B$5,""))</f>
        <v/>
      </c>
      <c r="T85" s="88" t="str">
        <f t="shared" si="27"/>
        <v/>
      </c>
      <c r="U85" s="84">
        <f t="shared" si="19"/>
        <v>46161</v>
      </c>
      <c r="V85" s="88">
        <f>IF(U85="",0,MAX(0,T85)+N85+ROUND(J85*[1]Setup!$B$9,0)+IF(O85&gt;[1]Setup!$B$10,ROUND(J85*[1]Setup!$B$11,0),0))</f>
        <v>0</v>
      </c>
      <c r="W85" s="85" t="str">
        <f>IF(L85="","Open",IF(OR(P85&lt;[1]Setup!$B$6,Q85&gt;[1]Setup!$B$7,R85&gt;[1]Setup!$B$8,O85&gt;[1]Setup!$B$10),"Review","OK"))</f>
        <v>Open</v>
      </c>
      <c r="X85" s="86"/>
      <c r="Z85" s="81" t="str">
        <f t="shared" si="22"/>
        <v>Bao</v>
      </c>
    </row>
    <row r="86" spans="1:26" ht="28.8" x14ac:dyDescent="0.3">
      <c r="A86" s="84">
        <v>46160</v>
      </c>
      <c r="B86" s="100">
        <f t="shared" si="20"/>
        <v>21</v>
      </c>
      <c r="C86" s="84" t="str">
        <f t="shared" si="21"/>
        <v>May</v>
      </c>
      <c r="D86" s="85" t="str">
        <f t="shared" si="18"/>
        <v>Mon</v>
      </c>
      <c r="E86" s="86" t="s">
        <v>220</v>
      </c>
      <c r="F86" s="86" t="s">
        <v>237</v>
      </c>
      <c r="G86" s="86" t="s">
        <v>238</v>
      </c>
      <c r="H86" s="86" t="s">
        <v>229</v>
      </c>
      <c r="I86" s="87" t="str">
        <f>IF(F86=0,"",IF(COUNTIF(F86,"Bao"),[1]Setup!$B$4,IF(COUNTIF(F86,"Soup Dumplings"),[1]Setup!$B$5,F86)))</f>
        <v>Soup Dumpling Prep</v>
      </c>
      <c r="J86" s="88">
        <f t="shared" si="23"/>
        <v>0</v>
      </c>
      <c r="K86" s="88" t="s">
        <v>278</v>
      </c>
      <c r="L86" s="87"/>
      <c r="M86" s="87"/>
      <c r="N86" s="87"/>
      <c r="O86" s="87"/>
      <c r="P86" s="89" t="str">
        <f t="shared" si="24"/>
        <v/>
      </c>
      <c r="Q86" s="89" t="str">
        <f t="shared" si="25"/>
        <v/>
      </c>
      <c r="R86" s="89" t="str">
        <f t="shared" si="26"/>
        <v/>
      </c>
      <c r="S86" s="88" t="str">
        <f>IF(F86="Bao",[1]Setup!$B$4,IF(F86="Soup Dumplings",[1]Setup!$B$5,""))</f>
        <v/>
      </c>
      <c r="T86" s="88" t="str">
        <f t="shared" si="27"/>
        <v/>
      </c>
      <c r="U86" s="84">
        <f t="shared" si="19"/>
        <v>46161</v>
      </c>
      <c r="V86" s="88">
        <f>IF(U86="",0,MAX(0,T86)+N86+ROUND(J86*[1]Setup!$B$9,0)+IF(O86&gt;[1]Setup!$B$10,ROUND(J86*[1]Setup!$B$11,0),0))</f>
        <v>0</v>
      </c>
      <c r="W86" s="85" t="str">
        <f>IF(L86="","Open",IF(OR(P86&lt;[1]Setup!$B$6,Q86&gt;[1]Setup!$B$7,R86&gt;[1]Setup!$B$8,O86&gt;[1]Setup!$B$10),"Review","OK"))</f>
        <v>Open</v>
      </c>
      <c r="X86" s="86"/>
      <c r="Z86" s="81" t="str">
        <f t="shared" si="22"/>
        <v>Sou</v>
      </c>
    </row>
    <row r="87" spans="1:26" ht="43.2" x14ac:dyDescent="0.3">
      <c r="A87" s="84">
        <v>46160</v>
      </c>
      <c r="B87" s="100">
        <f t="shared" si="20"/>
        <v>21</v>
      </c>
      <c r="C87" s="84" t="str">
        <f t="shared" si="21"/>
        <v>May</v>
      </c>
      <c r="D87" s="85" t="str">
        <f t="shared" si="18"/>
        <v>Mon</v>
      </c>
      <c r="E87" s="86" t="s">
        <v>220</v>
      </c>
      <c r="F87" s="86" t="s">
        <v>237</v>
      </c>
      <c r="G87" s="86" t="s">
        <v>240</v>
      </c>
      <c r="H87" s="86" t="s">
        <v>224</v>
      </c>
      <c r="I87" s="87" t="str">
        <f>IF(F87=0,"",IF(COUNTIF(F87,"Bao"),[1]Setup!$B$4,IF(COUNTIF(F87,"Soup Dumplings"),[1]Setup!$B$5,F87)))</f>
        <v>Soup Dumpling Prep</v>
      </c>
      <c r="J87" s="88">
        <f t="shared" si="23"/>
        <v>0</v>
      </c>
      <c r="K87" s="88" t="s">
        <v>279</v>
      </c>
      <c r="L87" s="87"/>
      <c r="M87" s="87"/>
      <c r="N87" s="87"/>
      <c r="O87" s="87"/>
      <c r="P87" s="89" t="str">
        <f t="shared" si="24"/>
        <v/>
      </c>
      <c r="Q87" s="89" t="str">
        <f t="shared" si="25"/>
        <v/>
      </c>
      <c r="R87" s="89" t="str">
        <f t="shared" si="26"/>
        <v/>
      </c>
      <c r="S87" s="88" t="str">
        <f>IF(F87="Bao",[1]Setup!$B$4,IF(F87="Soup Dumplings",[1]Setup!$B$5,""))</f>
        <v/>
      </c>
      <c r="T87" s="88" t="str">
        <f t="shared" si="27"/>
        <v/>
      </c>
      <c r="U87" s="84">
        <f t="shared" si="19"/>
        <v>46161</v>
      </c>
      <c r="V87" s="88">
        <f>IF(U87="",0,MAX(0,T87)+N87+ROUND(J87*[1]Setup!$B$9,0)+IF(O87&gt;[1]Setup!$B$10,ROUND(J87*[1]Setup!$B$11,0),0))</f>
        <v>0</v>
      </c>
      <c r="W87" s="85" t="str">
        <f>IF(L87="","Open",IF(OR(P87&lt;[1]Setup!$B$6,Q87&gt;[1]Setup!$B$7,R87&gt;[1]Setup!$B$8,O87&gt;[1]Setup!$B$10),"Review","OK"))</f>
        <v>Open</v>
      </c>
      <c r="X87" s="86"/>
      <c r="Z87" s="81" t="str">
        <f t="shared" si="22"/>
        <v>Sou</v>
      </c>
    </row>
    <row r="88" spans="1:26" ht="28.8" x14ac:dyDescent="0.3">
      <c r="A88" s="84">
        <v>46160</v>
      </c>
      <c r="B88" s="100">
        <f t="shared" si="20"/>
        <v>21</v>
      </c>
      <c r="C88" s="84" t="str">
        <f t="shared" si="21"/>
        <v>May</v>
      </c>
      <c r="D88" s="85" t="str">
        <f t="shared" si="18"/>
        <v>Mon</v>
      </c>
      <c r="E88" s="86" t="s">
        <v>220</v>
      </c>
      <c r="F88" s="86" t="s">
        <v>237</v>
      </c>
      <c r="G88" s="86" t="s">
        <v>242</v>
      </c>
      <c r="H88" s="86" t="s">
        <v>232</v>
      </c>
      <c r="I88" s="87" t="str">
        <f>IF(F88=0,"",IF(COUNTIF(F88,"Bao"),[1]Setup!$B$4,IF(COUNTIF(F88,"Soup Dumplings"),[1]Setup!$B$5,F88)))</f>
        <v>Soup Dumpling Prep</v>
      </c>
      <c r="J88" s="88">
        <f t="shared" si="23"/>
        <v>0</v>
      </c>
      <c r="K88" s="88" t="s">
        <v>243</v>
      </c>
      <c r="L88" s="87"/>
      <c r="M88" s="87"/>
      <c r="N88" s="87"/>
      <c r="O88" s="87"/>
      <c r="P88" s="89" t="str">
        <f t="shared" si="24"/>
        <v/>
      </c>
      <c r="Q88" s="89" t="str">
        <f t="shared" si="25"/>
        <v/>
      </c>
      <c r="R88" s="89" t="str">
        <f t="shared" si="26"/>
        <v/>
      </c>
      <c r="S88" s="88" t="str">
        <f>IF(F88="Bao",[1]Setup!$B$4,IF(F88="Soup Dumplings",[1]Setup!$B$5,""))</f>
        <v/>
      </c>
      <c r="T88" s="88" t="str">
        <f t="shared" si="27"/>
        <v/>
      </c>
      <c r="U88" s="84">
        <f t="shared" si="19"/>
        <v>46161</v>
      </c>
      <c r="V88" s="88">
        <f>IF(U88="",0,MAX(0,T88)+N88+ROUND(J88*[1]Setup!$B$9,0)+IF(O88&gt;[1]Setup!$B$10,ROUND(J88*[1]Setup!$B$11,0),0))</f>
        <v>0</v>
      </c>
      <c r="W88" s="85" t="str">
        <f>IF(L88="","Open",IF(OR(P88&lt;[1]Setup!$B$6,Q88&gt;[1]Setup!$B$7,R88&gt;[1]Setup!$B$8,O88&gt;[1]Setup!$B$10),"Review","OK"))</f>
        <v>Open</v>
      </c>
      <c r="X88" s="86"/>
      <c r="Z88" s="81" t="str">
        <f t="shared" si="22"/>
        <v>Sou</v>
      </c>
    </row>
    <row r="89" spans="1:26" ht="28.8" x14ac:dyDescent="0.3">
      <c r="A89" s="84">
        <v>46160</v>
      </c>
      <c r="B89" s="100">
        <f t="shared" si="20"/>
        <v>21</v>
      </c>
      <c r="C89" s="84" t="str">
        <f t="shared" si="21"/>
        <v>May</v>
      </c>
      <c r="D89" s="85" t="str">
        <f t="shared" si="18"/>
        <v>Mon</v>
      </c>
      <c r="E89" s="86" t="s">
        <v>220</v>
      </c>
      <c r="F89" s="86" t="s">
        <v>237</v>
      </c>
      <c r="G89" s="86" t="s">
        <v>238</v>
      </c>
      <c r="H89" s="86" t="s">
        <v>227</v>
      </c>
      <c r="I89" s="87" t="str">
        <f>IF(F89=0,"",IF(COUNTIF(F89,"Bao"),[1]Setup!$B$4,IF(COUNTIF(F89,"Soup Dumplings"),[1]Setup!$B$5,F89)))</f>
        <v>Soup Dumpling Prep</v>
      </c>
      <c r="J89" s="88">
        <f t="shared" si="23"/>
        <v>0</v>
      </c>
      <c r="K89" s="88" t="s">
        <v>228</v>
      </c>
      <c r="L89" s="87"/>
      <c r="M89" s="87"/>
      <c r="N89" s="87"/>
      <c r="O89" s="87"/>
      <c r="P89" s="89" t="str">
        <f t="shared" si="24"/>
        <v/>
      </c>
      <c r="Q89" s="89" t="str">
        <f t="shared" si="25"/>
        <v/>
      </c>
      <c r="R89" s="89" t="str">
        <f t="shared" si="26"/>
        <v/>
      </c>
      <c r="S89" s="88" t="str">
        <f>IF(F89="Bao",[1]Setup!$B$4,IF(F89="Soup Dumplings",[1]Setup!$B$5,""))</f>
        <v/>
      </c>
      <c r="T89" s="88" t="str">
        <f t="shared" si="27"/>
        <v/>
      </c>
      <c r="U89" s="84">
        <f t="shared" si="19"/>
        <v>46161</v>
      </c>
      <c r="V89" s="88">
        <f>IF(U89="",0,MAX(0,T89)+N89+ROUND(J89*[1]Setup!$B$9,0)+IF(O89&gt;[1]Setup!$B$10,ROUND(J89*[1]Setup!$B$11,0),0))</f>
        <v>0</v>
      </c>
      <c r="W89" s="85" t="str">
        <f>IF(L89="","Open",IF(OR(P89&lt;[1]Setup!$B$6,Q89&gt;[1]Setup!$B$7,R89&gt;[1]Setup!$B$8,O89&gt;[1]Setup!$B$10),"Review","OK"))</f>
        <v>Open</v>
      </c>
      <c r="X89" s="86"/>
      <c r="Z89" s="81" t="str">
        <f t="shared" si="22"/>
        <v>Sou</v>
      </c>
    </row>
    <row r="90" spans="1:26" x14ac:dyDescent="0.3">
      <c r="A90" s="84">
        <v>46160</v>
      </c>
      <c r="B90" s="100">
        <f t="shared" si="20"/>
        <v>21</v>
      </c>
      <c r="C90" s="84" t="str">
        <f t="shared" si="21"/>
        <v>May</v>
      </c>
      <c r="D90" s="85" t="str">
        <f t="shared" si="18"/>
        <v>Mon</v>
      </c>
      <c r="E90" s="86" t="s">
        <v>220</v>
      </c>
      <c r="F90" s="86" t="s">
        <v>87</v>
      </c>
      <c r="G90" s="86" t="s">
        <v>244</v>
      </c>
      <c r="H90" s="86" t="s">
        <v>245</v>
      </c>
      <c r="I90" s="87">
        <v>100000</v>
      </c>
      <c r="J90" s="88">
        <f t="shared" si="23"/>
        <v>100000</v>
      </c>
      <c r="K90" s="88"/>
      <c r="L90" s="87"/>
      <c r="M90" s="87"/>
      <c r="N90" s="87"/>
      <c r="O90" s="87"/>
      <c r="P90" s="89">
        <f t="shared" si="24"/>
        <v>0</v>
      </c>
      <c r="Q90" s="89">
        <f t="shared" si="25"/>
        <v>1</v>
      </c>
      <c r="R90" s="89">
        <f t="shared" si="26"/>
        <v>0</v>
      </c>
      <c r="S90" s="88">
        <f>IF(F90="Bao",[1]Setup!$B$4,IF(F90="Soup Dumplings",[1]Setup!$B$5,""))</f>
        <v>90000</v>
      </c>
      <c r="T90" s="88" t="str">
        <f t="shared" si="27"/>
        <v/>
      </c>
      <c r="U90" s="84">
        <f t="shared" si="19"/>
        <v>46161</v>
      </c>
      <c r="V90" s="88">
        <f>IF(U90="",0,MAX(0,T90)+N90+ROUND(J90*[1]Setup!$B$9,0)+IF(O90&gt;[1]Setup!$B$10,ROUND(J90*[1]Setup!$B$11,0),0))</f>
        <v>2000</v>
      </c>
      <c r="W90" s="85" t="str">
        <f>IF(L90="","Open",IF(OR(P90&lt;[1]Setup!$B$6,Q90&gt;[1]Setup!$B$7,R90&gt;[1]Setup!$B$8,O90&gt;[1]Setup!$B$10),"Review","OK"))</f>
        <v>Open</v>
      </c>
      <c r="X90" s="86"/>
      <c r="Z90" s="81" t="str">
        <f t="shared" si="22"/>
        <v>Sou</v>
      </c>
    </row>
    <row r="91" spans="1:26" ht="57.6" x14ac:dyDescent="0.3">
      <c r="A91" s="84">
        <v>46160</v>
      </c>
      <c r="B91" s="100">
        <f t="shared" si="20"/>
        <v>21</v>
      </c>
      <c r="C91" s="84" t="str">
        <f t="shared" si="21"/>
        <v>May</v>
      </c>
      <c r="D91" s="85" t="str">
        <f t="shared" si="18"/>
        <v>Mon</v>
      </c>
      <c r="E91" s="86" t="s">
        <v>220</v>
      </c>
      <c r="F91" s="86" t="s">
        <v>237</v>
      </c>
      <c r="G91" s="86" t="s">
        <v>246</v>
      </c>
      <c r="H91" s="86" t="s">
        <v>232</v>
      </c>
      <c r="I91" s="87" t="str">
        <f>IF(F91=0,"",IF(COUNTIF(F91,"Bao"),[1]Setup!$B$4,IF(COUNTIF(F91,"Soup Dumplings"),[1]Setup!$B$5,F91)))</f>
        <v>Soup Dumpling Prep</v>
      </c>
      <c r="J91" s="88">
        <v>0</v>
      </c>
      <c r="K91" s="88" t="s">
        <v>280</v>
      </c>
      <c r="L91" s="87"/>
      <c r="M91" s="87"/>
      <c r="N91" s="87"/>
      <c r="O91" s="87"/>
      <c r="P91" s="89" t="str">
        <f t="shared" si="24"/>
        <v/>
      </c>
      <c r="Q91" s="89" t="str">
        <f t="shared" si="25"/>
        <v/>
      </c>
      <c r="R91" s="89" t="str">
        <f t="shared" si="26"/>
        <v/>
      </c>
      <c r="S91" s="88" t="str">
        <f>IF(F91="Bao",[1]Setup!$B$4,IF(F91="Soup Dumplings",[1]Setup!$B$5,""))</f>
        <v/>
      </c>
      <c r="T91" s="88" t="str">
        <f t="shared" si="27"/>
        <v/>
      </c>
      <c r="U91" s="84">
        <f t="shared" si="19"/>
        <v>46161</v>
      </c>
      <c r="V91" s="88">
        <f>IF(U91="",0,MAX(0,T91)+N91+ROUND(J91*[1]Setup!$B$9,0)+IF(O91&gt;[1]Setup!$B$10,ROUND(J91*[1]Setup!$B$11,0),0))</f>
        <v>0</v>
      </c>
      <c r="W91" s="85" t="str">
        <f>IF(L91="","Open",IF(OR(P91&lt;[1]Setup!$B$6,Q91&gt;[1]Setup!$B$7,R91&gt;[1]Setup!$B$8,O91&gt;[1]Setup!$B$10),"Review","OK"))</f>
        <v>Open</v>
      </c>
      <c r="X91" s="86"/>
      <c r="Z91" s="81" t="str">
        <f t="shared" si="22"/>
        <v>Sou</v>
      </c>
    </row>
    <row r="92" spans="1:26" ht="28.8" x14ac:dyDescent="0.3">
      <c r="A92" s="84">
        <v>46160</v>
      </c>
      <c r="B92" s="100">
        <f t="shared" si="20"/>
        <v>21</v>
      </c>
      <c r="C92" s="84" t="str">
        <f t="shared" si="21"/>
        <v>May</v>
      </c>
      <c r="D92" s="85" t="str">
        <f t="shared" si="18"/>
        <v>Mon</v>
      </c>
      <c r="E92" s="86" t="s">
        <v>220</v>
      </c>
      <c r="F92" s="86" t="s">
        <v>248</v>
      </c>
      <c r="G92" s="86" t="s">
        <v>244</v>
      </c>
      <c r="H92" s="86" t="s">
        <v>249</v>
      </c>
      <c r="I92" s="87" t="str">
        <f>IF(F92=0,"",IF(COUNTIF(F92,"Bao"),[1]Setup!$B$4,IF(COUNTIF(F92,"Soup Dumplings"),[1]Setup!$B$5,F92)))</f>
        <v>Pack Soup Dumplings</v>
      </c>
      <c r="J92" s="88"/>
      <c r="K92" s="88" t="s">
        <v>281</v>
      </c>
      <c r="L92" s="87"/>
      <c r="M92" s="87"/>
      <c r="N92" s="87"/>
      <c r="O92" s="87"/>
      <c r="P92" s="89" t="str">
        <f t="shared" si="24"/>
        <v/>
      </c>
      <c r="Q92" s="89" t="str">
        <f t="shared" si="25"/>
        <v/>
      </c>
      <c r="R92" s="89" t="str">
        <f t="shared" si="26"/>
        <v/>
      </c>
      <c r="S92" s="88" t="str">
        <f>IF(F92="Bao",[1]Setup!$B$4,IF(F92="Soup Dumplings",[1]Setup!$B$5,""))</f>
        <v/>
      </c>
      <c r="T92" s="88" t="str">
        <f t="shared" si="27"/>
        <v/>
      </c>
      <c r="U92" s="84">
        <f t="shared" si="19"/>
        <v>46161</v>
      </c>
      <c r="V92" s="88">
        <f>IF(U92="",0,MAX(0,T92)+N92+ROUND(J92*[1]Setup!$B$9,0)+IF(O92&gt;[1]Setup!$B$10,ROUND(J92*[1]Setup!$B$11,0),0))</f>
        <v>0</v>
      </c>
      <c r="W92" s="85" t="str">
        <f>IF(L92="","Open",IF(OR(P92&lt;[1]Setup!$B$6,Q92&gt;[1]Setup!$B$7,R92&gt;[1]Setup!$B$8,O92&gt;[1]Setup!$B$10),"Review","OK"))</f>
        <v>Open</v>
      </c>
      <c r="X92" s="86"/>
      <c r="Z92" s="81" t="str">
        <f t="shared" si="22"/>
        <v>Pac</v>
      </c>
    </row>
    <row r="93" spans="1:26" x14ac:dyDescent="0.3">
      <c r="A93" s="84">
        <v>46162</v>
      </c>
      <c r="B93" s="100">
        <f t="shared" si="20"/>
        <v>21</v>
      </c>
      <c r="C93" s="84" t="str">
        <f t="shared" si="21"/>
        <v>May</v>
      </c>
      <c r="D93" s="85" t="str">
        <f t="shared" si="18"/>
        <v>Wed</v>
      </c>
      <c r="E93" s="86" t="s">
        <v>220</v>
      </c>
      <c r="F93" s="86" t="s">
        <v>52</v>
      </c>
      <c r="G93" s="86" t="s">
        <v>82</v>
      </c>
      <c r="H93" s="86" t="s">
        <v>221</v>
      </c>
      <c r="I93" s="87">
        <v>25000</v>
      </c>
      <c r="J93" s="88">
        <v>25000</v>
      </c>
      <c r="K93" s="88"/>
      <c r="L93" s="87"/>
      <c r="M93" s="87"/>
      <c r="N93" s="87"/>
      <c r="O93" s="87"/>
      <c r="P93" s="89">
        <f t="shared" si="24"/>
        <v>0</v>
      </c>
      <c r="Q93" s="89">
        <f t="shared" si="25"/>
        <v>1</v>
      </c>
      <c r="R93" s="89">
        <f t="shared" si="26"/>
        <v>0</v>
      </c>
      <c r="S93" s="88">
        <f>IF(F93="Bao",[1]Setup!$B$4,IF(F93="Soup Dumplings",[1]Setup!$B$5,""))</f>
        <v>15000</v>
      </c>
      <c r="T93" s="88" t="str">
        <f t="shared" si="27"/>
        <v/>
      </c>
      <c r="U93" s="84">
        <f t="shared" si="19"/>
        <v>46163</v>
      </c>
      <c r="V93" s="88">
        <f>IF(U93="",0,MAX(0,T93)+N93+ROUND(J93*[1]Setup!$B$9,0)+IF(O93&gt;[1]Setup!$B$10,ROUND(J93*[1]Setup!$B$11,0),0))</f>
        <v>500</v>
      </c>
      <c r="W93" s="85" t="str">
        <f>IF(L93="","Open",IF(OR(P93&lt;[1]Setup!$B$6,Q93&gt;[1]Setup!$B$7,R93&gt;[1]Setup!$B$8,O93&gt;[1]Setup!$B$10),"Review","OK"))</f>
        <v>Open</v>
      </c>
      <c r="X93" s="86"/>
      <c r="Z93" s="81" t="str">
        <f t="shared" si="22"/>
        <v>Bao</v>
      </c>
    </row>
    <row r="94" spans="1:26" ht="28.8" x14ac:dyDescent="0.3">
      <c r="A94" s="84">
        <v>46162</v>
      </c>
      <c r="B94" s="100">
        <f t="shared" si="20"/>
        <v>21</v>
      </c>
      <c r="C94" s="84" t="str">
        <f t="shared" si="21"/>
        <v>May</v>
      </c>
      <c r="D94" s="85" t="str">
        <f t="shared" si="18"/>
        <v>Wed</v>
      </c>
      <c r="E94" s="86" t="s">
        <v>220</v>
      </c>
      <c r="F94" s="86" t="s">
        <v>222</v>
      </c>
      <c r="G94" s="86" t="s">
        <v>223</v>
      </c>
      <c r="H94" s="86" t="s">
        <v>224</v>
      </c>
      <c r="I94" s="87" t="s">
        <v>222</v>
      </c>
      <c r="J94" s="88">
        <v>0</v>
      </c>
      <c r="K94" s="88" t="s">
        <v>270</v>
      </c>
      <c r="L94" s="87"/>
      <c r="M94" s="87"/>
      <c r="N94" s="87"/>
      <c r="O94" s="87"/>
      <c r="P94" s="89" t="str">
        <f t="shared" si="24"/>
        <v/>
      </c>
      <c r="Q94" s="89" t="str">
        <f t="shared" si="25"/>
        <v/>
      </c>
      <c r="R94" s="89" t="str">
        <f t="shared" si="26"/>
        <v/>
      </c>
      <c r="S94" s="88" t="str">
        <f>IF(F94="Bao",[1]Setup!$B$4,IF(F94="Soup Dumplings",[1]Setup!$B$5,""))</f>
        <v/>
      </c>
      <c r="T94" s="88" t="str">
        <f t="shared" si="27"/>
        <v/>
      </c>
      <c r="U94" s="84">
        <f t="shared" si="19"/>
        <v>46163</v>
      </c>
      <c r="V94" s="88">
        <f>IF(U94="",0,MAX(0,T94)+N94+ROUND(J94*[1]Setup!$B$9,0)+IF(O94&gt;[1]Setup!$B$10,ROUND(J94*[1]Setup!$B$11,0),0))</f>
        <v>0</v>
      </c>
      <c r="W94" s="85" t="str">
        <f>IF(L94="","Open",IF(OR(P94&lt;[1]Setup!$B$6,Q94&gt;[1]Setup!$B$7,R94&gt;[1]Setup!$B$8,O94&gt;[1]Setup!$B$10),"Review","OK"))</f>
        <v>Open</v>
      </c>
      <c r="X94" s="86"/>
      <c r="Z94" s="81" t="str">
        <f t="shared" si="22"/>
        <v>Bao</v>
      </c>
    </row>
    <row r="95" spans="1:26" ht="28.8" x14ac:dyDescent="0.3">
      <c r="A95" s="84">
        <v>46162</v>
      </c>
      <c r="B95" s="100">
        <f t="shared" si="20"/>
        <v>21</v>
      </c>
      <c r="C95" s="84" t="str">
        <f t="shared" si="21"/>
        <v>May</v>
      </c>
      <c r="D95" s="85" t="str">
        <f t="shared" si="18"/>
        <v>Wed</v>
      </c>
      <c r="E95" s="86" t="s">
        <v>220</v>
      </c>
      <c r="F95" s="86" t="s">
        <v>222</v>
      </c>
      <c r="G95" s="86" t="s">
        <v>226</v>
      </c>
      <c r="H95" s="86" t="s">
        <v>229</v>
      </c>
      <c r="I95" s="87" t="s">
        <v>222</v>
      </c>
      <c r="J95" s="88">
        <v>0</v>
      </c>
      <c r="K95" s="88" t="s">
        <v>230</v>
      </c>
      <c r="L95" s="87"/>
      <c r="M95" s="87"/>
      <c r="N95" s="87"/>
      <c r="O95" s="87"/>
      <c r="P95" s="89" t="str">
        <f t="shared" si="24"/>
        <v/>
      </c>
      <c r="Q95" s="89" t="str">
        <f t="shared" si="25"/>
        <v/>
      </c>
      <c r="R95" s="89" t="str">
        <f t="shared" si="26"/>
        <v/>
      </c>
      <c r="S95" s="88" t="str">
        <f>IF(F95="Bao",[1]Setup!$B$4,IF(F95="Soup Dumplings",[1]Setup!$B$5,""))</f>
        <v/>
      </c>
      <c r="T95" s="88" t="str">
        <f t="shared" si="27"/>
        <v/>
      </c>
      <c r="U95" s="84">
        <f t="shared" si="19"/>
        <v>46163</v>
      </c>
      <c r="V95" s="88">
        <f>IF(U95="",0,MAX(0,T95)+N95+ROUND(J95*[1]Setup!$B$9,0)+IF(O95&gt;[1]Setup!$B$10,ROUND(J95*[1]Setup!$B$11,0),0))</f>
        <v>0</v>
      </c>
      <c r="W95" s="85" t="str">
        <f>IF(L95="","Open",IF(OR(P95&lt;[1]Setup!$B$6,Q95&gt;[1]Setup!$B$7,R95&gt;[1]Setup!$B$8,O95&gt;[1]Setup!$B$10),"Review","OK"))</f>
        <v>Open</v>
      </c>
      <c r="X95" s="86"/>
      <c r="Z95" s="81" t="str">
        <f t="shared" si="22"/>
        <v>Bao</v>
      </c>
    </row>
    <row r="96" spans="1:26" ht="28.8" x14ac:dyDescent="0.3">
      <c r="A96" s="84">
        <v>46162</v>
      </c>
      <c r="B96" s="100">
        <f t="shared" si="20"/>
        <v>21</v>
      </c>
      <c r="C96" s="84" t="str">
        <f t="shared" si="21"/>
        <v>May</v>
      </c>
      <c r="D96" s="85" t="str">
        <f t="shared" si="18"/>
        <v>Wed</v>
      </c>
      <c r="E96" s="86" t="s">
        <v>220</v>
      </c>
      <c r="F96" s="86" t="s">
        <v>237</v>
      </c>
      <c r="G96" s="86" t="s">
        <v>238</v>
      </c>
      <c r="H96" s="86" t="s">
        <v>229</v>
      </c>
      <c r="I96" s="87" t="s">
        <v>237</v>
      </c>
      <c r="J96" s="88">
        <v>0</v>
      </c>
      <c r="K96" s="88" t="s">
        <v>278</v>
      </c>
      <c r="L96" s="87"/>
      <c r="M96" s="87"/>
      <c r="N96" s="87"/>
      <c r="O96" s="87"/>
      <c r="P96" s="89" t="str">
        <f t="shared" si="24"/>
        <v/>
      </c>
      <c r="Q96" s="89" t="str">
        <f t="shared" si="25"/>
        <v/>
      </c>
      <c r="R96" s="89" t="str">
        <f t="shared" si="26"/>
        <v/>
      </c>
      <c r="S96" s="88" t="str">
        <f>IF(F96="Bao",[1]Setup!$B$4,IF(F96="Soup Dumplings",[1]Setup!$B$5,""))</f>
        <v/>
      </c>
      <c r="T96" s="88" t="str">
        <f t="shared" si="27"/>
        <v/>
      </c>
      <c r="U96" s="84">
        <f t="shared" si="19"/>
        <v>46163</v>
      </c>
      <c r="V96" s="88">
        <f>IF(U96="",0,MAX(0,T96)+N96+ROUND(J96*[1]Setup!$B$9,0)+IF(O96&gt;[1]Setup!$B$10,ROUND(J96*[1]Setup!$B$11,0),0))</f>
        <v>0</v>
      </c>
      <c r="W96" s="85" t="str">
        <f>IF(L96="","Open",IF(OR(P96&lt;[1]Setup!$B$6,Q96&gt;[1]Setup!$B$7,R96&gt;[1]Setup!$B$8,O96&gt;[1]Setup!$B$10),"Review","OK"))</f>
        <v>Open</v>
      </c>
      <c r="X96" s="86"/>
      <c r="Z96" s="81" t="str">
        <f t="shared" si="22"/>
        <v>Sou</v>
      </c>
    </row>
    <row r="97" spans="1:26" ht="43.2" x14ac:dyDescent="0.3">
      <c r="A97" s="84">
        <v>46162</v>
      </c>
      <c r="B97" s="100">
        <f t="shared" si="20"/>
        <v>21</v>
      </c>
      <c r="C97" s="84" t="str">
        <f t="shared" si="21"/>
        <v>May</v>
      </c>
      <c r="D97" s="85" t="str">
        <f t="shared" si="18"/>
        <v>Wed</v>
      </c>
      <c r="E97" s="86" t="s">
        <v>220</v>
      </c>
      <c r="F97" s="86" t="s">
        <v>237</v>
      </c>
      <c r="G97" s="86" t="s">
        <v>240</v>
      </c>
      <c r="H97" s="86" t="s">
        <v>224</v>
      </c>
      <c r="I97" s="87" t="s">
        <v>237</v>
      </c>
      <c r="J97" s="88">
        <v>0</v>
      </c>
      <c r="K97" s="88" t="s">
        <v>279</v>
      </c>
      <c r="L97" s="87"/>
      <c r="M97" s="87"/>
      <c r="N97" s="87"/>
      <c r="O97" s="87"/>
      <c r="P97" s="89" t="str">
        <f t="shared" si="24"/>
        <v/>
      </c>
      <c r="Q97" s="89" t="str">
        <f t="shared" si="25"/>
        <v/>
      </c>
      <c r="R97" s="89" t="str">
        <f t="shared" si="26"/>
        <v/>
      </c>
      <c r="S97" s="88" t="str">
        <f>IF(F97="Bao",[1]Setup!$B$4,IF(F97="Soup Dumplings",[1]Setup!$B$5,""))</f>
        <v/>
      </c>
      <c r="T97" s="88" t="str">
        <f t="shared" si="27"/>
        <v/>
      </c>
      <c r="U97" s="84">
        <f t="shared" si="19"/>
        <v>46163</v>
      </c>
      <c r="V97" s="88">
        <f>IF(U97="",0,MAX(0,T97)+N97+ROUND(J97*[1]Setup!$B$9,0)+IF(O97&gt;[1]Setup!$B$10,ROUND(J97*[1]Setup!$B$11,0),0))</f>
        <v>0</v>
      </c>
      <c r="W97" s="85" t="str">
        <f>IF(L97="","Open",IF(OR(P97&lt;[1]Setup!$B$6,Q97&gt;[1]Setup!$B$7,R97&gt;[1]Setup!$B$8,O97&gt;[1]Setup!$B$10),"Review","OK"))</f>
        <v>Open</v>
      </c>
      <c r="X97" s="86"/>
      <c r="Z97" s="81" t="str">
        <f t="shared" si="22"/>
        <v>Sou</v>
      </c>
    </row>
    <row r="98" spans="1:26" ht="28.8" x14ac:dyDescent="0.3">
      <c r="A98" s="84">
        <v>46162</v>
      </c>
      <c r="B98" s="100">
        <f t="shared" si="20"/>
        <v>21</v>
      </c>
      <c r="C98" s="84" t="str">
        <f t="shared" si="21"/>
        <v>May</v>
      </c>
      <c r="D98" s="85" t="str">
        <f t="shared" si="18"/>
        <v>Wed</v>
      </c>
      <c r="E98" s="86" t="s">
        <v>220</v>
      </c>
      <c r="F98" s="86" t="s">
        <v>237</v>
      </c>
      <c r="G98" s="86" t="s">
        <v>242</v>
      </c>
      <c r="H98" s="86" t="s">
        <v>232</v>
      </c>
      <c r="I98" s="87" t="s">
        <v>237</v>
      </c>
      <c r="J98" s="88">
        <v>0</v>
      </c>
      <c r="K98" s="88" t="s">
        <v>243</v>
      </c>
      <c r="L98" s="87"/>
      <c r="M98" s="87"/>
      <c r="N98" s="87"/>
      <c r="O98" s="87"/>
      <c r="P98" s="89" t="str">
        <f t="shared" si="24"/>
        <v/>
      </c>
      <c r="Q98" s="89" t="str">
        <f t="shared" si="25"/>
        <v/>
      </c>
      <c r="R98" s="89" t="str">
        <f t="shared" si="26"/>
        <v/>
      </c>
      <c r="S98" s="88" t="str">
        <f>IF(F98="Bao",[1]Setup!$B$4,IF(F98="Soup Dumplings",[1]Setup!$B$5,""))</f>
        <v/>
      </c>
      <c r="T98" s="88" t="str">
        <f t="shared" si="27"/>
        <v/>
      </c>
      <c r="U98" s="84">
        <f t="shared" si="19"/>
        <v>46163</v>
      </c>
      <c r="V98" s="88">
        <f>IF(U98="",0,MAX(0,T98)+N98+ROUND(J98*[1]Setup!$B$9,0)+IF(O98&gt;[1]Setup!$B$10,ROUND(J98*[1]Setup!$B$11,0),0))</f>
        <v>0</v>
      </c>
      <c r="W98" s="85" t="str">
        <f>IF(L98="","Open",IF(OR(P98&lt;[1]Setup!$B$6,Q98&gt;[1]Setup!$B$7,R98&gt;[1]Setup!$B$8,O98&gt;[1]Setup!$B$10),"Review","OK"))</f>
        <v>Open</v>
      </c>
      <c r="X98" s="86"/>
      <c r="Z98" s="81" t="str">
        <f t="shared" si="22"/>
        <v>Sou</v>
      </c>
    </row>
    <row r="99" spans="1:26" ht="28.8" x14ac:dyDescent="0.3">
      <c r="A99" s="84">
        <v>46162</v>
      </c>
      <c r="B99" s="100">
        <f t="shared" si="20"/>
        <v>21</v>
      </c>
      <c r="C99" s="84" t="str">
        <f t="shared" si="21"/>
        <v>May</v>
      </c>
      <c r="D99" s="85" t="str">
        <f t="shared" si="18"/>
        <v>Wed</v>
      </c>
      <c r="E99" s="86" t="s">
        <v>220</v>
      </c>
      <c r="F99" s="86" t="s">
        <v>237</v>
      </c>
      <c r="G99" s="86" t="s">
        <v>238</v>
      </c>
      <c r="H99" s="86" t="s">
        <v>227</v>
      </c>
      <c r="I99" s="87" t="s">
        <v>237</v>
      </c>
      <c r="J99" s="88">
        <v>0</v>
      </c>
      <c r="K99" s="88" t="s">
        <v>228</v>
      </c>
      <c r="L99" s="87"/>
      <c r="M99" s="87"/>
      <c r="N99" s="87"/>
      <c r="O99" s="87"/>
      <c r="P99" s="89" t="str">
        <f t="shared" si="24"/>
        <v/>
      </c>
      <c r="Q99" s="89" t="str">
        <f t="shared" si="25"/>
        <v/>
      </c>
      <c r="R99" s="89" t="str">
        <f t="shared" si="26"/>
        <v/>
      </c>
      <c r="S99" s="88" t="str">
        <f>IF(F99="Bao",[1]Setup!$B$4,IF(F99="Soup Dumplings",[1]Setup!$B$5,""))</f>
        <v/>
      </c>
      <c r="T99" s="88" t="str">
        <f t="shared" si="27"/>
        <v/>
      </c>
      <c r="U99" s="84">
        <f t="shared" si="19"/>
        <v>46163</v>
      </c>
      <c r="V99" s="88">
        <f>IF(U99="",0,MAX(0,T99)+N99+ROUND(J99*[1]Setup!$B$9,0)+IF(O99&gt;[1]Setup!$B$10,ROUND(J99*[1]Setup!$B$11,0),0))</f>
        <v>0</v>
      </c>
      <c r="W99" s="85" t="str">
        <f>IF(L99="","Open",IF(OR(P99&lt;[1]Setup!$B$6,Q99&gt;[1]Setup!$B$7,R99&gt;[1]Setup!$B$8,O99&gt;[1]Setup!$B$10),"Review","OK"))</f>
        <v>Open</v>
      </c>
      <c r="X99" s="86"/>
      <c r="Z99" s="81" t="str">
        <f t="shared" si="22"/>
        <v>Sou</v>
      </c>
    </row>
    <row r="100" spans="1:26" x14ac:dyDescent="0.3">
      <c r="A100" s="84">
        <v>46162</v>
      </c>
      <c r="B100" s="100">
        <f t="shared" si="20"/>
        <v>21</v>
      </c>
      <c r="C100" s="84" t="str">
        <f t="shared" si="21"/>
        <v>May</v>
      </c>
      <c r="D100" s="85" t="str">
        <f t="shared" si="18"/>
        <v>Wed</v>
      </c>
      <c r="E100" s="86" t="s">
        <v>220</v>
      </c>
      <c r="F100" s="86" t="s">
        <v>87</v>
      </c>
      <c r="G100" s="86" t="s">
        <v>244</v>
      </c>
      <c r="H100" s="86" t="s">
        <v>245</v>
      </c>
      <c r="I100" s="87">
        <v>100000</v>
      </c>
      <c r="J100" s="88">
        <v>100000</v>
      </c>
      <c r="K100" s="88"/>
      <c r="L100" s="87"/>
      <c r="M100" s="87"/>
      <c r="N100" s="87"/>
      <c r="O100" s="87"/>
      <c r="P100" s="89">
        <f t="shared" si="24"/>
        <v>0</v>
      </c>
      <c r="Q100" s="89">
        <f t="shared" si="25"/>
        <v>1</v>
      </c>
      <c r="R100" s="89">
        <f t="shared" si="26"/>
        <v>0</v>
      </c>
      <c r="S100" s="88">
        <f>IF(F100="Bao",[1]Setup!$B$4,IF(F100="Soup Dumplings",[1]Setup!$B$5,""))</f>
        <v>90000</v>
      </c>
      <c r="T100" s="88" t="str">
        <f t="shared" si="27"/>
        <v/>
      </c>
      <c r="U100" s="84">
        <f t="shared" si="19"/>
        <v>46163</v>
      </c>
      <c r="V100" s="88">
        <f>IF(U100="",0,MAX(0,T100)+N100+ROUND(J100*[1]Setup!$B$9,0)+IF(O100&gt;[1]Setup!$B$10,ROUND(J100*[1]Setup!$B$11,0),0))</f>
        <v>2000</v>
      </c>
      <c r="W100" s="85" t="str">
        <f>IF(L100="","Open",IF(OR(P100&lt;[1]Setup!$B$6,Q100&gt;[1]Setup!$B$7,R100&gt;[1]Setup!$B$8,O100&gt;[1]Setup!$B$10),"Review","OK"))</f>
        <v>Open</v>
      </c>
      <c r="X100" s="86"/>
      <c r="Z100" s="81" t="str">
        <f t="shared" si="22"/>
        <v>Sou</v>
      </c>
    </row>
    <row r="101" spans="1:26" ht="28.8" x14ac:dyDescent="0.3">
      <c r="A101" s="84">
        <v>46162</v>
      </c>
      <c r="B101" s="100">
        <f t="shared" si="20"/>
        <v>21</v>
      </c>
      <c r="C101" s="84" t="str">
        <f t="shared" si="21"/>
        <v>May</v>
      </c>
      <c r="D101" s="85" t="str">
        <f t="shared" si="18"/>
        <v>Wed</v>
      </c>
      <c r="E101" s="86" t="s">
        <v>220</v>
      </c>
      <c r="F101" s="86" t="s">
        <v>248</v>
      </c>
      <c r="G101" s="86" t="s">
        <v>244</v>
      </c>
      <c r="H101" s="86" t="s">
        <v>249</v>
      </c>
      <c r="I101" s="87" t="s">
        <v>248</v>
      </c>
      <c r="J101" s="88"/>
      <c r="K101" s="88" t="s">
        <v>282</v>
      </c>
      <c r="L101" s="87"/>
      <c r="M101" s="87"/>
      <c r="N101" s="87"/>
      <c r="O101" s="87"/>
      <c r="P101" s="89" t="str">
        <f t="shared" si="24"/>
        <v/>
      </c>
      <c r="Q101" s="89" t="str">
        <f t="shared" si="25"/>
        <v/>
      </c>
      <c r="R101" s="89" t="str">
        <f t="shared" si="26"/>
        <v/>
      </c>
      <c r="S101" s="88" t="str">
        <f>IF(F101="Bao",[1]Setup!$B$4,IF(F101="Soup Dumplings",[1]Setup!$B$5,""))</f>
        <v/>
      </c>
      <c r="T101" s="88" t="str">
        <f t="shared" si="27"/>
        <v/>
      </c>
      <c r="U101" s="84">
        <f t="shared" si="19"/>
        <v>46163</v>
      </c>
      <c r="V101" s="88">
        <f>IF(U101="",0,MAX(0,T101)+N101+ROUND(J101*[1]Setup!$B$9,0)+IF(O101&gt;[1]Setup!$B$10,ROUND(J101*[1]Setup!$B$11,0),0))</f>
        <v>0</v>
      </c>
      <c r="W101" s="85" t="str">
        <f>IF(L101="","Open",IF(OR(P101&lt;[1]Setup!$B$6,Q101&gt;[1]Setup!$B$7,R101&gt;[1]Setup!$B$8,O101&gt;[1]Setup!$B$10),"Review","OK"))</f>
        <v>Open</v>
      </c>
      <c r="X101" s="86"/>
      <c r="Z101" s="81" t="str">
        <f t="shared" si="22"/>
        <v>Pac</v>
      </c>
    </row>
    <row r="102" spans="1:26" ht="28.8" x14ac:dyDescent="0.3">
      <c r="A102" s="84">
        <v>46162</v>
      </c>
      <c r="B102" s="100">
        <f t="shared" si="20"/>
        <v>21</v>
      </c>
      <c r="C102" s="84" t="str">
        <f t="shared" si="21"/>
        <v>May</v>
      </c>
      <c r="D102" s="85" t="str">
        <f t="shared" si="18"/>
        <v>Wed</v>
      </c>
      <c r="E102" s="86" t="s">
        <v>220</v>
      </c>
      <c r="F102" s="86" t="s">
        <v>222</v>
      </c>
      <c r="G102" s="86" t="s">
        <v>276</v>
      </c>
      <c r="H102" s="86" t="s">
        <v>229</v>
      </c>
      <c r="I102" s="87" t="s">
        <v>222</v>
      </c>
      <c r="J102" s="88">
        <v>0</v>
      </c>
      <c r="K102" s="88" t="s">
        <v>283</v>
      </c>
      <c r="L102" s="87"/>
      <c r="M102" s="87"/>
      <c r="N102" s="87"/>
      <c r="O102" s="87"/>
      <c r="P102" s="89" t="str">
        <f t="shared" si="24"/>
        <v/>
      </c>
      <c r="Q102" s="89" t="str">
        <f t="shared" si="25"/>
        <v/>
      </c>
      <c r="R102" s="89" t="str">
        <f t="shared" si="26"/>
        <v/>
      </c>
      <c r="S102" s="88" t="str">
        <f>IF(F102="Bao",[1]Setup!$B$4,IF(F102="Soup Dumplings",[1]Setup!$B$5,""))</f>
        <v/>
      </c>
      <c r="T102" s="88" t="str">
        <f t="shared" si="27"/>
        <v/>
      </c>
      <c r="U102" s="84">
        <f t="shared" si="19"/>
        <v>46163</v>
      </c>
      <c r="V102" s="88">
        <f>IF(U102="",0,MAX(0,T102)+N102+ROUND(J102*[1]Setup!$B$9,0)+IF(O102&gt;[1]Setup!$B$10,ROUND(J102*[1]Setup!$B$11,0),0))</f>
        <v>0</v>
      </c>
      <c r="W102" s="85" t="str">
        <f>IF(L102="","Open",IF(OR(P102&lt;[1]Setup!$B$6,Q102&gt;[1]Setup!$B$7,R102&gt;[1]Setup!$B$8,O102&gt;[1]Setup!$B$10),"Review","OK"))</f>
        <v>Open</v>
      </c>
      <c r="X102" s="86"/>
      <c r="Z102" s="81" t="str">
        <f t="shared" si="22"/>
        <v>Bao</v>
      </c>
    </row>
    <row r="103" spans="1:26" x14ac:dyDescent="0.3">
      <c r="A103" s="84">
        <v>46162</v>
      </c>
      <c r="B103" s="100">
        <f t="shared" si="20"/>
        <v>21</v>
      </c>
      <c r="C103" s="84" t="str">
        <f t="shared" si="21"/>
        <v>May</v>
      </c>
      <c r="D103" s="85" t="str">
        <f t="shared" si="18"/>
        <v>Wed</v>
      </c>
      <c r="E103" s="86" t="s">
        <v>220</v>
      </c>
      <c r="F103" s="86" t="s">
        <v>251</v>
      </c>
      <c r="G103" s="86" t="s">
        <v>82</v>
      </c>
      <c r="H103" s="86" t="s">
        <v>252</v>
      </c>
      <c r="I103" s="87" t="s">
        <v>251</v>
      </c>
      <c r="J103" s="88">
        <v>0</v>
      </c>
      <c r="K103" s="88" t="s">
        <v>284</v>
      </c>
      <c r="L103" s="87"/>
      <c r="M103" s="87"/>
      <c r="N103" s="87"/>
      <c r="O103" s="87"/>
      <c r="P103" s="89" t="str">
        <f t="shared" si="24"/>
        <v/>
      </c>
      <c r="Q103" s="89" t="str">
        <f t="shared" si="25"/>
        <v/>
      </c>
      <c r="R103" s="89" t="str">
        <f t="shared" si="26"/>
        <v/>
      </c>
      <c r="S103" s="88" t="str">
        <f>IF(F103="Bao",[1]Setup!$B$4,IF(F103="Soup Dumplings",[1]Setup!$B$5,""))</f>
        <v/>
      </c>
      <c r="T103" s="88" t="str">
        <f t="shared" si="27"/>
        <v/>
      </c>
      <c r="U103" s="84">
        <f t="shared" si="19"/>
        <v>46163</v>
      </c>
      <c r="V103" s="88">
        <f>IF(U103="",0,MAX(0,T103)+N103+ROUND(J103*[1]Setup!$B$9,0)+IF(O103&gt;[1]Setup!$B$10,ROUND(J103*[1]Setup!$B$11,0),0))</f>
        <v>0</v>
      </c>
      <c r="W103" s="85" t="str">
        <f>IF(L103="","Open",IF(OR(P103&lt;[1]Setup!$B$6,Q103&gt;[1]Setup!$B$7,R103&gt;[1]Setup!$B$8,O103&gt;[1]Setup!$B$10),"Review","OK"))</f>
        <v>Open</v>
      </c>
      <c r="X103" s="86"/>
      <c r="Z103" s="81" t="str">
        <f t="shared" si="22"/>
        <v>Pac</v>
      </c>
    </row>
    <row r="104" spans="1:26" ht="43.2" x14ac:dyDescent="0.3">
      <c r="A104" s="84">
        <v>46162</v>
      </c>
      <c r="B104" s="100">
        <f t="shared" si="20"/>
        <v>21</v>
      </c>
      <c r="C104" s="84" t="str">
        <f t="shared" si="21"/>
        <v>May</v>
      </c>
      <c r="D104" s="85" t="str">
        <f t="shared" si="18"/>
        <v>Wed</v>
      </c>
      <c r="E104" s="86" t="s">
        <v>220</v>
      </c>
      <c r="F104" s="86" t="s">
        <v>248</v>
      </c>
      <c r="G104" s="86" t="s">
        <v>244</v>
      </c>
      <c r="H104" s="86" t="s">
        <v>252</v>
      </c>
      <c r="I104" s="87" t="s">
        <v>251</v>
      </c>
      <c r="J104" s="88">
        <v>0</v>
      </c>
      <c r="K104" s="88" t="s">
        <v>285</v>
      </c>
      <c r="L104" s="87"/>
      <c r="M104" s="87"/>
      <c r="N104" s="87"/>
      <c r="O104" s="87"/>
      <c r="P104" s="89" t="str">
        <f t="shared" si="24"/>
        <v/>
      </c>
      <c r="Q104" s="89" t="str">
        <f t="shared" si="25"/>
        <v/>
      </c>
      <c r="R104" s="89" t="str">
        <f t="shared" si="26"/>
        <v/>
      </c>
      <c r="S104" s="88" t="str">
        <f>IF(F104="Bao",[1]Setup!$B$4,IF(F104="Soup Dumplings",[1]Setup!$B$5,""))</f>
        <v/>
      </c>
      <c r="T104" s="88" t="str">
        <f t="shared" si="27"/>
        <v/>
      </c>
      <c r="U104" s="84">
        <f t="shared" si="19"/>
        <v>46163</v>
      </c>
      <c r="V104" s="88">
        <f>IF(U104="",0,MAX(0,T104)+N104+ROUND(J104*[1]Setup!$B$9,0)+IF(O104&gt;[1]Setup!$B$10,ROUND(J104*[1]Setup!$B$11,0),0))</f>
        <v>0</v>
      </c>
      <c r="W104" s="85" t="str">
        <f>IF(L104="","Open",IF(OR(P104&lt;[1]Setup!$B$6,Q104&gt;[1]Setup!$B$7,R104&gt;[1]Setup!$B$8,O104&gt;[1]Setup!$B$10),"Review","OK"))</f>
        <v>Open</v>
      </c>
      <c r="X104" s="86"/>
      <c r="Z104" s="81" t="str">
        <f t="shared" si="22"/>
        <v>Pac</v>
      </c>
    </row>
    <row r="105" spans="1:26" x14ac:dyDescent="0.3">
      <c r="A105" s="84">
        <v>46162</v>
      </c>
      <c r="B105" s="100">
        <f t="shared" si="20"/>
        <v>21</v>
      </c>
      <c r="C105" s="84" t="str">
        <f t="shared" si="21"/>
        <v>May</v>
      </c>
      <c r="D105" s="85" t="str">
        <f t="shared" si="18"/>
        <v>Wed</v>
      </c>
      <c r="E105" s="86" t="s">
        <v>220</v>
      </c>
      <c r="F105" s="86" t="s">
        <v>286</v>
      </c>
      <c r="G105" s="86" t="s">
        <v>287</v>
      </c>
      <c r="H105" s="86" t="s">
        <v>227</v>
      </c>
      <c r="I105" s="87" t="str">
        <f>IF(F105=0,"",IF(COUNTIF(F105,"Bao"),[1]Setup!$B$4,IF(COUNTIF(F105,"Soup Dumplings"),[1]Setup!$B$5,F105)))</f>
        <v>R&amp;D Matt</v>
      </c>
      <c r="J105" s="88">
        <f t="shared" ref="J105:J111" si="28">IF(A105="","",
   IFERROR(
      N(I105)+SUMIFS($V$4:$V$30,$U$4:$U$30,A105,$G$4:$G$30,G105),
   0)
)</f>
        <v>0</v>
      </c>
      <c r="K105" s="88" t="s">
        <v>288</v>
      </c>
      <c r="L105" s="87"/>
      <c r="M105" s="87"/>
      <c r="N105" s="87"/>
      <c r="O105" s="87"/>
      <c r="P105" s="89" t="str">
        <f t="shared" si="24"/>
        <v/>
      </c>
      <c r="Q105" s="89" t="str">
        <f t="shared" si="25"/>
        <v/>
      </c>
      <c r="R105" s="89" t="str">
        <f t="shared" si="26"/>
        <v/>
      </c>
      <c r="S105" s="88" t="str">
        <f>IF(F105="Bao",[1]Setup!$B$4,IF(F105="Soup Dumplings",[1]Setup!$B$5,""))</f>
        <v/>
      </c>
      <c r="T105" s="88" t="str">
        <f t="shared" si="27"/>
        <v/>
      </c>
      <c r="U105" s="84">
        <f t="shared" si="19"/>
        <v>46163</v>
      </c>
      <c r="V105" s="88">
        <f>IF(U105="",0,MAX(0,T105)+N105+ROUND(J105*[1]Setup!$B$9,0)+IF(O105&gt;[1]Setup!$B$10,ROUND(J105*[1]Setup!$B$11,0),0))</f>
        <v>0</v>
      </c>
      <c r="W105" s="85" t="str">
        <f>IF(L105="","Open",IF(OR(P105&lt;[1]Setup!$B$6,Q105&gt;[1]Setup!$B$7,R105&gt;[1]Setup!$B$8,O105&gt;[1]Setup!$B$10),"Review","OK"))</f>
        <v>Open</v>
      </c>
      <c r="X105" s="86"/>
      <c r="Z105" s="81" t="str">
        <f t="shared" si="22"/>
        <v>R&amp;D</v>
      </c>
    </row>
    <row r="106" spans="1:26" x14ac:dyDescent="0.3">
      <c r="A106" s="84">
        <v>46163</v>
      </c>
      <c r="B106" s="100">
        <f t="shared" si="20"/>
        <v>21</v>
      </c>
      <c r="C106" s="84" t="str">
        <f t="shared" si="21"/>
        <v>May</v>
      </c>
      <c r="D106" s="85" t="str">
        <f t="shared" si="18"/>
        <v>Thu</v>
      </c>
      <c r="E106" s="86" t="s">
        <v>220</v>
      </c>
      <c r="F106" s="86" t="s">
        <v>52</v>
      </c>
      <c r="G106" s="86" t="s">
        <v>82</v>
      </c>
      <c r="H106" s="86" t="s">
        <v>221</v>
      </c>
      <c r="I106" s="87">
        <v>25000</v>
      </c>
      <c r="J106" s="88">
        <f t="shared" si="28"/>
        <v>25000</v>
      </c>
      <c r="K106" s="88"/>
      <c r="L106" s="87"/>
      <c r="M106" s="87"/>
      <c r="N106" s="87"/>
      <c r="O106" s="87"/>
      <c r="P106" s="89">
        <f t="shared" si="24"/>
        <v>0</v>
      </c>
      <c r="Q106" s="89">
        <f t="shared" si="25"/>
        <v>1</v>
      </c>
      <c r="R106" s="89">
        <f t="shared" si="26"/>
        <v>0</v>
      </c>
      <c r="S106" s="88">
        <f>IF(F106="Bao",[1]Setup!$B$4,IF(F106="Soup Dumplings",[1]Setup!$B$5,""))</f>
        <v>15000</v>
      </c>
      <c r="T106" s="88" t="str">
        <f t="shared" si="27"/>
        <v/>
      </c>
      <c r="U106" s="84">
        <f t="shared" si="19"/>
        <v>46164</v>
      </c>
      <c r="V106" s="88">
        <f>IF(U106="",0,MAX(0,T106)+N106+ROUND(J106*[1]Setup!$B$9,0)+IF(O106&gt;[1]Setup!$B$10,ROUND(J106*[1]Setup!$B$11,0),0))</f>
        <v>500</v>
      </c>
      <c r="W106" s="85" t="str">
        <f>IF(L106="","Open",IF(OR(P106&lt;[1]Setup!$B$6,Q106&gt;[1]Setup!$B$7,R106&gt;[1]Setup!$B$8,O106&gt;[1]Setup!$B$10),"Review","OK"))</f>
        <v>Open</v>
      </c>
      <c r="X106" s="86"/>
      <c r="Z106" s="81" t="str">
        <f t="shared" si="22"/>
        <v>Bao</v>
      </c>
    </row>
    <row r="107" spans="1:26" ht="28.8" x14ac:dyDescent="0.3">
      <c r="A107" s="84">
        <v>46163</v>
      </c>
      <c r="B107" s="100">
        <f t="shared" si="20"/>
        <v>21</v>
      </c>
      <c r="C107" s="84" t="str">
        <f t="shared" si="21"/>
        <v>May</v>
      </c>
      <c r="D107" s="85" t="str">
        <f t="shared" si="18"/>
        <v>Thu</v>
      </c>
      <c r="E107" s="86" t="s">
        <v>220</v>
      </c>
      <c r="F107" s="86" t="s">
        <v>222</v>
      </c>
      <c r="G107" s="86" t="s">
        <v>223</v>
      </c>
      <c r="H107" s="86" t="s">
        <v>224</v>
      </c>
      <c r="I107" s="87" t="str">
        <f>IF(F107=0,"",IF(COUNTIF(F107,"Bao"),[1]Setup!$B$4,IF(COUNTIF(F107,"Soup Dumplings"),[1]Setup!$B$5,F107)))</f>
        <v>Bao Prep</v>
      </c>
      <c r="J107" s="88">
        <f t="shared" si="28"/>
        <v>0</v>
      </c>
      <c r="K107" s="88" t="s">
        <v>270</v>
      </c>
      <c r="L107" s="87"/>
      <c r="M107" s="87"/>
      <c r="N107" s="87"/>
      <c r="O107" s="87"/>
      <c r="P107" s="89" t="str">
        <f t="shared" si="24"/>
        <v/>
      </c>
      <c r="Q107" s="89" t="str">
        <f t="shared" si="25"/>
        <v/>
      </c>
      <c r="R107" s="89" t="str">
        <f t="shared" si="26"/>
        <v/>
      </c>
      <c r="S107" s="88" t="str">
        <f>IF(F107="Bao",[1]Setup!$B$4,IF(F107="Soup Dumplings",[1]Setup!$B$5,""))</f>
        <v/>
      </c>
      <c r="T107" s="88" t="str">
        <f t="shared" si="27"/>
        <v/>
      </c>
      <c r="U107" s="84">
        <f t="shared" si="19"/>
        <v>46164</v>
      </c>
      <c r="V107" s="88">
        <f>IF(U107="",0,MAX(0,T107)+N107+ROUND(J107*[1]Setup!$B$9,0)+IF(O107&gt;[1]Setup!$B$10,ROUND(J107*[1]Setup!$B$11,0),0))</f>
        <v>0</v>
      </c>
      <c r="W107" s="85" t="str">
        <f>IF(L107="","Open",IF(OR(P107&lt;[1]Setup!$B$6,Q107&gt;[1]Setup!$B$7,R107&gt;[1]Setup!$B$8,O107&gt;[1]Setup!$B$10),"Review","OK"))</f>
        <v>Open</v>
      </c>
      <c r="X107" s="86"/>
      <c r="Z107" s="81" t="str">
        <f t="shared" si="22"/>
        <v>Bao</v>
      </c>
    </row>
    <row r="108" spans="1:26" ht="28.8" x14ac:dyDescent="0.3">
      <c r="A108" s="84">
        <v>46160</v>
      </c>
      <c r="B108" s="100">
        <f t="shared" si="20"/>
        <v>21</v>
      </c>
      <c r="C108" s="84" t="str">
        <f t="shared" si="21"/>
        <v>May</v>
      </c>
      <c r="D108" s="85" t="str">
        <f t="shared" si="18"/>
        <v>Mon</v>
      </c>
      <c r="E108" s="86" t="s">
        <v>220</v>
      </c>
      <c r="F108" s="86" t="s">
        <v>222</v>
      </c>
      <c r="G108" s="86" t="s">
        <v>276</v>
      </c>
      <c r="H108" s="86" t="s">
        <v>229</v>
      </c>
      <c r="I108" s="87" t="str">
        <f>IF(F108=0,"",IF(COUNTIF(F108,"Bao"),[1]Setup!$B$4,IF(COUNTIF(F108,"Soup Dumplings"),[1]Setup!$B$5,F108)))</f>
        <v>Bao Prep</v>
      </c>
      <c r="J108" s="88">
        <f t="shared" si="28"/>
        <v>0</v>
      </c>
      <c r="K108" s="88" t="s">
        <v>283</v>
      </c>
      <c r="L108" s="87"/>
      <c r="M108" s="87"/>
      <c r="N108" s="87"/>
      <c r="O108" s="87"/>
      <c r="P108" s="89" t="str">
        <f t="shared" si="24"/>
        <v/>
      </c>
      <c r="Q108" s="89" t="str">
        <f t="shared" si="25"/>
        <v/>
      </c>
      <c r="R108" s="89" t="str">
        <f t="shared" si="26"/>
        <v/>
      </c>
      <c r="S108" s="88" t="str">
        <f>IF(F108="Bao",[1]Setup!$B$4,IF(F108="Soup Dumplings",[1]Setup!$B$5,""))</f>
        <v/>
      </c>
      <c r="T108" s="88" t="str">
        <f t="shared" si="27"/>
        <v/>
      </c>
      <c r="U108" s="84">
        <f t="shared" si="19"/>
        <v>46161</v>
      </c>
      <c r="V108" s="88">
        <f>IF(U108="",0,MAX(0,T108)+N108+ROUND(J108*[1]Setup!$B$9,0)+IF(O108&gt;[1]Setup!$B$10,ROUND(J108*[1]Setup!$B$11,0),0))</f>
        <v>0</v>
      </c>
      <c r="W108" s="85" t="str">
        <f>IF(L108="","Open",IF(OR(P108&lt;[1]Setup!$B$6,Q108&gt;[1]Setup!$B$7,R108&gt;[1]Setup!$B$8,O108&gt;[1]Setup!$B$10),"Review","OK"))</f>
        <v>Open</v>
      </c>
      <c r="X108" s="86"/>
      <c r="Z108" s="81" t="str">
        <f t="shared" si="22"/>
        <v>Bao</v>
      </c>
    </row>
    <row r="109" spans="1:26" x14ac:dyDescent="0.3">
      <c r="A109" s="84">
        <v>46160</v>
      </c>
      <c r="B109" s="100">
        <f t="shared" si="20"/>
        <v>21</v>
      </c>
      <c r="C109" s="84" t="str">
        <f t="shared" si="21"/>
        <v>May</v>
      </c>
      <c r="D109" s="85" t="str">
        <f t="shared" si="18"/>
        <v>Mon</v>
      </c>
      <c r="E109" s="86" t="s">
        <v>220</v>
      </c>
      <c r="F109" s="86" t="s">
        <v>251</v>
      </c>
      <c r="G109" s="86" t="s">
        <v>82</v>
      </c>
      <c r="H109" s="86" t="s">
        <v>252</v>
      </c>
      <c r="I109" s="87" t="str">
        <f>IF(F109=0,"",IF(COUNTIF(F109,"Bao"),[1]Setup!$B$4,IF(COUNTIF(F109,"Soup Dumplings"),[1]Setup!$B$5,F109)))</f>
        <v>Pack Bao</v>
      </c>
      <c r="J109" s="88">
        <f t="shared" si="28"/>
        <v>0</v>
      </c>
      <c r="K109" s="88" t="s">
        <v>289</v>
      </c>
      <c r="L109" s="87"/>
      <c r="M109" s="87"/>
      <c r="N109" s="87"/>
      <c r="O109" s="87"/>
      <c r="P109" s="89" t="str">
        <f t="shared" si="24"/>
        <v/>
      </c>
      <c r="Q109" s="89" t="str">
        <f t="shared" si="25"/>
        <v/>
      </c>
      <c r="R109" s="89" t="str">
        <f t="shared" si="26"/>
        <v/>
      </c>
      <c r="S109" s="88" t="str">
        <f>IF(F109="Bao",[1]Setup!$B$4,IF(F109="Soup Dumplings",[1]Setup!$B$5,""))</f>
        <v/>
      </c>
      <c r="T109" s="88" t="str">
        <f t="shared" si="27"/>
        <v/>
      </c>
      <c r="U109" s="84">
        <f t="shared" si="19"/>
        <v>46161</v>
      </c>
      <c r="V109" s="88">
        <f>IF(U109="",0,MAX(0,T109)+N109+ROUND(J109*[1]Setup!$B$9,0)+IF(O109&gt;[1]Setup!$B$10,ROUND(J109*[1]Setup!$B$11,0),0))</f>
        <v>0</v>
      </c>
      <c r="W109" s="85" t="str">
        <f>IF(L109="","Open",IF(OR(P109&lt;[1]Setup!$B$6,Q109&gt;[1]Setup!$B$7,R109&gt;[1]Setup!$B$8,O109&gt;[1]Setup!$B$10),"Review","OK"))</f>
        <v>Open</v>
      </c>
      <c r="X109" s="86"/>
      <c r="Z109" s="81" t="str">
        <f t="shared" si="22"/>
        <v>Pac</v>
      </c>
    </row>
    <row r="110" spans="1:26" ht="28.8" x14ac:dyDescent="0.3">
      <c r="A110" s="84">
        <v>46160</v>
      </c>
      <c r="B110" s="100">
        <f t="shared" si="20"/>
        <v>21</v>
      </c>
      <c r="C110" s="84" t="str">
        <f t="shared" si="21"/>
        <v>May</v>
      </c>
      <c r="D110" s="85" t="str">
        <f t="shared" si="18"/>
        <v>Mon</v>
      </c>
      <c r="E110" s="86" t="s">
        <v>220</v>
      </c>
      <c r="F110" s="86" t="s">
        <v>251</v>
      </c>
      <c r="G110" s="86" t="s">
        <v>82</v>
      </c>
      <c r="H110" s="86" t="s">
        <v>252</v>
      </c>
      <c r="I110" s="87" t="str">
        <f>IF(F110=0,"",IF(COUNTIF(F110,"Bao"),[1]Setup!$B$4,IF(COUNTIF(F110,"Soup Dumplings"),[1]Setup!$B$5,F110)))</f>
        <v>Pack Bao</v>
      </c>
      <c r="J110" s="88">
        <f t="shared" si="28"/>
        <v>0</v>
      </c>
      <c r="K110" s="88" t="s">
        <v>290</v>
      </c>
      <c r="L110" s="87"/>
      <c r="M110" s="87"/>
      <c r="N110" s="87"/>
      <c r="O110" s="87"/>
      <c r="P110" s="89" t="str">
        <f t="shared" si="24"/>
        <v/>
      </c>
      <c r="Q110" s="89" t="str">
        <f t="shared" si="25"/>
        <v/>
      </c>
      <c r="R110" s="89" t="str">
        <f t="shared" si="26"/>
        <v/>
      </c>
      <c r="S110" s="88" t="str">
        <f>IF(F110="Bao",[1]Setup!$B$4,IF(F110="Soup Dumplings",[1]Setup!$B$5,""))</f>
        <v/>
      </c>
      <c r="T110" s="88" t="str">
        <f t="shared" si="27"/>
        <v/>
      </c>
      <c r="U110" s="84">
        <f t="shared" si="19"/>
        <v>46161</v>
      </c>
      <c r="V110" s="88">
        <f>IF(U110="",0,MAX(0,T110)+N110+ROUND(J110*[1]Setup!$B$9,0)+IF(O110&gt;[1]Setup!$B$10,ROUND(J110*[1]Setup!$B$11,0),0))</f>
        <v>0</v>
      </c>
      <c r="W110" s="85" t="str">
        <f>IF(L110="","Open",IF(OR(P110&lt;[1]Setup!$B$6,Q110&gt;[1]Setup!$B$7,R110&gt;[1]Setup!$B$8,O110&gt;[1]Setup!$B$10),"Review","OK"))</f>
        <v>Open</v>
      </c>
      <c r="X110" s="86"/>
      <c r="Z110" s="81" t="str">
        <f t="shared" si="22"/>
        <v>Pac</v>
      </c>
    </row>
    <row r="111" spans="1:26" x14ac:dyDescent="0.3">
      <c r="A111" s="84">
        <v>46160</v>
      </c>
      <c r="B111" s="100">
        <f t="shared" si="20"/>
        <v>21</v>
      </c>
      <c r="C111" s="84" t="str">
        <f t="shared" si="21"/>
        <v>May</v>
      </c>
      <c r="D111" s="85" t="str">
        <f t="shared" si="18"/>
        <v>Mon</v>
      </c>
      <c r="E111" s="86" t="s">
        <v>220</v>
      </c>
      <c r="F111" s="86" t="s">
        <v>222</v>
      </c>
      <c r="G111" s="86" t="s">
        <v>257</v>
      </c>
      <c r="H111" s="86" t="s">
        <v>227</v>
      </c>
      <c r="I111" s="87" t="str">
        <f>IF(F111=0,"",IF(COUNTIF(F111,"Bao"),[1]Setup!$B$4,IF(COUNTIF(F111,"Soup Dumplings"),[1]Setup!$B$5,F111)))</f>
        <v>Bao Prep</v>
      </c>
      <c r="J111" s="88">
        <f t="shared" si="28"/>
        <v>0</v>
      </c>
      <c r="K111" s="88" t="s">
        <v>291</v>
      </c>
      <c r="L111" s="87"/>
      <c r="M111" s="87"/>
      <c r="N111" s="87"/>
      <c r="O111" s="87"/>
      <c r="P111" s="89" t="str">
        <f t="shared" si="24"/>
        <v/>
      </c>
      <c r="Q111" s="89" t="str">
        <f t="shared" si="25"/>
        <v/>
      </c>
      <c r="R111" s="89" t="str">
        <f t="shared" si="26"/>
        <v/>
      </c>
      <c r="S111" s="88" t="str">
        <f>IF(F111="Bao",[1]Setup!$B$4,IF(F111="Soup Dumplings",[1]Setup!$B$5,""))</f>
        <v/>
      </c>
      <c r="T111" s="88" t="str">
        <f t="shared" si="27"/>
        <v/>
      </c>
      <c r="U111" s="84">
        <f t="shared" si="19"/>
        <v>46161</v>
      </c>
      <c r="V111" s="88">
        <f>IF(U111="",0,MAX(0,T111)+N111+ROUND(J111*[1]Setup!$B$9,0)+IF(O111&gt;[1]Setup!$B$10,ROUND(J111*[1]Setup!$B$11,0),0))</f>
        <v>0</v>
      </c>
      <c r="W111" s="85" t="str">
        <f>IF(L111="","Open",IF(OR(P111&lt;[1]Setup!$B$6,Q111&gt;[1]Setup!$B$7,R111&gt;[1]Setup!$B$8,O111&gt;[1]Setup!$B$10),"Review","OK"))</f>
        <v>Open</v>
      </c>
      <c r="X111" s="86"/>
      <c r="Z111" s="81" t="str">
        <f t="shared" si="22"/>
        <v>Bao</v>
      </c>
    </row>
    <row r="112" spans="1:26" x14ac:dyDescent="0.3">
      <c r="A112" s="84">
        <v>46161</v>
      </c>
      <c r="B112" s="100">
        <f t="shared" si="20"/>
        <v>21</v>
      </c>
      <c r="C112" s="84" t="str">
        <f t="shared" si="21"/>
        <v>May</v>
      </c>
      <c r="D112" s="85" t="str">
        <f t="shared" si="18"/>
        <v>Tue</v>
      </c>
      <c r="E112" s="86" t="s">
        <v>220</v>
      </c>
      <c r="F112" s="86" t="s">
        <v>52</v>
      </c>
      <c r="G112" s="86" t="s">
        <v>82</v>
      </c>
      <c r="H112" s="86" t="s">
        <v>221</v>
      </c>
      <c r="I112" s="87">
        <v>25000</v>
      </c>
      <c r="J112" s="88">
        <v>25000</v>
      </c>
      <c r="K112" s="88"/>
      <c r="L112" s="87"/>
      <c r="M112" s="87"/>
      <c r="N112" s="87"/>
      <c r="O112" s="87"/>
      <c r="P112" s="89">
        <f t="shared" si="24"/>
        <v>0</v>
      </c>
      <c r="Q112" s="89">
        <f t="shared" si="25"/>
        <v>1</v>
      </c>
      <c r="R112" s="89">
        <f t="shared" si="26"/>
        <v>0</v>
      </c>
      <c r="S112" s="88">
        <f>IF(F112="Bao",[1]Setup!$B$4,IF(F112="Soup Dumplings",[1]Setup!$B$5,""))</f>
        <v>15000</v>
      </c>
      <c r="T112" s="88" t="str">
        <f t="shared" si="27"/>
        <v/>
      </c>
      <c r="U112" s="84">
        <f t="shared" si="19"/>
        <v>46162</v>
      </c>
      <c r="V112" s="88">
        <f>IF(U112="",0,MAX(0,T112)+N112+ROUND(J112*[1]Setup!$B$9,0)+IF(O112&gt;[1]Setup!$B$10,ROUND(J112*[1]Setup!$B$11,0),0))</f>
        <v>500</v>
      </c>
      <c r="W112" s="85" t="str">
        <f>IF(L112="","Open",IF(OR(P112&lt;[1]Setup!$B$6,Q112&gt;[1]Setup!$B$7,R112&gt;[1]Setup!$B$8,O112&gt;[1]Setup!$B$10),"Review","OK"))</f>
        <v>Open</v>
      </c>
      <c r="X112" s="86"/>
      <c r="Z112" s="81" t="str">
        <f t="shared" si="22"/>
        <v>Bao</v>
      </c>
    </row>
    <row r="113" spans="1:26" ht="28.8" x14ac:dyDescent="0.3">
      <c r="A113" s="84">
        <v>46161</v>
      </c>
      <c r="B113" s="100">
        <f t="shared" si="20"/>
        <v>21</v>
      </c>
      <c r="C113" s="84" t="str">
        <f t="shared" si="21"/>
        <v>May</v>
      </c>
      <c r="D113" s="85" t="str">
        <f t="shared" si="18"/>
        <v>Tue</v>
      </c>
      <c r="E113" s="86" t="s">
        <v>220</v>
      </c>
      <c r="F113" s="86" t="s">
        <v>222</v>
      </c>
      <c r="G113" s="86" t="s">
        <v>223</v>
      </c>
      <c r="H113" s="86" t="s">
        <v>224</v>
      </c>
      <c r="I113" s="87" t="s">
        <v>222</v>
      </c>
      <c r="J113" s="88">
        <v>0</v>
      </c>
      <c r="K113" s="88" t="s">
        <v>270</v>
      </c>
      <c r="L113" s="87"/>
      <c r="M113" s="87"/>
      <c r="N113" s="87"/>
      <c r="O113" s="87"/>
      <c r="P113" s="89" t="str">
        <f t="shared" si="24"/>
        <v/>
      </c>
      <c r="Q113" s="89" t="str">
        <f t="shared" si="25"/>
        <v/>
      </c>
      <c r="R113" s="89" t="str">
        <f t="shared" si="26"/>
        <v/>
      </c>
      <c r="S113" s="88" t="str">
        <f>IF(F113="Bao",[1]Setup!$B$4,IF(F113="Soup Dumplings",[1]Setup!$B$5,""))</f>
        <v/>
      </c>
      <c r="T113" s="88" t="str">
        <f t="shared" si="27"/>
        <v/>
      </c>
      <c r="U113" s="84">
        <f t="shared" si="19"/>
        <v>46162</v>
      </c>
      <c r="V113" s="88">
        <f>IF(U113="",0,MAX(0,T113)+N113+ROUND(J113*[1]Setup!$B$9,0)+IF(O113&gt;[1]Setup!$B$10,ROUND(J113*[1]Setup!$B$11,0),0))</f>
        <v>0</v>
      </c>
      <c r="W113" s="85" t="str">
        <f>IF(L113="","Open",IF(OR(P113&lt;[1]Setup!$B$6,Q113&gt;[1]Setup!$B$7,R113&gt;[1]Setup!$B$8,O113&gt;[1]Setup!$B$10),"Review","OK"))</f>
        <v>Open</v>
      </c>
      <c r="X113" s="86"/>
      <c r="Z113" s="81" t="str">
        <f t="shared" si="22"/>
        <v>Bao</v>
      </c>
    </row>
    <row r="114" spans="1:26" x14ac:dyDescent="0.3">
      <c r="A114" s="84">
        <v>46161</v>
      </c>
      <c r="B114" s="100">
        <f t="shared" si="20"/>
        <v>21</v>
      </c>
      <c r="C114" s="84" t="str">
        <f t="shared" si="21"/>
        <v>May</v>
      </c>
      <c r="D114" s="85" t="str">
        <f t="shared" si="18"/>
        <v>Tue</v>
      </c>
      <c r="E114" s="86" t="s">
        <v>220</v>
      </c>
      <c r="F114" s="86" t="s">
        <v>222</v>
      </c>
      <c r="G114" s="86" t="s">
        <v>226</v>
      </c>
      <c r="H114" s="86" t="s">
        <v>227</v>
      </c>
      <c r="I114" s="87" t="s">
        <v>222</v>
      </c>
      <c r="J114" s="88">
        <v>0</v>
      </c>
      <c r="K114" s="88" t="s">
        <v>228</v>
      </c>
      <c r="L114" s="87"/>
      <c r="M114" s="87"/>
      <c r="N114" s="87"/>
      <c r="O114" s="87"/>
      <c r="P114" s="89" t="str">
        <f t="shared" si="24"/>
        <v/>
      </c>
      <c r="Q114" s="89" t="str">
        <f t="shared" si="25"/>
        <v/>
      </c>
      <c r="R114" s="89" t="str">
        <f t="shared" si="26"/>
        <v/>
      </c>
      <c r="S114" s="88" t="str">
        <f>IF(F114="Bao",[1]Setup!$B$4,IF(F114="Soup Dumplings",[1]Setup!$B$5,""))</f>
        <v/>
      </c>
      <c r="T114" s="88" t="str">
        <f t="shared" si="27"/>
        <v/>
      </c>
      <c r="U114" s="84">
        <f t="shared" si="19"/>
        <v>46162</v>
      </c>
      <c r="V114" s="88">
        <f>IF(U114="",0,MAX(0,T114)+N114+ROUND(J114*[1]Setup!$B$9,0)+IF(O114&gt;[1]Setup!$B$10,ROUND(J114*[1]Setup!$B$11,0),0))</f>
        <v>0</v>
      </c>
      <c r="W114" s="85" t="str">
        <f>IF(L114="","Open",IF(OR(P114&lt;[1]Setup!$B$6,Q114&gt;[1]Setup!$B$7,R114&gt;[1]Setup!$B$8,O114&gt;[1]Setup!$B$10),"Review","OK"))</f>
        <v>Open</v>
      </c>
      <c r="X114" s="86"/>
      <c r="Z114" s="81" t="str">
        <f t="shared" si="22"/>
        <v>Bao</v>
      </c>
    </row>
    <row r="115" spans="1:26" ht="28.8" x14ac:dyDescent="0.3">
      <c r="A115" s="84">
        <v>46161</v>
      </c>
      <c r="B115" s="100">
        <f t="shared" si="20"/>
        <v>21</v>
      </c>
      <c r="C115" s="84" t="str">
        <f t="shared" si="21"/>
        <v>May</v>
      </c>
      <c r="D115" s="85" t="str">
        <f t="shared" si="18"/>
        <v>Tue</v>
      </c>
      <c r="E115" s="86" t="s">
        <v>220</v>
      </c>
      <c r="F115" s="86" t="s">
        <v>222</v>
      </c>
      <c r="G115" s="86" t="s">
        <v>226</v>
      </c>
      <c r="H115" s="86" t="s">
        <v>229</v>
      </c>
      <c r="I115" s="87" t="s">
        <v>222</v>
      </c>
      <c r="J115" s="88">
        <v>0</v>
      </c>
      <c r="K115" s="88" t="s">
        <v>230</v>
      </c>
      <c r="L115" s="87"/>
      <c r="M115" s="87"/>
      <c r="N115" s="87"/>
      <c r="O115" s="87"/>
      <c r="P115" s="89" t="str">
        <f t="shared" si="24"/>
        <v/>
      </c>
      <c r="Q115" s="89" t="str">
        <f t="shared" si="25"/>
        <v/>
      </c>
      <c r="R115" s="89" t="str">
        <f t="shared" si="26"/>
        <v/>
      </c>
      <c r="S115" s="88" t="str">
        <f>IF(F115="Bao",[1]Setup!$B$4,IF(F115="Soup Dumplings",[1]Setup!$B$5,""))</f>
        <v/>
      </c>
      <c r="T115" s="88" t="str">
        <f t="shared" si="27"/>
        <v/>
      </c>
      <c r="U115" s="84">
        <f t="shared" si="19"/>
        <v>46162</v>
      </c>
      <c r="V115" s="88">
        <f>IF(U115="",0,MAX(0,T115)+N115+ROUND(J115*[1]Setup!$B$9,0)+IF(O115&gt;[1]Setup!$B$10,ROUND(J115*[1]Setup!$B$11,0),0))</f>
        <v>0</v>
      </c>
      <c r="W115" s="85" t="str">
        <f>IF(L115="","Open",IF(OR(P115&lt;[1]Setup!$B$6,Q115&gt;[1]Setup!$B$7,R115&gt;[1]Setup!$B$8,O115&gt;[1]Setup!$B$10),"Review","OK"))</f>
        <v>Open</v>
      </c>
      <c r="X115" s="86"/>
      <c r="Z115" s="81" t="str">
        <f t="shared" si="22"/>
        <v>Bao</v>
      </c>
    </row>
    <row r="116" spans="1:26" x14ac:dyDescent="0.3">
      <c r="A116" s="84">
        <v>46161</v>
      </c>
      <c r="B116" s="100">
        <f t="shared" si="20"/>
        <v>21</v>
      </c>
      <c r="C116" s="84" t="str">
        <f t="shared" si="21"/>
        <v>May</v>
      </c>
      <c r="D116" s="85" t="str">
        <f t="shared" si="18"/>
        <v>Tue</v>
      </c>
      <c r="E116" s="86" t="s">
        <v>220</v>
      </c>
      <c r="F116" s="86" t="s">
        <v>222</v>
      </c>
      <c r="G116" s="86" t="s">
        <v>231</v>
      </c>
      <c r="H116" s="86" t="s">
        <v>232</v>
      </c>
      <c r="I116" s="87" t="s">
        <v>222</v>
      </c>
      <c r="J116" s="88">
        <v>0</v>
      </c>
      <c r="K116" s="88" t="s">
        <v>233</v>
      </c>
      <c r="L116" s="87"/>
      <c r="M116" s="87"/>
      <c r="N116" s="87"/>
      <c r="O116" s="87"/>
      <c r="P116" s="89" t="str">
        <f t="shared" si="24"/>
        <v/>
      </c>
      <c r="Q116" s="89" t="str">
        <f t="shared" si="25"/>
        <v/>
      </c>
      <c r="R116" s="89" t="str">
        <f t="shared" si="26"/>
        <v/>
      </c>
      <c r="S116" s="88" t="str">
        <f>IF(F116="Bao",[1]Setup!$B$4,IF(F116="Soup Dumplings",[1]Setup!$B$5,""))</f>
        <v/>
      </c>
      <c r="T116" s="88" t="str">
        <f t="shared" si="27"/>
        <v/>
      </c>
      <c r="U116" s="84">
        <f t="shared" si="19"/>
        <v>46162</v>
      </c>
      <c r="V116" s="88">
        <f>IF(U116="",0,MAX(0,T116)+N116+ROUND(J116*[1]Setup!$B$9,0)+IF(O116&gt;[1]Setup!$B$10,ROUND(J116*[1]Setup!$B$11,0),0))</f>
        <v>0</v>
      </c>
      <c r="W116" s="85" t="str">
        <f>IF(L116="","Open",IF(OR(P116&lt;[1]Setup!$B$6,Q116&gt;[1]Setup!$B$7,R116&gt;[1]Setup!$B$8,O116&gt;[1]Setup!$B$10),"Review","OK"))</f>
        <v>Open</v>
      </c>
      <c r="X116" s="86"/>
      <c r="Z116" s="81" t="str">
        <f t="shared" si="22"/>
        <v>Bao</v>
      </c>
    </row>
    <row r="117" spans="1:26" x14ac:dyDescent="0.3">
      <c r="A117" s="84">
        <v>46161</v>
      </c>
      <c r="B117" s="100">
        <f t="shared" si="20"/>
        <v>21</v>
      </c>
      <c r="C117" s="84" t="str">
        <f t="shared" si="21"/>
        <v>May</v>
      </c>
      <c r="D117" s="85" t="str">
        <f t="shared" si="18"/>
        <v>Tue</v>
      </c>
      <c r="E117" s="86" t="s">
        <v>220</v>
      </c>
      <c r="F117" s="86" t="s">
        <v>222</v>
      </c>
      <c r="G117" s="86" t="s">
        <v>235</v>
      </c>
      <c r="H117" s="86" t="s">
        <v>227</v>
      </c>
      <c r="I117" s="87" t="s">
        <v>222</v>
      </c>
      <c r="J117" s="88">
        <v>0</v>
      </c>
      <c r="K117" s="88" t="s">
        <v>236</v>
      </c>
      <c r="L117" s="87"/>
      <c r="M117" s="87"/>
      <c r="N117" s="87"/>
      <c r="O117" s="87"/>
      <c r="P117" s="89" t="str">
        <f t="shared" si="24"/>
        <v/>
      </c>
      <c r="Q117" s="89" t="str">
        <f t="shared" si="25"/>
        <v/>
      </c>
      <c r="R117" s="89" t="str">
        <f t="shared" si="26"/>
        <v/>
      </c>
      <c r="S117" s="88" t="str">
        <f>IF(F117="Bao",[1]Setup!$B$4,IF(F117="Soup Dumplings",[1]Setup!$B$5,""))</f>
        <v/>
      </c>
      <c r="T117" s="88" t="str">
        <f t="shared" si="27"/>
        <v/>
      </c>
      <c r="U117" s="84">
        <f t="shared" si="19"/>
        <v>46162</v>
      </c>
      <c r="V117" s="88">
        <f>IF(U117="",0,MAX(0,T117)+N117+ROUND(J117*[1]Setup!$B$9,0)+IF(O117&gt;[1]Setup!$B$10,ROUND(J117*[1]Setup!$B$11,0),0))</f>
        <v>0</v>
      </c>
      <c r="W117" s="85" t="str">
        <f>IF(L117="","Open",IF(OR(P117&lt;[1]Setup!$B$6,Q117&gt;[1]Setup!$B$7,R117&gt;[1]Setup!$B$8,O117&gt;[1]Setup!$B$10),"Review","OK"))</f>
        <v>Open</v>
      </c>
      <c r="X117" s="86"/>
      <c r="Z117" s="81" t="str">
        <f t="shared" si="22"/>
        <v>Bao</v>
      </c>
    </row>
    <row r="118" spans="1:26" ht="28.8" x14ac:dyDescent="0.3">
      <c r="A118" s="84">
        <v>46161</v>
      </c>
      <c r="B118" s="100">
        <f t="shared" si="20"/>
        <v>21</v>
      </c>
      <c r="C118" s="84" t="str">
        <f t="shared" si="21"/>
        <v>May</v>
      </c>
      <c r="D118" s="85" t="str">
        <f t="shared" si="18"/>
        <v>Tue</v>
      </c>
      <c r="E118" s="86" t="s">
        <v>220</v>
      </c>
      <c r="F118" s="86" t="s">
        <v>237</v>
      </c>
      <c r="G118" s="86" t="s">
        <v>238</v>
      </c>
      <c r="H118" s="86" t="s">
        <v>229</v>
      </c>
      <c r="I118" s="87" t="s">
        <v>237</v>
      </c>
      <c r="J118" s="88">
        <v>0</v>
      </c>
      <c r="K118" s="88" t="s">
        <v>278</v>
      </c>
      <c r="L118" s="87"/>
      <c r="M118" s="87"/>
      <c r="N118" s="87"/>
      <c r="O118" s="87"/>
      <c r="P118" s="89" t="str">
        <f t="shared" si="24"/>
        <v/>
      </c>
      <c r="Q118" s="89" t="str">
        <f t="shared" si="25"/>
        <v/>
      </c>
      <c r="R118" s="89" t="str">
        <f t="shared" si="26"/>
        <v/>
      </c>
      <c r="S118" s="88" t="str">
        <f>IF(F118="Bao",[1]Setup!$B$4,IF(F118="Soup Dumplings",[1]Setup!$B$5,""))</f>
        <v/>
      </c>
      <c r="T118" s="88" t="str">
        <f t="shared" si="27"/>
        <v/>
      </c>
      <c r="U118" s="84">
        <f t="shared" si="19"/>
        <v>46162</v>
      </c>
      <c r="V118" s="88">
        <f>IF(U118="",0,MAX(0,T118)+N118+ROUND(J118*[1]Setup!$B$9,0)+IF(O118&gt;[1]Setup!$B$10,ROUND(J118*[1]Setup!$B$11,0),0))</f>
        <v>0</v>
      </c>
      <c r="W118" s="85" t="str">
        <f>IF(L118="","Open",IF(OR(P118&lt;[1]Setup!$B$6,Q118&gt;[1]Setup!$B$7,R118&gt;[1]Setup!$B$8,O118&gt;[1]Setup!$B$10),"Review","OK"))</f>
        <v>Open</v>
      </c>
      <c r="X118" s="86"/>
      <c r="Z118" s="81" t="str">
        <f t="shared" si="22"/>
        <v>Sou</v>
      </c>
    </row>
    <row r="119" spans="1:26" ht="43.2" x14ac:dyDescent="0.3">
      <c r="A119" s="84">
        <v>46161</v>
      </c>
      <c r="B119" s="100">
        <f t="shared" si="20"/>
        <v>21</v>
      </c>
      <c r="C119" s="84" t="str">
        <f t="shared" si="21"/>
        <v>May</v>
      </c>
      <c r="D119" s="85" t="str">
        <f t="shared" si="18"/>
        <v>Tue</v>
      </c>
      <c r="E119" s="86" t="s">
        <v>220</v>
      </c>
      <c r="F119" s="86" t="s">
        <v>237</v>
      </c>
      <c r="G119" s="86" t="s">
        <v>240</v>
      </c>
      <c r="H119" s="86" t="s">
        <v>224</v>
      </c>
      <c r="I119" s="87" t="s">
        <v>237</v>
      </c>
      <c r="J119" s="88">
        <v>0</v>
      </c>
      <c r="K119" s="88" t="s">
        <v>279</v>
      </c>
      <c r="L119" s="87"/>
      <c r="M119" s="87"/>
      <c r="N119" s="87"/>
      <c r="O119" s="87"/>
      <c r="P119" s="89" t="str">
        <f t="shared" si="24"/>
        <v/>
      </c>
      <c r="Q119" s="89" t="str">
        <f t="shared" si="25"/>
        <v/>
      </c>
      <c r="R119" s="89" t="str">
        <f t="shared" si="26"/>
        <v/>
      </c>
      <c r="S119" s="88" t="str">
        <f>IF(F119="Bao",[1]Setup!$B$4,IF(F119="Soup Dumplings",[1]Setup!$B$5,""))</f>
        <v/>
      </c>
      <c r="T119" s="88" t="str">
        <f t="shared" si="27"/>
        <v/>
      </c>
      <c r="U119" s="84">
        <f t="shared" si="19"/>
        <v>46162</v>
      </c>
      <c r="V119" s="88">
        <f>IF(U119="",0,MAX(0,T119)+N119+ROUND(J119*[1]Setup!$B$9,0)+IF(O119&gt;[1]Setup!$B$10,ROUND(J119*[1]Setup!$B$11,0),0))</f>
        <v>0</v>
      </c>
      <c r="W119" s="85" t="str">
        <f>IF(L119="","Open",IF(OR(P119&lt;[1]Setup!$B$6,Q119&gt;[1]Setup!$B$7,R119&gt;[1]Setup!$B$8,O119&gt;[1]Setup!$B$10),"Review","OK"))</f>
        <v>Open</v>
      </c>
      <c r="X119" s="86"/>
      <c r="Z119" s="81" t="str">
        <f t="shared" si="22"/>
        <v>Sou</v>
      </c>
    </row>
    <row r="120" spans="1:26" ht="28.8" x14ac:dyDescent="0.3">
      <c r="A120" s="84">
        <v>46161</v>
      </c>
      <c r="B120" s="100">
        <f t="shared" si="20"/>
        <v>21</v>
      </c>
      <c r="C120" s="84" t="str">
        <f t="shared" si="21"/>
        <v>May</v>
      </c>
      <c r="D120" s="85" t="str">
        <f t="shared" si="18"/>
        <v>Tue</v>
      </c>
      <c r="E120" s="86" t="s">
        <v>220</v>
      </c>
      <c r="F120" s="86" t="s">
        <v>237</v>
      </c>
      <c r="G120" s="86" t="s">
        <v>242</v>
      </c>
      <c r="H120" s="86" t="s">
        <v>232</v>
      </c>
      <c r="I120" s="87" t="s">
        <v>237</v>
      </c>
      <c r="J120" s="88">
        <v>0</v>
      </c>
      <c r="K120" s="88" t="s">
        <v>243</v>
      </c>
      <c r="L120" s="87"/>
      <c r="M120" s="87"/>
      <c r="N120" s="87"/>
      <c r="O120" s="87"/>
      <c r="P120" s="89" t="str">
        <f t="shared" si="24"/>
        <v/>
      </c>
      <c r="Q120" s="89" t="str">
        <f t="shared" si="25"/>
        <v/>
      </c>
      <c r="R120" s="89" t="str">
        <f t="shared" si="26"/>
        <v/>
      </c>
      <c r="S120" s="88" t="str">
        <f>IF(F120="Bao",[1]Setup!$B$4,IF(F120="Soup Dumplings",[1]Setup!$B$5,""))</f>
        <v/>
      </c>
      <c r="T120" s="88" t="str">
        <f t="shared" si="27"/>
        <v/>
      </c>
      <c r="U120" s="84">
        <f t="shared" si="19"/>
        <v>46162</v>
      </c>
      <c r="V120" s="88">
        <f>IF(U120="",0,MAX(0,T120)+N120+ROUND(J120*[1]Setup!$B$9,0)+IF(O120&gt;[1]Setup!$B$10,ROUND(J120*[1]Setup!$B$11,0),0))</f>
        <v>0</v>
      </c>
      <c r="W120" s="85" t="str">
        <f>IF(L120="","Open",IF(OR(P120&lt;[1]Setup!$B$6,Q120&gt;[1]Setup!$B$7,R120&gt;[1]Setup!$B$8,O120&gt;[1]Setup!$B$10),"Review","OK"))</f>
        <v>Open</v>
      </c>
      <c r="X120" s="86"/>
      <c r="Z120" s="81" t="str">
        <f t="shared" si="22"/>
        <v>Sou</v>
      </c>
    </row>
    <row r="121" spans="1:26" ht="28.8" x14ac:dyDescent="0.3">
      <c r="A121" s="84">
        <v>46161</v>
      </c>
      <c r="B121" s="100">
        <f t="shared" si="20"/>
        <v>21</v>
      </c>
      <c r="C121" s="84" t="str">
        <f t="shared" si="21"/>
        <v>May</v>
      </c>
      <c r="D121" s="85" t="str">
        <f t="shared" si="18"/>
        <v>Tue</v>
      </c>
      <c r="E121" s="86" t="s">
        <v>220</v>
      </c>
      <c r="F121" s="86" t="s">
        <v>237</v>
      </c>
      <c r="G121" s="86" t="s">
        <v>238</v>
      </c>
      <c r="H121" s="86" t="s">
        <v>227</v>
      </c>
      <c r="I121" s="87" t="s">
        <v>237</v>
      </c>
      <c r="J121" s="88">
        <v>0</v>
      </c>
      <c r="K121" s="88" t="s">
        <v>228</v>
      </c>
      <c r="L121" s="87"/>
      <c r="M121" s="87"/>
      <c r="N121" s="87"/>
      <c r="O121" s="87"/>
      <c r="P121" s="89" t="str">
        <f t="shared" si="24"/>
        <v/>
      </c>
      <c r="Q121" s="89" t="str">
        <f t="shared" si="25"/>
        <v/>
      </c>
      <c r="R121" s="89" t="str">
        <f t="shared" si="26"/>
        <v/>
      </c>
      <c r="S121" s="88" t="str">
        <f>IF(F121="Bao",[1]Setup!$B$4,IF(F121="Soup Dumplings",[1]Setup!$B$5,""))</f>
        <v/>
      </c>
      <c r="T121" s="88" t="str">
        <f t="shared" si="27"/>
        <v/>
      </c>
      <c r="U121" s="84">
        <f t="shared" si="19"/>
        <v>46162</v>
      </c>
      <c r="V121" s="88">
        <f>IF(U121="",0,MAX(0,T121)+N121+ROUND(J121*[1]Setup!$B$9,0)+IF(O121&gt;[1]Setup!$B$10,ROUND(J121*[1]Setup!$B$11,0),0))</f>
        <v>0</v>
      </c>
      <c r="W121" s="85" t="str">
        <f>IF(L121="","Open",IF(OR(P121&lt;[1]Setup!$B$6,Q121&gt;[1]Setup!$B$7,R121&gt;[1]Setup!$B$8,O121&gt;[1]Setup!$B$10),"Review","OK"))</f>
        <v>Open</v>
      </c>
      <c r="X121" s="86"/>
      <c r="Z121" s="81" t="str">
        <f t="shared" si="22"/>
        <v>Sou</v>
      </c>
    </row>
    <row r="122" spans="1:26" x14ac:dyDescent="0.3">
      <c r="A122" s="84">
        <v>46161</v>
      </c>
      <c r="B122" s="100">
        <f t="shared" si="20"/>
        <v>21</v>
      </c>
      <c r="C122" s="84" t="str">
        <f t="shared" si="21"/>
        <v>May</v>
      </c>
      <c r="D122" s="85" t="str">
        <f t="shared" si="18"/>
        <v>Tue</v>
      </c>
      <c r="E122" s="86" t="s">
        <v>220</v>
      </c>
      <c r="F122" s="86" t="s">
        <v>87</v>
      </c>
      <c r="G122" s="86" t="s">
        <v>244</v>
      </c>
      <c r="H122" s="86" t="s">
        <v>245</v>
      </c>
      <c r="I122" s="87">
        <v>100000</v>
      </c>
      <c r="J122" s="88">
        <v>100000</v>
      </c>
      <c r="K122" s="88"/>
      <c r="L122" s="87"/>
      <c r="M122" s="87"/>
      <c r="N122" s="87"/>
      <c r="O122" s="87"/>
      <c r="P122" s="89">
        <f t="shared" si="24"/>
        <v>0</v>
      </c>
      <c r="Q122" s="89">
        <f t="shared" si="25"/>
        <v>1</v>
      </c>
      <c r="R122" s="89">
        <f t="shared" si="26"/>
        <v>0</v>
      </c>
      <c r="S122" s="88">
        <f>IF(F122="Bao",[1]Setup!$B$4,IF(F122="Soup Dumplings",[1]Setup!$B$5,""))</f>
        <v>90000</v>
      </c>
      <c r="T122" s="88" t="str">
        <f t="shared" si="27"/>
        <v/>
      </c>
      <c r="U122" s="84">
        <f t="shared" si="19"/>
        <v>46162</v>
      </c>
      <c r="V122" s="88">
        <f>IF(U122="",0,MAX(0,T122)+N122+ROUND(J122*[1]Setup!$B$9,0)+IF(O122&gt;[1]Setup!$B$10,ROUND(J122*[1]Setup!$B$11,0),0))</f>
        <v>2000</v>
      </c>
      <c r="W122" s="85" t="str">
        <f>IF(L122="","Open",IF(OR(P122&lt;[1]Setup!$B$6,Q122&gt;[1]Setup!$B$7,R122&gt;[1]Setup!$B$8,O122&gt;[1]Setup!$B$10),"Review","OK"))</f>
        <v>Open</v>
      </c>
      <c r="X122" s="86"/>
      <c r="Z122" s="81" t="str">
        <f t="shared" si="22"/>
        <v>Sou</v>
      </c>
    </row>
    <row r="123" spans="1:26" ht="57.6" x14ac:dyDescent="0.3">
      <c r="A123" s="84">
        <v>46161</v>
      </c>
      <c r="B123" s="100">
        <f t="shared" si="20"/>
        <v>21</v>
      </c>
      <c r="C123" s="84" t="str">
        <f t="shared" si="21"/>
        <v>May</v>
      </c>
      <c r="D123" s="85" t="str">
        <f t="shared" si="18"/>
        <v>Tue</v>
      </c>
      <c r="E123" s="86" t="s">
        <v>220</v>
      </c>
      <c r="F123" s="86" t="s">
        <v>237</v>
      </c>
      <c r="G123" s="86" t="s">
        <v>246</v>
      </c>
      <c r="H123" s="86" t="s">
        <v>232</v>
      </c>
      <c r="I123" s="87" t="s">
        <v>237</v>
      </c>
      <c r="J123" s="88">
        <v>0</v>
      </c>
      <c r="K123" s="88" t="s">
        <v>292</v>
      </c>
      <c r="L123" s="87"/>
      <c r="M123" s="87"/>
      <c r="N123" s="87"/>
      <c r="O123" s="87"/>
      <c r="P123" s="89" t="str">
        <f t="shared" si="24"/>
        <v/>
      </c>
      <c r="Q123" s="89" t="str">
        <f t="shared" si="25"/>
        <v/>
      </c>
      <c r="R123" s="89" t="str">
        <f t="shared" si="26"/>
        <v/>
      </c>
      <c r="S123" s="88" t="str">
        <f>IF(F123="Bao",[1]Setup!$B$4,IF(F123="Soup Dumplings",[1]Setup!$B$5,""))</f>
        <v/>
      </c>
      <c r="T123" s="88" t="str">
        <f t="shared" si="27"/>
        <v/>
      </c>
      <c r="U123" s="84">
        <f t="shared" si="19"/>
        <v>46162</v>
      </c>
      <c r="V123" s="88">
        <f>IF(U123="",0,MAX(0,T123)+N123+ROUND(J123*[1]Setup!$B$9,0)+IF(O123&gt;[1]Setup!$B$10,ROUND(J123*[1]Setup!$B$11,0),0))</f>
        <v>0</v>
      </c>
      <c r="W123" s="85" t="str">
        <f>IF(L123="","Open",IF(OR(P123&lt;[1]Setup!$B$6,Q123&gt;[1]Setup!$B$7,R123&gt;[1]Setup!$B$8,O123&gt;[1]Setup!$B$10),"Review","OK"))</f>
        <v>Open</v>
      </c>
      <c r="X123" s="86"/>
      <c r="Z123" s="81" t="str">
        <f t="shared" si="22"/>
        <v>Sou</v>
      </c>
    </row>
    <row r="124" spans="1:26" ht="28.8" x14ac:dyDescent="0.3">
      <c r="A124" s="84">
        <v>46161</v>
      </c>
      <c r="B124" s="100">
        <f t="shared" si="20"/>
        <v>21</v>
      </c>
      <c r="C124" s="84" t="str">
        <f t="shared" si="21"/>
        <v>May</v>
      </c>
      <c r="D124" s="85" t="str">
        <f t="shared" si="18"/>
        <v>Tue</v>
      </c>
      <c r="E124" s="86" t="s">
        <v>220</v>
      </c>
      <c r="F124" s="86" t="s">
        <v>248</v>
      </c>
      <c r="G124" s="86" t="s">
        <v>244</v>
      </c>
      <c r="H124" s="86" t="s">
        <v>249</v>
      </c>
      <c r="I124" s="87" t="s">
        <v>248</v>
      </c>
      <c r="J124" s="88"/>
      <c r="K124" s="88" t="s">
        <v>282</v>
      </c>
      <c r="L124" s="87"/>
      <c r="M124" s="87"/>
      <c r="N124" s="87"/>
      <c r="O124" s="87"/>
      <c r="P124" s="89" t="str">
        <f t="shared" si="24"/>
        <v/>
      </c>
      <c r="Q124" s="89" t="str">
        <f t="shared" si="25"/>
        <v/>
      </c>
      <c r="R124" s="89" t="str">
        <f t="shared" si="26"/>
        <v/>
      </c>
      <c r="S124" s="88" t="str">
        <f>IF(F124="Bao",[1]Setup!$B$4,IF(F124="Soup Dumplings",[1]Setup!$B$5,""))</f>
        <v/>
      </c>
      <c r="T124" s="88" t="str">
        <f t="shared" si="27"/>
        <v/>
      </c>
      <c r="U124" s="84">
        <f t="shared" si="19"/>
        <v>46162</v>
      </c>
      <c r="V124" s="88">
        <f>IF(U124="",0,MAX(0,T124)+N124+ROUND(J124*[1]Setup!$B$9,0)+IF(O124&gt;[1]Setup!$B$10,ROUND(J124*[1]Setup!$B$11,0),0))</f>
        <v>0</v>
      </c>
      <c r="W124" s="85" t="str">
        <f>IF(L124="","Open",IF(OR(P124&lt;[1]Setup!$B$6,Q124&gt;[1]Setup!$B$7,R124&gt;[1]Setup!$B$8,O124&gt;[1]Setup!$B$10),"Review","OK"))</f>
        <v>Open</v>
      </c>
      <c r="X124" s="86"/>
      <c r="Z124" s="81" t="str">
        <f t="shared" si="22"/>
        <v>Pac</v>
      </c>
    </row>
    <row r="125" spans="1:26" ht="28.8" x14ac:dyDescent="0.3">
      <c r="A125" s="84">
        <v>46161</v>
      </c>
      <c r="B125" s="100">
        <f t="shared" si="20"/>
        <v>21</v>
      </c>
      <c r="C125" s="84" t="str">
        <f t="shared" si="21"/>
        <v>May</v>
      </c>
      <c r="D125" s="85" t="str">
        <f t="shared" si="18"/>
        <v>Tue</v>
      </c>
      <c r="E125" s="86" t="s">
        <v>220</v>
      </c>
      <c r="F125" s="86" t="s">
        <v>222</v>
      </c>
      <c r="G125" s="86" t="s">
        <v>276</v>
      </c>
      <c r="H125" s="86" t="s">
        <v>229</v>
      </c>
      <c r="I125" s="87" t="s">
        <v>222</v>
      </c>
      <c r="J125" s="88">
        <v>0</v>
      </c>
      <c r="K125" s="88" t="s">
        <v>283</v>
      </c>
      <c r="L125" s="87"/>
      <c r="M125" s="87"/>
      <c r="N125" s="87"/>
      <c r="O125" s="87"/>
      <c r="P125" s="89" t="str">
        <f t="shared" si="24"/>
        <v/>
      </c>
      <c r="Q125" s="89" t="str">
        <f t="shared" si="25"/>
        <v/>
      </c>
      <c r="R125" s="89" t="str">
        <f t="shared" si="26"/>
        <v/>
      </c>
      <c r="S125" s="88" t="str">
        <f>IF(F125="Bao",[1]Setup!$B$4,IF(F125="Soup Dumplings",[1]Setup!$B$5,""))</f>
        <v/>
      </c>
      <c r="T125" s="88" t="str">
        <f t="shared" si="27"/>
        <v/>
      </c>
      <c r="U125" s="84">
        <f t="shared" si="19"/>
        <v>46162</v>
      </c>
      <c r="V125" s="88">
        <f>IF(U125="",0,MAX(0,T125)+N125+ROUND(J125*[1]Setup!$B$9,0)+IF(O125&gt;[1]Setup!$B$10,ROUND(J125*[1]Setup!$B$11,0),0))</f>
        <v>0</v>
      </c>
      <c r="W125" s="85" t="str">
        <f>IF(L125="","Open",IF(OR(P125&lt;[1]Setup!$B$6,Q125&gt;[1]Setup!$B$7,R125&gt;[1]Setup!$B$8,O125&gt;[1]Setup!$B$10),"Review","OK"))</f>
        <v>Open</v>
      </c>
      <c r="X125" s="86"/>
      <c r="Z125" s="81" t="str">
        <f t="shared" si="22"/>
        <v>Bao</v>
      </c>
    </row>
    <row r="126" spans="1:26" x14ac:dyDescent="0.3">
      <c r="A126" s="84">
        <v>46161</v>
      </c>
      <c r="B126" s="100">
        <f t="shared" si="20"/>
        <v>21</v>
      </c>
      <c r="C126" s="84" t="str">
        <f t="shared" si="21"/>
        <v>May</v>
      </c>
      <c r="D126" s="85" t="str">
        <f t="shared" si="18"/>
        <v>Tue</v>
      </c>
      <c r="E126" s="86" t="s">
        <v>220</v>
      </c>
      <c r="F126" s="86" t="s">
        <v>251</v>
      </c>
      <c r="G126" s="86" t="s">
        <v>82</v>
      </c>
      <c r="H126" s="86" t="s">
        <v>252</v>
      </c>
      <c r="I126" s="87" t="s">
        <v>251</v>
      </c>
      <c r="J126" s="88">
        <v>0</v>
      </c>
      <c r="K126" s="88" t="s">
        <v>284</v>
      </c>
      <c r="L126" s="87"/>
      <c r="M126" s="87"/>
      <c r="N126" s="87"/>
      <c r="O126" s="87"/>
      <c r="P126" s="89" t="str">
        <f t="shared" si="24"/>
        <v/>
      </c>
      <c r="Q126" s="89" t="str">
        <f t="shared" si="25"/>
        <v/>
      </c>
      <c r="R126" s="89" t="str">
        <f t="shared" si="26"/>
        <v/>
      </c>
      <c r="S126" s="88" t="str">
        <f>IF(F126="Bao",[1]Setup!$B$4,IF(F126="Soup Dumplings",[1]Setup!$B$5,""))</f>
        <v/>
      </c>
      <c r="T126" s="88" t="str">
        <f t="shared" si="27"/>
        <v/>
      </c>
      <c r="U126" s="84">
        <f t="shared" si="19"/>
        <v>46162</v>
      </c>
      <c r="V126" s="88">
        <f>IF(U126="",0,MAX(0,T126)+N126+ROUND(J126*[1]Setup!$B$9,0)+IF(O126&gt;[1]Setup!$B$10,ROUND(J126*[1]Setup!$B$11,0),0))</f>
        <v>0</v>
      </c>
      <c r="W126" s="85" t="str">
        <f>IF(L126="","Open",IF(OR(P126&lt;[1]Setup!$B$6,Q126&gt;[1]Setup!$B$7,R126&gt;[1]Setup!$B$8,O126&gt;[1]Setup!$B$10),"Review","OK"))</f>
        <v>Open</v>
      </c>
      <c r="X126" s="86"/>
      <c r="Z126" s="81" t="str">
        <f t="shared" si="22"/>
        <v>Pac</v>
      </c>
    </row>
    <row r="127" spans="1:26" ht="43.2" x14ac:dyDescent="0.3">
      <c r="A127" s="84">
        <v>46161</v>
      </c>
      <c r="B127" s="100">
        <f t="shared" si="20"/>
        <v>21</v>
      </c>
      <c r="C127" s="84" t="str">
        <f t="shared" si="21"/>
        <v>May</v>
      </c>
      <c r="D127" s="85" t="str">
        <f t="shared" si="18"/>
        <v>Tue</v>
      </c>
      <c r="E127" s="86" t="s">
        <v>220</v>
      </c>
      <c r="F127" s="86" t="s">
        <v>248</v>
      </c>
      <c r="G127" s="86" t="s">
        <v>244</v>
      </c>
      <c r="H127" s="86" t="s">
        <v>252</v>
      </c>
      <c r="I127" s="87" t="s">
        <v>251</v>
      </c>
      <c r="J127" s="88">
        <v>0</v>
      </c>
      <c r="K127" s="88" t="s">
        <v>285</v>
      </c>
      <c r="L127" s="87"/>
      <c r="M127" s="87"/>
      <c r="N127" s="87"/>
      <c r="O127" s="87"/>
      <c r="P127" s="89" t="str">
        <f t="shared" si="24"/>
        <v/>
      </c>
      <c r="Q127" s="89" t="str">
        <f t="shared" si="25"/>
        <v/>
      </c>
      <c r="R127" s="89" t="str">
        <f t="shared" si="26"/>
        <v/>
      </c>
      <c r="S127" s="88" t="str">
        <f>IF(F127="Bao",[1]Setup!$B$4,IF(F127="Soup Dumplings",[1]Setup!$B$5,""))</f>
        <v/>
      </c>
      <c r="T127" s="88" t="str">
        <f t="shared" si="27"/>
        <v/>
      </c>
      <c r="U127" s="84">
        <f t="shared" si="19"/>
        <v>46162</v>
      </c>
      <c r="V127" s="88">
        <f>IF(U127="",0,MAX(0,T127)+N127+ROUND(J127*[1]Setup!$B$9,0)+IF(O127&gt;[1]Setup!$B$10,ROUND(J127*[1]Setup!$B$11,0),0))</f>
        <v>0</v>
      </c>
      <c r="W127" s="85" t="str">
        <f>IF(L127="","Open",IF(OR(P127&lt;[1]Setup!$B$6,Q127&gt;[1]Setup!$B$7,R127&gt;[1]Setup!$B$8,O127&gt;[1]Setup!$B$10),"Review","OK"))</f>
        <v>Open</v>
      </c>
      <c r="X127" s="86"/>
      <c r="Z127" s="81" t="str">
        <f t="shared" si="22"/>
        <v>Pac</v>
      </c>
    </row>
    <row r="128" spans="1:26" ht="28.8" x14ac:dyDescent="0.3">
      <c r="A128" s="84">
        <v>46163</v>
      </c>
      <c r="B128" s="100">
        <f t="shared" si="20"/>
        <v>21</v>
      </c>
      <c r="C128" s="84" t="str">
        <f t="shared" si="21"/>
        <v>May</v>
      </c>
      <c r="D128" s="95" t="str">
        <f t="shared" si="18"/>
        <v>Thu</v>
      </c>
      <c r="E128" s="96" t="s">
        <v>220</v>
      </c>
      <c r="F128" s="96" t="s">
        <v>237</v>
      </c>
      <c r="G128" s="96" t="s">
        <v>244</v>
      </c>
      <c r="H128" s="96" t="s">
        <v>227</v>
      </c>
      <c r="I128" s="97" t="str">
        <f>IF(F128=0,"",IF(COUNTIF(F128,"Bao"),[1]Setup!$B$4,IF(COUNTIF(F128,"Soup Dumplings"),[1]Setup!$B$5,F128)))</f>
        <v>Soup Dumpling Prep</v>
      </c>
      <c r="J128" s="98">
        <f t="shared" ref="J128:J134" si="29">IF(A128="","",
   IFERROR(
      N(I128)+SUMIFS($V$4:$V$30,$U$4:$U$30,A128,$G$4:$G$30,G128),
   0)
)</f>
        <v>0</v>
      </c>
      <c r="K128" s="98" t="s">
        <v>293</v>
      </c>
      <c r="L128" s="87"/>
      <c r="M128" s="87"/>
      <c r="N128" s="87"/>
      <c r="O128" s="87"/>
      <c r="P128" s="89" t="str">
        <f t="shared" si="24"/>
        <v/>
      </c>
      <c r="Q128" s="89" t="str">
        <f t="shared" si="25"/>
        <v/>
      </c>
      <c r="R128" s="89" t="str">
        <f t="shared" si="26"/>
        <v/>
      </c>
      <c r="S128" s="88" t="str">
        <f>IF(F128="Bao",[1]Setup!$B$4,IF(F128="Soup Dumplings",[1]Setup!$B$5,""))</f>
        <v/>
      </c>
      <c r="T128" s="88" t="str">
        <f t="shared" si="27"/>
        <v/>
      </c>
      <c r="U128" s="84">
        <f t="shared" si="19"/>
        <v>46164</v>
      </c>
      <c r="V128" s="88">
        <f>IF(U128="",0,MAX(0,T128)+N128+ROUND(J128*[1]Setup!$B$9,0)+IF(O128&gt;[1]Setup!$B$10,ROUND(J128*[1]Setup!$B$11,0),0))</f>
        <v>0</v>
      </c>
      <c r="W128" s="85" t="str">
        <f>IF(L128="","Open",IF(OR(P128&lt;[1]Setup!$B$6,Q128&gt;[1]Setup!$B$7,R128&gt;[1]Setup!$B$8,O128&gt;[1]Setup!$B$10),"Review","OK"))</f>
        <v>Open</v>
      </c>
      <c r="X128" s="86"/>
      <c r="Z128" s="81" t="str">
        <f t="shared" si="22"/>
        <v>Sou</v>
      </c>
    </row>
    <row r="129" spans="1:26" x14ac:dyDescent="0.3">
      <c r="A129" s="84">
        <v>46163</v>
      </c>
      <c r="B129" s="100">
        <f t="shared" si="20"/>
        <v>21</v>
      </c>
      <c r="C129" s="84" t="str">
        <f t="shared" si="21"/>
        <v>May</v>
      </c>
      <c r="D129" s="95" t="str">
        <f t="shared" si="18"/>
        <v>Thu</v>
      </c>
      <c r="E129" s="96" t="s">
        <v>220</v>
      </c>
      <c r="F129" s="96" t="s">
        <v>222</v>
      </c>
      <c r="G129" s="96" t="s">
        <v>231</v>
      </c>
      <c r="H129" s="96" t="s">
        <v>232</v>
      </c>
      <c r="I129" s="97" t="str">
        <f>IF(F129=0,"",IF(COUNTIF(F129,"Bao"),[1]Setup!$B$4,IF(COUNTIF(F129,"Soup Dumplings"),[1]Setup!$B$5,F129)))</f>
        <v>Bao Prep</v>
      </c>
      <c r="J129" s="98">
        <f t="shared" si="29"/>
        <v>0</v>
      </c>
      <c r="K129" s="98" t="s">
        <v>233</v>
      </c>
      <c r="L129" s="87"/>
      <c r="M129" s="87"/>
      <c r="N129" s="87"/>
      <c r="O129" s="87"/>
      <c r="P129" s="89" t="str">
        <f t="shared" si="24"/>
        <v/>
      </c>
      <c r="Q129" s="89" t="str">
        <f t="shared" si="25"/>
        <v/>
      </c>
      <c r="R129" s="89" t="str">
        <f t="shared" si="26"/>
        <v/>
      </c>
      <c r="S129" s="88" t="str">
        <f>IF(F129="Bao",[1]Setup!$B$4,IF(F129="Soup Dumplings",[1]Setup!$B$5,""))</f>
        <v/>
      </c>
      <c r="T129" s="88" t="str">
        <f t="shared" si="27"/>
        <v/>
      </c>
      <c r="U129" s="84">
        <f t="shared" si="19"/>
        <v>46164</v>
      </c>
      <c r="V129" s="88">
        <f>IF(U129="",0,MAX(0,T129)+N129+ROUND(J129*[1]Setup!$B$9,0)+IF(O129&gt;[1]Setup!$B$10,ROUND(J129*[1]Setup!$B$11,0),0))</f>
        <v>0</v>
      </c>
      <c r="W129" s="85" t="str">
        <f>IF(L129="","Open",IF(OR(P129&lt;[1]Setup!$B$6,Q129&gt;[1]Setup!$B$7,R129&gt;[1]Setup!$B$8,O129&gt;[1]Setup!$B$10),"Review","OK"))</f>
        <v>Open</v>
      </c>
      <c r="X129" s="86"/>
      <c r="Z129" s="81" t="str">
        <f t="shared" si="22"/>
        <v>Bao</v>
      </c>
    </row>
    <row r="130" spans="1:26" x14ac:dyDescent="0.3">
      <c r="A130" s="84">
        <v>46163</v>
      </c>
      <c r="B130" s="100">
        <f t="shared" si="20"/>
        <v>21</v>
      </c>
      <c r="C130" s="84" t="str">
        <f t="shared" si="21"/>
        <v>May</v>
      </c>
      <c r="D130" s="85" t="str">
        <f t="shared" si="18"/>
        <v>Thu</v>
      </c>
      <c r="E130" s="86" t="s">
        <v>220</v>
      </c>
      <c r="F130" s="86" t="s">
        <v>222</v>
      </c>
      <c r="G130" s="86" t="s">
        <v>257</v>
      </c>
      <c r="H130" s="86" t="s">
        <v>227</v>
      </c>
      <c r="I130" s="87" t="str">
        <f>IF(F130=0,"",IF(COUNTIF(F130,"Bao"),[1]Setup!$B$4,IF(COUNTIF(F130,"Soup Dumplings"),[1]Setup!$B$5,F130)))</f>
        <v>Bao Prep</v>
      </c>
      <c r="J130" s="88">
        <f t="shared" si="29"/>
        <v>0</v>
      </c>
      <c r="K130" s="88" t="s">
        <v>294</v>
      </c>
      <c r="L130" s="87"/>
      <c r="M130" s="87"/>
      <c r="N130" s="87"/>
      <c r="O130" s="87"/>
      <c r="P130" s="89" t="str">
        <f t="shared" si="24"/>
        <v/>
      </c>
      <c r="Q130" s="89" t="str">
        <f t="shared" si="25"/>
        <v/>
      </c>
      <c r="R130" s="89" t="str">
        <f t="shared" si="26"/>
        <v/>
      </c>
      <c r="S130" s="88" t="str">
        <f>IF(F130="Bao",[1]Setup!$B$4,IF(F130="Soup Dumplings",[1]Setup!$B$5,""))</f>
        <v/>
      </c>
      <c r="T130" s="88" t="str">
        <f t="shared" si="27"/>
        <v/>
      </c>
      <c r="U130" s="84">
        <f t="shared" si="19"/>
        <v>46164</v>
      </c>
      <c r="V130" s="88">
        <f>IF(U130="",0,MAX(0,T130)+N130+ROUND(J130*[1]Setup!$B$9,0)+IF(O130&gt;[1]Setup!$B$10,ROUND(J130*[1]Setup!$B$11,0),0))</f>
        <v>0</v>
      </c>
      <c r="W130" s="85" t="str">
        <f>IF(L130="","Open",IF(OR(P130&lt;[1]Setup!$B$6,Q130&gt;[1]Setup!$B$7,R130&gt;[1]Setup!$B$8,O130&gt;[1]Setup!$B$10),"Review","OK"))</f>
        <v>Open</v>
      </c>
      <c r="X130" s="86"/>
      <c r="Z130" s="81" t="str">
        <f t="shared" si="22"/>
        <v>Bao</v>
      </c>
    </row>
    <row r="131" spans="1:26" ht="28.8" x14ac:dyDescent="0.3">
      <c r="A131" s="84">
        <v>46163</v>
      </c>
      <c r="B131" s="100">
        <f t="shared" si="20"/>
        <v>21</v>
      </c>
      <c r="C131" s="84" t="str">
        <f t="shared" si="21"/>
        <v>May</v>
      </c>
      <c r="D131" s="85" t="str">
        <f t="shared" si="18"/>
        <v>Thu</v>
      </c>
      <c r="E131" s="86" t="s">
        <v>220</v>
      </c>
      <c r="F131" s="86" t="s">
        <v>251</v>
      </c>
      <c r="G131" s="86" t="s">
        <v>82</v>
      </c>
      <c r="H131" s="86" t="s">
        <v>252</v>
      </c>
      <c r="I131" s="87" t="str">
        <f>IF(F131=0,"",IF(COUNTIF(F131,"Bao"),[1]Setup!$B$4,IF(COUNTIF(F131,"Soup Dumplings"),[1]Setup!$B$5,F131)))</f>
        <v>Pack Bao</v>
      </c>
      <c r="J131" s="88">
        <f t="shared" si="29"/>
        <v>0</v>
      </c>
      <c r="K131" s="88" t="s">
        <v>295</v>
      </c>
      <c r="L131" s="87"/>
      <c r="M131" s="87"/>
      <c r="N131" s="87"/>
      <c r="O131" s="87"/>
      <c r="P131" s="89" t="str">
        <f t="shared" si="24"/>
        <v/>
      </c>
      <c r="Q131" s="89" t="str">
        <f t="shared" si="25"/>
        <v/>
      </c>
      <c r="R131" s="89" t="str">
        <f t="shared" si="26"/>
        <v/>
      </c>
      <c r="S131" s="88" t="str">
        <f>IF(F131="Bao",[1]Setup!$B$4,IF(F131="Soup Dumplings",[1]Setup!$B$5,""))</f>
        <v/>
      </c>
      <c r="T131" s="88" t="str">
        <f t="shared" si="27"/>
        <v/>
      </c>
      <c r="U131" s="84">
        <f t="shared" si="19"/>
        <v>46164</v>
      </c>
      <c r="V131" s="88">
        <f>IF(U131="",0,MAX(0,T131)+N131+ROUND(J131*[1]Setup!$B$9,0)+IF(O131&gt;[1]Setup!$B$10,ROUND(J131*[1]Setup!$B$11,0),0))</f>
        <v>0</v>
      </c>
      <c r="W131" s="85" t="str">
        <f>IF(L131="","Open",IF(OR(P131&lt;[1]Setup!$B$6,Q131&gt;[1]Setup!$B$7,R131&gt;[1]Setup!$B$8,O131&gt;[1]Setup!$B$10),"Review","OK"))</f>
        <v>Open</v>
      </c>
      <c r="X131" s="86"/>
      <c r="Z131" s="81" t="str">
        <f t="shared" si="22"/>
        <v>Pac</v>
      </c>
    </row>
    <row r="132" spans="1:26" ht="28.8" x14ac:dyDescent="0.3">
      <c r="A132" s="84">
        <v>46163</v>
      </c>
      <c r="B132" s="100">
        <f t="shared" si="20"/>
        <v>21</v>
      </c>
      <c r="C132" s="84" t="str">
        <f t="shared" si="21"/>
        <v>May</v>
      </c>
      <c r="D132" s="85" t="str">
        <f t="shared" ref="D132:D174" si="30">IF(A132="","",TEXT(A132,"ddd"))</f>
        <v>Thu</v>
      </c>
      <c r="E132" s="86" t="s">
        <v>220</v>
      </c>
      <c r="F132" s="86" t="s">
        <v>248</v>
      </c>
      <c r="G132" s="86" t="s">
        <v>244</v>
      </c>
      <c r="H132" s="86" t="s">
        <v>249</v>
      </c>
      <c r="I132" s="87" t="str">
        <f>IF(F132=0,"",IF(COUNTIF(F132,"Bao"),[1]Setup!$B$4,IF(COUNTIF(F132,"Soup Dumplings"),[1]Setup!$B$5,F132)))</f>
        <v>Pack Soup Dumplings</v>
      </c>
      <c r="J132" s="88">
        <f t="shared" si="29"/>
        <v>0</v>
      </c>
      <c r="K132" s="88" t="s">
        <v>296</v>
      </c>
      <c r="L132" s="87"/>
      <c r="M132" s="87"/>
      <c r="N132" s="87"/>
      <c r="O132" s="87"/>
      <c r="P132" s="89" t="str">
        <f t="shared" si="24"/>
        <v/>
      </c>
      <c r="Q132" s="89" t="str">
        <f t="shared" si="25"/>
        <v/>
      </c>
      <c r="R132" s="89" t="str">
        <f t="shared" si="26"/>
        <v/>
      </c>
      <c r="S132" s="88" t="str">
        <f>IF(F132="Bao",[1]Setup!$B$4,IF(F132="Soup Dumplings",[1]Setup!$B$5,""))</f>
        <v/>
      </c>
      <c r="T132" s="88" t="str">
        <f t="shared" si="27"/>
        <v/>
      </c>
      <c r="U132" s="84">
        <f t="shared" ref="U132:U174" si="31">IF(A132="","",A132+1)</f>
        <v>46164</v>
      </c>
      <c r="V132" s="88">
        <f>IF(U132="",0,MAX(0,T132)+N132+ROUND(J132*[1]Setup!$B$9,0)+IF(O132&gt;[1]Setup!$B$10,ROUND(J132*[1]Setup!$B$11,0),0))</f>
        <v>0</v>
      </c>
      <c r="W132" s="85" t="str">
        <f>IF(L132="","Open",IF(OR(P132&lt;[1]Setup!$B$6,Q132&gt;[1]Setup!$B$7,R132&gt;[1]Setup!$B$8,O132&gt;[1]Setup!$B$10),"Review","OK"))</f>
        <v>Open</v>
      </c>
      <c r="X132" s="86"/>
      <c r="Z132" s="81" t="str">
        <f t="shared" si="22"/>
        <v>Pac</v>
      </c>
    </row>
    <row r="133" spans="1:26" ht="57.6" x14ac:dyDescent="0.3">
      <c r="A133" s="84">
        <v>46163</v>
      </c>
      <c r="B133" s="100">
        <f t="shared" ref="B133:B196" si="32">+WEEKNUM(A133)</f>
        <v>21</v>
      </c>
      <c r="C133" s="84" t="str">
        <f t="shared" ref="C133:C196" si="33">+TEXT(A133,"mmmm")</f>
        <v>May</v>
      </c>
      <c r="D133" s="85" t="str">
        <f t="shared" si="30"/>
        <v>Thu</v>
      </c>
      <c r="E133" s="86" t="s">
        <v>220</v>
      </c>
      <c r="F133" s="86" t="s">
        <v>237</v>
      </c>
      <c r="G133" s="86" t="s">
        <v>238</v>
      </c>
      <c r="H133" s="86" t="s">
        <v>229</v>
      </c>
      <c r="I133" s="87" t="str">
        <f>IF(F133=0,"",IF(COUNTIF(F133,"Bao"),[1]Setup!$B$4,IF(COUNTIF(F133,"Soup Dumplings"),[1]Setup!$B$5,F133)))</f>
        <v>Soup Dumpling Prep</v>
      </c>
      <c r="J133" s="88">
        <f t="shared" si="29"/>
        <v>0</v>
      </c>
      <c r="K133" s="88" t="s">
        <v>297</v>
      </c>
      <c r="L133" s="87"/>
      <c r="M133" s="87"/>
      <c r="N133" s="87"/>
      <c r="O133" s="87"/>
      <c r="P133" s="89" t="str">
        <f t="shared" si="24"/>
        <v/>
      </c>
      <c r="Q133" s="89" t="str">
        <f t="shared" si="25"/>
        <v/>
      </c>
      <c r="R133" s="89" t="str">
        <f t="shared" si="26"/>
        <v/>
      </c>
      <c r="S133" s="88" t="str">
        <f>IF(F133="Bao",[1]Setup!$B$4,IF(F133="Soup Dumplings",[1]Setup!$B$5,""))</f>
        <v/>
      </c>
      <c r="T133" s="88" t="str">
        <f t="shared" si="27"/>
        <v/>
      </c>
      <c r="U133" s="84">
        <f t="shared" si="31"/>
        <v>46164</v>
      </c>
      <c r="V133" s="88">
        <f>IF(U133="",0,MAX(0,T133)+N133+ROUND(J133*[1]Setup!$B$9,0)+IF(O133&gt;[1]Setup!$B$10,ROUND(J133*[1]Setup!$B$11,0),0))</f>
        <v>0</v>
      </c>
      <c r="W133" s="85" t="str">
        <f>IF(L133="","Open",IF(OR(P133&lt;[1]Setup!$B$6,Q133&gt;[1]Setup!$B$7,R133&gt;[1]Setup!$B$8,O133&gt;[1]Setup!$B$10),"Review","OK"))</f>
        <v>Open</v>
      </c>
      <c r="X133" s="86"/>
      <c r="Z133" s="81" t="str">
        <f t="shared" ref="Z133:Z196" si="34">+LEFT(F133,3)</f>
        <v>Sou</v>
      </c>
    </row>
    <row r="134" spans="1:26" ht="43.2" x14ac:dyDescent="0.3">
      <c r="A134" s="84">
        <v>46163</v>
      </c>
      <c r="B134" s="100">
        <f t="shared" si="32"/>
        <v>21</v>
      </c>
      <c r="C134" s="84" t="str">
        <f t="shared" si="33"/>
        <v>May</v>
      </c>
      <c r="D134" s="85" t="str">
        <f t="shared" si="30"/>
        <v>Thu</v>
      </c>
      <c r="E134" s="86" t="s">
        <v>220</v>
      </c>
      <c r="F134" s="86" t="s">
        <v>237</v>
      </c>
      <c r="G134" s="86" t="s">
        <v>240</v>
      </c>
      <c r="H134" s="86" t="s">
        <v>224</v>
      </c>
      <c r="I134" s="87" t="str">
        <f>IF(F134=0,"",IF(COUNTIF(F134,"Bao"),[1]Setup!$B$4,IF(COUNTIF(F134,"Soup Dumplings"),[1]Setup!$B$5,F134)))</f>
        <v>Soup Dumpling Prep</v>
      </c>
      <c r="J134" s="88">
        <f t="shared" si="29"/>
        <v>0</v>
      </c>
      <c r="K134" s="88" t="s">
        <v>241</v>
      </c>
      <c r="L134" s="87"/>
      <c r="M134" s="87"/>
      <c r="N134" s="87"/>
      <c r="O134" s="87"/>
      <c r="P134" s="89" t="str">
        <f t="shared" si="24"/>
        <v/>
      </c>
      <c r="Q134" s="89" t="str">
        <f t="shared" si="25"/>
        <v/>
      </c>
      <c r="R134" s="89" t="str">
        <f t="shared" si="26"/>
        <v/>
      </c>
      <c r="S134" s="88" t="str">
        <f>IF(F134="Bao",[1]Setup!$B$4,IF(F134="Soup Dumplings",[1]Setup!$B$5,""))</f>
        <v/>
      </c>
      <c r="T134" s="88" t="str">
        <f t="shared" si="27"/>
        <v/>
      </c>
      <c r="U134" s="84">
        <f t="shared" si="31"/>
        <v>46164</v>
      </c>
      <c r="V134" s="88">
        <f>IF(U134="",0,MAX(0,T134)+N134+ROUND(J134*[1]Setup!$B$9,0)+IF(O134&gt;[1]Setup!$B$10,ROUND(J134*[1]Setup!$B$11,0),0))</f>
        <v>0</v>
      </c>
      <c r="W134" s="85" t="str">
        <f>IF(L134="","Open",IF(OR(P134&lt;[1]Setup!$B$6,Q134&gt;[1]Setup!$B$7,R134&gt;[1]Setup!$B$8,O134&gt;[1]Setup!$B$10),"Review","OK"))</f>
        <v>Open</v>
      </c>
      <c r="X134" s="86"/>
      <c r="Z134" s="81" t="str">
        <f t="shared" si="34"/>
        <v>Sou</v>
      </c>
    </row>
    <row r="135" spans="1:26" ht="28.8" x14ac:dyDescent="0.3">
      <c r="A135" s="84">
        <v>46163</v>
      </c>
      <c r="B135" s="100">
        <f t="shared" si="32"/>
        <v>21</v>
      </c>
      <c r="C135" s="84" t="str">
        <f t="shared" si="33"/>
        <v>May</v>
      </c>
      <c r="D135" s="85" t="str">
        <f t="shared" si="30"/>
        <v>Thu</v>
      </c>
      <c r="E135" s="86" t="s">
        <v>220</v>
      </c>
      <c r="F135" s="86" t="s">
        <v>237</v>
      </c>
      <c r="G135" s="86" t="s">
        <v>246</v>
      </c>
      <c r="H135" s="86" t="s">
        <v>232</v>
      </c>
      <c r="I135" s="87" t="str">
        <f>IF(F135=0,"",IF(COUNTIF(F135,"Bao"),[1]Setup!$B$4,IF(COUNTIF(F135,"Soup Dumplings"),[1]Setup!$B$5,F135)))</f>
        <v>Soup Dumpling Prep</v>
      </c>
      <c r="J135" s="88">
        <v>0</v>
      </c>
      <c r="K135" s="88" t="s">
        <v>298</v>
      </c>
      <c r="L135" s="87"/>
      <c r="M135" s="87"/>
      <c r="N135" s="87"/>
      <c r="O135" s="87"/>
      <c r="P135" s="89" t="str">
        <f t="shared" si="24"/>
        <v/>
      </c>
      <c r="Q135" s="89" t="str">
        <f t="shared" si="25"/>
        <v/>
      </c>
      <c r="R135" s="89" t="str">
        <f t="shared" si="26"/>
        <v/>
      </c>
      <c r="S135" s="88" t="str">
        <f>IF(F135="Bao",[1]Setup!$B$4,IF(F135="Soup Dumplings",[1]Setup!$B$5,""))</f>
        <v/>
      </c>
      <c r="T135" s="88" t="str">
        <f t="shared" si="27"/>
        <v/>
      </c>
      <c r="U135" s="84">
        <f t="shared" si="31"/>
        <v>46164</v>
      </c>
      <c r="V135" s="88">
        <f>IF(U135="",0,MAX(0,T135)+N135+ROUND(J135*[1]Setup!$B$9,0)+IF(O135&gt;[1]Setup!$B$10,ROUND(J135*[1]Setup!$B$11,0),0))</f>
        <v>0</v>
      </c>
      <c r="W135" s="85" t="str">
        <f>IF(L135="","Open",IF(OR(P135&lt;[1]Setup!$B$6,Q135&gt;[1]Setup!$B$7,R135&gt;[1]Setup!$B$8,O135&gt;[1]Setup!$B$10),"Review","OK"))</f>
        <v>Open</v>
      </c>
      <c r="X135" s="86"/>
      <c r="Z135" s="81" t="str">
        <f t="shared" si="34"/>
        <v>Sou</v>
      </c>
    </row>
    <row r="136" spans="1:26" x14ac:dyDescent="0.3">
      <c r="A136" s="84">
        <v>46163</v>
      </c>
      <c r="B136" s="100">
        <f t="shared" si="32"/>
        <v>21</v>
      </c>
      <c r="C136" s="84" t="str">
        <f t="shared" si="33"/>
        <v>May</v>
      </c>
      <c r="D136" s="85" t="str">
        <f t="shared" si="30"/>
        <v>Thu</v>
      </c>
      <c r="E136" s="86" t="s">
        <v>220</v>
      </c>
      <c r="F136" s="86" t="s">
        <v>87</v>
      </c>
      <c r="G136" s="86" t="s">
        <v>244</v>
      </c>
      <c r="H136" s="86" t="s">
        <v>245</v>
      </c>
      <c r="I136" s="87">
        <v>40000</v>
      </c>
      <c r="J136" s="88">
        <f>IF(A136="","",
   IFERROR(
      N(I136)+SUMIFS($V$4:$V$30,$U$4:$U$30,A136,$G$4:$G$30,G136),
   0)
)</f>
        <v>40000</v>
      </c>
      <c r="K136" s="88"/>
      <c r="L136" s="87"/>
      <c r="M136" s="87"/>
      <c r="N136" s="87"/>
      <c r="O136" s="87"/>
      <c r="P136" s="89">
        <f t="shared" si="24"/>
        <v>0</v>
      </c>
      <c r="Q136" s="89">
        <f t="shared" si="25"/>
        <v>1</v>
      </c>
      <c r="R136" s="89">
        <f t="shared" si="26"/>
        <v>0</v>
      </c>
      <c r="S136" s="88">
        <f>IF(F136="Bao",[1]Setup!$B$4,IF(F136="Soup Dumplings",[1]Setup!$B$5,""))</f>
        <v>90000</v>
      </c>
      <c r="T136" s="88" t="str">
        <f t="shared" si="27"/>
        <v/>
      </c>
      <c r="U136" s="84">
        <f t="shared" si="31"/>
        <v>46164</v>
      </c>
      <c r="V136" s="88">
        <f>IF(U136="",0,MAX(0,T136)+N136+ROUND(J136*[1]Setup!$B$9,0)+IF(O136&gt;[1]Setup!$B$10,ROUND(J136*[1]Setup!$B$11,0),0))</f>
        <v>800</v>
      </c>
      <c r="W136" s="85" t="str">
        <f>IF(L136="","Open",IF(OR(P136&lt;[1]Setup!$B$6,Q136&gt;[1]Setup!$B$7,R136&gt;[1]Setup!$B$8,O136&gt;[1]Setup!$B$10),"Review","OK"))</f>
        <v>Open</v>
      </c>
      <c r="X136" s="86"/>
      <c r="Z136" s="81" t="str">
        <f t="shared" si="34"/>
        <v>Sou</v>
      </c>
    </row>
    <row r="137" spans="1:26" x14ac:dyDescent="0.3">
      <c r="A137" s="84">
        <v>46163</v>
      </c>
      <c r="B137" s="100">
        <f t="shared" si="32"/>
        <v>21</v>
      </c>
      <c r="C137" s="84" t="str">
        <f t="shared" si="33"/>
        <v>May</v>
      </c>
      <c r="D137" s="85" t="str">
        <f t="shared" si="30"/>
        <v>Thu</v>
      </c>
      <c r="E137" s="86" t="s">
        <v>299</v>
      </c>
      <c r="F137" s="86" t="s">
        <v>286</v>
      </c>
      <c r="G137" s="86" t="s">
        <v>300</v>
      </c>
      <c r="H137" s="86" t="s">
        <v>221</v>
      </c>
      <c r="I137" s="87" t="str">
        <f>IF(F137=0,"",IF(COUNTIF(F137,"Bao"),[1]Setup!$B$4,IF(COUNTIF(F137,"Soup Dumplings"),[1]Setup!$B$5,F137)))</f>
        <v>R&amp;D Matt</v>
      </c>
      <c r="J137" s="88">
        <f>IF(A137="","",
   IFERROR(
      N(I137)+SUMIFS($V$4:$V$30,$U$4:$U$30,A137,$G$4:$G$30,G137),
   0)
)</f>
        <v>0</v>
      </c>
      <c r="K137" s="88" t="s">
        <v>301</v>
      </c>
      <c r="L137" s="87"/>
      <c r="M137" s="87"/>
      <c r="N137" s="87"/>
      <c r="O137" s="87"/>
      <c r="P137" s="89" t="str">
        <f t="shared" si="24"/>
        <v/>
      </c>
      <c r="Q137" s="89" t="str">
        <f t="shared" si="25"/>
        <v/>
      </c>
      <c r="R137" s="89" t="str">
        <f t="shared" si="26"/>
        <v/>
      </c>
      <c r="S137" s="88" t="str">
        <f>IF(F137="Bao",[1]Setup!$B$4,IF(F137="Soup Dumplings",[1]Setup!$B$5,""))</f>
        <v/>
      </c>
      <c r="T137" s="88" t="str">
        <f t="shared" si="27"/>
        <v/>
      </c>
      <c r="U137" s="84">
        <f t="shared" si="31"/>
        <v>46164</v>
      </c>
      <c r="V137" s="88">
        <f>IF(U137="",0,MAX(0,T137)+N137+ROUND(J137*[1]Setup!$B$9,0)+IF(O137&gt;[1]Setup!$B$10,ROUND(J137*[1]Setup!$B$11,0),0))</f>
        <v>0</v>
      </c>
      <c r="W137" s="85" t="str">
        <f>IF(L137="","Open",IF(OR(P137&lt;[1]Setup!$B$6,Q137&gt;[1]Setup!$B$7,R137&gt;[1]Setup!$B$8,O137&gt;[1]Setup!$B$10),"Review","OK"))</f>
        <v>Open</v>
      </c>
      <c r="X137" s="86"/>
      <c r="Z137" s="81" t="str">
        <f t="shared" si="34"/>
        <v>R&amp;D</v>
      </c>
    </row>
    <row r="138" spans="1:26" x14ac:dyDescent="0.3">
      <c r="A138" s="84">
        <v>46168</v>
      </c>
      <c r="B138" s="100">
        <f t="shared" si="32"/>
        <v>22</v>
      </c>
      <c r="C138" s="84" t="str">
        <f t="shared" si="33"/>
        <v>May</v>
      </c>
      <c r="D138" s="85" t="str">
        <f t="shared" si="30"/>
        <v>Tue</v>
      </c>
      <c r="E138" s="86" t="s">
        <v>220</v>
      </c>
      <c r="F138" s="86" t="s">
        <v>52</v>
      </c>
      <c r="G138" s="86" t="s">
        <v>82</v>
      </c>
      <c r="H138" s="86" t="s">
        <v>221</v>
      </c>
      <c r="I138" s="87">
        <v>25000</v>
      </c>
      <c r="J138" s="88">
        <v>25000</v>
      </c>
      <c r="K138" s="88"/>
      <c r="L138" s="87"/>
      <c r="M138" s="87"/>
      <c r="N138" s="87"/>
      <c r="O138" s="87"/>
      <c r="P138" s="89">
        <f t="shared" si="24"/>
        <v>0</v>
      </c>
      <c r="Q138" s="89">
        <f t="shared" si="25"/>
        <v>1</v>
      </c>
      <c r="R138" s="89">
        <f t="shared" si="26"/>
        <v>0</v>
      </c>
      <c r="S138" s="88">
        <f>IF(F138="Bao",[1]Setup!$B$4,IF(F138="Soup Dumplings",[1]Setup!$B$5,""))</f>
        <v>15000</v>
      </c>
      <c r="T138" s="88" t="str">
        <f t="shared" si="27"/>
        <v/>
      </c>
      <c r="U138" s="84">
        <f t="shared" si="31"/>
        <v>46169</v>
      </c>
      <c r="V138" s="88">
        <f>IF(U138="",0,MAX(0,T138)+N138+ROUND(J138*[1]Setup!$B$9,0)+IF(O138&gt;[1]Setup!$B$10,ROUND(J138*[1]Setup!$B$11,0),0))</f>
        <v>500</v>
      </c>
      <c r="W138" s="85" t="str">
        <f>IF(L138="","Open",IF(OR(P138&lt;[1]Setup!$B$6,Q138&gt;[1]Setup!$B$7,R138&gt;[1]Setup!$B$8,O138&gt;[1]Setup!$B$10),"Review","OK"))</f>
        <v>Open</v>
      </c>
      <c r="X138" s="86"/>
      <c r="Z138" s="81" t="str">
        <f t="shared" si="34"/>
        <v>Bao</v>
      </c>
    </row>
    <row r="139" spans="1:26" ht="28.8" x14ac:dyDescent="0.3">
      <c r="A139" s="84">
        <v>46168</v>
      </c>
      <c r="B139" s="100">
        <f t="shared" si="32"/>
        <v>22</v>
      </c>
      <c r="C139" s="84" t="str">
        <f t="shared" si="33"/>
        <v>May</v>
      </c>
      <c r="D139" s="85" t="str">
        <f t="shared" si="30"/>
        <v>Tue</v>
      </c>
      <c r="E139" s="86" t="s">
        <v>220</v>
      </c>
      <c r="F139" s="86" t="s">
        <v>222</v>
      </c>
      <c r="G139" s="86" t="s">
        <v>223</v>
      </c>
      <c r="H139" s="86" t="s">
        <v>224</v>
      </c>
      <c r="I139" s="87" t="s">
        <v>222</v>
      </c>
      <c r="J139" s="88">
        <v>0</v>
      </c>
      <c r="K139" s="88" t="s">
        <v>270</v>
      </c>
      <c r="L139" s="87"/>
      <c r="M139" s="87"/>
      <c r="N139" s="87"/>
      <c r="O139" s="87"/>
      <c r="P139" s="89" t="str">
        <f t="shared" si="24"/>
        <v/>
      </c>
      <c r="Q139" s="89" t="str">
        <f t="shared" si="25"/>
        <v/>
      </c>
      <c r="R139" s="89" t="str">
        <f t="shared" si="26"/>
        <v/>
      </c>
      <c r="S139" s="88" t="str">
        <f>IF(F139="Bao",[1]Setup!$B$4,IF(F139="Soup Dumplings",[1]Setup!$B$5,""))</f>
        <v/>
      </c>
      <c r="T139" s="88" t="str">
        <f t="shared" si="27"/>
        <v/>
      </c>
      <c r="U139" s="84">
        <f t="shared" si="31"/>
        <v>46169</v>
      </c>
      <c r="V139" s="88">
        <f>IF(U139="",0,MAX(0,T139)+N139+ROUND(J139*[1]Setup!$B$9,0)+IF(O139&gt;[1]Setup!$B$10,ROUND(J139*[1]Setup!$B$11,0),0))</f>
        <v>0</v>
      </c>
      <c r="W139" s="85" t="str">
        <f>IF(L139="","Open",IF(OR(P139&lt;[1]Setup!$B$6,Q139&gt;[1]Setup!$B$7,R139&gt;[1]Setup!$B$8,O139&gt;[1]Setup!$B$10),"Review","OK"))</f>
        <v>Open</v>
      </c>
      <c r="X139" s="86"/>
      <c r="Z139" s="81" t="str">
        <f t="shared" si="34"/>
        <v>Bao</v>
      </c>
    </row>
    <row r="140" spans="1:26" ht="28.8" x14ac:dyDescent="0.3">
      <c r="A140" s="84">
        <v>46168</v>
      </c>
      <c r="B140" s="100">
        <f t="shared" si="32"/>
        <v>22</v>
      </c>
      <c r="C140" s="84" t="str">
        <f t="shared" si="33"/>
        <v>May</v>
      </c>
      <c r="D140" s="85" t="str">
        <f t="shared" si="30"/>
        <v>Tue</v>
      </c>
      <c r="E140" s="86" t="s">
        <v>220</v>
      </c>
      <c r="F140" s="86" t="s">
        <v>222</v>
      </c>
      <c r="G140" s="86" t="s">
        <v>226</v>
      </c>
      <c r="H140" s="86" t="s">
        <v>229</v>
      </c>
      <c r="I140" s="87" t="s">
        <v>222</v>
      </c>
      <c r="J140" s="88">
        <v>0</v>
      </c>
      <c r="K140" s="88" t="s">
        <v>230</v>
      </c>
      <c r="L140" s="87"/>
      <c r="M140" s="87"/>
      <c r="N140" s="87"/>
      <c r="O140" s="87"/>
      <c r="P140" s="89" t="str">
        <f t="shared" si="24"/>
        <v/>
      </c>
      <c r="Q140" s="89" t="str">
        <f t="shared" si="25"/>
        <v/>
      </c>
      <c r="R140" s="89" t="str">
        <f t="shared" si="26"/>
        <v/>
      </c>
      <c r="S140" s="88" t="str">
        <f>IF(F140="Bao",[1]Setup!$B$4,IF(F140="Soup Dumplings",[1]Setup!$B$5,""))</f>
        <v/>
      </c>
      <c r="T140" s="88" t="str">
        <f t="shared" si="27"/>
        <v/>
      </c>
      <c r="U140" s="84">
        <f t="shared" si="31"/>
        <v>46169</v>
      </c>
      <c r="V140" s="88">
        <f>IF(U140="",0,MAX(0,T140)+N140+ROUND(J140*[1]Setup!$B$9,0)+IF(O140&gt;[1]Setup!$B$10,ROUND(J140*[1]Setup!$B$11,0),0))</f>
        <v>0</v>
      </c>
      <c r="W140" s="85" t="str">
        <f>IF(L140="","Open",IF(OR(P140&lt;[1]Setup!$B$6,Q140&gt;[1]Setup!$B$7,R140&gt;[1]Setup!$B$8,O140&gt;[1]Setup!$B$10),"Review","OK"))</f>
        <v>Open</v>
      </c>
      <c r="X140" s="86"/>
      <c r="Z140" s="81" t="str">
        <f t="shared" si="34"/>
        <v>Bao</v>
      </c>
    </row>
    <row r="141" spans="1:26" ht="28.8" x14ac:dyDescent="0.3">
      <c r="A141" s="84">
        <v>46168</v>
      </c>
      <c r="B141" s="100">
        <f t="shared" si="32"/>
        <v>22</v>
      </c>
      <c r="C141" s="84" t="str">
        <f t="shared" si="33"/>
        <v>May</v>
      </c>
      <c r="D141" s="85" t="str">
        <f t="shared" si="30"/>
        <v>Tue</v>
      </c>
      <c r="E141" s="86" t="s">
        <v>220</v>
      </c>
      <c r="F141" s="86" t="s">
        <v>237</v>
      </c>
      <c r="G141" s="86" t="s">
        <v>238</v>
      </c>
      <c r="H141" s="86" t="s">
        <v>229</v>
      </c>
      <c r="I141" s="87" t="s">
        <v>237</v>
      </c>
      <c r="J141" s="88">
        <v>0</v>
      </c>
      <c r="K141" s="88" t="s">
        <v>302</v>
      </c>
      <c r="L141" s="87"/>
      <c r="M141" s="87"/>
      <c r="N141" s="87"/>
      <c r="O141" s="87"/>
      <c r="P141" s="89" t="str">
        <f t="shared" si="24"/>
        <v/>
      </c>
      <c r="Q141" s="89" t="str">
        <f t="shared" si="25"/>
        <v/>
      </c>
      <c r="R141" s="89" t="str">
        <f t="shared" si="26"/>
        <v/>
      </c>
      <c r="S141" s="88" t="str">
        <f>IF(F141="Bao",[1]Setup!$B$4,IF(F141="Soup Dumplings",[1]Setup!$B$5,""))</f>
        <v/>
      </c>
      <c r="T141" s="88" t="str">
        <f t="shared" si="27"/>
        <v/>
      </c>
      <c r="U141" s="84">
        <f t="shared" si="31"/>
        <v>46169</v>
      </c>
      <c r="V141" s="88">
        <f>IF(U141="",0,MAX(0,T141)+N141+ROUND(J141*[1]Setup!$B$9,0)+IF(O141&gt;[1]Setup!$B$10,ROUND(J141*[1]Setup!$B$11,0),0))</f>
        <v>0</v>
      </c>
      <c r="W141" s="85" t="str">
        <f>IF(L141="","Open",IF(OR(P141&lt;[1]Setup!$B$6,Q141&gt;[1]Setup!$B$7,R141&gt;[1]Setup!$B$8,O141&gt;[1]Setup!$B$10),"Review","OK"))</f>
        <v>Open</v>
      </c>
      <c r="X141" s="86"/>
      <c r="Z141" s="81" t="str">
        <f t="shared" si="34"/>
        <v>Sou</v>
      </c>
    </row>
    <row r="142" spans="1:26" ht="43.2" x14ac:dyDescent="0.3">
      <c r="A142" s="84">
        <v>46168</v>
      </c>
      <c r="B142" s="100">
        <f t="shared" si="32"/>
        <v>22</v>
      </c>
      <c r="C142" s="84" t="str">
        <f t="shared" si="33"/>
        <v>May</v>
      </c>
      <c r="D142" s="85" t="str">
        <f t="shared" si="30"/>
        <v>Tue</v>
      </c>
      <c r="E142" s="86" t="s">
        <v>220</v>
      </c>
      <c r="F142" s="86" t="s">
        <v>237</v>
      </c>
      <c r="G142" s="86" t="s">
        <v>240</v>
      </c>
      <c r="H142" s="86" t="s">
        <v>224</v>
      </c>
      <c r="I142" s="87" t="s">
        <v>237</v>
      </c>
      <c r="J142" s="88">
        <v>0</v>
      </c>
      <c r="K142" s="88" t="s">
        <v>279</v>
      </c>
      <c r="L142" s="87"/>
      <c r="M142" s="87"/>
      <c r="N142" s="87"/>
      <c r="O142" s="87"/>
      <c r="P142" s="89" t="str">
        <f t="shared" si="24"/>
        <v/>
      </c>
      <c r="Q142" s="89" t="str">
        <f t="shared" si="25"/>
        <v/>
      </c>
      <c r="R142" s="89" t="str">
        <f t="shared" si="26"/>
        <v/>
      </c>
      <c r="S142" s="88" t="str">
        <f>IF(F142="Bao",[1]Setup!$B$4,IF(F142="Soup Dumplings",[1]Setup!$B$5,""))</f>
        <v/>
      </c>
      <c r="T142" s="88" t="str">
        <f t="shared" si="27"/>
        <v/>
      </c>
      <c r="U142" s="84">
        <f t="shared" si="31"/>
        <v>46169</v>
      </c>
      <c r="V142" s="88">
        <f>IF(U142="",0,MAX(0,T142)+N142+ROUND(J142*[1]Setup!$B$9,0)+IF(O142&gt;[1]Setup!$B$10,ROUND(J142*[1]Setup!$B$11,0),0))</f>
        <v>0</v>
      </c>
      <c r="W142" s="85" t="str">
        <f>IF(L142="","Open",IF(OR(P142&lt;[1]Setup!$B$6,Q142&gt;[1]Setup!$B$7,R142&gt;[1]Setup!$B$8,O142&gt;[1]Setup!$B$10),"Review","OK"))</f>
        <v>Open</v>
      </c>
      <c r="X142" s="86"/>
      <c r="Z142" s="81" t="str">
        <f t="shared" si="34"/>
        <v>Sou</v>
      </c>
    </row>
    <row r="143" spans="1:26" ht="28.8" x14ac:dyDescent="0.3">
      <c r="A143" s="84">
        <v>46168</v>
      </c>
      <c r="B143" s="100">
        <f t="shared" si="32"/>
        <v>22</v>
      </c>
      <c r="C143" s="84" t="str">
        <f t="shared" si="33"/>
        <v>May</v>
      </c>
      <c r="D143" s="85" t="str">
        <f t="shared" si="30"/>
        <v>Tue</v>
      </c>
      <c r="E143" s="86" t="s">
        <v>220</v>
      </c>
      <c r="F143" s="86" t="s">
        <v>237</v>
      </c>
      <c r="G143" s="86" t="s">
        <v>242</v>
      </c>
      <c r="H143" s="86" t="s">
        <v>232</v>
      </c>
      <c r="I143" s="87" t="s">
        <v>237</v>
      </c>
      <c r="J143" s="88">
        <v>0</v>
      </c>
      <c r="K143" s="88" t="s">
        <v>243</v>
      </c>
      <c r="L143" s="87"/>
      <c r="M143" s="87"/>
      <c r="N143" s="87"/>
      <c r="O143" s="87"/>
      <c r="P143" s="89" t="str">
        <f t="shared" si="24"/>
        <v/>
      </c>
      <c r="Q143" s="89" t="str">
        <f t="shared" si="25"/>
        <v/>
      </c>
      <c r="R143" s="89" t="str">
        <f t="shared" si="26"/>
        <v/>
      </c>
      <c r="S143" s="88" t="str">
        <f>IF(F143="Bao",[1]Setup!$B$4,IF(F143="Soup Dumplings",[1]Setup!$B$5,""))</f>
        <v/>
      </c>
      <c r="T143" s="88" t="str">
        <f t="shared" si="27"/>
        <v/>
      </c>
      <c r="U143" s="84">
        <f t="shared" si="31"/>
        <v>46169</v>
      </c>
      <c r="V143" s="88">
        <f>IF(U143="",0,MAX(0,T143)+N143+ROUND(J143*[1]Setup!$B$9,0)+IF(O143&gt;[1]Setup!$B$10,ROUND(J143*[1]Setup!$B$11,0),0))</f>
        <v>0</v>
      </c>
      <c r="W143" s="85" t="str">
        <f>IF(L143="","Open",IF(OR(P143&lt;[1]Setup!$B$6,Q143&gt;[1]Setup!$B$7,R143&gt;[1]Setup!$B$8,O143&gt;[1]Setup!$B$10),"Review","OK"))</f>
        <v>Open</v>
      </c>
      <c r="X143" s="86"/>
      <c r="Z143" s="81" t="str">
        <f t="shared" si="34"/>
        <v>Sou</v>
      </c>
    </row>
    <row r="144" spans="1:26" ht="28.8" x14ac:dyDescent="0.3">
      <c r="A144" s="84">
        <v>46168</v>
      </c>
      <c r="B144" s="100">
        <f t="shared" si="32"/>
        <v>22</v>
      </c>
      <c r="C144" s="84" t="str">
        <f t="shared" si="33"/>
        <v>May</v>
      </c>
      <c r="D144" s="85" t="str">
        <f t="shared" si="30"/>
        <v>Tue</v>
      </c>
      <c r="E144" s="86" t="s">
        <v>220</v>
      </c>
      <c r="F144" s="86" t="s">
        <v>237</v>
      </c>
      <c r="G144" s="86" t="s">
        <v>303</v>
      </c>
      <c r="H144" s="86" t="s">
        <v>227</v>
      </c>
      <c r="I144" s="87" t="s">
        <v>237</v>
      </c>
      <c r="J144" s="88">
        <v>0</v>
      </c>
      <c r="K144" s="88" t="s">
        <v>304</v>
      </c>
      <c r="L144" s="87"/>
      <c r="M144" s="87"/>
      <c r="N144" s="87"/>
      <c r="O144" s="87"/>
      <c r="P144" s="89" t="str">
        <f t="shared" si="24"/>
        <v/>
      </c>
      <c r="Q144" s="89" t="str">
        <f t="shared" si="25"/>
        <v/>
      </c>
      <c r="R144" s="89" t="str">
        <f t="shared" si="26"/>
        <v/>
      </c>
      <c r="S144" s="88" t="str">
        <f>IF(F144="Bao",[1]Setup!$B$4,IF(F144="Soup Dumplings",[1]Setup!$B$5,""))</f>
        <v/>
      </c>
      <c r="T144" s="88" t="str">
        <f t="shared" si="27"/>
        <v/>
      </c>
      <c r="U144" s="84">
        <f t="shared" si="31"/>
        <v>46169</v>
      </c>
      <c r="V144" s="88">
        <f>IF(U144="",0,MAX(0,T144)+N144+ROUND(J144*[1]Setup!$B$9,0)+IF(O144&gt;[1]Setup!$B$10,ROUND(J144*[1]Setup!$B$11,0),0))</f>
        <v>0</v>
      </c>
      <c r="W144" s="85" t="str">
        <f>IF(L144="","Open",IF(OR(P144&lt;[1]Setup!$B$6,Q144&gt;[1]Setup!$B$7,R144&gt;[1]Setup!$B$8,O144&gt;[1]Setup!$B$10),"Review","OK"))</f>
        <v>Open</v>
      </c>
      <c r="X144" s="86"/>
      <c r="Z144" s="81" t="str">
        <f t="shared" si="34"/>
        <v>Sou</v>
      </c>
    </row>
    <row r="145" spans="1:26" ht="28.8" x14ac:dyDescent="0.3">
      <c r="A145" s="84">
        <v>46168</v>
      </c>
      <c r="B145" s="100">
        <f t="shared" si="32"/>
        <v>22</v>
      </c>
      <c r="C145" s="84" t="str">
        <f t="shared" si="33"/>
        <v>May</v>
      </c>
      <c r="D145" s="85" t="str">
        <f t="shared" si="30"/>
        <v>Tue</v>
      </c>
      <c r="E145" s="86" t="s">
        <v>220</v>
      </c>
      <c r="F145" s="86" t="s">
        <v>87</v>
      </c>
      <c r="G145" s="86" t="s">
        <v>244</v>
      </c>
      <c r="H145" s="86" t="s">
        <v>245</v>
      </c>
      <c r="I145" s="87">
        <v>100000</v>
      </c>
      <c r="J145" s="88">
        <v>100000</v>
      </c>
      <c r="K145" s="88" t="s">
        <v>305</v>
      </c>
      <c r="L145" s="87"/>
      <c r="M145" s="87"/>
      <c r="N145" s="87"/>
      <c r="O145" s="87"/>
      <c r="P145" s="89">
        <f t="shared" si="24"/>
        <v>0</v>
      </c>
      <c r="Q145" s="89">
        <f t="shared" si="25"/>
        <v>1</v>
      </c>
      <c r="R145" s="89">
        <f t="shared" si="26"/>
        <v>0</v>
      </c>
      <c r="S145" s="88">
        <f>IF(F145="Bao",[1]Setup!$B$4,IF(F145="Soup Dumplings",[1]Setup!$B$5,""))</f>
        <v>90000</v>
      </c>
      <c r="T145" s="88" t="str">
        <f t="shared" si="27"/>
        <v/>
      </c>
      <c r="U145" s="84">
        <f t="shared" si="31"/>
        <v>46169</v>
      </c>
      <c r="V145" s="88">
        <f>IF(U145="",0,MAX(0,T145)+N145+ROUND(J145*[1]Setup!$B$9,0)+IF(O145&gt;[1]Setup!$B$10,ROUND(J145*[1]Setup!$B$11,0),0))</f>
        <v>2000</v>
      </c>
      <c r="W145" s="85" t="str">
        <f>IF(L145="","Open",IF(OR(P145&lt;[1]Setup!$B$6,Q145&gt;[1]Setup!$B$7,R145&gt;[1]Setup!$B$8,O145&gt;[1]Setup!$B$10),"Review","OK"))</f>
        <v>Open</v>
      </c>
      <c r="X145" s="86"/>
      <c r="Z145" s="81" t="str">
        <f t="shared" si="34"/>
        <v>Sou</v>
      </c>
    </row>
    <row r="146" spans="1:26" ht="28.8" x14ac:dyDescent="0.3">
      <c r="A146" s="84">
        <v>46168</v>
      </c>
      <c r="B146" s="100">
        <f t="shared" si="32"/>
        <v>22</v>
      </c>
      <c r="C146" s="84" t="str">
        <f t="shared" si="33"/>
        <v>May</v>
      </c>
      <c r="D146" s="85" t="str">
        <f t="shared" si="30"/>
        <v>Tue</v>
      </c>
      <c r="E146" s="86" t="s">
        <v>220</v>
      </c>
      <c r="F146" s="86" t="s">
        <v>248</v>
      </c>
      <c r="G146" s="86" t="s">
        <v>244</v>
      </c>
      <c r="H146" s="86" t="s">
        <v>249</v>
      </c>
      <c r="I146" s="87" t="s">
        <v>248</v>
      </c>
      <c r="J146" s="88"/>
      <c r="K146" s="88" t="s">
        <v>306</v>
      </c>
      <c r="L146" s="87"/>
      <c r="M146" s="87"/>
      <c r="N146" s="87"/>
      <c r="O146" s="87"/>
      <c r="P146" s="89" t="str">
        <f t="shared" si="24"/>
        <v/>
      </c>
      <c r="Q146" s="89" t="str">
        <f t="shared" si="25"/>
        <v/>
      </c>
      <c r="R146" s="89" t="str">
        <f t="shared" si="26"/>
        <v/>
      </c>
      <c r="S146" s="88" t="str">
        <f>IF(F146="Bao",[1]Setup!$B$4,IF(F146="Soup Dumplings",[1]Setup!$B$5,""))</f>
        <v/>
      </c>
      <c r="T146" s="88" t="str">
        <f t="shared" si="27"/>
        <v/>
      </c>
      <c r="U146" s="84">
        <f t="shared" si="31"/>
        <v>46169</v>
      </c>
      <c r="V146" s="88">
        <f>IF(U146="",0,MAX(0,T146)+N146+ROUND(J146*[1]Setup!$B$9,0)+IF(O146&gt;[1]Setup!$B$10,ROUND(J146*[1]Setup!$B$11,0),0))</f>
        <v>0</v>
      </c>
      <c r="W146" s="85" t="str">
        <f>IF(L146="","Open",IF(OR(P146&lt;[1]Setup!$B$6,Q146&gt;[1]Setup!$B$7,R146&gt;[1]Setup!$B$8,O146&gt;[1]Setup!$B$10),"Review","OK"))</f>
        <v>Open</v>
      </c>
      <c r="X146" s="86"/>
      <c r="Z146" s="81" t="str">
        <f t="shared" si="34"/>
        <v>Pac</v>
      </c>
    </row>
    <row r="147" spans="1:26" ht="28.8" x14ac:dyDescent="0.3">
      <c r="A147" s="84">
        <v>46168</v>
      </c>
      <c r="B147" s="100">
        <f t="shared" si="32"/>
        <v>22</v>
      </c>
      <c r="C147" s="84" t="str">
        <f t="shared" si="33"/>
        <v>May</v>
      </c>
      <c r="D147" s="85" t="str">
        <f t="shared" si="30"/>
        <v>Tue</v>
      </c>
      <c r="E147" s="86" t="s">
        <v>220</v>
      </c>
      <c r="F147" s="86" t="s">
        <v>222</v>
      </c>
      <c r="G147" s="86" t="s">
        <v>276</v>
      </c>
      <c r="H147" s="86" t="s">
        <v>229</v>
      </c>
      <c r="I147" s="87" t="s">
        <v>222</v>
      </c>
      <c r="J147" s="88">
        <v>0</v>
      </c>
      <c r="K147" s="88" t="s">
        <v>283</v>
      </c>
      <c r="L147" s="87"/>
      <c r="M147" s="87"/>
      <c r="N147" s="87"/>
      <c r="O147" s="87"/>
      <c r="P147" s="89" t="str">
        <f t="shared" ref="P147:P210" si="35">IF(J147="","",IF(J147&gt;0,(L147+M147)/J147,""))</f>
        <v/>
      </c>
      <c r="Q147" s="89" t="str">
        <f t="shared" ref="Q147:Q210" si="36">IF(J147="","",IF(J147&gt;0,MAX(0,(J147-(L147+M147))/J147),""))</f>
        <v/>
      </c>
      <c r="R147" s="89" t="str">
        <f t="shared" ref="R147:R210" si="37">IF(J147="","",IF(J147&gt;0,MAX(0,(L147+M147-J147)/J147),""))</f>
        <v/>
      </c>
      <c r="S147" s="88" t="str">
        <f>IF(F147="Bao",[1]Setup!$B$4,IF(F147="Soup Dumplings",[1]Setup!$B$5,""))</f>
        <v/>
      </c>
      <c r="T147" s="88" t="str">
        <f t="shared" ref="T147:T210" si="38">IF(L147="","",S147-L147)</f>
        <v/>
      </c>
      <c r="U147" s="84">
        <f t="shared" si="31"/>
        <v>46169</v>
      </c>
      <c r="V147" s="88">
        <f>IF(U147="",0,MAX(0,T147)+N147+ROUND(J147*[1]Setup!$B$9,0)+IF(O147&gt;[1]Setup!$B$10,ROUND(J147*[1]Setup!$B$11,0),0))</f>
        <v>0</v>
      </c>
      <c r="W147" s="85" t="str">
        <f>IF(L147="","Open",IF(OR(P147&lt;[1]Setup!$B$6,Q147&gt;[1]Setup!$B$7,R147&gt;[1]Setup!$B$8,O147&gt;[1]Setup!$B$10),"Review","OK"))</f>
        <v>Open</v>
      </c>
      <c r="X147" s="86"/>
      <c r="Z147" s="81" t="str">
        <f t="shared" si="34"/>
        <v>Bao</v>
      </c>
    </row>
    <row r="148" spans="1:26" x14ac:dyDescent="0.3">
      <c r="A148" s="84">
        <v>46168</v>
      </c>
      <c r="B148" s="100">
        <f t="shared" si="32"/>
        <v>22</v>
      </c>
      <c r="C148" s="84" t="str">
        <f t="shared" si="33"/>
        <v>May</v>
      </c>
      <c r="D148" s="85" t="str">
        <f t="shared" si="30"/>
        <v>Tue</v>
      </c>
      <c r="E148" s="86" t="s">
        <v>220</v>
      </c>
      <c r="F148" s="86" t="s">
        <v>251</v>
      </c>
      <c r="G148" s="86" t="s">
        <v>82</v>
      </c>
      <c r="H148" s="86" t="s">
        <v>252</v>
      </c>
      <c r="I148" s="87" t="s">
        <v>251</v>
      </c>
      <c r="J148" s="88">
        <v>0</v>
      </c>
      <c r="K148" s="88" t="s">
        <v>307</v>
      </c>
      <c r="L148" s="87"/>
      <c r="M148" s="87"/>
      <c r="N148" s="87"/>
      <c r="O148" s="87"/>
      <c r="P148" s="89" t="str">
        <f t="shared" si="35"/>
        <v/>
      </c>
      <c r="Q148" s="89" t="str">
        <f t="shared" si="36"/>
        <v/>
      </c>
      <c r="R148" s="89" t="str">
        <f t="shared" si="37"/>
        <v/>
      </c>
      <c r="S148" s="88" t="str">
        <f>IF(F148="Bao",[1]Setup!$B$4,IF(F148="Soup Dumplings",[1]Setup!$B$5,""))</f>
        <v/>
      </c>
      <c r="T148" s="88" t="str">
        <f t="shared" si="38"/>
        <v/>
      </c>
      <c r="U148" s="84">
        <f t="shared" si="31"/>
        <v>46169</v>
      </c>
      <c r="V148" s="88">
        <f>IF(U148="",0,MAX(0,T148)+N148+ROUND(J148*[1]Setup!$B$9,0)+IF(O148&gt;[1]Setup!$B$10,ROUND(J148*[1]Setup!$B$11,0),0))</f>
        <v>0</v>
      </c>
      <c r="W148" s="85" t="str">
        <f>IF(L148="","Open",IF(OR(P148&lt;[1]Setup!$B$6,Q148&gt;[1]Setup!$B$7,R148&gt;[1]Setup!$B$8,O148&gt;[1]Setup!$B$10),"Review","OK"))</f>
        <v>Open</v>
      </c>
      <c r="X148" s="86"/>
      <c r="Z148" s="81" t="str">
        <f t="shared" si="34"/>
        <v>Pac</v>
      </c>
    </row>
    <row r="149" spans="1:26" x14ac:dyDescent="0.3">
      <c r="A149" s="84">
        <v>46168</v>
      </c>
      <c r="B149" s="100">
        <f t="shared" si="32"/>
        <v>22</v>
      </c>
      <c r="C149" s="84" t="str">
        <f t="shared" si="33"/>
        <v>May</v>
      </c>
      <c r="D149" s="85" t="str">
        <f t="shared" si="30"/>
        <v>Tue</v>
      </c>
      <c r="E149" s="86" t="s">
        <v>220</v>
      </c>
      <c r="F149" s="86" t="s">
        <v>286</v>
      </c>
      <c r="G149" s="86" t="s">
        <v>287</v>
      </c>
      <c r="H149" s="86" t="s">
        <v>227</v>
      </c>
      <c r="I149" s="87" t="str">
        <f>IF(F149=0,"",IF(COUNTIF(F149,"Bao"),[1]Setup!$B$4,IF(COUNTIF(F149,"Soup Dumplings"),[1]Setup!$B$5,F149)))</f>
        <v>R&amp;D Matt</v>
      </c>
      <c r="J149" s="88">
        <f>IF(A149="","",
   IFERROR(
      N(I149)+SUMIFS($V$4:$V$30,$U$4:$U$30,A149,$G$4:$G$30,G149),
   0)
)</f>
        <v>0</v>
      </c>
      <c r="K149" s="88" t="s">
        <v>288</v>
      </c>
      <c r="L149" s="87"/>
      <c r="M149" s="87"/>
      <c r="N149" s="87"/>
      <c r="O149" s="87"/>
      <c r="P149" s="89" t="str">
        <f t="shared" si="35"/>
        <v/>
      </c>
      <c r="Q149" s="89" t="str">
        <f t="shared" si="36"/>
        <v/>
      </c>
      <c r="R149" s="89" t="str">
        <f t="shared" si="37"/>
        <v/>
      </c>
      <c r="S149" s="88" t="str">
        <f>IF(F149="Bao",[1]Setup!$B$4,IF(F149="Soup Dumplings",[1]Setup!$B$5,""))</f>
        <v/>
      </c>
      <c r="T149" s="88" t="str">
        <f t="shared" si="38"/>
        <v/>
      </c>
      <c r="U149" s="84">
        <f t="shared" si="31"/>
        <v>46169</v>
      </c>
      <c r="V149" s="88">
        <f>IF(U149="",0,MAX(0,T149)+N149+ROUND(J149*[1]Setup!$B$9,0)+IF(O149&gt;[1]Setup!$B$10,ROUND(J149*[1]Setup!$B$11,0),0))</f>
        <v>0</v>
      </c>
      <c r="W149" s="85" t="str">
        <f>IF(L149="","Open",IF(OR(P149&lt;[1]Setup!$B$6,Q149&gt;[1]Setup!$B$7,R149&gt;[1]Setup!$B$8,O149&gt;[1]Setup!$B$10),"Review","OK"))</f>
        <v>Open</v>
      </c>
      <c r="X149" s="86"/>
      <c r="Z149" s="81" t="str">
        <f t="shared" si="34"/>
        <v>R&amp;D</v>
      </c>
    </row>
    <row r="150" spans="1:26" ht="28.8" x14ac:dyDescent="0.3">
      <c r="A150" s="84">
        <v>46168</v>
      </c>
      <c r="B150" s="100">
        <f t="shared" si="32"/>
        <v>22</v>
      </c>
      <c r="C150" s="84" t="str">
        <f t="shared" si="33"/>
        <v>May</v>
      </c>
      <c r="D150" s="85" t="str">
        <f t="shared" si="30"/>
        <v>Tue</v>
      </c>
      <c r="E150" s="86" t="s">
        <v>220</v>
      </c>
      <c r="F150" s="86" t="s">
        <v>237</v>
      </c>
      <c r="G150" s="86" t="s">
        <v>259</v>
      </c>
      <c r="H150" s="86" t="s">
        <v>227</v>
      </c>
      <c r="I150" s="87" t="str">
        <f>IF(F150=0,"",IF(COUNTIF(F150,"Bao"),[1]Setup!$B$4,IF(COUNTIF(F150,"Soup Dumplings"),[1]Setup!$B$5,F150)))</f>
        <v>Soup Dumpling Prep</v>
      </c>
      <c r="J150" s="88">
        <f>IF(A150="","",
   IFERROR(
      N(I150)+SUMIFS($V$4:$V$30,$U$4:$U$30,A150,$G$4:$G$30,G150),
   0)
)</f>
        <v>0</v>
      </c>
      <c r="K150" s="88" t="s">
        <v>308</v>
      </c>
      <c r="L150" s="87"/>
      <c r="M150" s="87"/>
      <c r="N150" s="87"/>
      <c r="O150" s="87"/>
      <c r="P150" s="89" t="str">
        <f t="shared" si="35"/>
        <v/>
      </c>
      <c r="Q150" s="89" t="str">
        <f t="shared" si="36"/>
        <v/>
      </c>
      <c r="R150" s="89" t="str">
        <f t="shared" si="37"/>
        <v/>
      </c>
      <c r="S150" s="88" t="str">
        <f>IF(F150="Bao",[1]Setup!$B$4,IF(F150="Soup Dumplings",[1]Setup!$B$5,""))</f>
        <v/>
      </c>
      <c r="T150" s="88" t="str">
        <f t="shared" si="38"/>
        <v/>
      </c>
      <c r="U150" s="84">
        <f t="shared" si="31"/>
        <v>46169</v>
      </c>
      <c r="V150" s="88">
        <f>IF(U150="",0,MAX(0,T150)+N150+ROUND(J150*[1]Setup!$B$9,0)+IF(O150&gt;[1]Setup!$B$10,ROUND(J150*[1]Setup!$B$11,0),0))</f>
        <v>0</v>
      </c>
      <c r="W150" s="85" t="str">
        <f>IF(L150="","Open",IF(OR(P150&lt;[1]Setup!$B$6,Q150&gt;[1]Setup!$B$7,R150&gt;[1]Setup!$B$8,O150&gt;[1]Setup!$B$10),"Review","OK"))</f>
        <v>Open</v>
      </c>
      <c r="X150" s="86"/>
      <c r="Z150" s="81" t="str">
        <f t="shared" si="34"/>
        <v>Sou</v>
      </c>
    </row>
    <row r="151" spans="1:26" ht="28.8" x14ac:dyDescent="0.3">
      <c r="A151" s="84">
        <v>46168</v>
      </c>
      <c r="B151" s="100">
        <f t="shared" si="32"/>
        <v>22</v>
      </c>
      <c r="C151" s="84" t="str">
        <f t="shared" si="33"/>
        <v>May</v>
      </c>
      <c r="D151" s="85" t="str">
        <f t="shared" si="30"/>
        <v>Tue</v>
      </c>
      <c r="E151" s="86" t="s">
        <v>220</v>
      </c>
      <c r="F151" s="86" t="s">
        <v>237</v>
      </c>
      <c r="G151" s="86" t="s">
        <v>287</v>
      </c>
      <c r="H151" s="86" t="s">
        <v>227</v>
      </c>
      <c r="I151" s="87" t="str">
        <f>IF(F151=0,"",IF(COUNTIF(F151,"Bao"),[1]Setup!$B$4,IF(COUNTIF(F151,"Soup Dumplings"),[1]Setup!$B$5,F151)))</f>
        <v>Soup Dumpling Prep</v>
      </c>
      <c r="J151" s="88">
        <f>IF(A151="","",
   IFERROR(
      N(I151)+SUMIFS($V$4:$V$30,$U$4:$U$30,A151,$G$4:$G$30,G151),
   0)
)</f>
        <v>0</v>
      </c>
      <c r="K151" s="88" t="s">
        <v>309</v>
      </c>
      <c r="L151" s="87"/>
      <c r="M151" s="87"/>
      <c r="N151" s="87"/>
      <c r="O151" s="87"/>
      <c r="P151" s="89" t="str">
        <f t="shared" si="35"/>
        <v/>
      </c>
      <c r="Q151" s="89" t="str">
        <f t="shared" si="36"/>
        <v/>
      </c>
      <c r="R151" s="89" t="str">
        <f t="shared" si="37"/>
        <v/>
      </c>
      <c r="S151" s="88" t="str">
        <f>IF(F151="Bao",[1]Setup!$B$4,IF(F151="Soup Dumplings",[1]Setup!$B$5,""))</f>
        <v/>
      </c>
      <c r="T151" s="88" t="str">
        <f t="shared" si="38"/>
        <v/>
      </c>
      <c r="U151" s="84">
        <f t="shared" si="31"/>
        <v>46169</v>
      </c>
      <c r="V151" s="88">
        <f>IF(U151="",0,MAX(0,T151)+N151+ROUND(J151*[1]Setup!$B$9,0)+IF(O151&gt;[1]Setup!$B$10,ROUND(J151*[1]Setup!$B$11,0),0))</f>
        <v>0</v>
      </c>
      <c r="W151" s="85" t="str">
        <f>IF(L151="","Open",IF(OR(P151&lt;[1]Setup!$B$6,Q151&gt;[1]Setup!$B$7,R151&gt;[1]Setup!$B$8,O151&gt;[1]Setup!$B$10),"Review","OK"))</f>
        <v>Open</v>
      </c>
      <c r="X151" s="86"/>
      <c r="Z151" s="81" t="str">
        <f t="shared" si="34"/>
        <v>Sou</v>
      </c>
    </row>
    <row r="152" spans="1:26" x14ac:dyDescent="0.3">
      <c r="A152" s="84">
        <v>46168</v>
      </c>
      <c r="B152" s="100">
        <f t="shared" si="32"/>
        <v>22</v>
      </c>
      <c r="C152" s="84" t="str">
        <f t="shared" si="33"/>
        <v>May</v>
      </c>
      <c r="D152" s="85" t="str">
        <f t="shared" si="30"/>
        <v>Tue</v>
      </c>
      <c r="E152" s="86" t="s">
        <v>220</v>
      </c>
      <c r="F152" s="86" t="s">
        <v>222</v>
      </c>
      <c r="G152" s="86" t="s">
        <v>231</v>
      </c>
      <c r="H152" s="86" t="s">
        <v>227</v>
      </c>
      <c r="I152" s="87" t="str">
        <f>IF(F152=0,"",IF(COUNTIF(F152,"Bao"),[1]Setup!$B$4,IF(COUNTIF(F152,"Soup Dumplings"),[1]Setup!$B$5,F152)))</f>
        <v>Bao Prep</v>
      </c>
      <c r="J152" s="88">
        <f>IF(A152="","",
   IFERROR(
      N(I152)+SUMIFS($V$4:$V$30,$U$4:$U$30,A152,$G$4:$G$30,G152),
   0)
)</f>
        <v>0</v>
      </c>
      <c r="K152" s="88" t="s">
        <v>310</v>
      </c>
      <c r="L152" s="87"/>
      <c r="M152" s="87"/>
      <c r="N152" s="87"/>
      <c r="O152" s="87"/>
      <c r="P152" s="89" t="str">
        <f t="shared" si="35"/>
        <v/>
      </c>
      <c r="Q152" s="89" t="str">
        <f t="shared" si="36"/>
        <v/>
      </c>
      <c r="R152" s="89" t="str">
        <f t="shared" si="37"/>
        <v/>
      </c>
      <c r="S152" s="88" t="str">
        <f>IF(F152="Bao",[1]Setup!$B$4,IF(F152="Soup Dumplings",[1]Setup!$B$5,""))</f>
        <v/>
      </c>
      <c r="T152" s="88" t="str">
        <f t="shared" si="38"/>
        <v/>
      </c>
      <c r="U152" s="84">
        <f t="shared" si="31"/>
        <v>46169</v>
      </c>
      <c r="V152" s="88">
        <f>IF(U152="",0,MAX(0,T152)+N152+ROUND(J152*[1]Setup!$B$9,0)+IF(O152&gt;[1]Setup!$B$10,ROUND(J152*[1]Setup!$B$11,0),0))</f>
        <v>0</v>
      </c>
      <c r="W152" s="85" t="str">
        <f>IF(L152="","Open",IF(OR(P152&lt;[1]Setup!$B$6,Q152&gt;[1]Setup!$B$7,R152&gt;[1]Setup!$B$8,O152&gt;[1]Setup!$B$10),"Review","OK"))</f>
        <v>Open</v>
      </c>
      <c r="X152" s="86"/>
      <c r="Z152" s="81" t="str">
        <f t="shared" si="34"/>
        <v>Bao</v>
      </c>
    </row>
    <row r="153" spans="1:26" x14ac:dyDescent="0.3">
      <c r="A153" s="84">
        <v>46169</v>
      </c>
      <c r="B153" s="100">
        <f t="shared" si="32"/>
        <v>22</v>
      </c>
      <c r="C153" s="84" t="str">
        <f t="shared" si="33"/>
        <v>May</v>
      </c>
      <c r="D153" s="85" t="str">
        <f t="shared" si="30"/>
        <v>Wed</v>
      </c>
      <c r="E153" s="86" t="s">
        <v>220</v>
      </c>
      <c r="F153" s="86" t="s">
        <v>52</v>
      </c>
      <c r="G153" s="86" t="s">
        <v>82</v>
      </c>
      <c r="H153" s="86" t="s">
        <v>221</v>
      </c>
      <c r="I153" s="87">
        <v>25000</v>
      </c>
      <c r="J153" s="88">
        <v>25000</v>
      </c>
      <c r="K153" s="88"/>
      <c r="L153" s="87"/>
      <c r="M153" s="87"/>
      <c r="N153" s="87"/>
      <c r="O153" s="87"/>
      <c r="P153" s="89">
        <f t="shared" si="35"/>
        <v>0</v>
      </c>
      <c r="Q153" s="89">
        <f t="shared" si="36"/>
        <v>1</v>
      </c>
      <c r="R153" s="89">
        <f t="shared" si="37"/>
        <v>0</v>
      </c>
      <c r="S153" s="88">
        <f>IF(F153="Bao",[1]Setup!$B$4,IF(F153="Soup Dumplings",[1]Setup!$B$5,""))</f>
        <v>15000</v>
      </c>
      <c r="T153" s="88" t="str">
        <f t="shared" si="38"/>
        <v/>
      </c>
      <c r="U153" s="84">
        <f t="shared" si="31"/>
        <v>46170</v>
      </c>
      <c r="V153" s="88">
        <f>IF(U153="",0,MAX(0,T153)+N153+ROUND(J153*[1]Setup!$B$9,0)+IF(O153&gt;[1]Setup!$B$10,ROUND(J153*[1]Setup!$B$11,0),0))</f>
        <v>500</v>
      </c>
      <c r="W153" s="85" t="str">
        <f>IF(L153="","Open",IF(OR(P153&lt;[1]Setup!$B$6,Q153&gt;[1]Setup!$B$7,R153&gt;[1]Setup!$B$8,O153&gt;[1]Setup!$B$10),"Review","OK"))</f>
        <v>Open</v>
      </c>
      <c r="X153" s="86"/>
      <c r="Z153" s="81" t="str">
        <f t="shared" si="34"/>
        <v>Bao</v>
      </c>
    </row>
    <row r="154" spans="1:26" ht="28.8" x14ac:dyDescent="0.3">
      <c r="A154" s="84">
        <v>46169</v>
      </c>
      <c r="B154" s="100">
        <f t="shared" si="32"/>
        <v>22</v>
      </c>
      <c r="C154" s="84" t="str">
        <f t="shared" si="33"/>
        <v>May</v>
      </c>
      <c r="D154" s="85" t="str">
        <f t="shared" si="30"/>
        <v>Wed</v>
      </c>
      <c r="E154" s="86" t="s">
        <v>220</v>
      </c>
      <c r="F154" s="86" t="s">
        <v>222</v>
      </c>
      <c r="G154" s="86" t="s">
        <v>223</v>
      </c>
      <c r="H154" s="86" t="s">
        <v>224</v>
      </c>
      <c r="I154" s="87" t="s">
        <v>222</v>
      </c>
      <c r="J154" s="88">
        <v>0</v>
      </c>
      <c r="K154" s="88" t="s">
        <v>270</v>
      </c>
      <c r="L154" s="87"/>
      <c r="M154" s="87"/>
      <c r="N154" s="87"/>
      <c r="O154" s="87"/>
      <c r="P154" s="89" t="str">
        <f t="shared" si="35"/>
        <v/>
      </c>
      <c r="Q154" s="89" t="str">
        <f t="shared" si="36"/>
        <v/>
      </c>
      <c r="R154" s="89" t="str">
        <f t="shared" si="37"/>
        <v/>
      </c>
      <c r="S154" s="88" t="str">
        <f>IF(F154="Bao",[1]Setup!$B$4,IF(F154="Soup Dumplings",[1]Setup!$B$5,""))</f>
        <v/>
      </c>
      <c r="T154" s="88" t="str">
        <f t="shared" si="38"/>
        <v/>
      </c>
      <c r="U154" s="84">
        <f t="shared" si="31"/>
        <v>46170</v>
      </c>
      <c r="V154" s="88">
        <f>IF(U154="",0,MAX(0,T154)+N154+ROUND(J154*[1]Setup!$B$9,0)+IF(O154&gt;[1]Setup!$B$10,ROUND(J154*[1]Setup!$B$11,0),0))</f>
        <v>0</v>
      </c>
      <c r="W154" s="85" t="str">
        <f>IF(L154="","Open",IF(OR(P154&lt;[1]Setup!$B$6,Q154&gt;[1]Setup!$B$7,R154&gt;[1]Setup!$B$8,O154&gt;[1]Setup!$B$10),"Review","OK"))</f>
        <v>Open</v>
      </c>
      <c r="X154" s="86"/>
      <c r="Z154" s="81" t="str">
        <f t="shared" si="34"/>
        <v>Bao</v>
      </c>
    </row>
    <row r="155" spans="1:26" ht="28.8" x14ac:dyDescent="0.3">
      <c r="A155" s="84">
        <v>46169</v>
      </c>
      <c r="B155" s="100">
        <f t="shared" si="32"/>
        <v>22</v>
      </c>
      <c r="C155" s="84" t="str">
        <f t="shared" si="33"/>
        <v>May</v>
      </c>
      <c r="D155" s="85" t="str">
        <f t="shared" si="30"/>
        <v>Wed</v>
      </c>
      <c r="E155" s="86" t="s">
        <v>220</v>
      </c>
      <c r="F155" s="86" t="s">
        <v>222</v>
      </c>
      <c r="G155" s="86" t="s">
        <v>226</v>
      </c>
      <c r="H155" s="86" t="s">
        <v>229</v>
      </c>
      <c r="I155" s="87" t="s">
        <v>222</v>
      </c>
      <c r="J155" s="88">
        <v>0</v>
      </c>
      <c r="K155" s="88" t="s">
        <v>230</v>
      </c>
      <c r="L155" s="87"/>
      <c r="M155" s="87"/>
      <c r="N155" s="87"/>
      <c r="O155" s="87"/>
      <c r="P155" s="89" t="str">
        <f t="shared" si="35"/>
        <v/>
      </c>
      <c r="Q155" s="89" t="str">
        <f t="shared" si="36"/>
        <v/>
      </c>
      <c r="R155" s="89" t="str">
        <f t="shared" si="37"/>
        <v/>
      </c>
      <c r="S155" s="88" t="str">
        <f>IF(F155="Bao",[1]Setup!$B$4,IF(F155="Soup Dumplings",[1]Setup!$B$5,""))</f>
        <v/>
      </c>
      <c r="T155" s="88" t="str">
        <f t="shared" si="38"/>
        <v/>
      </c>
      <c r="U155" s="84">
        <f t="shared" si="31"/>
        <v>46170</v>
      </c>
      <c r="V155" s="88">
        <f>IF(U155="",0,MAX(0,T155)+N155+ROUND(J155*[1]Setup!$B$9,0)+IF(O155&gt;[1]Setup!$B$10,ROUND(J155*[1]Setup!$B$11,0),0))</f>
        <v>0</v>
      </c>
      <c r="W155" s="85" t="str">
        <f>IF(L155="","Open",IF(OR(P155&lt;[1]Setup!$B$6,Q155&gt;[1]Setup!$B$7,R155&gt;[1]Setup!$B$8,O155&gt;[1]Setup!$B$10),"Review","OK"))</f>
        <v>Open</v>
      </c>
      <c r="X155" s="86"/>
      <c r="Z155" s="81" t="str">
        <f t="shared" si="34"/>
        <v>Bao</v>
      </c>
    </row>
    <row r="156" spans="1:26" ht="28.8" x14ac:dyDescent="0.3">
      <c r="A156" s="84">
        <v>46169</v>
      </c>
      <c r="B156" s="100">
        <f t="shared" si="32"/>
        <v>22</v>
      </c>
      <c r="C156" s="84" t="str">
        <f t="shared" si="33"/>
        <v>May</v>
      </c>
      <c r="D156" s="85" t="str">
        <f t="shared" si="30"/>
        <v>Wed</v>
      </c>
      <c r="E156" s="86" t="s">
        <v>220</v>
      </c>
      <c r="F156" s="86" t="s">
        <v>237</v>
      </c>
      <c r="G156" s="86" t="s">
        <v>238</v>
      </c>
      <c r="H156" s="86" t="s">
        <v>229</v>
      </c>
      <c r="I156" s="87" t="s">
        <v>237</v>
      </c>
      <c r="J156" s="88">
        <v>0</v>
      </c>
      <c r="K156" s="88" t="s">
        <v>278</v>
      </c>
      <c r="L156" s="87"/>
      <c r="M156" s="87"/>
      <c r="N156" s="87"/>
      <c r="O156" s="87"/>
      <c r="P156" s="89" t="str">
        <f t="shared" si="35"/>
        <v/>
      </c>
      <c r="Q156" s="89" t="str">
        <f t="shared" si="36"/>
        <v/>
      </c>
      <c r="R156" s="89" t="str">
        <f t="shared" si="37"/>
        <v/>
      </c>
      <c r="S156" s="88" t="str">
        <f>IF(F156="Bao",[1]Setup!$B$4,IF(F156="Soup Dumplings",[1]Setup!$B$5,""))</f>
        <v/>
      </c>
      <c r="T156" s="88" t="str">
        <f t="shared" si="38"/>
        <v/>
      </c>
      <c r="U156" s="84">
        <f t="shared" si="31"/>
        <v>46170</v>
      </c>
      <c r="V156" s="88">
        <f>IF(U156="",0,MAX(0,T156)+N156+ROUND(J156*[1]Setup!$B$9,0)+IF(O156&gt;[1]Setup!$B$10,ROUND(J156*[1]Setup!$B$11,0),0))</f>
        <v>0</v>
      </c>
      <c r="W156" s="85" t="str">
        <f>IF(L156="","Open",IF(OR(P156&lt;[1]Setup!$B$6,Q156&gt;[1]Setup!$B$7,R156&gt;[1]Setup!$B$8,O156&gt;[1]Setup!$B$10),"Review","OK"))</f>
        <v>Open</v>
      </c>
      <c r="X156" s="86"/>
      <c r="Z156" s="81" t="str">
        <f t="shared" si="34"/>
        <v>Sou</v>
      </c>
    </row>
    <row r="157" spans="1:26" ht="43.2" x14ac:dyDescent="0.3">
      <c r="A157" s="84">
        <v>46169</v>
      </c>
      <c r="B157" s="100">
        <f t="shared" si="32"/>
        <v>22</v>
      </c>
      <c r="C157" s="84" t="str">
        <f t="shared" si="33"/>
        <v>May</v>
      </c>
      <c r="D157" s="85" t="str">
        <f t="shared" si="30"/>
        <v>Wed</v>
      </c>
      <c r="E157" s="86" t="s">
        <v>220</v>
      </c>
      <c r="F157" s="86" t="s">
        <v>237</v>
      </c>
      <c r="G157" s="86" t="s">
        <v>240</v>
      </c>
      <c r="H157" s="86" t="s">
        <v>224</v>
      </c>
      <c r="I157" s="87" t="s">
        <v>237</v>
      </c>
      <c r="J157" s="88">
        <v>0</v>
      </c>
      <c r="K157" s="88" t="s">
        <v>279</v>
      </c>
      <c r="L157" s="87"/>
      <c r="M157" s="87"/>
      <c r="N157" s="87"/>
      <c r="O157" s="87"/>
      <c r="P157" s="89" t="str">
        <f t="shared" si="35"/>
        <v/>
      </c>
      <c r="Q157" s="89" t="str">
        <f t="shared" si="36"/>
        <v/>
      </c>
      <c r="R157" s="89" t="str">
        <f t="shared" si="37"/>
        <v/>
      </c>
      <c r="S157" s="88" t="str">
        <f>IF(F157="Bao",[1]Setup!$B$4,IF(F157="Soup Dumplings",[1]Setup!$B$5,""))</f>
        <v/>
      </c>
      <c r="T157" s="88" t="str">
        <f t="shared" si="38"/>
        <v/>
      </c>
      <c r="U157" s="84">
        <f t="shared" si="31"/>
        <v>46170</v>
      </c>
      <c r="V157" s="88">
        <f>IF(U157="",0,MAX(0,T157)+N157+ROUND(J157*[1]Setup!$B$9,0)+IF(O157&gt;[1]Setup!$B$10,ROUND(J157*[1]Setup!$B$11,0),0))</f>
        <v>0</v>
      </c>
      <c r="W157" s="85" t="str">
        <f>IF(L157="","Open",IF(OR(P157&lt;[1]Setup!$B$6,Q157&gt;[1]Setup!$B$7,R157&gt;[1]Setup!$B$8,O157&gt;[1]Setup!$B$10),"Review","OK"))</f>
        <v>Open</v>
      </c>
      <c r="X157" s="86"/>
      <c r="Z157" s="81" t="str">
        <f t="shared" si="34"/>
        <v>Sou</v>
      </c>
    </row>
    <row r="158" spans="1:26" ht="28.8" x14ac:dyDescent="0.3">
      <c r="A158" s="84">
        <v>46169</v>
      </c>
      <c r="B158" s="100">
        <f t="shared" si="32"/>
        <v>22</v>
      </c>
      <c r="C158" s="84" t="str">
        <f t="shared" si="33"/>
        <v>May</v>
      </c>
      <c r="D158" s="85" t="str">
        <f t="shared" si="30"/>
        <v>Wed</v>
      </c>
      <c r="E158" s="86" t="s">
        <v>220</v>
      </c>
      <c r="F158" s="86" t="s">
        <v>237</v>
      </c>
      <c r="G158" s="86" t="s">
        <v>242</v>
      </c>
      <c r="H158" s="86" t="s">
        <v>232</v>
      </c>
      <c r="I158" s="87" t="s">
        <v>237</v>
      </c>
      <c r="J158" s="88">
        <v>0</v>
      </c>
      <c r="K158" s="88" t="s">
        <v>243</v>
      </c>
      <c r="L158" s="87"/>
      <c r="M158" s="87"/>
      <c r="N158" s="87"/>
      <c r="O158" s="87"/>
      <c r="P158" s="89" t="str">
        <f t="shared" si="35"/>
        <v/>
      </c>
      <c r="Q158" s="89" t="str">
        <f t="shared" si="36"/>
        <v/>
      </c>
      <c r="R158" s="89" t="str">
        <f t="shared" si="37"/>
        <v/>
      </c>
      <c r="S158" s="88" t="str">
        <f>IF(F158="Bao",[1]Setup!$B$4,IF(F158="Soup Dumplings",[1]Setup!$B$5,""))</f>
        <v/>
      </c>
      <c r="T158" s="88" t="str">
        <f t="shared" si="38"/>
        <v/>
      </c>
      <c r="U158" s="84">
        <f t="shared" si="31"/>
        <v>46170</v>
      </c>
      <c r="V158" s="88">
        <f>IF(U158="",0,MAX(0,T158)+N158+ROUND(J158*[1]Setup!$B$9,0)+IF(O158&gt;[1]Setup!$B$10,ROUND(J158*[1]Setup!$B$11,0),0))</f>
        <v>0</v>
      </c>
      <c r="W158" s="85" t="str">
        <f>IF(L158="","Open",IF(OR(P158&lt;[1]Setup!$B$6,Q158&gt;[1]Setup!$B$7,R158&gt;[1]Setup!$B$8,O158&gt;[1]Setup!$B$10),"Review","OK"))</f>
        <v>Open</v>
      </c>
      <c r="X158" s="86"/>
      <c r="Z158" s="81" t="str">
        <f t="shared" si="34"/>
        <v>Sou</v>
      </c>
    </row>
    <row r="159" spans="1:26" x14ac:dyDescent="0.3">
      <c r="A159" s="84">
        <v>46169</v>
      </c>
      <c r="B159" s="100">
        <f t="shared" si="32"/>
        <v>22</v>
      </c>
      <c r="C159" s="84" t="str">
        <f t="shared" si="33"/>
        <v>May</v>
      </c>
      <c r="D159" s="85" t="str">
        <f t="shared" si="30"/>
        <v>Wed</v>
      </c>
      <c r="E159" s="86" t="s">
        <v>220</v>
      </c>
      <c r="F159" s="86" t="s">
        <v>87</v>
      </c>
      <c r="G159" s="86" t="s">
        <v>244</v>
      </c>
      <c r="H159" s="86" t="s">
        <v>245</v>
      </c>
      <c r="I159" s="87">
        <v>100000</v>
      </c>
      <c r="J159" s="88">
        <v>100000</v>
      </c>
      <c r="K159" s="88"/>
      <c r="L159" s="87"/>
      <c r="M159" s="87"/>
      <c r="N159" s="87"/>
      <c r="O159" s="87"/>
      <c r="P159" s="89">
        <f t="shared" si="35"/>
        <v>0</v>
      </c>
      <c r="Q159" s="89">
        <f t="shared" si="36"/>
        <v>1</v>
      </c>
      <c r="R159" s="89">
        <f t="shared" si="37"/>
        <v>0</v>
      </c>
      <c r="S159" s="88">
        <f>IF(F159="Bao",[1]Setup!$B$4,IF(F159="Soup Dumplings",[1]Setup!$B$5,""))</f>
        <v>90000</v>
      </c>
      <c r="T159" s="88" t="str">
        <f t="shared" si="38"/>
        <v/>
      </c>
      <c r="U159" s="84">
        <f t="shared" si="31"/>
        <v>46170</v>
      </c>
      <c r="V159" s="88">
        <f>IF(U159="",0,MAX(0,T159)+N159+ROUND(J159*[1]Setup!$B$9,0)+IF(O159&gt;[1]Setup!$B$10,ROUND(J159*[1]Setup!$B$11,0),0))</f>
        <v>2000</v>
      </c>
      <c r="W159" s="85" t="str">
        <f>IF(L159="","Open",IF(OR(P159&lt;[1]Setup!$B$6,Q159&gt;[1]Setup!$B$7,R159&gt;[1]Setup!$B$8,O159&gt;[1]Setup!$B$10),"Review","OK"))</f>
        <v>Open</v>
      </c>
      <c r="X159" s="86"/>
      <c r="Z159" s="81" t="str">
        <f t="shared" si="34"/>
        <v>Sou</v>
      </c>
    </row>
    <row r="160" spans="1:26" ht="28.8" x14ac:dyDescent="0.3">
      <c r="A160" s="84">
        <v>46169</v>
      </c>
      <c r="B160" s="100">
        <f t="shared" si="32"/>
        <v>22</v>
      </c>
      <c r="C160" s="84" t="str">
        <f t="shared" si="33"/>
        <v>May</v>
      </c>
      <c r="D160" s="85" t="str">
        <f t="shared" si="30"/>
        <v>Wed</v>
      </c>
      <c r="E160" s="86" t="s">
        <v>220</v>
      </c>
      <c r="F160" s="86" t="s">
        <v>248</v>
      </c>
      <c r="G160" s="86" t="s">
        <v>244</v>
      </c>
      <c r="H160" s="86" t="s">
        <v>249</v>
      </c>
      <c r="I160" s="87" t="s">
        <v>248</v>
      </c>
      <c r="J160" s="88"/>
      <c r="K160" s="88" t="s">
        <v>306</v>
      </c>
      <c r="L160" s="87"/>
      <c r="M160" s="87"/>
      <c r="N160" s="87"/>
      <c r="O160" s="87"/>
      <c r="P160" s="89" t="str">
        <f t="shared" si="35"/>
        <v/>
      </c>
      <c r="Q160" s="89" t="str">
        <f t="shared" si="36"/>
        <v/>
      </c>
      <c r="R160" s="89" t="str">
        <f t="shared" si="37"/>
        <v/>
      </c>
      <c r="S160" s="88" t="str">
        <f>IF(F160="Bao",[1]Setup!$B$4,IF(F160="Soup Dumplings",[1]Setup!$B$5,""))</f>
        <v/>
      </c>
      <c r="T160" s="88" t="str">
        <f t="shared" si="38"/>
        <v/>
      </c>
      <c r="U160" s="84">
        <f t="shared" si="31"/>
        <v>46170</v>
      </c>
      <c r="V160" s="88">
        <f>IF(U160="",0,MAX(0,T160)+N160+ROUND(J160*[1]Setup!$B$9,0)+IF(O160&gt;[1]Setup!$B$10,ROUND(J160*[1]Setup!$B$11,0),0))</f>
        <v>0</v>
      </c>
      <c r="W160" s="85" t="str">
        <f>IF(L160="","Open",IF(OR(P160&lt;[1]Setup!$B$6,Q160&gt;[1]Setup!$B$7,R160&gt;[1]Setup!$B$8,O160&gt;[1]Setup!$B$10),"Review","OK"))</f>
        <v>Open</v>
      </c>
      <c r="X160" s="86"/>
      <c r="Z160" s="81" t="str">
        <f t="shared" si="34"/>
        <v>Pac</v>
      </c>
    </row>
    <row r="161" spans="1:26" ht="28.8" x14ac:dyDescent="0.3">
      <c r="A161" s="84">
        <v>46169</v>
      </c>
      <c r="B161" s="100">
        <f t="shared" si="32"/>
        <v>22</v>
      </c>
      <c r="C161" s="84" t="str">
        <f t="shared" si="33"/>
        <v>May</v>
      </c>
      <c r="D161" s="85" t="str">
        <f t="shared" si="30"/>
        <v>Wed</v>
      </c>
      <c r="E161" s="86" t="s">
        <v>220</v>
      </c>
      <c r="F161" s="86" t="s">
        <v>251</v>
      </c>
      <c r="G161" s="86" t="s">
        <v>82</v>
      </c>
      <c r="H161" s="86" t="s">
        <v>252</v>
      </c>
      <c r="I161" s="87" t="s">
        <v>251</v>
      </c>
      <c r="J161" s="88">
        <v>0</v>
      </c>
      <c r="K161" s="88" t="s">
        <v>311</v>
      </c>
      <c r="L161" s="87"/>
      <c r="M161" s="87"/>
      <c r="N161" s="87"/>
      <c r="O161" s="87"/>
      <c r="P161" s="89" t="str">
        <f t="shared" si="35"/>
        <v/>
      </c>
      <c r="Q161" s="89" t="str">
        <f t="shared" si="36"/>
        <v/>
      </c>
      <c r="R161" s="89" t="str">
        <f t="shared" si="37"/>
        <v/>
      </c>
      <c r="S161" s="88" t="str">
        <f>IF(F161="Bao",[1]Setup!$B$4,IF(F161="Soup Dumplings",[1]Setup!$B$5,""))</f>
        <v/>
      </c>
      <c r="T161" s="88" t="str">
        <f t="shared" si="38"/>
        <v/>
      </c>
      <c r="U161" s="84">
        <f t="shared" si="31"/>
        <v>46170</v>
      </c>
      <c r="V161" s="88">
        <f>IF(U161="",0,MAX(0,T161)+N161+ROUND(J161*[1]Setup!$B$9,0)+IF(O161&gt;[1]Setup!$B$10,ROUND(J161*[1]Setup!$B$11,0),0))</f>
        <v>0</v>
      </c>
      <c r="W161" s="85" t="str">
        <f>IF(L161="","Open",IF(OR(P161&lt;[1]Setup!$B$6,Q161&gt;[1]Setup!$B$7,R161&gt;[1]Setup!$B$8,O161&gt;[1]Setup!$B$10),"Review","OK"))</f>
        <v>Open</v>
      </c>
      <c r="X161" s="86"/>
      <c r="Z161" s="81" t="str">
        <f t="shared" si="34"/>
        <v>Pac</v>
      </c>
    </row>
    <row r="162" spans="1:26" ht="28.8" x14ac:dyDescent="0.3">
      <c r="A162" s="84">
        <v>46169</v>
      </c>
      <c r="B162" s="100">
        <f t="shared" si="32"/>
        <v>22</v>
      </c>
      <c r="C162" s="84" t="str">
        <f t="shared" si="33"/>
        <v>May</v>
      </c>
      <c r="D162" s="85" t="str">
        <f t="shared" si="30"/>
        <v>Wed</v>
      </c>
      <c r="E162" s="86" t="s">
        <v>220</v>
      </c>
      <c r="F162" s="86" t="s">
        <v>237</v>
      </c>
      <c r="G162" s="86" t="s">
        <v>259</v>
      </c>
      <c r="H162" s="86" t="s">
        <v>227</v>
      </c>
      <c r="I162" s="87" t="str">
        <f>IF(F162=0,"",IF(COUNTIF(F162,"Bao"),[1]Setup!$B$4,IF(COUNTIF(F162,"Soup Dumplings"),[1]Setup!$B$5,F162)))</f>
        <v>Soup Dumpling Prep</v>
      </c>
      <c r="J162" s="88">
        <f t="shared" ref="J162:J174" si="39">IF(A162="","",
   IFERROR(
      N(I162)+SUMIFS($V$4:$V$30,$U$4:$U$30,A162,$G$4:$G$30,G162),
   0)
)</f>
        <v>0</v>
      </c>
      <c r="K162" s="88" t="s">
        <v>312</v>
      </c>
      <c r="L162" s="87"/>
      <c r="M162" s="87"/>
      <c r="N162" s="87"/>
      <c r="O162" s="87"/>
      <c r="P162" s="89" t="str">
        <f t="shared" si="35"/>
        <v/>
      </c>
      <c r="Q162" s="89" t="str">
        <f t="shared" si="36"/>
        <v/>
      </c>
      <c r="R162" s="89" t="str">
        <f t="shared" si="37"/>
        <v/>
      </c>
      <c r="S162" s="88" t="str">
        <f>IF(F162="Bao",[1]Setup!$B$4,IF(F162="Soup Dumplings",[1]Setup!$B$5,""))</f>
        <v/>
      </c>
      <c r="T162" s="88" t="str">
        <f t="shared" si="38"/>
        <v/>
      </c>
      <c r="U162" s="84">
        <f t="shared" si="31"/>
        <v>46170</v>
      </c>
      <c r="V162" s="88">
        <f>IF(U162="",0,MAX(0,T162)+N162+ROUND(J162*[1]Setup!$B$9,0)+IF(O162&gt;[1]Setup!$B$10,ROUND(J162*[1]Setup!$B$11,0),0))</f>
        <v>0</v>
      </c>
      <c r="W162" s="85" t="str">
        <f>IF(L162="","Open",IF(OR(P162&lt;[1]Setup!$B$6,Q162&gt;[1]Setup!$B$7,R162&gt;[1]Setup!$B$8,O162&gt;[1]Setup!$B$10),"Review","OK"))</f>
        <v>Open</v>
      </c>
      <c r="X162" s="86"/>
      <c r="Z162" s="81" t="str">
        <f t="shared" si="34"/>
        <v>Sou</v>
      </c>
    </row>
    <row r="163" spans="1:26" ht="28.8" x14ac:dyDescent="0.3">
      <c r="A163" s="84">
        <v>46169</v>
      </c>
      <c r="B163" s="100">
        <f t="shared" si="32"/>
        <v>22</v>
      </c>
      <c r="C163" s="84" t="str">
        <f t="shared" si="33"/>
        <v>May</v>
      </c>
      <c r="D163" s="85" t="str">
        <f t="shared" si="30"/>
        <v>Wed</v>
      </c>
      <c r="E163" s="86" t="s">
        <v>220</v>
      </c>
      <c r="F163" s="86" t="s">
        <v>248</v>
      </c>
      <c r="G163" s="86" t="s">
        <v>313</v>
      </c>
      <c r="H163" s="86" t="s">
        <v>249</v>
      </c>
      <c r="I163" s="87" t="str">
        <f>IF(F163=0,"",IF(COUNTIF(F163,"Bao"),[1]Setup!$B$4,IF(COUNTIF(F163,"Soup Dumplings"),[1]Setup!$B$5,F163)))</f>
        <v>Pack Soup Dumplings</v>
      </c>
      <c r="J163" s="88">
        <f t="shared" si="39"/>
        <v>0</v>
      </c>
      <c r="K163" s="88" t="s">
        <v>314</v>
      </c>
      <c r="L163" s="87"/>
      <c r="M163" s="87"/>
      <c r="N163" s="87"/>
      <c r="O163" s="87"/>
      <c r="P163" s="89" t="str">
        <f t="shared" si="35"/>
        <v/>
      </c>
      <c r="Q163" s="89" t="str">
        <f t="shared" si="36"/>
        <v/>
      </c>
      <c r="R163" s="89" t="str">
        <f t="shared" si="37"/>
        <v/>
      </c>
      <c r="S163" s="88" t="str">
        <f>IF(F163="Bao",[1]Setup!$B$4,IF(F163="Soup Dumplings",[1]Setup!$B$5,""))</f>
        <v/>
      </c>
      <c r="T163" s="88" t="str">
        <f t="shared" si="38"/>
        <v/>
      </c>
      <c r="U163" s="84">
        <f t="shared" si="31"/>
        <v>46170</v>
      </c>
      <c r="V163" s="88">
        <f>IF(U163="",0,MAX(0,T163)+N163+ROUND(J163*[1]Setup!$B$9,0)+IF(O163&gt;[1]Setup!$B$10,ROUND(J163*[1]Setup!$B$11,0),0))</f>
        <v>0</v>
      </c>
      <c r="W163" s="85" t="str">
        <f>IF(L163="","Open",IF(OR(P163&lt;[1]Setup!$B$6,Q163&gt;[1]Setup!$B$7,R163&gt;[1]Setup!$B$8,O163&gt;[1]Setup!$B$10),"Review","OK"))</f>
        <v>Open</v>
      </c>
      <c r="X163" s="86"/>
      <c r="Z163" s="81" t="str">
        <f t="shared" si="34"/>
        <v>Pac</v>
      </c>
    </row>
    <row r="164" spans="1:26" x14ac:dyDescent="0.3">
      <c r="A164" s="84">
        <v>46169</v>
      </c>
      <c r="B164" s="100">
        <f t="shared" si="32"/>
        <v>22</v>
      </c>
      <c r="C164" s="84" t="str">
        <f t="shared" si="33"/>
        <v>May</v>
      </c>
      <c r="D164" s="85" t="str">
        <f t="shared" si="30"/>
        <v>Wed</v>
      </c>
      <c r="E164" s="86" t="s">
        <v>220</v>
      </c>
      <c r="F164" s="86" t="s">
        <v>222</v>
      </c>
      <c r="G164" s="86" t="s">
        <v>235</v>
      </c>
      <c r="H164" s="86" t="s">
        <v>227</v>
      </c>
      <c r="I164" s="87" t="str">
        <f>IF(F164=0,"",IF(COUNTIF(F164,"Bao"),[1]Setup!$B$4,IF(COUNTIF(F164,"Soup Dumplings"),[1]Setup!$B$5,F164)))</f>
        <v>Bao Prep</v>
      </c>
      <c r="J164" s="88">
        <f t="shared" si="39"/>
        <v>0</v>
      </c>
      <c r="K164" s="88" t="s">
        <v>236</v>
      </c>
      <c r="L164" s="87"/>
      <c r="M164" s="87"/>
      <c r="N164" s="87"/>
      <c r="O164" s="87"/>
      <c r="P164" s="89" t="str">
        <f t="shared" si="35"/>
        <v/>
      </c>
      <c r="Q164" s="89" t="str">
        <f t="shared" si="36"/>
        <v/>
      </c>
      <c r="R164" s="89" t="str">
        <f t="shared" si="37"/>
        <v/>
      </c>
      <c r="S164" s="88" t="str">
        <f>IF(F164="Bao",[1]Setup!$B$4,IF(F164="Soup Dumplings",[1]Setup!$B$5,""))</f>
        <v/>
      </c>
      <c r="T164" s="88" t="str">
        <f t="shared" si="38"/>
        <v/>
      </c>
      <c r="U164" s="84">
        <f t="shared" si="31"/>
        <v>46170</v>
      </c>
      <c r="V164" s="88">
        <f>IF(U164="",0,MAX(0,T164)+N164+ROUND(J164*[1]Setup!$B$9,0)+IF(O164&gt;[1]Setup!$B$10,ROUND(J164*[1]Setup!$B$11,0),0))</f>
        <v>0</v>
      </c>
      <c r="W164" s="85" t="str">
        <f>IF(L164="","Open",IF(OR(P164&lt;[1]Setup!$B$6,Q164&gt;[1]Setup!$B$7,R164&gt;[1]Setup!$B$8,O164&gt;[1]Setup!$B$10),"Review","OK"))</f>
        <v>Open</v>
      </c>
      <c r="X164" s="86"/>
      <c r="Z164" s="81" t="str">
        <f t="shared" si="34"/>
        <v>Bao</v>
      </c>
    </row>
    <row r="165" spans="1:26" ht="28.8" x14ac:dyDescent="0.3">
      <c r="A165" s="84">
        <v>46169</v>
      </c>
      <c r="B165" s="100">
        <f t="shared" si="32"/>
        <v>22</v>
      </c>
      <c r="C165" s="84" t="str">
        <f t="shared" si="33"/>
        <v>May</v>
      </c>
      <c r="D165" s="85" t="str">
        <f t="shared" si="30"/>
        <v>Wed</v>
      </c>
      <c r="E165" s="86" t="s">
        <v>220</v>
      </c>
      <c r="F165" s="86" t="s">
        <v>222</v>
      </c>
      <c r="G165" s="86" t="s">
        <v>246</v>
      </c>
      <c r="H165" s="86" t="s">
        <v>232</v>
      </c>
      <c r="I165" s="87" t="str">
        <f>IF(F165=0,"",IF(COUNTIF(F165,"Bao"),[1]Setup!$B$4,IF(COUNTIF(F165,"Soup Dumplings"),[1]Setup!$B$5,F165)))</f>
        <v>Bao Prep</v>
      </c>
      <c r="J165" s="88">
        <f t="shared" si="39"/>
        <v>0</v>
      </c>
      <c r="K165" s="88" t="s">
        <v>315</v>
      </c>
      <c r="L165" s="87"/>
      <c r="M165" s="87"/>
      <c r="N165" s="87"/>
      <c r="O165" s="87"/>
      <c r="P165" s="89" t="str">
        <f t="shared" si="35"/>
        <v/>
      </c>
      <c r="Q165" s="89" t="str">
        <f t="shared" si="36"/>
        <v/>
      </c>
      <c r="R165" s="89" t="str">
        <f t="shared" si="37"/>
        <v/>
      </c>
      <c r="S165" s="88" t="str">
        <f>IF(F165="Bao",[1]Setup!$B$4,IF(F165="Soup Dumplings",[1]Setup!$B$5,""))</f>
        <v/>
      </c>
      <c r="T165" s="88" t="str">
        <f t="shared" si="38"/>
        <v/>
      </c>
      <c r="U165" s="84">
        <f t="shared" si="31"/>
        <v>46170</v>
      </c>
      <c r="V165" s="88">
        <f>IF(U165="",0,MAX(0,T165)+N165+ROUND(J165*[1]Setup!$B$9,0)+IF(O165&gt;[1]Setup!$B$10,ROUND(J165*[1]Setup!$B$11,0),0))</f>
        <v>0</v>
      </c>
      <c r="W165" s="85" t="str">
        <f>IF(L165="","Open",IF(OR(P165&lt;[1]Setup!$B$6,Q165&gt;[1]Setup!$B$7,R165&gt;[1]Setup!$B$8,O165&gt;[1]Setup!$B$10),"Review","OK"))</f>
        <v>Open</v>
      </c>
      <c r="X165" s="86"/>
      <c r="Z165" s="81" t="str">
        <f t="shared" si="34"/>
        <v>Bao</v>
      </c>
    </row>
    <row r="166" spans="1:26" ht="28.8" x14ac:dyDescent="0.3">
      <c r="A166" s="84">
        <v>46171</v>
      </c>
      <c r="B166" s="100">
        <f t="shared" si="32"/>
        <v>22</v>
      </c>
      <c r="C166" s="84" t="str">
        <f t="shared" si="33"/>
        <v>May</v>
      </c>
      <c r="D166" s="85" t="str">
        <f t="shared" si="30"/>
        <v>Fri</v>
      </c>
      <c r="E166" s="86" t="s">
        <v>220</v>
      </c>
      <c r="F166" s="86" t="s">
        <v>237</v>
      </c>
      <c r="G166" s="86" t="s">
        <v>238</v>
      </c>
      <c r="H166" s="86" t="s">
        <v>229</v>
      </c>
      <c r="I166" s="87" t="s">
        <v>237</v>
      </c>
      <c r="J166" s="88">
        <f t="shared" si="39"/>
        <v>0</v>
      </c>
      <c r="K166" s="88" t="s">
        <v>316</v>
      </c>
      <c r="L166" s="87"/>
      <c r="M166" s="87"/>
      <c r="N166" s="87"/>
      <c r="O166" s="87"/>
      <c r="P166" s="89" t="str">
        <f t="shared" si="35"/>
        <v/>
      </c>
      <c r="Q166" s="89" t="str">
        <f t="shared" si="36"/>
        <v/>
      </c>
      <c r="R166" s="89" t="str">
        <f t="shared" si="37"/>
        <v/>
      </c>
      <c r="S166" s="88" t="str">
        <f>IF(F166="Bao",[1]Setup!$B$4,IF(F166="Soup Dumplings",[1]Setup!$B$5,""))</f>
        <v/>
      </c>
      <c r="T166" s="88" t="str">
        <f t="shared" si="38"/>
        <v/>
      </c>
      <c r="U166" s="84">
        <f t="shared" si="31"/>
        <v>46172</v>
      </c>
      <c r="V166" s="88">
        <f>IF(U166="",0,MAX(0,T166)+N166+ROUND(J166*[1]Setup!$B$9,0)+IF(O166&gt;[1]Setup!$B$10,ROUND(J166*[1]Setup!$B$11,0),0))</f>
        <v>0</v>
      </c>
      <c r="W166" s="85" t="str">
        <f>IF(L166="","Open",IF(OR(P166&lt;[1]Setup!$B$6,Q166&gt;[1]Setup!$B$7,R166&gt;[1]Setup!$B$8,O166&gt;[1]Setup!$B$10),"Review","OK"))</f>
        <v>Open</v>
      </c>
      <c r="X166" s="86"/>
      <c r="Z166" s="81" t="str">
        <f t="shared" si="34"/>
        <v>Sou</v>
      </c>
    </row>
    <row r="167" spans="1:26" x14ac:dyDescent="0.3">
      <c r="A167" s="84">
        <v>46171</v>
      </c>
      <c r="B167" s="100">
        <f t="shared" si="32"/>
        <v>22</v>
      </c>
      <c r="C167" s="84" t="str">
        <f t="shared" si="33"/>
        <v>May</v>
      </c>
      <c r="D167" s="85" t="str">
        <f t="shared" si="30"/>
        <v>Fri</v>
      </c>
      <c r="E167" s="86" t="s">
        <v>220</v>
      </c>
      <c r="F167" s="86" t="s">
        <v>87</v>
      </c>
      <c r="G167" s="86" t="s">
        <v>244</v>
      </c>
      <c r="H167" s="86" t="s">
        <v>245</v>
      </c>
      <c r="I167" s="87">
        <f>IF(F167=0,"",IF(COUNTIF(F167,"Bao"),[1]Setup!$B$4,IF(COUNTIF(F167,"Soup Dumplings"),[1]Setup!$B$5,F167)))</f>
        <v>90000</v>
      </c>
      <c r="J167" s="88">
        <f t="shared" si="39"/>
        <v>90000</v>
      </c>
      <c r="K167" s="88"/>
      <c r="L167" s="87"/>
      <c r="M167" s="87"/>
      <c r="N167" s="87"/>
      <c r="O167" s="87"/>
      <c r="P167" s="89">
        <f t="shared" si="35"/>
        <v>0</v>
      </c>
      <c r="Q167" s="89">
        <f t="shared" si="36"/>
        <v>1</v>
      </c>
      <c r="R167" s="89">
        <f t="shared" si="37"/>
        <v>0</v>
      </c>
      <c r="S167" s="88">
        <f>IF(F167="Bao",[1]Setup!$B$4,IF(F167="Soup Dumplings",[1]Setup!$B$5,""))</f>
        <v>90000</v>
      </c>
      <c r="T167" s="88" t="str">
        <f t="shared" si="38"/>
        <v/>
      </c>
      <c r="U167" s="84">
        <f t="shared" si="31"/>
        <v>46172</v>
      </c>
      <c r="V167" s="88">
        <f>IF(U167="",0,MAX(0,T167)+N167+ROUND(J167*[1]Setup!$B$9,0)+IF(O167&gt;[1]Setup!$B$10,ROUND(J167*[1]Setup!$B$11,0),0))</f>
        <v>1800</v>
      </c>
      <c r="W167" s="85" t="str">
        <f>IF(L167="","Open",IF(OR(P167&lt;[1]Setup!$B$6,Q167&gt;[1]Setup!$B$7,R167&gt;[1]Setup!$B$8,O167&gt;[1]Setup!$B$10),"Review","OK"))</f>
        <v>Open</v>
      </c>
      <c r="X167" s="86"/>
      <c r="Z167" s="81" t="str">
        <f t="shared" si="34"/>
        <v>Sou</v>
      </c>
    </row>
    <row r="168" spans="1:26" x14ac:dyDescent="0.3">
      <c r="A168" s="84">
        <v>46171</v>
      </c>
      <c r="B168" s="100">
        <f t="shared" si="32"/>
        <v>22</v>
      </c>
      <c r="C168" s="84" t="str">
        <f t="shared" si="33"/>
        <v>May</v>
      </c>
      <c r="D168" s="85" t="s">
        <v>317</v>
      </c>
      <c r="E168" s="86" t="s">
        <v>220</v>
      </c>
      <c r="F168" s="86" t="s">
        <v>222</v>
      </c>
      <c r="G168" s="86" t="s">
        <v>235</v>
      </c>
      <c r="H168" s="86" t="s">
        <v>227</v>
      </c>
      <c r="I168" s="87" t="str">
        <f>IF(F168=0,"",IF(COUNTIF(F168,"Bao"),[1]Setup!$B$4,IF(COUNTIF(F168,"Soup Dumplings"),[1]Setup!$B$5,F168)))</f>
        <v>Bao Prep</v>
      </c>
      <c r="J168" s="88">
        <f t="shared" si="39"/>
        <v>0</v>
      </c>
      <c r="K168" s="88" t="s">
        <v>236</v>
      </c>
      <c r="L168" s="87"/>
      <c r="M168" s="87"/>
      <c r="N168" s="87"/>
      <c r="O168" s="87"/>
      <c r="P168" s="89" t="str">
        <f t="shared" si="35"/>
        <v/>
      </c>
      <c r="Q168" s="89" t="str">
        <f t="shared" si="36"/>
        <v/>
      </c>
      <c r="R168" s="89" t="str">
        <f t="shared" si="37"/>
        <v/>
      </c>
      <c r="S168" s="88" t="str">
        <f>IF(F168="Bao",[1]Setup!$B$4,IF(F168="Soup Dumplings",[1]Setup!$B$5,""))</f>
        <v/>
      </c>
      <c r="T168" s="88" t="str">
        <f t="shared" si="38"/>
        <v/>
      </c>
      <c r="U168" s="84">
        <f t="shared" si="31"/>
        <v>46172</v>
      </c>
      <c r="V168" s="88">
        <f>IF(U168="",0,MAX(0,T168)+N168+ROUND(J168*[1]Setup!$B$9,0)+IF(O168&gt;[1]Setup!$B$10,ROUND(J168*[1]Setup!$B$11,0),0))</f>
        <v>0</v>
      </c>
      <c r="W168" s="85" t="str">
        <f>IF(L168="","Open",IF(OR(P168&lt;[1]Setup!$B$6,Q168&gt;[1]Setup!$B$7,R168&gt;[1]Setup!$B$8,O168&gt;[1]Setup!$B$10),"Review","OK"))</f>
        <v>Open</v>
      </c>
      <c r="X168" s="86"/>
      <c r="Z168" s="81" t="str">
        <f t="shared" si="34"/>
        <v>Bao</v>
      </c>
    </row>
    <row r="169" spans="1:26" ht="28.8" x14ac:dyDescent="0.3">
      <c r="A169" s="84">
        <v>46171</v>
      </c>
      <c r="B169" s="100">
        <f t="shared" si="32"/>
        <v>22</v>
      </c>
      <c r="C169" s="84" t="str">
        <f t="shared" si="33"/>
        <v>May</v>
      </c>
      <c r="D169" s="85" t="str">
        <f t="shared" si="30"/>
        <v>Fri</v>
      </c>
      <c r="E169" s="86" t="s">
        <v>220</v>
      </c>
      <c r="F169" s="86" t="s">
        <v>222</v>
      </c>
      <c r="G169" s="86" t="s">
        <v>246</v>
      </c>
      <c r="H169" s="86" t="s">
        <v>232</v>
      </c>
      <c r="I169" s="87" t="str">
        <f>IF(F169=0,"",IF(COUNTIF(F169,"Bao"),[1]Setup!$B$4,IF(COUNTIF(F169,"Soup Dumplings"),[1]Setup!$B$5,F169)))</f>
        <v>Bao Prep</v>
      </c>
      <c r="J169" s="88">
        <f t="shared" si="39"/>
        <v>0</v>
      </c>
      <c r="K169" s="88" t="s">
        <v>315</v>
      </c>
      <c r="L169" s="87"/>
      <c r="M169" s="87"/>
      <c r="N169" s="87"/>
      <c r="O169" s="87"/>
      <c r="P169" s="89" t="str">
        <f t="shared" si="35"/>
        <v/>
      </c>
      <c r="Q169" s="89" t="str">
        <f t="shared" si="36"/>
        <v/>
      </c>
      <c r="R169" s="89" t="str">
        <f t="shared" si="37"/>
        <v/>
      </c>
      <c r="S169" s="88" t="str">
        <f>IF(F169="Bao",[1]Setup!$B$4,IF(F169="Soup Dumplings",[1]Setup!$B$5,""))</f>
        <v/>
      </c>
      <c r="T169" s="88" t="str">
        <f t="shared" si="38"/>
        <v/>
      </c>
      <c r="U169" s="84">
        <f t="shared" si="31"/>
        <v>46172</v>
      </c>
      <c r="V169" s="88">
        <f>IF(U169="",0,MAX(0,T169)+N169+ROUND(J169*[1]Setup!$B$9,0)+IF(O169&gt;[1]Setup!$B$10,ROUND(J169*[1]Setup!$B$11,0),0))</f>
        <v>0</v>
      </c>
      <c r="W169" s="85" t="str">
        <f>IF(L169="","Open",IF(OR(P169&lt;[1]Setup!$B$6,Q169&gt;[1]Setup!$B$7,R169&gt;[1]Setup!$B$8,O169&gt;[1]Setup!$B$10),"Review","OK"))</f>
        <v>Open</v>
      </c>
      <c r="X169" s="86"/>
      <c r="Z169" s="81" t="str">
        <f t="shared" si="34"/>
        <v>Bao</v>
      </c>
    </row>
    <row r="170" spans="1:26" x14ac:dyDescent="0.3">
      <c r="A170" s="84">
        <v>46171</v>
      </c>
      <c r="B170" s="100">
        <f t="shared" si="32"/>
        <v>22</v>
      </c>
      <c r="C170" s="84" t="str">
        <f t="shared" si="33"/>
        <v>May</v>
      </c>
      <c r="D170" s="85" t="str">
        <f t="shared" si="30"/>
        <v>Fri</v>
      </c>
      <c r="E170" s="86" t="s">
        <v>220</v>
      </c>
      <c r="F170" s="86" t="s">
        <v>251</v>
      </c>
      <c r="G170" s="86" t="s">
        <v>82</v>
      </c>
      <c r="H170" s="86" t="s">
        <v>252</v>
      </c>
      <c r="I170" s="87" t="str">
        <f>IF(F170=0,"",IF(COUNTIF(F170,"Bao"),[1]Setup!$B$4,IF(COUNTIF(F170,"Soup Dumplings"),[1]Setup!$B$5,F170)))</f>
        <v>Pack Bao</v>
      </c>
      <c r="J170" s="88">
        <f t="shared" si="39"/>
        <v>0</v>
      </c>
      <c r="K170" s="88" t="s">
        <v>318</v>
      </c>
      <c r="L170" s="87"/>
      <c r="M170" s="87"/>
      <c r="N170" s="87"/>
      <c r="O170" s="87"/>
      <c r="P170" s="89" t="str">
        <f t="shared" si="35"/>
        <v/>
      </c>
      <c r="Q170" s="89" t="str">
        <f t="shared" si="36"/>
        <v/>
      </c>
      <c r="R170" s="89" t="str">
        <f t="shared" si="37"/>
        <v/>
      </c>
      <c r="S170" s="88" t="str">
        <f>IF(F170="Bao",[1]Setup!$B$4,IF(F170="Soup Dumplings",[1]Setup!$B$5,""))</f>
        <v/>
      </c>
      <c r="T170" s="88" t="str">
        <f t="shared" si="38"/>
        <v/>
      </c>
      <c r="U170" s="84">
        <f t="shared" si="31"/>
        <v>46172</v>
      </c>
      <c r="V170" s="88">
        <f>IF(U170="",0,MAX(0,T170)+N170+ROUND(J170*[1]Setup!$B$9,0)+IF(O170&gt;[1]Setup!$B$10,ROUND(J170*[1]Setup!$B$11,0),0))</f>
        <v>0</v>
      </c>
      <c r="W170" s="85" t="str">
        <f>IF(L170="","Open",IF(OR(P170&lt;[1]Setup!$B$6,Q170&gt;[1]Setup!$B$7,R170&gt;[1]Setup!$B$8,O170&gt;[1]Setup!$B$10),"Review","OK"))</f>
        <v>Open</v>
      </c>
      <c r="X170" s="86"/>
      <c r="Z170" s="81" t="str">
        <f t="shared" si="34"/>
        <v>Pac</v>
      </c>
    </row>
    <row r="171" spans="1:26" ht="28.8" x14ac:dyDescent="0.3">
      <c r="A171" s="84">
        <v>46171</v>
      </c>
      <c r="B171" s="100">
        <f t="shared" si="32"/>
        <v>22</v>
      </c>
      <c r="C171" s="84" t="str">
        <f t="shared" si="33"/>
        <v>May</v>
      </c>
      <c r="D171" s="85" t="s">
        <v>317</v>
      </c>
      <c r="E171" s="86" t="s">
        <v>220</v>
      </c>
      <c r="F171" s="86" t="s">
        <v>248</v>
      </c>
      <c r="G171" s="86" t="s">
        <v>244</v>
      </c>
      <c r="H171" s="86" t="s">
        <v>249</v>
      </c>
      <c r="I171" s="87" t="str">
        <f>IF(F171=0,"",IF(COUNTIF(F171,"Bao"),[1]Setup!$B$4,IF(COUNTIF(F171,"Soup Dumplings"),[1]Setup!$B$5,F171)))</f>
        <v>Pack Soup Dumplings</v>
      </c>
      <c r="J171" s="88">
        <f t="shared" si="39"/>
        <v>0</v>
      </c>
      <c r="K171" s="88" t="s">
        <v>319</v>
      </c>
      <c r="L171" s="87"/>
      <c r="M171" s="87"/>
      <c r="N171" s="87"/>
      <c r="O171" s="87"/>
      <c r="P171" s="89" t="str">
        <f t="shared" si="35"/>
        <v/>
      </c>
      <c r="Q171" s="89" t="str">
        <f t="shared" si="36"/>
        <v/>
      </c>
      <c r="R171" s="89" t="str">
        <f t="shared" si="37"/>
        <v/>
      </c>
      <c r="S171" s="88" t="str">
        <f>IF(F171="Bao",[1]Setup!$B$4,IF(F171="Soup Dumplings",[1]Setup!$B$5,""))</f>
        <v/>
      </c>
      <c r="T171" s="88" t="str">
        <f t="shared" si="38"/>
        <v/>
      </c>
      <c r="U171" s="84">
        <f t="shared" si="31"/>
        <v>46172</v>
      </c>
      <c r="V171" s="88">
        <f>IF(U171="",0,MAX(0,T171)+N171+ROUND(J171*[1]Setup!$B$9,0)+IF(O171&gt;[1]Setup!$B$10,ROUND(J171*[1]Setup!$B$11,0),0))</f>
        <v>0</v>
      </c>
      <c r="W171" s="85" t="str">
        <f>IF(L171="","Open",IF(OR(P171&lt;[1]Setup!$B$6,Q171&gt;[1]Setup!$B$7,R171&gt;[1]Setup!$B$8,O171&gt;[1]Setup!$B$10),"Review","OK"))</f>
        <v>Open</v>
      </c>
      <c r="X171" s="86"/>
      <c r="Z171" s="81" t="str">
        <f t="shared" si="34"/>
        <v>Pac</v>
      </c>
    </row>
    <row r="172" spans="1:26" ht="28.8" x14ac:dyDescent="0.3">
      <c r="A172" s="84">
        <v>46171</v>
      </c>
      <c r="B172" s="100">
        <f t="shared" si="32"/>
        <v>22</v>
      </c>
      <c r="C172" s="84" t="str">
        <f t="shared" si="33"/>
        <v>May</v>
      </c>
      <c r="D172" s="85" t="str">
        <f t="shared" si="30"/>
        <v>Fri</v>
      </c>
      <c r="E172" s="86" t="s">
        <v>220</v>
      </c>
      <c r="F172" s="86" t="s">
        <v>222</v>
      </c>
      <c r="G172" s="86" t="s">
        <v>320</v>
      </c>
      <c r="H172" s="86" t="s">
        <v>227</v>
      </c>
      <c r="I172" s="87" t="str">
        <f>IF(F172=0,"",IF(COUNTIF(F172,"Bao"),[1]Setup!$B$4,IF(COUNTIF(F172,"Soup Dumplings"),[1]Setup!$B$5,F172)))</f>
        <v>Bao Prep</v>
      </c>
      <c r="J172" s="88">
        <f t="shared" si="39"/>
        <v>0</v>
      </c>
      <c r="K172" s="88" t="s">
        <v>321</v>
      </c>
      <c r="L172" s="87"/>
      <c r="M172" s="87"/>
      <c r="N172" s="87"/>
      <c r="O172" s="87"/>
      <c r="P172" s="89" t="str">
        <f t="shared" si="35"/>
        <v/>
      </c>
      <c r="Q172" s="89" t="str">
        <f t="shared" si="36"/>
        <v/>
      </c>
      <c r="R172" s="89" t="str">
        <f t="shared" si="37"/>
        <v/>
      </c>
      <c r="S172" s="88" t="str">
        <f>IF(F172="Bao",[1]Setup!$B$4,IF(F172="Soup Dumplings",[1]Setup!$B$5,""))</f>
        <v/>
      </c>
      <c r="T172" s="88" t="str">
        <f t="shared" si="38"/>
        <v/>
      </c>
      <c r="U172" s="84">
        <f t="shared" si="31"/>
        <v>46172</v>
      </c>
      <c r="V172" s="88">
        <f>IF(U172="",0,MAX(0,T172)+N172+ROUND(J172*[1]Setup!$B$9,0)+IF(O172&gt;[1]Setup!$B$10,ROUND(J172*[1]Setup!$B$11,0),0))</f>
        <v>0</v>
      </c>
      <c r="W172" s="85" t="str">
        <f>IF(L172="","Open",IF(OR(P172&lt;[1]Setup!$B$6,Q172&gt;[1]Setup!$B$7,R172&gt;[1]Setup!$B$8,O172&gt;[1]Setup!$B$10),"Review","OK"))</f>
        <v>Open</v>
      </c>
      <c r="X172" s="86"/>
      <c r="Z172" s="81" t="str">
        <f t="shared" si="34"/>
        <v>Bao</v>
      </c>
    </row>
    <row r="173" spans="1:26" ht="28.8" x14ac:dyDescent="0.3">
      <c r="A173" s="84">
        <v>46171</v>
      </c>
      <c r="B173" s="100">
        <f t="shared" si="32"/>
        <v>22</v>
      </c>
      <c r="C173" s="84" t="str">
        <f t="shared" si="33"/>
        <v>May</v>
      </c>
      <c r="D173" s="85" t="str">
        <f t="shared" si="30"/>
        <v>Fri</v>
      </c>
      <c r="E173" s="86" t="s">
        <v>220</v>
      </c>
      <c r="F173" s="86" t="s">
        <v>237</v>
      </c>
      <c r="G173" s="86" t="s">
        <v>313</v>
      </c>
      <c r="H173" s="86" t="s">
        <v>227</v>
      </c>
      <c r="I173" s="87" t="str">
        <f>IF(F173=0,"",IF(COUNTIF(F173,"Bao"),[1]Setup!$B$4,IF(COUNTIF(F173,"Soup Dumplings"),[1]Setup!$B$5,F173)))</f>
        <v>Soup Dumpling Prep</v>
      </c>
      <c r="J173" s="88">
        <f t="shared" si="39"/>
        <v>0</v>
      </c>
      <c r="K173" s="88" t="s">
        <v>322</v>
      </c>
      <c r="L173" s="87"/>
      <c r="M173" s="87"/>
      <c r="N173" s="87"/>
      <c r="O173" s="87"/>
      <c r="P173" s="89" t="str">
        <f t="shared" si="35"/>
        <v/>
      </c>
      <c r="Q173" s="89" t="str">
        <f t="shared" si="36"/>
        <v/>
      </c>
      <c r="R173" s="89" t="str">
        <f t="shared" si="37"/>
        <v/>
      </c>
      <c r="S173" s="88" t="str">
        <f>IF(F173="Bao",[1]Setup!$B$4,IF(F173="Soup Dumplings",[1]Setup!$B$5,""))</f>
        <v/>
      </c>
      <c r="T173" s="88" t="str">
        <f t="shared" si="38"/>
        <v/>
      </c>
      <c r="U173" s="84">
        <f t="shared" si="31"/>
        <v>46172</v>
      </c>
      <c r="V173" s="88">
        <f>IF(U173="",0,MAX(0,T173)+N173+ROUND(J173*[1]Setup!$B$9,0)+IF(O173&gt;[1]Setup!$B$10,ROUND(J173*[1]Setup!$B$11,0),0))</f>
        <v>0</v>
      </c>
      <c r="W173" s="85" t="str">
        <f>IF(L173="","Open",IF(OR(P173&lt;[1]Setup!$B$6,Q173&gt;[1]Setup!$B$7,R173&gt;[1]Setup!$B$8,O173&gt;[1]Setup!$B$10),"Review","OK"))</f>
        <v>Open</v>
      </c>
      <c r="X173" s="86"/>
      <c r="Z173" s="81" t="str">
        <f t="shared" si="34"/>
        <v>Sou</v>
      </c>
    </row>
    <row r="174" spans="1:26" ht="28.8" x14ac:dyDescent="0.3">
      <c r="A174" s="84">
        <v>46171</v>
      </c>
      <c r="B174" s="100">
        <f t="shared" si="32"/>
        <v>22</v>
      </c>
      <c r="C174" s="84" t="str">
        <f t="shared" si="33"/>
        <v>May</v>
      </c>
      <c r="D174" s="85" t="str">
        <f t="shared" si="30"/>
        <v>Fri</v>
      </c>
      <c r="E174" s="86" t="s">
        <v>220</v>
      </c>
      <c r="F174" s="86" t="s">
        <v>237</v>
      </c>
      <c r="G174" s="86" t="s">
        <v>313</v>
      </c>
      <c r="H174" s="86" t="s">
        <v>227</v>
      </c>
      <c r="I174" s="87" t="str">
        <f>IF(F174=0,"",IF(COUNTIF(F174,"Bao"),[1]Setup!$B$4,IF(COUNTIF(F174,"Soup Dumplings"),[1]Setup!$B$5,F174)))</f>
        <v>Soup Dumpling Prep</v>
      </c>
      <c r="J174" s="88">
        <f t="shared" si="39"/>
        <v>0</v>
      </c>
      <c r="K174" s="88"/>
      <c r="L174" s="87"/>
      <c r="M174" s="87"/>
      <c r="N174" s="87"/>
      <c r="O174" s="87"/>
      <c r="P174" s="89" t="str">
        <f t="shared" si="35"/>
        <v/>
      </c>
      <c r="Q174" s="89" t="str">
        <f t="shared" si="36"/>
        <v/>
      </c>
      <c r="R174" s="89" t="str">
        <f t="shared" si="37"/>
        <v/>
      </c>
      <c r="S174" s="88" t="str">
        <f>IF(F174="Bao",[1]Setup!$B$4,IF(F174="Soup Dumplings",[1]Setup!$B$5,""))</f>
        <v/>
      </c>
      <c r="T174" s="88" t="str">
        <f t="shared" si="38"/>
        <v/>
      </c>
      <c r="U174" s="84">
        <f t="shared" si="31"/>
        <v>46172</v>
      </c>
      <c r="V174" s="88">
        <f>IF(U174="",0,MAX(0,T174)+N174+ROUND(J174*[1]Setup!$B$9,0)+IF(O174&gt;[1]Setup!$B$10,ROUND(J174*[1]Setup!$B$11,0),0))</f>
        <v>0</v>
      </c>
      <c r="W174" s="85" t="str">
        <f>IF(L174="","Open",IF(OR(P174&lt;[1]Setup!$B$6,Q174&gt;[1]Setup!$B$7,R174&gt;[1]Setup!$B$8,O174&gt;[1]Setup!$B$10),"Review","OK"))</f>
        <v>Open</v>
      </c>
      <c r="X174" s="86"/>
      <c r="Z174" s="81" t="str">
        <f t="shared" si="34"/>
        <v>Sou</v>
      </c>
    </row>
    <row r="175" spans="1:26" ht="28.8" x14ac:dyDescent="0.3">
      <c r="A175" s="84">
        <v>46174</v>
      </c>
      <c r="B175" s="100">
        <f t="shared" si="32"/>
        <v>23</v>
      </c>
      <c r="C175" s="84" t="str">
        <f t="shared" si="33"/>
        <v>June</v>
      </c>
      <c r="D175" s="85" t="str">
        <f t="shared" ref="D175:D234" si="40">IF(C175="","",TEXT(C175,"ddd"))</f>
        <v>June</v>
      </c>
      <c r="E175" s="86" t="s">
        <v>220</v>
      </c>
      <c r="F175" s="86" t="s">
        <v>237</v>
      </c>
      <c r="G175" s="86" t="s">
        <v>303</v>
      </c>
      <c r="H175" s="86" t="s">
        <v>229</v>
      </c>
      <c r="I175" s="87" t="str">
        <f>IF(F175=0,"",IF(COUNTIF(F175,"Bao"),[2]Setup!$B$4,IF(COUNTIF(F175,"Soup Dumplings"),[2]Setup!$B$5,F175)))</f>
        <v>Soup Dumpling Prep</v>
      </c>
      <c r="J175" s="88">
        <f t="shared" ref="J175:J238" si="41">IF(C175="","",
   IFERROR(
      N(I175)+SUMIFS($T$4:$T$30,$S$4:$S$30,C175,$E$4:$E$30,G175),
   0)
)</f>
        <v>0</v>
      </c>
      <c r="K175" s="88" t="s">
        <v>323</v>
      </c>
      <c r="L175" s="87"/>
      <c r="M175" s="87"/>
      <c r="N175" s="87"/>
      <c r="O175" s="87"/>
      <c r="P175" s="89" t="str">
        <f t="shared" si="35"/>
        <v/>
      </c>
      <c r="Q175" s="89" t="str">
        <f t="shared" si="36"/>
        <v/>
      </c>
      <c r="R175" s="89" t="str">
        <f t="shared" si="37"/>
        <v/>
      </c>
      <c r="S175" s="88" t="str">
        <f>IF(F175="Bao",[2]Setup!$B$4,IF(F175="Soup Dumplings",[2]Setup!$B$5,""))</f>
        <v/>
      </c>
      <c r="T175" s="88" t="str">
        <f t="shared" si="38"/>
        <v/>
      </c>
      <c r="U175" s="84" t="e">
        <f t="shared" ref="U175:U238" si="42">IF(C175="","",C175+1)</f>
        <v>#VALUE!</v>
      </c>
      <c r="V175" s="88" t="e">
        <f>IF(U175="",0,MAX(0,T175)+N175+ROUND(J175*[2]Setup!$B$9,0)+IF(O175&gt;[2]Setup!$B$10,ROUND(J175*[2]Setup!$B$11,0),0))</f>
        <v>#VALUE!</v>
      </c>
      <c r="W175" s="85" t="str">
        <f>IF(L175="","Open",IF(OR(P175&lt;[2]Setup!$B$6,Q175&gt;[2]Setup!$B$7,R175&gt;[2]Setup!$B$8,O175&gt;[2]Setup!$B$10),"Review","OK"))</f>
        <v>Open</v>
      </c>
      <c r="X175" s="86"/>
      <c r="Z175" s="81" t="str">
        <f t="shared" si="34"/>
        <v>Sou</v>
      </c>
    </row>
    <row r="176" spans="1:26" ht="28.8" x14ac:dyDescent="0.3">
      <c r="A176" s="84">
        <v>46174</v>
      </c>
      <c r="B176" s="100">
        <f t="shared" si="32"/>
        <v>23</v>
      </c>
      <c r="C176" s="84" t="str">
        <f t="shared" si="33"/>
        <v>June</v>
      </c>
      <c r="D176" s="85" t="str">
        <f t="shared" si="40"/>
        <v>June</v>
      </c>
      <c r="E176" s="86" t="s">
        <v>220</v>
      </c>
      <c r="F176" s="86" t="s">
        <v>237</v>
      </c>
      <c r="G176" s="86" t="s">
        <v>240</v>
      </c>
      <c r="H176" s="86" t="s">
        <v>224</v>
      </c>
      <c r="I176" s="87" t="str">
        <f>IF(F176=0,"",IF(COUNTIF(F176,"Bao"),[2]Setup!$B$4,IF(COUNTIF(F176,"Soup Dumplings"),[2]Setup!$B$5,F176)))</f>
        <v>Soup Dumpling Prep</v>
      </c>
      <c r="J176" s="88">
        <f t="shared" si="41"/>
        <v>0</v>
      </c>
      <c r="K176" s="88"/>
      <c r="L176" s="87"/>
      <c r="M176" s="87"/>
      <c r="N176" s="87"/>
      <c r="O176" s="87"/>
      <c r="P176" s="89" t="str">
        <f t="shared" si="35"/>
        <v/>
      </c>
      <c r="Q176" s="89" t="str">
        <f t="shared" si="36"/>
        <v/>
      </c>
      <c r="R176" s="89" t="str">
        <f t="shared" si="37"/>
        <v/>
      </c>
      <c r="S176" s="88" t="str">
        <f>IF(F176="Bao",[2]Setup!$B$4,IF(F176="Soup Dumplings",[2]Setup!$B$5,""))</f>
        <v/>
      </c>
      <c r="T176" s="88" t="str">
        <f t="shared" si="38"/>
        <v/>
      </c>
      <c r="U176" s="84" t="e">
        <f t="shared" si="42"/>
        <v>#VALUE!</v>
      </c>
      <c r="V176" s="88" t="e">
        <f>IF(U176="",0,MAX(0,T176)+N176+ROUND(J176*[2]Setup!$B$9,0)+IF(O176&gt;[2]Setup!$B$10,ROUND(J176*[2]Setup!$B$11,0),0))</f>
        <v>#VALUE!</v>
      </c>
      <c r="W176" s="85" t="str">
        <f>IF(L176="","Open",IF(OR(P176&lt;[2]Setup!$B$6,Q176&gt;[2]Setup!$B$7,R176&gt;[2]Setup!$B$8,O176&gt;[2]Setup!$B$10),"Review","OK"))</f>
        <v>Open</v>
      </c>
      <c r="X176" s="86"/>
      <c r="Z176" s="81" t="str">
        <f t="shared" si="34"/>
        <v>Sou</v>
      </c>
    </row>
    <row r="177" spans="1:26" ht="43.2" x14ac:dyDescent="0.3">
      <c r="A177" s="84">
        <v>46174</v>
      </c>
      <c r="B177" s="100">
        <f t="shared" si="32"/>
        <v>23</v>
      </c>
      <c r="C177" s="84" t="str">
        <f t="shared" si="33"/>
        <v>June</v>
      </c>
      <c r="D177" s="85" t="str">
        <f t="shared" si="40"/>
        <v>June</v>
      </c>
      <c r="E177" s="86" t="s">
        <v>220</v>
      </c>
      <c r="F177" s="86" t="s">
        <v>222</v>
      </c>
      <c r="G177" s="86" t="s">
        <v>276</v>
      </c>
      <c r="H177" s="86" t="s">
        <v>229</v>
      </c>
      <c r="I177" s="87" t="str">
        <f>IF(F177=0,"",IF(COUNTIF(F177,"Bao"),[2]Setup!$B$4,IF(COUNTIF(F177,"Soup Dumplings"),[2]Setup!$B$5,F177)))</f>
        <v>Bao Prep</v>
      </c>
      <c r="J177" s="88">
        <f t="shared" si="41"/>
        <v>0</v>
      </c>
      <c r="K177" s="88" t="s">
        <v>324</v>
      </c>
      <c r="L177" s="87"/>
      <c r="M177" s="87"/>
      <c r="N177" s="87"/>
      <c r="O177" s="87"/>
      <c r="P177" s="89" t="str">
        <f t="shared" si="35"/>
        <v/>
      </c>
      <c r="Q177" s="89" t="str">
        <f t="shared" si="36"/>
        <v/>
      </c>
      <c r="R177" s="89" t="str">
        <f t="shared" si="37"/>
        <v/>
      </c>
      <c r="S177" s="88" t="str">
        <f>IF(F177="Bao",[2]Setup!$B$4,IF(F177="Soup Dumplings",[2]Setup!$B$5,""))</f>
        <v/>
      </c>
      <c r="T177" s="88" t="str">
        <f t="shared" si="38"/>
        <v/>
      </c>
      <c r="U177" s="84" t="e">
        <f t="shared" si="42"/>
        <v>#VALUE!</v>
      </c>
      <c r="V177" s="88" t="e">
        <f>IF(U177="",0,MAX(0,T177)+N177+ROUND(J177*[2]Setup!$B$9,0)+IF(O177&gt;[2]Setup!$B$10,ROUND(J177*[2]Setup!$B$11,0),0))</f>
        <v>#VALUE!</v>
      </c>
      <c r="W177" s="85" t="str">
        <f>IF(L177="","Open",IF(OR(P177&lt;[2]Setup!$B$6,Q177&gt;[2]Setup!$B$7,R177&gt;[2]Setup!$B$8,O177&gt;[2]Setup!$B$10),"Review","OK"))</f>
        <v>Open</v>
      </c>
      <c r="X177" s="86"/>
      <c r="Z177" s="81" t="str">
        <f t="shared" si="34"/>
        <v>Bao</v>
      </c>
    </row>
    <row r="178" spans="1:26" ht="28.8" x14ac:dyDescent="0.3">
      <c r="A178" s="84">
        <v>46174</v>
      </c>
      <c r="B178" s="100">
        <f t="shared" si="32"/>
        <v>23</v>
      </c>
      <c r="C178" s="84" t="str">
        <f t="shared" si="33"/>
        <v>June</v>
      </c>
      <c r="D178" s="85" t="str">
        <f t="shared" si="40"/>
        <v>June</v>
      </c>
      <c r="E178" s="86" t="s">
        <v>220</v>
      </c>
      <c r="F178" s="86" t="s">
        <v>222</v>
      </c>
      <c r="G178" s="86" t="s">
        <v>226</v>
      </c>
      <c r="H178" s="86" t="s">
        <v>229</v>
      </c>
      <c r="I178" s="87" t="str">
        <f>IF(F178=0,"",IF(COUNTIF(F178,"Bao"),[2]Setup!$B$4,IF(COUNTIF(F178,"Soup Dumplings"),[2]Setup!$B$5,F178)))</f>
        <v>Bao Prep</v>
      </c>
      <c r="J178" s="88">
        <f t="shared" si="41"/>
        <v>0</v>
      </c>
      <c r="K178" s="88" t="s">
        <v>325</v>
      </c>
      <c r="L178" s="87"/>
      <c r="M178" s="87"/>
      <c r="N178" s="87"/>
      <c r="O178" s="87"/>
      <c r="P178" s="89" t="str">
        <f t="shared" si="35"/>
        <v/>
      </c>
      <c r="Q178" s="89" t="str">
        <f t="shared" si="36"/>
        <v/>
      </c>
      <c r="R178" s="89" t="str">
        <f t="shared" si="37"/>
        <v/>
      </c>
      <c r="S178" s="88" t="str">
        <f>IF(F178="Bao",[2]Setup!$B$4,IF(F178="Soup Dumplings",[2]Setup!$B$5,""))</f>
        <v/>
      </c>
      <c r="T178" s="88" t="str">
        <f t="shared" si="38"/>
        <v/>
      </c>
      <c r="U178" s="84" t="e">
        <f t="shared" si="42"/>
        <v>#VALUE!</v>
      </c>
      <c r="V178" s="88" t="e">
        <f>IF(U178="",0,MAX(0,T178)+N178+ROUND(J178*[2]Setup!$B$9,0)+IF(O178&gt;[2]Setup!$B$10,ROUND(J178*[2]Setup!$B$11,0),0))</f>
        <v>#VALUE!</v>
      </c>
      <c r="W178" s="85" t="str">
        <f>IF(L178="","Open",IF(OR(P178&lt;[2]Setup!$B$6,Q178&gt;[2]Setup!$B$7,R178&gt;[2]Setup!$B$8,O178&gt;[2]Setup!$B$10),"Review","OK"))</f>
        <v>Open</v>
      </c>
      <c r="X178" s="86"/>
      <c r="Z178" s="81" t="str">
        <f t="shared" si="34"/>
        <v>Bao</v>
      </c>
    </row>
    <row r="179" spans="1:26" x14ac:dyDescent="0.3">
      <c r="A179" s="84">
        <v>46174</v>
      </c>
      <c r="B179" s="100">
        <f t="shared" si="32"/>
        <v>23</v>
      </c>
      <c r="C179" s="84" t="str">
        <f t="shared" si="33"/>
        <v>June</v>
      </c>
      <c r="D179" s="85" t="str">
        <f t="shared" si="40"/>
        <v>June</v>
      </c>
      <c r="E179" s="86" t="s">
        <v>220</v>
      </c>
      <c r="F179" s="86" t="s">
        <v>52</v>
      </c>
      <c r="G179" s="86" t="s">
        <v>326</v>
      </c>
      <c r="H179" s="86" t="s">
        <v>221</v>
      </c>
      <c r="I179" s="87">
        <f>IF(F179=0,"",IF(COUNTIF(F179,"Bao"),[2]Setup!$B$4,IF(COUNTIF(F179,"Soup Dumplings"),[2]Setup!$B$5,F179)))</f>
        <v>40000</v>
      </c>
      <c r="J179" s="88">
        <f t="shared" si="41"/>
        <v>40000</v>
      </c>
      <c r="K179" s="88"/>
      <c r="L179" s="87"/>
      <c r="M179" s="87"/>
      <c r="N179" s="87"/>
      <c r="O179" s="87"/>
      <c r="P179" s="89">
        <f t="shared" si="35"/>
        <v>0</v>
      </c>
      <c r="Q179" s="89">
        <f t="shared" si="36"/>
        <v>1</v>
      </c>
      <c r="R179" s="89">
        <f t="shared" si="37"/>
        <v>0</v>
      </c>
      <c r="S179" s="88">
        <f>IF(F179="Bao",[2]Setup!$B$4,IF(F179="Soup Dumplings",[2]Setup!$B$5,""))</f>
        <v>40000</v>
      </c>
      <c r="T179" s="88" t="str">
        <f t="shared" si="38"/>
        <v/>
      </c>
      <c r="U179" s="84" t="e">
        <f t="shared" si="42"/>
        <v>#VALUE!</v>
      </c>
      <c r="V179" s="88" t="e">
        <f>IF(U179="",0,MAX(0,T179)+N179+ROUND(J179*[2]Setup!$B$9,0)+IF(O179&gt;[2]Setup!$B$10,ROUND(J179*[2]Setup!$B$11,0),0))</f>
        <v>#VALUE!</v>
      </c>
      <c r="W179" s="85" t="str">
        <f>IF(L179="","Open",IF(OR(P179&lt;[2]Setup!$B$6,Q179&gt;[2]Setup!$B$7,R179&gt;[2]Setup!$B$8,O179&gt;[2]Setup!$B$10),"Review","OK"))</f>
        <v>Open</v>
      </c>
      <c r="X179" s="86"/>
      <c r="Z179" s="81" t="str">
        <f t="shared" si="34"/>
        <v>Bao</v>
      </c>
    </row>
    <row r="180" spans="1:26" x14ac:dyDescent="0.3">
      <c r="A180" s="84">
        <v>46174</v>
      </c>
      <c r="B180" s="100">
        <f t="shared" si="32"/>
        <v>23</v>
      </c>
      <c r="C180" s="84" t="str">
        <f t="shared" si="33"/>
        <v>June</v>
      </c>
      <c r="D180" s="85" t="str">
        <f t="shared" si="40"/>
        <v>June</v>
      </c>
      <c r="E180" s="86" t="s">
        <v>220</v>
      </c>
      <c r="F180" s="86" t="s">
        <v>222</v>
      </c>
      <c r="G180" s="86" t="s">
        <v>223</v>
      </c>
      <c r="H180" s="86" t="s">
        <v>224</v>
      </c>
      <c r="I180" s="87" t="str">
        <f>IF(F180=0,"",IF(COUNTIF(F180,"Bao"),[2]Setup!$B$4,IF(COUNTIF(F180,"Soup Dumplings"),[2]Setup!$B$5,F180)))</f>
        <v>Bao Prep</v>
      </c>
      <c r="J180" s="88">
        <f t="shared" si="41"/>
        <v>0</v>
      </c>
      <c r="K180" s="88" t="s">
        <v>327</v>
      </c>
      <c r="L180" s="87"/>
      <c r="M180" s="87"/>
      <c r="N180" s="87"/>
      <c r="O180" s="87"/>
      <c r="P180" s="89" t="str">
        <f t="shared" si="35"/>
        <v/>
      </c>
      <c r="Q180" s="89" t="str">
        <f t="shared" si="36"/>
        <v/>
      </c>
      <c r="R180" s="89" t="str">
        <f t="shared" si="37"/>
        <v/>
      </c>
      <c r="S180" s="88" t="str">
        <f>IF(F180="Bao",[2]Setup!$B$4,IF(F180="Soup Dumplings",[2]Setup!$B$5,""))</f>
        <v/>
      </c>
      <c r="T180" s="88" t="str">
        <f t="shared" si="38"/>
        <v/>
      </c>
      <c r="U180" s="84" t="e">
        <f t="shared" si="42"/>
        <v>#VALUE!</v>
      </c>
      <c r="V180" s="88" t="e">
        <f>IF(U180="",0,MAX(0,T180)+N180+ROUND(J180*[2]Setup!$B$9,0)+IF(O180&gt;[2]Setup!$B$10,ROUND(J180*[2]Setup!$B$11,0),0))</f>
        <v>#VALUE!</v>
      </c>
      <c r="W180" s="85" t="str">
        <f>IF(L180="","Open",IF(OR(P180&lt;[2]Setup!$B$6,Q180&gt;[2]Setup!$B$7,R180&gt;[2]Setup!$B$8,O180&gt;[2]Setup!$B$10),"Review","OK"))</f>
        <v>Open</v>
      </c>
      <c r="X180" s="86"/>
      <c r="Z180" s="81" t="str">
        <f t="shared" si="34"/>
        <v>Bao</v>
      </c>
    </row>
    <row r="181" spans="1:26" ht="28.8" x14ac:dyDescent="0.3">
      <c r="A181" s="84">
        <v>46174</v>
      </c>
      <c r="B181" s="100">
        <f t="shared" si="32"/>
        <v>23</v>
      </c>
      <c r="C181" s="84" t="str">
        <f t="shared" si="33"/>
        <v>June</v>
      </c>
      <c r="D181" s="85" t="s">
        <v>328</v>
      </c>
      <c r="E181" s="86" t="s">
        <v>220</v>
      </c>
      <c r="F181" s="86" t="s">
        <v>237</v>
      </c>
      <c r="G181" s="86" t="s">
        <v>303</v>
      </c>
      <c r="H181" s="86" t="s">
        <v>227</v>
      </c>
      <c r="I181" s="87" t="str">
        <f>IF(F181=0,"",IF(COUNTIF(F181,"Bao"),[2]Setup!$B$4,IF(COUNTIF(F181,"Soup Dumplings"),[2]Setup!$B$5,F181)))</f>
        <v>Soup Dumpling Prep</v>
      </c>
      <c r="J181" s="88">
        <f t="shared" si="41"/>
        <v>0</v>
      </c>
      <c r="K181" s="88" t="s">
        <v>293</v>
      </c>
      <c r="L181" s="87"/>
      <c r="M181" s="87"/>
      <c r="N181" s="87"/>
      <c r="O181" s="87"/>
      <c r="P181" s="89" t="str">
        <f t="shared" si="35"/>
        <v/>
      </c>
      <c r="Q181" s="89" t="str">
        <f t="shared" si="36"/>
        <v/>
      </c>
      <c r="R181" s="89" t="str">
        <f t="shared" si="37"/>
        <v/>
      </c>
      <c r="S181" s="88" t="str">
        <f>IF(F181="Bao",[2]Setup!$B$4,IF(F181="Soup Dumplings",[2]Setup!$B$5,""))</f>
        <v/>
      </c>
      <c r="T181" s="88" t="str">
        <f t="shared" si="38"/>
        <v/>
      </c>
      <c r="U181" s="84" t="e">
        <f t="shared" si="42"/>
        <v>#VALUE!</v>
      </c>
      <c r="V181" s="88" t="e">
        <f>IF(U181="",0,MAX(0,T181)+N181+ROUND(J181*[2]Setup!$B$9,0)+IF(O181&gt;[2]Setup!$B$10,ROUND(J181*[2]Setup!$B$11,0),0))</f>
        <v>#VALUE!</v>
      </c>
      <c r="W181" s="85" t="str">
        <f>IF(L181="","Open",IF(OR(P181&lt;[2]Setup!$B$6,Q181&gt;[2]Setup!$B$7,R181&gt;[2]Setup!$B$8,O181&gt;[2]Setup!$B$10),"Review","OK"))</f>
        <v>Open</v>
      </c>
      <c r="X181" s="86"/>
      <c r="Z181" s="81" t="str">
        <f t="shared" si="34"/>
        <v>Sou</v>
      </c>
    </row>
    <row r="182" spans="1:26" x14ac:dyDescent="0.3">
      <c r="A182" s="84">
        <v>46174</v>
      </c>
      <c r="B182" s="100">
        <f t="shared" si="32"/>
        <v>23</v>
      </c>
      <c r="C182" s="84" t="str">
        <f t="shared" si="33"/>
        <v>June</v>
      </c>
      <c r="D182" s="85" t="str">
        <f t="shared" si="40"/>
        <v>June</v>
      </c>
      <c r="E182" s="86" t="s">
        <v>220</v>
      </c>
      <c r="F182" s="86" t="s">
        <v>222</v>
      </c>
      <c r="G182" s="86" t="s">
        <v>235</v>
      </c>
      <c r="H182" s="86" t="s">
        <v>227</v>
      </c>
      <c r="I182" s="87" t="str">
        <f>IF(F182=0,"",IF(COUNTIF(F182,"Bao"),[2]Setup!$B$4,IF(COUNTIF(F182,"Soup Dumplings"),[2]Setup!$B$5,F182)))</f>
        <v>Bao Prep</v>
      </c>
      <c r="J182" s="88">
        <f t="shared" si="41"/>
        <v>0</v>
      </c>
      <c r="K182" s="88" t="s">
        <v>236</v>
      </c>
      <c r="L182" s="87"/>
      <c r="M182" s="87"/>
      <c r="N182" s="87"/>
      <c r="O182" s="87"/>
      <c r="P182" s="89" t="str">
        <f t="shared" si="35"/>
        <v/>
      </c>
      <c r="Q182" s="89" t="str">
        <f t="shared" si="36"/>
        <v/>
      </c>
      <c r="R182" s="89" t="str">
        <f t="shared" si="37"/>
        <v/>
      </c>
      <c r="S182" s="88" t="str">
        <f>IF(F182="Bao",[2]Setup!$B$4,IF(F182="Soup Dumplings",[2]Setup!$B$5,""))</f>
        <v/>
      </c>
      <c r="T182" s="88" t="str">
        <f t="shared" si="38"/>
        <v/>
      </c>
      <c r="U182" s="84" t="e">
        <f t="shared" si="42"/>
        <v>#VALUE!</v>
      </c>
      <c r="V182" s="88" t="e">
        <f>IF(U182="",0,MAX(0,T182)+N182+ROUND(J182*[2]Setup!$B$9,0)+IF(O182&gt;[2]Setup!$B$10,ROUND(J182*[2]Setup!$B$11,0),0))</f>
        <v>#VALUE!</v>
      </c>
      <c r="W182" s="85" t="str">
        <f>IF(L182="","Open",IF(OR(P182&lt;[2]Setup!$B$6,Q182&gt;[2]Setup!$B$7,R182&gt;[2]Setup!$B$8,O182&gt;[2]Setup!$B$10),"Review","OK"))</f>
        <v>Open</v>
      </c>
      <c r="X182" s="86"/>
      <c r="Z182" s="81" t="str">
        <f t="shared" si="34"/>
        <v>Bao</v>
      </c>
    </row>
    <row r="183" spans="1:26" ht="28.8" x14ac:dyDescent="0.3">
      <c r="A183" s="84">
        <v>46174</v>
      </c>
      <c r="B183" s="100">
        <f t="shared" si="32"/>
        <v>23</v>
      </c>
      <c r="C183" s="84" t="str">
        <f t="shared" si="33"/>
        <v>June</v>
      </c>
      <c r="D183" s="85" t="str">
        <f t="shared" si="40"/>
        <v>June</v>
      </c>
      <c r="E183" s="86" t="s">
        <v>220</v>
      </c>
      <c r="F183" s="86" t="s">
        <v>237</v>
      </c>
      <c r="G183" s="86" t="s">
        <v>259</v>
      </c>
      <c r="H183" s="86" t="s">
        <v>227</v>
      </c>
      <c r="I183" s="87" t="str">
        <f>IF(F183=0,"",IF(COUNTIF(F183,"Bao"),[2]Setup!$B$4,IF(COUNTIF(F183,"Soup Dumplings"),[2]Setup!$B$5,F183)))</f>
        <v>Soup Dumpling Prep</v>
      </c>
      <c r="J183" s="88">
        <f t="shared" si="41"/>
        <v>0</v>
      </c>
      <c r="K183" s="88" t="s">
        <v>308</v>
      </c>
      <c r="L183" s="87"/>
      <c r="M183" s="87"/>
      <c r="N183" s="87"/>
      <c r="O183" s="87"/>
      <c r="P183" s="89" t="str">
        <f t="shared" si="35"/>
        <v/>
      </c>
      <c r="Q183" s="89" t="str">
        <f t="shared" si="36"/>
        <v/>
      </c>
      <c r="R183" s="89" t="str">
        <f t="shared" si="37"/>
        <v/>
      </c>
      <c r="S183" s="88" t="str">
        <f>IF(F183="Bao",[2]Setup!$B$4,IF(F183="Soup Dumplings",[2]Setup!$B$5,""))</f>
        <v/>
      </c>
      <c r="T183" s="88" t="str">
        <f t="shared" si="38"/>
        <v/>
      </c>
      <c r="U183" s="84" t="e">
        <f t="shared" si="42"/>
        <v>#VALUE!</v>
      </c>
      <c r="V183" s="88" t="e">
        <f>IF(U183="",0,MAX(0,T183)+N183+ROUND(J183*[2]Setup!$B$9,0)+IF(O183&gt;[2]Setup!$B$10,ROUND(J183*[2]Setup!$B$11,0),0))</f>
        <v>#VALUE!</v>
      </c>
      <c r="W183" s="85" t="str">
        <f>IF(L183="","Open",IF(OR(P183&lt;[2]Setup!$B$6,Q183&gt;[2]Setup!$B$7,R183&gt;[2]Setup!$B$8,O183&gt;[2]Setup!$B$10),"Review","OK"))</f>
        <v>Open</v>
      </c>
      <c r="X183" s="86"/>
      <c r="Z183" s="81" t="str">
        <f t="shared" si="34"/>
        <v>Sou</v>
      </c>
    </row>
    <row r="184" spans="1:26" ht="28.8" x14ac:dyDescent="0.3">
      <c r="A184" s="84">
        <v>46174</v>
      </c>
      <c r="B184" s="100">
        <f t="shared" si="32"/>
        <v>23</v>
      </c>
      <c r="C184" s="84" t="str">
        <f t="shared" si="33"/>
        <v>June</v>
      </c>
      <c r="D184" s="85" t="str">
        <f t="shared" si="40"/>
        <v>June</v>
      </c>
      <c r="E184" s="86" t="s">
        <v>220</v>
      </c>
      <c r="F184" s="86" t="s">
        <v>237</v>
      </c>
      <c r="G184" s="86" t="s">
        <v>242</v>
      </c>
      <c r="H184" s="86" t="s">
        <v>232</v>
      </c>
      <c r="I184" s="87" t="str">
        <f>IF(F184=0,"",IF(COUNTIF(F184,"Bao"),[2]Setup!$B$4,IF(COUNTIF(F184,"Soup Dumplings"),[2]Setup!$B$5,F184)))</f>
        <v>Soup Dumpling Prep</v>
      </c>
      <c r="J184" s="88">
        <f t="shared" si="41"/>
        <v>0</v>
      </c>
      <c r="K184" s="88" t="s">
        <v>329</v>
      </c>
      <c r="L184" s="87"/>
      <c r="M184" s="87"/>
      <c r="N184" s="87"/>
      <c r="O184" s="87"/>
      <c r="P184" s="89" t="str">
        <f t="shared" si="35"/>
        <v/>
      </c>
      <c r="Q184" s="89" t="str">
        <f t="shared" si="36"/>
        <v/>
      </c>
      <c r="R184" s="89" t="str">
        <f t="shared" si="37"/>
        <v/>
      </c>
      <c r="S184" s="88" t="str">
        <f>IF(F184="Bao",[2]Setup!$B$4,IF(F184="Soup Dumplings",[2]Setup!$B$5,""))</f>
        <v/>
      </c>
      <c r="T184" s="88" t="str">
        <f t="shared" si="38"/>
        <v/>
      </c>
      <c r="U184" s="84" t="e">
        <f t="shared" si="42"/>
        <v>#VALUE!</v>
      </c>
      <c r="V184" s="88" t="e">
        <f>IF(U184="",0,MAX(0,T184)+N184+ROUND(J184*[2]Setup!$B$9,0)+IF(O184&gt;[2]Setup!$B$10,ROUND(J184*[2]Setup!$B$11,0),0))</f>
        <v>#VALUE!</v>
      </c>
      <c r="W184" s="85" t="str">
        <f>IF(L184="","Open",IF(OR(P184&lt;[2]Setup!$B$6,Q184&gt;[2]Setup!$B$7,R184&gt;[2]Setup!$B$8,O184&gt;[2]Setup!$B$10),"Review","OK"))</f>
        <v>Open</v>
      </c>
      <c r="X184" s="86"/>
      <c r="Z184" s="81" t="str">
        <f t="shared" si="34"/>
        <v>Sou</v>
      </c>
    </row>
    <row r="185" spans="1:26" ht="28.8" x14ac:dyDescent="0.3">
      <c r="A185" s="84">
        <v>46174</v>
      </c>
      <c r="B185" s="100">
        <f t="shared" si="32"/>
        <v>23</v>
      </c>
      <c r="C185" s="84" t="str">
        <f t="shared" si="33"/>
        <v>June</v>
      </c>
      <c r="D185" s="85" t="str">
        <f t="shared" si="40"/>
        <v>June</v>
      </c>
      <c r="E185" s="86" t="s">
        <v>220</v>
      </c>
      <c r="F185" s="86" t="s">
        <v>237</v>
      </c>
      <c r="G185" s="86" t="s">
        <v>287</v>
      </c>
      <c r="H185" s="86" t="s">
        <v>227</v>
      </c>
      <c r="I185" s="87" t="str">
        <f>IF(F185=0,"",IF(COUNTIF(F185,"Bao"),[2]Setup!$B$4,IF(COUNTIF(F185,"Soup Dumplings"),[2]Setup!$B$5,F185)))</f>
        <v>Soup Dumpling Prep</v>
      </c>
      <c r="J185" s="88">
        <f t="shared" si="41"/>
        <v>0</v>
      </c>
      <c r="K185" s="88" t="s">
        <v>330</v>
      </c>
      <c r="L185" s="87"/>
      <c r="M185" s="87"/>
      <c r="N185" s="87"/>
      <c r="O185" s="87"/>
      <c r="P185" s="89" t="str">
        <f t="shared" si="35"/>
        <v/>
      </c>
      <c r="Q185" s="89" t="str">
        <f t="shared" si="36"/>
        <v/>
      </c>
      <c r="R185" s="89" t="str">
        <f t="shared" si="37"/>
        <v/>
      </c>
      <c r="S185" s="88" t="str">
        <f>IF(F185="Bao",[2]Setup!$B$4,IF(F185="Soup Dumplings",[2]Setup!$B$5,""))</f>
        <v/>
      </c>
      <c r="T185" s="88" t="str">
        <f t="shared" si="38"/>
        <v/>
      </c>
      <c r="U185" s="84" t="e">
        <f t="shared" si="42"/>
        <v>#VALUE!</v>
      </c>
      <c r="V185" s="88" t="e">
        <f>IF(U185="",0,MAX(0,T185)+N185+ROUND(J185*[2]Setup!$B$9,0)+IF(O185&gt;[2]Setup!$B$10,ROUND(J185*[2]Setup!$B$11,0),0))</f>
        <v>#VALUE!</v>
      </c>
      <c r="W185" s="85" t="str">
        <f>IF(L185="","Open",IF(OR(P185&lt;[2]Setup!$B$6,Q185&gt;[2]Setup!$B$7,R185&gt;[2]Setup!$B$8,O185&gt;[2]Setup!$B$10),"Review","OK"))</f>
        <v>Open</v>
      </c>
      <c r="X185" s="86"/>
      <c r="Z185" s="81" t="str">
        <f t="shared" si="34"/>
        <v>Sou</v>
      </c>
    </row>
    <row r="186" spans="1:26" x14ac:dyDescent="0.3">
      <c r="A186" s="84">
        <v>46174</v>
      </c>
      <c r="B186" s="100">
        <f t="shared" si="32"/>
        <v>23</v>
      </c>
      <c r="C186" s="84" t="str">
        <f t="shared" si="33"/>
        <v>June</v>
      </c>
      <c r="D186" s="85" t="str">
        <f t="shared" si="40"/>
        <v>June</v>
      </c>
      <c r="E186" s="86" t="s">
        <v>220</v>
      </c>
      <c r="F186" s="86" t="s">
        <v>222</v>
      </c>
      <c r="G186" s="86" t="s">
        <v>257</v>
      </c>
      <c r="H186" s="86" t="s">
        <v>227</v>
      </c>
      <c r="I186" s="87" t="str">
        <f>IF(F186=0,"",IF(COUNTIF(F186,"Bao"),[2]Setup!$B$4,IF(COUNTIF(F186,"Soup Dumplings"),[2]Setup!$B$5,F186)))</f>
        <v>Bao Prep</v>
      </c>
      <c r="J186" s="88">
        <f t="shared" si="41"/>
        <v>0</v>
      </c>
      <c r="K186" s="88" t="s">
        <v>258</v>
      </c>
      <c r="L186" s="87"/>
      <c r="M186" s="87"/>
      <c r="N186" s="87"/>
      <c r="O186" s="87"/>
      <c r="P186" s="89" t="str">
        <f t="shared" si="35"/>
        <v/>
      </c>
      <c r="Q186" s="89" t="str">
        <f t="shared" si="36"/>
        <v/>
      </c>
      <c r="R186" s="89" t="str">
        <f t="shared" si="37"/>
        <v/>
      </c>
      <c r="S186" s="88" t="str">
        <f>IF(F186="Bao",[2]Setup!$B$4,IF(F186="Soup Dumplings",[2]Setup!$B$5,""))</f>
        <v/>
      </c>
      <c r="T186" s="88" t="str">
        <f t="shared" si="38"/>
        <v/>
      </c>
      <c r="U186" s="84" t="e">
        <f t="shared" si="42"/>
        <v>#VALUE!</v>
      </c>
      <c r="V186" s="88" t="e">
        <f>IF(U186="",0,MAX(0,T186)+N186+ROUND(J186*[2]Setup!$B$9,0)+IF(O186&gt;[2]Setup!$B$10,ROUND(J186*[2]Setup!$B$11,0),0))</f>
        <v>#VALUE!</v>
      </c>
      <c r="W186" s="85" t="str">
        <f>IF(L186="","Open",IF(OR(P186&lt;[2]Setup!$B$6,Q186&gt;[2]Setup!$B$7,R186&gt;[2]Setup!$B$8,O186&gt;[2]Setup!$B$10),"Review","OK"))</f>
        <v>Open</v>
      </c>
      <c r="X186" s="86"/>
      <c r="Z186" s="81" t="str">
        <f t="shared" si="34"/>
        <v>Bao</v>
      </c>
    </row>
    <row r="187" spans="1:26" x14ac:dyDescent="0.3">
      <c r="A187" s="84">
        <v>46174</v>
      </c>
      <c r="B187" s="100">
        <f t="shared" si="32"/>
        <v>23</v>
      </c>
      <c r="C187" s="84" t="str">
        <f t="shared" si="33"/>
        <v>June</v>
      </c>
      <c r="D187" s="85" t="str">
        <f t="shared" si="40"/>
        <v>June</v>
      </c>
      <c r="E187" s="86" t="s">
        <v>220</v>
      </c>
      <c r="F187" s="86" t="s">
        <v>222</v>
      </c>
      <c r="G187" s="86" t="s">
        <v>231</v>
      </c>
      <c r="H187" s="86" t="s">
        <v>227</v>
      </c>
      <c r="I187" s="87" t="str">
        <f>IF(F187=0,"",IF(COUNTIF(F187,"Bao"),[2]Setup!$B$4,IF(COUNTIF(F187,"Soup Dumplings"),[2]Setup!$B$5,F187)))</f>
        <v>Bao Prep</v>
      </c>
      <c r="J187" s="88">
        <f t="shared" si="41"/>
        <v>0</v>
      </c>
      <c r="K187" s="88" t="s">
        <v>310</v>
      </c>
      <c r="L187" s="87"/>
      <c r="M187" s="87"/>
      <c r="N187" s="87"/>
      <c r="O187" s="87"/>
      <c r="P187" s="89" t="str">
        <f t="shared" si="35"/>
        <v/>
      </c>
      <c r="Q187" s="89" t="str">
        <f t="shared" si="36"/>
        <v/>
      </c>
      <c r="R187" s="89" t="str">
        <f t="shared" si="37"/>
        <v/>
      </c>
      <c r="S187" s="88" t="str">
        <f>IF(F187="Bao",[2]Setup!$B$4,IF(F187="Soup Dumplings",[2]Setup!$B$5,""))</f>
        <v/>
      </c>
      <c r="T187" s="88" t="str">
        <f t="shared" si="38"/>
        <v/>
      </c>
      <c r="U187" s="84" t="e">
        <f t="shared" si="42"/>
        <v>#VALUE!</v>
      </c>
      <c r="V187" s="88" t="e">
        <f>IF(U187="",0,MAX(0,T187)+N187+ROUND(J187*[2]Setup!$B$9,0)+IF(O187&gt;[2]Setup!$B$10,ROUND(J187*[2]Setup!$B$11,0),0))</f>
        <v>#VALUE!</v>
      </c>
      <c r="W187" s="85" t="str">
        <f>IF(L187="","Open",IF(OR(P187&lt;[2]Setup!$B$6,Q187&gt;[2]Setup!$B$7,R187&gt;[2]Setup!$B$8,O187&gt;[2]Setup!$B$10),"Review","OK"))</f>
        <v>Open</v>
      </c>
      <c r="X187" s="86"/>
      <c r="Z187" s="81" t="str">
        <f t="shared" si="34"/>
        <v>Bao</v>
      </c>
    </row>
    <row r="188" spans="1:26" x14ac:dyDescent="0.3">
      <c r="A188" s="84">
        <v>46174</v>
      </c>
      <c r="B188" s="100">
        <f t="shared" si="32"/>
        <v>23</v>
      </c>
      <c r="C188" s="84" t="str">
        <f t="shared" si="33"/>
        <v>June</v>
      </c>
      <c r="D188" s="85" t="str">
        <f t="shared" si="40"/>
        <v>June</v>
      </c>
      <c r="E188" s="86" t="s">
        <v>220</v>
      </c>
      <c r="F188" s="86" t="s">
        <v>87</v>
      </c>
      <c r="G188" s="86" t="s">
        <v>313</v>
      </c>
      <c r="H188" s="86" t="s">
        <v>245</v>
      </c>
      <c r="I188" s="87">
        <v>70000</v>
      </c>
      <c r="J188" s="88">
        <f t="shared" si="41"/>
        <v>70000</v>
      </c>
      <c r="K188" s="88"/>
      <c r="L188" s="87"/>
      <c r="M188" s="87"/>
      <c r="N188" s="87"/>
      <c r="O188" s="87"/>
      <c r="P188" s="89">
        <f t="shared" si="35"/>
        <v>0</v>
      </c>
      <c r="Q188" s="89">
        <f t="shared" si="36"/>
        <v>1</v>
      </c>
      <c r="R188" s="89">
        <f t="shared" si="37"/>
        <v>0</v>
      </c>
      <c r="S188" s="88">
        <f>IF(F188="Bao",[2]Setup!$B$4,IF(F188="Soup Dumplings",[2]Setup!$B$5,""))</f>
        <v>90000</v>
      </c>
      <c r="T188" s="88" t="str">
        <f t="shared" si="38"/>
        <v/>
      </c>
      <c r="U188" s="84" t="e">
        <f t="shared" si="42"/>
        <v>#VALUE!</v>
      </c>
      <c r="V188" s="88" t="e">
        <f>IF(U188="",0,MAX(0,T188)+N188+ROUND(J188*[2]Setup!$B$9,0)+IF(O188&gt;[2]Setup!$B$10,ROUND(J188*[2]Setup!$B$11,0),0))</f>
        <v>#VALUE!</v>
      </c>
      <c r="W188" s="85" t="str">
        <f>IF(L188="","Open",IF(OR(P188&lt;[2]Setup!$B$6,Q188&gt;[2]Setup!$B$7,R188&gt;[2]Setup!$B$8,O188&gt;[2]Setup!$B$10),"Review","OK"))</f>
        <v>Open</v>
      </c>
      <c r="X188" s="86"/>
      <c r="Z188" s="81" t="str">
        <f t="shared" si="34"/>
        <v>Sou</v>
      </c>
    </row>
    <row r="189" spans="1:26" ht="28.8" x14ac:dyDescent="0.3">
      <c r="A189" s="84">
        <v>46175</v>
      </c>
      <c r="B189" s="100">
        <f t="shared" si="32"/>
        <v>23</v>
      </c>
      <c r="C189" s="84" t="str">
        <f t="shared" si="33"/>
        <v>June</v>
      </c>
      <c r="D189" s="85" t="str">
        <f t="shared" si="40"/>
        <v>June</v>
      </c>
      <c r="E189" s="86" t="s">
        <v>220</v>
      </c>
      <c r="F189" s="86" t="s">
        <v>237</v>
      </c>
      <c r="G189" s="86" t="s">
        <v>303</v>
      </c>
      <c r="H189" s="86" t="s">
        <v>229</v>
      </c>
      <c r="I189" s="87" t="str">
        <f>IF(F189=0,"",IF(COUNTIF(F189,"Bao"),[2]Setup!$B$4,IF(COUNTIF(F189,"Soup Dumplings"),[2]Setup!$B$5,F189)))</f>
        <v>Soup Dumpling Prep</v>
      </c>
      <c r="J189" s="88">
        <f t="shared" si="41"/>
        <v>0</v>
      </c>
      <c r="K189" s="88" t="s">
        <v>323</v>
      </c>
      <c r="L189" s="87"/>
      <c r="M189" s="87"/>
      <c r="N189" s="87"/>
      <c r="O189" s="87"/>
      <c r="P189" s="89" t="str">
        <f t="shared" si="35"/>
        <v/>
      </c>
      <c r="Q189" s="89" t="str">
        <f t="shared" si="36"/>
        <v/>
      </c>
      <c r="R189" s="89" t="str">
        <f t="shared" si="37"/>
        <v/>
      </c>
      <c r="S189" s="88" t="str">
        <f>IF(F189="Bao",[2]Setup!$B$4,IF(F189="Soup Dumplings",[2]Setup!$B$5,""))</f>
        <v/>
      </c>
      <c r="T189" s="88" t="str">
        <f t="shared" si="38"/>
        <v/>
      </c>
      <c r="U189" s="84" t="e">
        <f t="shared" si="42"/>
        <v>#VALUE!</v>
      </c>
      <c r="V189" s="88" t="e">
        <f>IF(U189="",0,MAX(0,T189)+N189+ROUND(J189*[2]Setup!$B$9,0)+IF(O189&gt;[2]Setup!$B$10,ROUND(J189*[2]Setup!$B$11,0),0))</f>
        <v>#VALUE!</v>
      </c>
      <c r="W189" s="85" t="str">
        <f>IF(L189="","Open",IF(OR(P189&lt;[2]Setup!$B$6,Q189&gt;[2]Setup!$B$7,R189&gt;[2]Setup!$B$8,O189&gt;[2]Setup!$B$10),"Review","OK"))</f>
        <v>Open</v>
      </c>
      <c r="X189" s="86"/>
      <c r="Z189" s="81" t="str">
        <f t="shared" si="34"/>
        <v>Sou</v>
      </c>
    </row>
    <row r="190" spans="1:26" ht="28.8" x14ac:dyDescent="0.3">
      <c r="A190" s="84">
        <v>46175</v>
      </c>
      <c r="B190" s="100">
        <f t="shared" si="32"/>
        <v>23</v>
      </c>
      <c r="C190" s="84" t="str">
        <f t="shared" si="33"/>
        <v>June</v>
      </c>
      <c r="D190" s="85" t="str">
        <f t="shared" si="40"/>
        <v>June</v>
      </c>
      <c r="E190" s="86" t="s">
        <v>220</v>
      </c>
      <c r="F190" s="86" t="s">
        <v>237</v>
      </c>
      <c r="G190" s="86" t="s">
        <v>240</v>
      </c>
      <c r="H190" s="86" t="s">
        <v>224</v>
      </c>
      <c r="I190" s="87" t="str">
        <f>IF(F190=0,"",IF(COUNTIF(F190,"Bao"),[2]Setup!$B$4,IF(COUNTIF(F190,"Soup Dumplings"),[2]Setup!$B$5,F190)))</f>
        <v>Soup Dumpling Prep</v>
      </c>
      <c r="J190" s="88">
        <f t="shared" si="41"/>
        <v>0</v>
      </c>
      <c r="K190" s="88"/>
      <c r="L190" s="87"/>
      <c r="M190" s="87"/>
      <c r="N190" s="87"/>
      <c r="O190" s="87"/>
      <c r="P190" s="89" t="str">
        <f t="shared" si="35"/>
        <v/>
      </c>
      <c r="Q190" s="89" t="str">
        <f t="shared" si="36"/>
        <v/>
      </c>
      <c r="R190" s="89" t="str">
        <f t="shared" si="37"/>
        <v/>
      </c>
      <c r="S190" s="88" t="str">
        <f>IF(F190="Bao",[2]Setup!$B$4,IF(F190="Soup Dumplings",[2]Setup!$B$5,""))</f>
        <v/>
      </c>
      <c r="T190" s="88" t="str">
        <f t="shared" si="38"/>
        <v/>
      </c>
      <c r="U190" s="84" t="e">
        <f t="shared" si="42"/>
        <v>#VALUE!</v>
      </c>
      <c r="V190" s="88" t="e">
        <f>IF(U190="",0,MAX(0,T190)+N190+ROUND(J190*[2]Setup!$B$9,0)+IF(O190&gt;[2]Setup!$B$10,ROUND(J190*[2]Setup!$B$11,0),0))</f>
        <v>#VALUE!</v>
      </c>
      <c r="W190" s="85" t="str">
        <f>IF(L190="","Open",IF(OR(P190&lt;[2]Setup!$B$6,Q190&gt;[2]Setup!$B$7,R190&gt;[2]Setup!$B$8,O190&gt;[2]Setup!$B$10),"Review","OK"))</f>
        <v>Open</v>
      </c>
      <c r="X190" s="86"/>
      <c r="Z190" s="81" t="str">
        <f t="shared" si="34"/>
        <v>Sou</v>
      </c>
    </row>
    <row r="191" spans="1:26" ht="43.2" x14ac:dyDescent="0.3">
      <c r="A191" s="84">
        <v>46175</v>
      </c>
      <c r="B191" s="100">
        <f t="shared" si="32"/>
        <v>23</v>
      </c>
      <c r="C191" s="84" t="str">
        <f t="shared" si="33"/>
        <v>June</v>
      </c>
      <c r="D191" s="85" t="str">
        <f t="shared" si="40"/>
        <v>June</v>
      </c>
      <c r="E191" s="86" t="s">
        <v>220</v>
      </c>
      <c r="F191" s="86" t="s">
        <v>222</v>
      </c>
      <c r="G191" s="86" t="s">
        <v>276</v>
      </c>
      <c r="H191" s="86" t="s">
        <v>229</v>
      </c>
      <c r="I191" s="87" t="str">
        <f>IF(F191=0,"",IF(COUNTIF(F191,"Bao"),[2]Setup!$B$4,IF(COUNTIF(F191,"Soup Dumplings"),[2]Setup!$B$5,F191)))</f>
        <v>Bao Prep</v>
      </c>
      <c r="J191" s="88">
        <f t="shared" si="41"/>
        <v>0</v>
      </c>
      <c r="K191" s="88" t="s">
        <v>331</v>
      </c>
      <c r="L191" s="87"/>
      <c r="M191" s="87"/>
      <c r="N191" s="87"/>
      <c r="O191" s="87"/>
      <c r="P191" s="89" t="str">
        <f t="shared" si="35"/>
        <v/>
      </c>
      <c r="Q191" s="89" t="str">
        <f t="shared" si="36"/>
        <v/>
      </c>
      <c r="R191" s="89" t="str">
        <f t="shared" si="37"/>
        <v/>
      </c>
      <c r="S191" s="88" t="str">
        <f>IF(F191="Bao",[2]Setup!$B$4,IF(F191="Soup Dumplings",[2]Setup!$B$5,""))</f>
        <v/>
      </c>
      <c r="T191" s="88" t="str">
        <f t="shared" si="38"/>
        <v/>
      </c>
      <c r="U191" s="84" t="e">
        <f t="shared" si="42"/>
        <v>#VALUE!</v>
      </c>
      <c r="V191" s="88" t="e">
        <f>IF(U191="",0,MAX(0,T191)+N191+ROUND(J191*[2]Setup!$B$9,0)+IF(O191&gt;[2]Setup!$B$10,ROUND(J191*[2]Setup!$B$11,0),0))</f>
        <v>#VALUE!</v>
      </c>
      <c r="W191" s="85" t="str">
        <f>IF(L191="","Open",IF(OR(P191&lt;[2]Setup!$B$6,Q191&gt;[2]Setup!$B$7,R191&gt;[2]Setup!$B$8,O191&gt;[2]Setup!$B$10),"Review","OK"))</f>
        <v>Open</v>
      </c>
      <c r="X191" s="86"/>
      <c r="Z191" s="81" t="str">
        <f t="shared" si="34"/>
        <v>Bao</v>
      </c>
    </row>
    <row r="192" spans="1:26" ht="28.8" x14ac:dyDescent="0.3">
      <c r="A192" s="84">
        <v>46175</v>
      </c>
      <c r="B192" s="100">
        <f t="shared" si="32"/>
        <v>23</v>
      </c>
      <c r="C192" s="84" t="str">
        <f t="shared" si="33"/>
        <v>June</v>
      </c>
      <c r="D192" s="85" t="str">
        <f t="shared" si="40"/>
        <v>June</v>
      </c>
      <c r="E192" s="86" t="s">
        <v>220</v>
      </c>
      <c r="F192" s="86" t="s">
        <v>222</v>
      </c>
      <c r="G192" s="86" t="s">
        <v>226</v>
      </c>
      <c r="H192" s="86" t="s">
        <v>229</v>
      </c>
      <c r="I192" s="87" t="str">
        <f>IF(F192=0,"",IF(COUNTIF(F192,"Bao"),[2]Setup!$B$4,IF(COUNTIF(F192,"Soup Dumplings"),[2]Setup!$B$5,F192)))</f>
        <v>Bao Prep</v>
      </c>
      <c r="J192" s="88">
        <f t="shared" si="41"/>
        <v>0</v>
      </c>
      <c r="K192" s="88" t="s">
        <v>332</v>
      </c>
      <c r="L192" s="87"/>
      <c r="M192" s="87"/>
      <c r="N192" s="87"/>
      <c r="O192" s="87"/>
      <c r="P192" s="89" t="str">
        <f t="shared" si="35"/>
        <v/>
      </c>
      <c r="Q192" s="89" t="str">
        <f t="shared" si="36"/>
        <v/>
      </c>
      <c r="R192" s="89" t="str">
        <f t="shared" si="37"/>
        <v/>
      </c>
      <c r="S192" s="88" t="str">
        <f>IF(F192="Bao",[2]Setup!$B$4,IF(F192="Soup Dumplings",[2]Setup!$B$5,""))</f>
        <v/>
      </c>
      <c r="T192" s="88" t="str">
        <f t="shared" si="38"/>
        <v/>
      </c>
      <c r="U192" s="84" t="e">
        <f t="shared" si="42"/>
        <v>#VALUE!</v>
      </c>
      <c r="V192" s="88" t="e">
        <f>IF(U192="",0,MAX(0,T192)+N192+ROUND(J192*[2]Setup!$B$9,0)+IF(O192&gt;[2]Setup!$B$10,ROUND(J192*[2]Setup!$B$11,0),0))</f>
        <v>#VALUE!</v>
      </c>
      <c r="W192" s="85" t="str">
        <f>IF(L192="","Open",IF(OR(P192&lt;[2]Setup!$B$6,Q192&gt;[2]Setup!$B$7,R192&gt;[2]Setup!$B$8,O192&gt;[2]Setup!$B$10),"Review","OK"))</f>
        <v>Open</v>
      </c>
      <c r="X192" s="86"/>
      <c r="Z192" s="81" t="str">
        <f t="shared" si="34"/>
        <v>Bao</v>
      </c>
    </row>
    <row r="193" spans="1:26" x14ac:dyDescent="0.3">
      <c r="A193" s="84">
        <v>46175</v>
      </c>
      <c r="B193" s="100">
        <f t="shared" si="32"/>
        <v>23</v>
      </c>
      <c r="C193" s="84" t="str">
        <f t="shared" si="33"/>
        <v>June</v>
      </c>
      <c r="D193" s="85" t="str">
        <f t="shared" si="40"/>
        <v>June</v>
      </c>
      <c r="E193" s="86" t="s">
        <v>220</v>
      </c>
      <c r="F193" s="86" t="s">
        <v>52</v>
      </c>
      <c r="G193" s="86" t="s">
        <v>82</v>
      </c>
      <c r="H193" s="86" t="s">
        <v>221</v>
      </c>
      <c r="I193" s="87">
        <f>IF(F193=0,"",IF(COUNTIF(F193,"Bao"),[2]Setup!$B$4,IF(COUNTIF(F193,"Soup Dumplings"),[2]Setup!$B$5,F193)))</f>
        <v>40000</v>
      </c>
      <c r="J193" s="88">
        <f t="shared" si="41"/>
        <v>40000</v>
      </c>
      <c r="K193" s="88"/>
      <c r="L193" s="87"/>
      <c r="M193" s="87"/>
      <c r="N193" s="87"/>
      <c r="O193" s="87"/>
      <c r="P193" s="89">
        <f t="shared" si="35"/>
        <v>0</v>
      </c>
      <c r="Q193" s="89">
        <f t="shared" si="36"/>
        <v>1</v>
      </c>
      <c r="R193" s="89">
        <f t="shared" si="37"/>
        <v>0</v>
      </c>
      <c r="S193" s="88">
        <f>IF(F193="Bao",[2]Setup!$B$4,IF(F193="Soup Dumplings",[2]Setup!$B$5,""))</f>
        <v>40000</v>
      </c>
      <c r="T193" s="88" t="str">
        <f t="shared" si="38"/>
        <v/>
      </c>
      <c r="U193" s="84" t="e">
        <f t="shared" si="42"/>
        <v>#VALUE!</v>
      </c>
      <c r="V193" s="88" t="e">
        <f>IF(U193="",0,MAX(0,T193)+N193+ROUND(J193*[2]Setup!$B$9,0)+IF(O193&gt;[2]Setup!$B$10,ROUND(J193*[2]Setup!$B$11,0),0))</f>
        <v>#VALUE!</v>
      </c>
      <c r="W193" s="85" t="str">
        <f>IF(L193="","Open",IF(OR(P193&lt;[2]Setup!$B$6,Q193&gt;[2]Setup!$B$7,R193&gt;[2]Setup!$B$8,O193&gt;[2]Setup!$B$10),"Review","OK"))</f>
        <v>Open</v>
      </c>
      <c r="X193" s="86"/>
      <c r="Z193" s="81" t="str">
        <f t="shared" si="34"/>
        <v>Bao</v>
      </c>
    </row>
    <row r="194" spans="1:26" x14ac:dyDescent="0.3">
      <c r="A194" s="84">
        <v>46175</v>
      </c>
      <c r="B194" s="100">
        <f t="shared" si="32"/>
        <v>23</v>
      </c>
      <c r="C194" s="84" t="str">
        <f t="shared" si="33"/>
        <v>June</v>
      </c>
      <c r="D194" s="85" t="str">
        <f t="shared" si="40"/>
        <v>June</v>
      </c>
      <c r="E194" s="86" t="s">
        <v>220</v>
      </c>
      <c r="F194" s="86" t="s">
        <v>222</v>
      </c>
      <c r="G194" s="86" t="s">
        <v>223</v>
      </c>
      <c r="H194" s="86" t="s">
        <v>224</v>
      </c>
      <c r="I194" s="87" t="str">
        <f>IF(F194=0,"",IF(COUNTIF(F194,"Bao"),[2]Setup!$B$4,IF(COUNTIF(F194,"Soup Dumplings"),[2]Setup!$B$5,F194)))</f>
        <v>Bao Prep</v>
      </c>
      <c r="J194" s="88">
        <f t="shared" si="41"/>
        <v>0</v>
      </c>
      <c r="K194" s="88" t="s">
        <v>327</v>
      </c>
      <c r="L194" s="87"/>
      <c r="M194" s="87"/>
      <c r="N194" s="87"/>
      <c r="O194" s="87"/>
      <c r="P194" s="89" t="str">
        <f t="shared" si="35"/>
        <v/>
      </c>
      <c r="Q194" s="89" t="str">
        <f t="shared" si="36"/>
        <v/>
      </c>
      <c r="R194" s="89" t="str">
        <f t="shared" si="37"/>
        <v/>
      </c>
      <c r="S194" s="88" t="str">
        <f>IF(F194="Bao",[2]Setup!$B$4,IF(F194="Soup Dumplings",[2]Setup!$B$5,""))</f>
        <v/>
      </c>
      <c r="T194" s="88" t="str">
        <f t="shared" si="38"/>
        <v/>
      </c>
      <c r="U194" s="84" t="e">
        <f t="shared" si="42"/>
        <v>#VALUE!</v>
      </c>
      <c r="V194" s="88" t="e">
        <f>IF(U194="",0,MAX(0,T194)+N194+ROUND(J194*[2]Setup!$B$9,0)+IF(O194&gt;[2]Setup!$B$10,ROUND(J194*[2]Setup!$B$11,0),0))</f>
        <v>#VALUE!</v>
      </c>
      <c r="W194" s="85" t="str">
        <f>IF(L194="","Open",IF(OR(P194&lt;[2]Setup!$B$6,Q194&gt;[2]Setup!$B$7,R194&gt;[2]Setup!$B$8,O194&gt;[2]Setup!$B$10),"Review","OK"))</f>
        <v>Open</v>
      </c>
      <c r="X194" s="86"/>
      <c r="Z194" s="81" t="str">
        <f t="shared" si="34"/>
        <v>Bao</v>
      </c>
    </row>
    <row r="195" spans="1:26" ht="28.8" x14ac:dyDescent="0.3">
      <c r="A195" s="84">
        <v>46175</v>
      </c>
      <c r="B195" s="100">
        <f t="shared" si="32"/>
        <v>23</v>
      </c>
      <c r="C195" s="84" t="str">
        <f t="shared" si="33"/>
        <v>June</v>
      </c>
      <c r="D195" s="85" t="s">
        <v>328</v>
      </c>
      <c r="E195" s="86" t="s">
        <v>220</v>
      </c>
      <c r="F195" s="86" t="s">
        <v>237</v>
      </c>
      <c r="G195" s="86" t="s">
        <v>303</v>
      </c>
      <c r="H195" s="86" t="s">
        <v>227</v>
      </c>
      <c r="I195" s="87" t="str">
        <f>IF(F195=0,"",IF(COUNTIF(F195,"Bao"),[2]Setup!$B$4,IF(COUNTIF(F195,"Soup Dumplings"),[2]Setup!$B$5,F195)))</f>
        <v>Soup Dumpling Prep</v>
      </c>
      <c r="J195" s="88">
        <f t="shared" si="41"/>
        <v>0</v>
      </c>
      <c r="K195" s="88" t="s">
        <v>293</v>
      </c>
      <c r="L195" s="87"/>
      <c r="M195" s="87"/>
      <c r="N195" s="87"/>
      <c r="O195" s="87"/>
      <c r="P195" s="89" t="str">
        <f t="shared" si="35"/>
        <v/>
      </c>
      <c r="Q195" s="89" t="str">
        <f t="shared" si="36"/>
        <v/>
      </c>
      <c r="R195" s="89" t="str">
        <f t="shared" si="37"/>
        <v/>
      </c>
      <c r="S195" s="88" t="str">
        <f>IF(F195="Bao",[2]Setup!$B$4,IF(F195="Soup Dumplings",[2]Setup!$B$5,""))</f>
        <v/>
      </c>
      <c r="T195" s="88" t="str">
        <f t="shared" si="38"/>
        <v/>
      </c>
      <c r="U195" s="84" t="e">
        <f t="shared" si="42"/>
        <v>#VALUE!</v>
      </c>
      <c r="V195" s="88" t="e">
        <f>IF(U195="",0,MAX(0,T195)+N195+ROUND(J195*[2]Setup!$B$9,0)+IF(O195&gt;[2]Setup!$B$10,ROUND(J195*[2]Setup!$B$11,0),0))</f>
        <v>#VALUE!</v>
      </c>
      <c r="W195" s="85" t="str">
        <f>IF(L195="","Open",IF(OR(P195&lt;[2]Setup!$B$6,Q195&gt;[2]Setup!$B$7,R195&gt;[2]Setup!$B$8,O195&gt;[2]Setup!$B$10),"Review","OK"))</f>
        <v>Open</v>
      </c>
      <c r="X195" s="86"/>
      <c r="Z195" s="81" t="str">
        <f t="shared" si="34"/>
        <v>Sou</v>
      </c>
    </row>
    <row r="196" spans="1:26" x14ac:dyDescent="0.3">
      <c r="A196" s="84">
        <v>46175</v>
      </c>
      <c r="B196" s="100">
        <f t="shared" si="32"/>
        <v>23</v>
      </c>
      <c r="C196" s="84" t="str">
        <f t="shared" si="33"/>
        <v>June</v>
      </c>
      <c r="D196" s="85" t="str">
        <f t="shared" si="40"/>
        <v>June</v>
      </c>
      <c r="E196" s="86" t="s">
        <v>220</v>
      </c>
      <c r="F196" s="86" t="s">
        <v>222</v>
      </c>
      <c r="G196" s="86" t="s">
        <v>235</v>
      </c>
      <c r="H196" s="86" t="s">
        <v>227</v>
      </c>
      <c r="I196" s="87" t="str">
        <f>IF(F196=0,"",IF(COUNTIF(F196,"Bao"),[2]Setup!$B$4,IF(COUNTIF(F196,"Soup Dumplings"),[2]Setup!$B$5,F196)))</f>
        <v>Bao Prep</v>
      </c>
      <c r="J196" s="88">
        <f t="shared" si="41"/>
        <v>0</v>
      </c>
      <c r="K196" s="88" t="s">
        <v>266</v>
      </c>
      <c r="L196" s="87"/>
      <c r="M196" s="87"/>
      <c r="N196" s="87"/>
      <c r="O196" s="87"/>
      <c r="P196" s="89" t="str">
        <f t="shared" si="35"/>
        <v/>
      </c>
      <c r="Q196" s="89" t="str">
        <f t="shared" si="36"/>
        <v/>
      </c>
      <c r="R196" s="89" t="str">
        <f t="shared" si="37"/>
        <v/>
      </c>
      <c r="S196" s="88" t="str">
        <f>IF(F196="Bao",[2]Setup!$B$4,IF(F196="Soup Dumplings",[2]Setup!$B$5,""))</f>
        <v/>
      </c>
      <c r="T196" s="88" t="str">
        <f t="shared" si="38"/>
        <v/>
      </c>
      <c r="U196" s="84" t="e">
        <f t="shared" si="42"/>
        <v>#VALUE!</v>
      </c>
      <c r="V196" s="88" t="e">
        <f>IF(U196="",0,MAX(0,T196)+N196+ROUND(J196*[2]Setup!$B$9,0)+IF(O196&gt;[2]Setup!$B$10,ROUND(J196*[2]Setup!$B$11,0),0))</f>
        <v>#VALUE!</v>
      </c>
      <c r="W196" s="85" t="str">
        <f>IF(L196="","Open",IF(OR(P196&lt;[2]Setup!$B$6,Q196&gt;[2]Setup!$B$7,R196&gt;[2]Setup!$B$8,O196&gt;[2]Setup!$B$10),"Review","OK"))</f>
        <v>Open</v>
      </c>
      <c r="X196" s="86"/>
      <c r="Z196" s="81" t="str">
        <f t="shared" si="34"/>
        <v>Bao</v>
      </c>
    </row>
    <row r="197" spans="1:26" ht="28.8" x14ac:dyDescent="0.3">
      <c r="A197" s="84">
        <v>46175</v>
      </c>
      <c r="B197" s="100">
        <f t="shared" ref="B197:B217" si="43">+WEEKNUM(A197)</f>
        <v>23</v>
      </c>
      <c r="C197" s="84" t="str">
        <f t="shared" ref="C197:C217" si="44">+TEXT(A197,"mmmm")</f>
        <v>June</v>
      </c>
      <c r="D197" s="85" t="str">
        <f t="shared" si="40"/>
        <v>June</v>
      </c>
      <c r="E197" s="86" t="s">
        <v>220</v>
      </c>
      <c r="F197" s="86" t="s">
        <v>237</v>
      </c>
      <c r="G197" s="86" t="s">
        <v>259</v>
      </c>
      <c r="H197" s="86" t="s">
        <v>227</v>
      </c>
      <c r="I197" s="87" t="str">
        <f>IF(F197=0,"",IF(COUNTIF(F197,"Bao"),[2]Setup!$B$4,IF(COUNTIF(F197,"Soup Dumplings"),[2]Setup!$B$5,F197)))</f>
        <v>Soup Dumpling Prep</v>
      </c>
      <c r="J197" s="88">
        <f t="shared" si="41"/>
        <v>0</v>
      </c>
      <c r="K197" s="88" t="s">
        <v>308</v>
      </c>
      <c r="L197" s="87"/>
      <c r="M197" s="87"/>
      <c r="N197" s="87"/>
      <c r="O197" s="87"/>
      <c r="P197" s="89" t="str">
        <f t="shared" si="35"/>
        <v/>
      </c>
      <c r="Q197" s="89" t="str">
        <f t="shared" si="36"/>
        <v/>
      </c>
      <c r="R197" s="89" t="str">
        <f t="shared" si="37"/>
        <v/>
      </c>
      <c r="S197" s="88" t="str">
        <f>IF(F197="Bao",[2]Setup!$B$4,IF(F197="Soup Dumplings",[2]Setup!$B$5,""))</f>
        <v/>
      </c>
      <c r="T197" s="88" t="str">
        <f t="shared" si="38"/>
        <v/>
      </c>
      <c r="U197" s="84" t="e">
        <f t="shared" si="42"/>
        <v>#VALUE!</v>
      </c>
      <c r="V197" s="88" t="e">
        <f>IF(U197="",0,MAX(0,T197)+N197+ROUND(J197*[2]Setup!$B$9,0)+IF(O197&gt;[2]Setup!$B$10,ROUND(J197*[2]Setup!$B$11,0),0))</f>
        <v>#VALUE!</v>
      </c>
      <c r="W197" s="85" t="str">
        <f>IF(L197="","Open",IF(OR(P197&lt;[2]Setup!$B$6,Q197&gt;[2]Setup!$B$7,R197&gt;[2]Setup!$B$8,O197&gt;[2]Setup!$B$10),"Review","OK"))</f>
        <v>Open</v>
      </c>
      <c r="X197" s="86"/>
      <c r="Z197" s="81" t="str">
        <f t="shared" ref="Z197:Z260" si="45">+LEFT(F197,3)</f>
        <v>Sou</v>
      </c>
    </row>
    <row r="198" spans="1:26" ht="28.8" x14ac:dyDescent="0.3">
      <c r="A198" s="84">
        <v>46175</v>
      </c>
      <c r="B198" s="100">
        <f t="shared" si="43"/>
        <v>23</v>
      </c>
      <c r="C198" s="84" t="str">
        <f t="shared" si="44"/>
        <v>June</v>
      </c>
      <c r="D198" s="85" t="str">
        <f t="shared" si="40"/>
        <v>June</v>
      </c>
      <c r="E198" s="86" t="s">
        <v>220</v>
      </c>
      <c r="F198" s="86" t="s">
        <v>237</v>
      </c>
      <c r="G198" s="86" t="s">
        <v>242</v>
      </c>
      <c r="H198" s="86" t="s">
        <v>232</v>
      </c>
      <c r="I198" s="87" t="str">
        <f>IF(F198=0,"",IF(COUNTIF(F198,"Bao"),[2]Setup!$B$4,IF(COUNTIF(F198,"Soup Dumplings"),[2]Setup!$B$5,F198)))</f>
        <v>Soup Dumpling Prep</v>
      </c>
      <c r="J198" s="88">
        <f t="shared" si="41"/>
        <v>0</v>
      </c>
      <c r="K198" s="88" t="s">
        <v>329</v>
      </c>
      <c r="L198" s="87"/>
      <c r="M198" s="87"/>
      <c r="N198" s="87"/>
      <c r="O198" s="87"/>
      <c r="P198" s="89" t="str">
        <f t="shared" si="35"/>
        <v/>
      </c>
      <c r="Q198" s="89" t="str">
        <f t="shared" si="36"/>
        <v/>
      </c>
      <c r="R198" s="89" t="str">
        <f t="shared" si="37"/>
        <v/>
      </c>
      <c r="S198" s="88" t="str">
        <f>IF(F198="Bao",[2]Setup!$B$4,IF(F198="Soup Dumplings",[2]Setup!$B$5,""))</f>
        <v/>
      </c>
      <c r="T198" s="88" t="str">
        <f t="shared" si="38"/>
        <v/>
      </c>
      <c r="U198" s="84" t="e">
        <f t="shared" si="42"/>
        <v>#VALUE!</v>
      </c>
      <c r="V198" s="88" t="e">
        <f>IF(U198="",0,MAX(0,T198)+N198+ROUND(J198*[2]Setup!$B$9,0)+IF(O198&gt;[2]Setup!$B$10,ROUND(J198*[2]Setup!$B$11,0),0))</f>
        <v>#VALUE!</v>
      </c>
      <c r="W198" s="85" t="str">
        <f>IF(L198="","Open",IF(OR(P198&lt;[2]Setup!$B$6,Q198&gt;[2]Setup!$B$7,R198&gt;[2]Setup!$B$8,O198&gt;[2]Setup!$B$10),"Review","OK"))</f>
        <v>Open</v>
      </c>
      <c r="X198" s="86"/>
      <c r="Z198" s="81" t="str">
        <f t="shared" si="45"/>
        <v>Sou</v>
      </c>
    </row>
    <row r="199" spans="1:26" ht="28.8" x14ac:dyDescent="0.3">
      <c r="A199" s="84">
        <v>46175</v>
      </c>
      <c r="B199" s="100">
        <f t="shared" si="43"/>
        <v>23</v>
      </c>
      <c r="C199" s="84" t="str">
        <f t="shared" si="44"/>
        <v>June</v>
      </c>
      <c r="D199" s="85" t="str">
        <f t="shared" si="40"/>
        <v>June</v>
      </c>
      <c r="E199" s="86" t="s">
        <v>220</v>
      </c>
      <c r="F199" s="86" t="s">
        <v>237</v>
      </c>
      <c r="G199" s="86" t="s">
        <v>287</v>
      </c>
      <c r="H199" s="86" t="s">
        <v>227</v>
      </c>
      <c r="I199" s="87" t="str">
        <f>IF(F199=0,"",IF(COUNTIF(F199,"Bao"),[2]Setup!$B$4,IF(COUNTIF(F199,"Soup Dumplings"),[2]Setup!$B$5,F199)))</f>
        <v>Soup Dumpling Prep</v>
      </c>
      <c r="J199" s="88">
        <f t="shared" si="41"/>
        <v>0</v>
      </c>
      <c r="K199" s="88" t="s">
        <v>330</v>
      </c>
      <c r="L199" s="87"/>
      <c r="M199" s="87"/>
      <c r="N199" s="87"/>
      <c r="O199" s="87"/>
      <c r="P199" s="89" t="str">
        <f t="shared" si="35"/>
        <v/>
      </c>
      <c r="Q199" s="89" t="str">
        <f t="shared" si="36"/>
        <v/>
      </c>
      <c r="R199" s="89" t="str">
        <f t="shared" si="37"/>
        <v/>
      </c>
      <c r="S199" s="88" t="str">
        <f>IF(F199="Bao",[2]Setup!$B$4,IF(F199="Soup Dumplings",[2]Setup!$B$5,""))</f>
        <v/>
      </c>
      <c r="T199" s="88" t="str">
        <f t="shared" si="38"/>
        <v/>
      </c>
      <c r="U199" s="84" t="e">
        <f t="shared" si="42"/>
        <v>#VALUE!</v>
      </c>
      <c r="V199" s="88" t="e">
        <f>IF(U199="",0,MAX(0,T199)+N199+ROUND(J199*[2]Setup!$B$9,0)+IF(O199&gt;[2]Setup!$B$10,ROUND(J199*[2]Setup!$B$11,0),0))</f>
        <v>#VALUE!</v>
      </c>
      <c r="W199" s="85" t="str">
        <f>IF(L199="","Open",IF(OR(P199&lt;[2]Setup!$B$6,Q199&gt;[2]Setup!$B$7,R199&gt;[2]Setup!$B$8,O199&gt;[2]Setup!$B$10),"Review","OK"))</f>
        <v>Open</v>
      </c>
      <c r="X199" s="86"/>
      <c r="Z199" s="81" t="str">
        <f t="shared" si="45"/>
        <v>Sou</v>
      </c>
    </row>
    <row r="200" spans="1:26" x14ac:dyDescent="0.3">
      <c r="A200" s="84">
        <v>46175</v>
      </c>
      <c r="B200" s="100">
        <f t="shared" si="43"/>
        <v>23</v>
      </c>
      <c r="C200" s="84" t="str">
        <f t="shared" si="44"/>
        <v>June</v>
      </c>
      <c r="D200" s="85" t="str">
        <f t="shared" si="40"/>
        <v>June</v>
      </c>
      <c r="E200" s="86" t="s">
        <v>220</v>
      </c>
      <c r="F200" s="86" t="s">
        <v>222</v>
      </c>
      <c r="G200" s="86" t="s">
        <v>231</v>
      </c>
      <c r="H200" s="86" t="s">
        <v>232</v>
      </c>
      <c r="I200" s="87" t="str">
        <f>IF(F200=0,"",IF(COUNTIF(F200,"Bao"),[2]Setup!$B$4,IF(COUNTIF(F200,"Soup Dumplings"),[2]Setup!$B$5,F200)))</f>
        <v>Bao Prep</v>
      </c>
      <c r="J200" s="88">
        <f t="shared" si="41"/>
        <v>0</v>
      </c>
      <c r="K200" s="88" t="s">
        <v>264</v>
      </c>
      <c r="L200" s="87"/>
      <c r="M200" s="87"/>
      <c r="N200" s="87"/>
      <c r="O200" s="87"/>
      <c r="P200" s="89" t="str">
        <f t="shared" si="35"/>
        <v/>
      </c>
      <c r="Q200" s="89" t="str">
        <f t="shared" si="36"/>
        <v/>
      </c>
      <c r="R200" s="89" t="str">
        <f t="shared" si="37"/>
        <v/>
      </c>
      <c r="S200" s="88" t="str">
        <f>IF(F200="Bao",[2]Setup!$B$4,IF(F200="Soup Dumplings",[2]Setup!$B$5,""))</f>
        <v/>
      </c>
      <c r="T200" s="88" t="str">
        <f t="shared" si="38"/>
        <v/>
      </c>
      <c r="U200" s="84" t="e">
        <f t="shared" si="42"/>
        <v>#VALUE!</v>
      </c>
      <c r="V200" s="88" t="e">
        <f>IF(U200="",0,MAX(0,T200)+N200+ROUND(J200*[2]Setup!$B$9,0)+IF(O200&gt;[2]Setup!$B$10,ROUND(J200*[2]Setup!$B$11,0),0))</f>
        <v>#VALUE!</v>
      </c>
      <c r="W200" s="85" t="str">
        <f>IF(L200="","Open",IF(OR(P200&lt;[2]Setup!$B$6,Q200&gt;[2]Setup!$B$7,R200&gt;[2]Setup!$B$8,O200&gt;[2]Setup!$B$10),"Review","OK"))</f>
        <v>Open</v>
      </c>
      <c r="X200" s="86"/>
      <c r="Z200" s="81" t="str">
        <f t="shared" si="45"/>
        <v>Bao</v>
      </c>
    </row>
    <row r="201" spans="1:26" x14ac:dyDescent="0.3">
      <c r="A201" s="84">
        <v>46175</v>
      </c>
      <c r="B201" s="100">
        <f t="shared" si="43"/>
        <v>23</v>
      </c>
      <c r="C201" s="84" t="str">
        <f t="shared" si="44"/>
        <v>June</v>
      </c>
      <c r="D201" s="85" t="str">
        <f t="shared" si="40"/>
        <v>June</v>
      </c>
      <c r="E201" s="86" t="s">
        <v>220</v>
      </c>
      <c r="F201" s="86" t="s">
        <v>87</v>
      </c>
      <c r="G201" s="86" t="s">
        <v>313</v>
      </c>
      <c r="H201" s="86" t="s">
        <v>245</v>
      </c>
      <c r="I201" s="87">
        <v>70000</v>
      </c>
      <c r="J201" s="88">
        <f t="shared" si="41"/>
        <v>70000</v>
      </c>
      <c r="K201" s="88"/>
      <c r="L201" s="87"/>
      <c r="M201" s="87"/>
      <c r="N201" s="87"/>
      <c r="O201" s="87"/>
      <c r="P201" s="89">
        <f t="shared" si="35"/>
        <v>0</v>
      </c>
      <c r="Q201" s="89">
        <f t="shared" si="36"/>
        <v>1</v>
      </c>
      <c r="R201" s="89">
        <f t="shared" si="37"/>
        <v>0</v>
      </c>
      <c r="S201" s="88">
        <f>IF(F201="Bao",[2]Setup!$B$4,IF(F201="Soup Dumplings",[2]Setup!$B$5,""))</f>
        <v>90000</v>
      </c>
      <c r="T201" s="88" t="str">
        <f t="shared" si="38"/>
        <v/>
      </c>
      <c r="U201" s="84" t="e">
        <f t="shared" si="42"/>
        <v>#VALUE!</v>
      </c>
      <c r="V201" s="88" t="e">
        <f>IF(U201="",0,MAX(0,T201)+N201+ROUND(J201*[2]Setup!$B$9,0)+IF(O201&gt;[2]Setup!$B$10,ROUND(J201*[2]Setup!$B$11,0),0))</f>
        <v>#VALUE!</v>
      </c>
      <c r="W201" s="85" t="str">
        <f>IF(L201="","Open",IF(OR(P201&lt;[2]Setup!$B$6,Q201&gt;[2]Setup!$B$7,R201&gt;[2]Setup!$B$8,O201&gt;[2]Setup!$B$10),"Review","OK"))</f>
        <v>Open</v>
      </c>
      <c r="X201" s="86"/>
      <c r="Z201" s="81" t="str">
        <f t="shared" si="45"/>
        <v>Sou</v>
      </c>
    </row>
    <row r="202" spans="1:26" ht="28.8" x14ac:dyDescent="0.3">
      <c r="A202" s="84">
        <v>46176</v>
      </c>
      <c r="B202" s="100">
        <f t="shared" si="43"/>
        <v>23</v>
      </c>
      <c r="C202" s="84" t="str">
        <f t="shared" si="44"/>
        <v>June</v>
      </c>
      <c r="D202" s="85" t="str">
        <f t="shared" si="40"/>
        <v>June</v>
      </c>
      <c r="E202" s="86" t="s">
        <v>220</v>
      </c>
      <c r="F202" s="86" t="s">
        <v>237</v>
      </c>
      <c r="G202" s="86" t="s">
        <v>303</v>
      </c>
      <c r="H202" s="86" t="s">
        <v>229</v>
      </c>
      <c r="I202" s="87" t="str">
        <f>IF(F202=0,"",IF(COUNTIF(F202,"Bao"),[2]Setup!$B$4,IF(COUNTIF(F202,"Soup Dumplings"),[2]Setup!$B$5,F202)))</f>
        <v>Soup Dumpling Prep</v>
      </c>
      <c r="J202" s="88">
        <f t="shared" si="41"/>
        <v>0</v>
      </c>
      <c r="K202" s="88" t="s">
        <v>333</v>
      </c>
      <c r="L202" s="87"/>
      <c r="M202" s="87"/>
      <c r="N202" s="87"/>
      <c r="O202" s="87"/>
      <c r="P202" s="89" t="str">
        <f t="shared" si="35"/>
        <v/>
      </c>
      <c r="Q202" s="89" t="str">
        <f t="shared" si="36"/>
        <v/>
      </c>
      <c r="R202" s="89" t="str">
        <f t="shared" si="37"/>
        <v/>
      </c>
      <c r="S202" s="88" t="str">
        <f>IF(F202="Bao",[2]Setup!$B$4,IF(F202="Soup Dumplings",[2]Setup!$B$5,""))</f>
        <v/>
      </c>
      <c r="T202" s="88" t="str">
        <f t="shared" si="38"/>
        <v/>
      </c>
      <c r="U202" s="84" t="e">
        <f t="shared" si="42"/>
        <v>#VALUE!</v>
      </c>
      <c r="V202" s="88" t="e">
        <f>IF(U202="",0,MAX(0,T202)+N202+ROUND(J202*[2]Setup!$B$9,0)+IF(O202&gt;[2]Setup!$B$10,ROUND(J202*[2]Setup!$B$11,0),0))</f>
        <v>#VALUE!</v>
      </c>
      <c r="W202" s="85" t="str">
        <f>IF(L202="","Open",IF(OR(P202&lt;[2]Setup!$B$6,Q202&gt;[2]Setup!$B$7,R202&gt;[2]Setup!$B$8,O202&gt;[2]Setup!$B$10),"Review","OK"))</f>
        <v>Open</v>
      </c>
      <c r="X202" s="86"/>
      <c r="Z202" s="81" t="str">
        <f t="shared" si="45"/>
        <v>Sou</v>
      </c>
    </row>
    <row r="203" spans="1:26" ht="28.8" x14ac:dyDescent="0.3">
      <c r="A203" s="84">
        <v>46176</v>
      </c>
      <c r="B203" s="100">
        <f t="shared" si="43"/>
        <v>23</v>
      </c>
      <c r="C203" s="84" t="str">
        <f t="shared" si="44"/>
        <v>June</v>
      </c>
      <c r="D203" s="85" t="str">
        <f t="shared" si="40"/>
        <v>June</v>
      </c>
      <c r="E203" s="86" t="s">
        <v>220</v>
      </c>
      <c r="F203" s="86" t="s">
        <v>237</v>
      </c>
      <c r="G203" s="86" t="s">
        <v>240</v>
      </c>
      <c r="H203" s="86" t="s">
        <v>224</v>
      </c>
      <c r="I203" s="87" t="str">
        <f>IF(F203=0,"",IF(COUNTIF(F203,"Bao"),[2]Setup!$B$4,IF(COUNTIF(F203,"Soup Dumplings"),[2]Setup!$B$5,F203)))</f>
        <v>Soup Dumpling Prep</v>
      </c>
      <c r="J203" s="88">
        <f t="shared" si="41"/>
        <v>0</v>
      </c>
      <c r="K203" s="88"/>
      <c r="L203" s="87"/>
      <c r="M203" s="87"/>
      <c r="N203" s="87"/>
      <c r="O203" s="87"/>
      <c r="P203" s="89" t="str">
        <f t="shared" si="35"/>
        <v/>
      </c>
      <c r="Q203" s="89" t="str">
        <f t="shared" si="36"/>
        <v/>
      </c>
      <c r="R203" s="89" t="str">
        <f t="shared" si="37"/>
        <v/>
      </c>
      <c r="S203" s="88" t="str">
        <f>IF(F203="Bao",[2]Setup!$B$4,IF(F203="Soup Dumplings",[2]Setup!$B$5,""))</f>
        <v/>
      </c>
      <c r="T203" s="88" t="str">
        <f t="shared" si="38"/>
        <v/>
      </c>
      <c r="U203" s="84" t="e">
        <f t="shared" si="42"/>
        <v>#VALUE!</v>
      </c>
      <c r="V203" s="88" t="e">
        <f>IF(U203="",0,MAX(0,T203)+N203+ROUND(J203*[2]Setup!$B$9,0)+IF(O203&gt;[2]Setup!$B$10,ROUND(J203*[2]Setup!$B$11,0),0))</f>
        <v>#VALUE!</v>
      </c>
      <c r="W203" s="85" t="str">
        <f>IF(L203="","Open",IF(OR(P203&lt;[2]Setup!$B$6,Q203&gt;[2]Setup!$B$7,R203&gt;[2]Setup!$B$8,O203&gt;[2]Setup!$B$10),"Review","OK"))</f>
        <v>Open</v>
      </c>
      <c r="X203" s="86"/>
      <c r="Z203" s="81" t="str">
        <f t="shared" si="45"/>
        <v>Sou</v>
      </c>
    </row>
    <row r="204" spans="1:26" ht="43.2" x14ac:dyDescent="0.3">
      <c r="A204" s="84">
        <v>46176</v>
      </c>
      <c r="B204" s="100">
        <f t="shared" si="43"/>
        <v>23</v>
      </c>
      <c r="C204" s="84" t="str">
        <f t="shared" si="44"/>
        <v>June</v>
      </c>
      <c r="D204" s="85" t="str">
        <f t="shared" si="40"/>
        <v>June</v>
      </c>
      <c r="E204" s="86" t="s">
        <v>220</v>
      </c>
      <c r="F204" s="86" t="s">
        <v>222</v>
      </c>
      <c r="G204" s="86" t="s">
        <v>276</v>
      </c>
      <c r="H204" s="86" t="s">
        <v>229</v>
      </c>
      <c r="I204" s="87" t="str">
        <f>IF(F204=0,"",IF(COUNTIF(F204,"Bao"),[2]Setup!$B$4,IF(COUNTIF(F204,"Soup Dumplings"),[2]Setup!$B$5,F204)))</f>
        <v>Bao Prep</v>
      </c>
      <c r="J204" s="88">
        <f t="shared" si="41"/>
        <v>0</v>
      </c>
      <c r="K204" s="88" t="s">
        <v>334</v>
      </c>
      <c r="L204" s="87"/>
      <c r="M204" s="87"/>
      <c r="N204" s="87"/>
      <c r="O204" s="87"/>
      <c r="P204" s="89" t="str">
        <f t="shared" si="35"/>
        <v/>
      </c>
      <c r="Q204" s="89" t="str">
        <f t="shared" si="36"/>
        <v/>
      </c>
      <c r="R204" s="89" t="str">
        <f t="shared" si="37"/>
        <v/>
      </c>
      <c r="S204" s="88" t="str">
        <f>IF(F204="Bao",[2]Setup!$B$4,IF(F204="Soup Dumplings",[2]Setup!$B$5,""))</f>
        <v/>
      </c>
      <c r="T204" s="88" t="str">
        <f t="shared" si="38"/>
        <v/>
      </c>
      <c r="U204" s="84" t="e">
        <f t="shared" si="42"/>
        <v>#VALUE!</v>
      </c>
      <c r="V204" s="88" t="e">
        <f>IF(U204="",0,MAX(0,T204)+N204+ROUND(J204*[2]Setup!$B$9,0)+IF(O204&gt;[2]Setup!$B$10,ROUND(J204*[2]Setup!$B$11,0),0))</f>
        <v>#VALUE!</v>
      </c>
      <c r="W204" s="85" t="str">
        <f>IF(L204="","Open",IF(OR(P204&lt;[2]Setup!$B$6,Q204&gt;[2]Setup!$B$7,R204&gt;[2]Setup!$B$8,O204&gt;[2]Setup!$B$10),"Review","OK"))</f>
        <v>Open</v>
      </c>
      <c r="X204" s="86"/>
      <c r="Z204" s="81" t="str">
        <f t="shared" si="45"/>
        <v>Bao</v>
      </c>
    </row>
    <row r="205" spans="1:26" ht="28.8" x14ac:dyDescent="0.3">
      <c r="A205" s="84">
        <v>46176</v>
      </c>
      <c r="B205" s="100">
        <f t="shared" si="43"/>
        <v>23</v>
      </c>
      <c r="C205" s="84" t="str">
        <f t="shared" si="44"/>
        <v>June</v>
      </c>
      <c r="D205" s="85" t="str">
        <f t="shared" si="40"/>
        <v>June</v>
      </c>
      <c r="E205" s="86" t="s">
        <v>220</v>
      </c>
      <c r="F205" s="86" t="s">
        <v>222</v>
      </c>
      <c r="G205" s="86" t="s">
        <v>226</v>
      </c>
      <c r="H205" s="86" t="s">
        <v>229</v>
      </c>
      <c r="I205" s="87" t="str">
        <f>IF(F205=0,"",IF(COUNTIF(F205,"Bao"),[2]Setup!$B$4,IF(COUNTIF(F205,"Soup Dumplings"),[2]Setup!$B$5,F205)))</f>
        <v>Bao Prep</v>
      </c>
      <c r="J205" s="88">
        <f t="shared" si="41"/>
        <v>0</v>
      </c>
      <c r="K205" s="88" t="s">
        <v>335</v>
      </c>
      <c r="L205" s="87"/>
      <c r="M205" s="87"/>
      <c r="N205" s="87"/>
      <c r="O205" s="87"/>
      <c r="P205" s="89" t="str">
        <f t="shared" si="35"/>
        <v/>
      </c>
      <c r="Q205" s="89" t="str">
        <f t="shared" si="36"/>
        <v/>
      </c>
      <c r="R205" s="89" t="str">
        <f t="shared" si="37"/>
        <v/>
      </c>
      <c r="S205" s="88" t="str">
        <f>IF(F205="Bao",[2]Setup!$B$4,IF(F205="Soup Dumplings",[2]Setup!$B$5,""))</f>
        <v/>
      </c>
      <c r="T205" s="88" t="str">
        <f t="shared" si="38"/>
        <v/>
      </c>
      <c r="U205" s="84" t="e">
        <f t="shared" si="42"/>
        <v>#VALUE!</v>
      </c>
      <c r="V205" s="88" t="e">
        <f>IF(U205="",0,MAX(0,T205)+N205+ROUND(J205*[2]Setup!$B$9,0)+IF(O205&gt;[2]Setup!$B$10,ROUND(J205*[2]Setup!$B$11,0),0))</f>
        <v>#VALUE!</v>
      </c>
      <c r="W205" s="85" t="str">
        <f>IF(L205="","Open",IF(OR(P205&lt;[2]Setup!$B$6,Q205&gt;[2]Setup!$B$7,R205&gt;[2]Setup!$B$8,O205&gt;[2]Setup!$B$10),"Review","OK"))</f>
        <v>Open</v>
      </c>
      <c r="X205" s="86"/>
      <c r="Z205" s="81" t="str">
        <f t="shared" si="45"/>
        <v>Bao</v>
      </c>
    </row>
    <row r="206" spans="1:26" x14ac:dyDescent="0.3">
      <c r="A206" s="84">
        <v>46176</v>
      </c>
      <c r="B206" s="100">
        <f t="shared" si="43"/>
        <v>23</v>
      </c>
      <c r="C206" s="84" t="str">
        <f t="shared" si="44"/>
        <v>June</v>
      </c>
      <c r="D206" s="85" t="str">
        <f t="shared" si="40"/>
        <v>June</v>
      </c>
      <c r="E206" s="86" t="s">
        <v>220</v>
      </c>
      <c r="F206" s="86" t="s">
        <v>52</v>
      </c>
      <c r="G206" s="86" t="s">
        <v>82</v>
      </c>
      <c r="H206" s="86" t="s">
        <v>221</v>
      </c>
      <c r="I206" s="87">
        <f>IF(F206=0,"",IF(COUNTIF(F206,"Bao"),[2]Setup!$B$4,IF(COUNTIF(F206,"Soup Dumplings"),[2]Setup!$B$5,F206)))</f>
        <v>40000</v>
      </c>
      <c r="J206" s="88">
        <f t="shared" si="41"/>
        <v>40000</v>
      </c>
      <c r="K206" s="88"/>
      <c r="L206" s="87"/>
      <c r="M206" s="87"/>
      <c r="N206" s="87"/>
      <c r="O206" s="87"/>
      <c r="P206" s="89">
        <f t="shared" si="35"/>
        <v>0</v>
      </c>
      <c r="Q206" s="89">
        <f t="shared" si="36"/>
        <v>1</v>
      </c>
      <c r="R206" s="89">
        <f t="shared" si="37"/>
        <v>0</v>
      </c>
      <c r="S206" s="88">
        <f>IF(F206="Bao",[2]Setup!$B$4,IF(F206="Soup Dumplings",[2]Setup!$B$5,""))</f>
        <v>40000</v>
      </c>
      <c r="T206" s="88" t="str">
        <f t="shared" si="38"/>
        <v/>
      </c>
      <c r="U206" s="84" t="e">
        <f t="shared" si="42"/>
        <v>#VALUE!</v>
      </c>
      <c r="V206" s="88" t="e">
        <f>IF(U206="",0,MAX(0,T206)+N206+ROUND(J206*[2]Setup!$B$9,0)+IF(O206&gt;[2]Setup!$B$10,ROUND(J206*[2]Setup!$B$11,0),0))</f>
        <v>#VALUE!</v>
      </c>
      <c r="W206" s="85" t="str">
        <f>IF(L206="","Open",IF(OR(P206&lt;[2]Setup!$B$6,Q206&gt;[2]Setup!$B$7,R206&gt;[2]Setup!$B$8,O206&gt;[2]Setup!$B$10),"Review","OK"))</f>
        <v>Open</v>
      </c>
      <c r="X206" s="86"/>
      <c r="Z206" s="81" t="str">
        <f t="shared" si="45"/>
        <v>Bao</v>
      </c>
    </row>
    <row r="207" spans="1:26" x14ac:dyDescent="0.3">
      <c r="A207" s="84">
        <v>46176</v>
      </c>
      <c r="B207" s="100">
        <f t="shared" si="43"/>
        <v>23</v>
      </c>
      <c r="C207" s="84" t="str">
        <f t="shared" si="44"/>
        <v>June</v>
      </c>
      <c r="D207" s="85" t="str">
        <f t="shared" si="40"/>
        <v>June</v>
      </c>
      <c r="E207" s="86" t="s">
        <v>220</v>
      </c>
      <c r="F207" s="86" t="s">
        <v>222</v>
      </c>
      <c r="G207" s="86" t="s">
        <v>223</v>
      </c>
      <c r="H207" s="86" t="s">
        <v>224</v>
      </c>
      <c r="I207" s="87" t="str">
        <f>IF(F207=0,"",IF(COUNTIF(F207,"Bao"),[2]Setup!$B$4,IF(COUNTIF(F207,"Soup Dumplings"),[2]Setup!$B$5,F207)))</f>
        <v>Bao Prep</v>
      </c>
      <c r="J207" s="88">
        <f t="shared" si="41"/>
        <v>0</v>
      </c>
      <c r="K207" s="88" t="s">
        <v>336</v>
      </c>
      <c r="L207" s="87"/>
      <c r="M207" s="87"/>
      <c r="N207" s="87"/>
      <c r="O207" s="87"/>
      <c r="P207" s="89" t="str">
        <f t="shared" si="35"/>
        <v/>
      </c>
      <c r="Q207" s="89" t="str">
        <f t="shared" si="36"/>
        <v/>
      </c>
      <c r="R207" s="89" t="str">
        <f t="shared" si="37"/>
        <v/>
      </c>
      <c r="S207" s="88" t="str">
        <f>IF(F207="Bao",[2]Setup!$B$4,IF(F207="Soup Dumplings",[2]Setup!$B$5,""))</f>
        <v/>
      </c>
      <c r="T207" s="88" t="str">
        <f t="shared" si="38"/>
        <v/>
      </c>
      <c r="U207" s="84" t="e">
        <f t="shared" si="42"/>
        <v>#VALUE!</v>
      </c>
      <c r="V207" s="88" t="e">
        <f>IF(U207="",0,MAX(0,T207)+N207+ROUND(J207*[2]Setup!$B$9,0)+IF(O207&gt;[2]Setup!$B$10,ROUND(J207*[2]Setup!$B$11,0),0))</f>
        <v>#VALUE!</v>
      </c>
      <c r="W207" s="85" t="str">
        <f>IF(L207="","Open",IF(OR(P207&lt;[2]Setup!$B$6,Q207&gt;[2]Setup!$B$7,R207&gt;[2]Setup!$B$8,O207&gt;[2]Setup!$B$10),"Review","OK"))</f>
        <v>Open</v>
      </c>
      <c r="X207" s="86"/>
      <c r="Z207" s="81" t="str">
        <f t="shared" si="45"/>
        <v>Bao</v>
      </c>
    </row>
    <row r="208" spans="1:26" ht="28.8" x14ac:dyDescent="0.3">
      <c r="A208" s="84">
        <v>46176</v>
      </c>
      <c r="B208" s="100">
        <f t="shared" si="43"/>
        <v>23</v>
      </c>
      <c r="C208" s="84" t="str">
        <f t="shared" si="44"/>
        <v>June</v>
      </c>
      <c r="D208" s="85" t="str">
        <f t="shared" si="40"/>
        <v>June</v>
      </c>
      <c r="E208" s="86" t="s">
        <v>220</v>
      </c>
      <c r="F208" s="86" t="s">
        <v>237</v>
      </c>
      <c r="G208" s="86" t="s">
        <v>303</v>
      </c>
      <c r="H208" s="86" t="s">
        <v>227</v>
      </c>
      <c r="I208" s="87" t="str">
        <f>IF(F208=0,"",IF(COUNTIF(F208,"Bao"),[2]Setup!$B$4,IF(COUNTIF(F208,"Soup Dumplings"),[2]Setup!$B$5,F208)))</f>
        <v>Soup Dumpling Prep</v>
      </c>
      <c r="J208" s="88">
        <f t="shared" si="41"/>
        <v>0</v>
      </c>
      <c r="K208" s="88" t="s">
        <v>337</v>
      </c>
      <c r="L208" s="87"/>
      <c r="M208" s="87"/>
      <c r="N208" s="87"/>
      <c r="O208" s="87"/>
      <c r="P208" s="89" t="str">
        <f t="shared" si="35"/>
        <v/>
      </c>
      <c r="Q208" s="89" t="str">
        <f t="shared" si="36"/>
        <v/>
      </c>
      <c r="R208" s="89" t="str">
        <f t="shared" si="37"/>
        <v/>
      </c>
      <c r="S208" s="88" t="str">
        <f>IF(F208="Bao",[2]Setup!$B$4,IF(F208="Soup Dumplings",[2]Setup!$B$5,""))</f>
        <v/>
      </c>
      <c r="T208" s="88" t="str">
        <f t="shared" si="38"/>
        <v/>
      </c>
      <c r="U208" s="84" t="e">
        <f t="shared" si="42"/>
        <v>#VALUE!</v>
      </c>
      <c r="V208" s="88" t="e">
        <f>IF(U208="",0,MAX(0,T208)+N208+ROUND(J208*[2]Setup!$B$9,0)+IF(O208&gt;[2]Setup!$B$10,ROUND(J208*[2]Setup!$B$11,0),0))</f>
        <v>#VALUE!</v>
      </c>
      <c r="W208" s="85" t="str">
        <f>IF(L208="","Open",IF(OR(P208&lt;[2]Setup!$B$6,Q208&gt;[2]Setup!$B$7,R208&gt;[2]Setup!$B$8,O208&gt;[2]Setup!$B$10),"Review","OK"))</f>
        <v>Open</v>
      </c>
      <c r="X208" s="86"/>
      <c r="Z208" s="81" t="str">
        <f t="shared" si="45"/>
        <v>Sou</v>
      </c>
    </row>
    <row r="209" spans="1:26" ht="28.8" x14ac:dyDescent="0.3">
      <c r="A209" s="84">
        <v>46176</v>
      </c>
      <c r="B209" s="100">
        <f t="shared" si="43"/>
        <v>23</v>
      </c>
      <c r="C209" s="84" t="str">
        <f t="shared" si="44"/>
        <v>June</v>
      </c>
      <c r="D209" s="85" t="str">
        <f t="shared" si="40"/>
        <v>June</v>
      </c>
      <c r="E209" s="86" t="s">
        <v>220</v>
      </c>
      <c r="F209" s="86" t="s">
        <v>237</v>
      </c>
      <c r="G209" s="86" t="s">
        <v>259</v>
      </c>
      <c r="H209" s="86" t="s">
        <v>227</v>
      </c>
      <c r="I209" s="87" t="str">
        <f>IF(F209=0,"",IF(COUNTIF(F209,"Bao"),[2]Setup!$B$4,IF(COUNTIF(F209,"Soup Dumplings"),[2]Setup!$B$5,F209)))</f>
        <v>Soup Dumpling Prep</v>
      </c>
      <c r="J209" s="88">
        <f t="shared" si="41"/>
        <v>0</v>
      </c>
      <c r="K209" s="88" t="s">
        <v>338</v>
      </c>
      <c r="L209" s="87"/>
      <c r="M209" s="87"/>
      <c r="N209" s="87"/>
      <c r="O209" s="87"/>
      <c r="P209" s="89" t="str">
        <f t="shared" si="35"/>
        <v/>
      </c>
      <c r="Q209" s="89" t="str">
        <f t="shared" si="36"/>
        <v/>
      </c>
      <c r="R209" s="89" t="str">
        <f t="shared" si="37"/>
        <v/>
      </c>
      <c r="S209" s="88" t="str">
        <f>IF(F209="Bao",[2]Setup!$B$4,IF(F209="Soup Dumplings",[2]Setup!$B$5,""))</f>
        <v/>
      </c>
      <c r="T209" s="88" t="str">
        <f t="shared" si="38"/>
        <v/>
      </c>
      <c r="U209" s="84" t="e">
        <f t="shared" si="42"/>
        <v>#VALUE!</v>
      </c>
      <c r="V209" s="88" t="e">
        <f>IF(U209="",0,MAX(0,T209)+N209+ROUND(J209*[2]Setup!$B$9,0)+IF(O209&gt;[2]Setup!$B$10,ROUND(J209*[2]Setup!$B$11,0),0))</f>
        <v>#VALUE!</v>
      </c>
      <c r="W209" s="85" t="str">
        <f>IF(L209="","Open",IF(OR(P209&lt;[2]Setup!$B$6,Q209&gt;[2]Setup!$B$7,R209&gt;[2]Setup!$B$8,O209&gt;[2]Setup!$B$10),"Review","OK"))</f>
        <v>Open</v>
      </c>
      <c r="X209" s="86"/>
      <c r="Z209" s="81" t="str">
        <f t="shared" si="45"/>
        <v>Sou</v>
      </c>
    </row>
    <row r="210" spans="1:26" ht="28.8" x14ac:dyDescent="0.3">
      <c r="A210" s="84">
        <v>46176</v>
      </c>
      <c r="B210" s="100">
        <f t="shared" si="43"/>
        <v>23</v>
      </c>
      <c r="C210" s="84" t="str">
        <f t="shared" si="44"/>
        <v>June</v>
      </c>
      <c r="D210" s="85" t="str">
        <f t="shared" si="40"/>
        <v>June</v>
      </c>
      <c r="E210" s="86" t="s">
        <v>220</v>
      </c>
      <c r="F210" s="86" t="s">
        <v>237</v>
      </c>
      <c r="G210" s="86" t="s">
        <v>242</v>
      </c>
      <c r="H210" s="86" t="s">
        <v>232</v>
      </c>
      <c r="I210" s="87" t="str">
        <f>IF(F210=0,"",IF(COUNTIF(F210,"Bao"),[2]Setup!$B$4,IF(COUNTIF(F210,"Soup Dumplings"),[2]Setup!$B$5,F210)))</f>
        <v>Soup Dumpling Prep</v>
      </c>
      <c r="J210" s="88">
        <f t="shared" si="41"/>
        <v>0</v>
      </c>
      <c r="K210" s="88" t="s">
        <v>329</v>
      </c>
      <c r="L210" s="87"/>
      <c r="M210" s="87"/>
      <c r="N210" s="87"/>
      <c r="O210" s="87"/>
      <c r="P210" s="89" t="str">
        <f t="shared" si="35"/>
        <v/>
      </c>
      <c r="Q210" s="89" t="str">
        <f t="shared" si="36"/>
        <v/>
      </c>
      <c r="R210" s="89" t="str">
        <f t="shared" si="37"/>
        <v/>
      </c>
      <c r="S210" s="88" t="str">
        <f>IF(F210="Bao",[2]Setup!$B$4,IF(F210="Soup Dumplings",[2]Setup!$B$5,""))</f>
        <v/>
      </c>
      <c r="T210" s="88" t="str">
        <f t="shared" si="38"/>
        <v/>
      </c>
      <c r="U210" s="84" t="e">
        <f t="shared" si="42"/>
        <v>#VALUE!</v>
      </c>
      <c r="V210" s="88" t="e">
        <f>IF(U210="",0,MAX(0,T210)+N210+ROUND(J210*[2]Setup!$B$9,0)+IF(O210&gt;[2]Setup!$B$10,ROUND(J210*[2]Setup!$B$11,0),0))</f>
        <v>#VALUE!</v>
      </c>
      <c r="W210" s="85" t="str">
        <f>IF(L210="","Open",IF(OR(P210&lt;[2]Setup!$B$6,Q210&gt;[2]Setup!$B$7,R210&gt;[2]Setup!$B$8,O210&gt;[2]Setup!$B$10),"Review","OK"))</f>
        <v>Open</v>
      </c>
      <c r="X210" s="86"/>
      <c r="Z210" s="81" t="str">
        <f t="shared" si="45"/>
        <v>Sou</v>
      </c>
    </row>
    <row r="211" spans="1:26" ht="28.8" x14ac:dyDescent="0.3">
      <c r="A211" s="84">
        <v>46176</v>
      </c>
      <c r="B211" s="100">
        <f t="shared" si="43"/>
        <v>23</v>
      </c>
      <c r="C211" s="84" t="str">
        <f t="shared" si="44"/>
        <v>June</v>
      </c>
      <c r="D211" s="85" t="str">
        <f t="shared" si="40"/>
        <v>June</v>
      </c>
      <c r="E211" s="86" t="s">
        <v>220</v>
      </c>
      <c r="F211" s="86" t="s">
        <v>237</v>
      </c>
      <c r="G211" s="86" t="s">
        <v>287</v>
      </c>
      <c r="H211" s="86" t="s">
        <v>227</v>
      </c>
      <c r="I211" s="87" t="str">
        <f>IF(F211=0,"",IF(COUNTIF(F211,"Bao"),[2]Setup!$B$4,IF(COUNTIF(F211,"Soup Dumplings"),[2]Setup!$B$5,F211)))</f>
        <v>Soup Dumpling Prep</v>
      </c>
      <c r="J211" s="88">
        <f t="shared" si="41"/>
        <v>0</v>
      </c>
      <c r="K211" s="88" t="s">
        <v>339</v>
      </c>
      <c r="L211" s="87"/>
      <c r="M211" s="87"/>
      <c r="N211" s="87"/>
      <c r="O211" s="87"/>
      <c r="P211" s="89" t="str">
        <f t="shared" ref="P211:P274" si="46">IF(J211="","",IF(J211&gt;0,(L211+M211)/J211,""))</f>
        <v/>
      </c>
      <c r="Q211" s="89" t="str">
        <f t="shared" ref="Q211:Q274" si="47">IF(J211="","",IF(J211&gt;0,MAX(0,(J211-(L211+M211))/J211),""))</f>
        <v/>
      </c>
      <c r="R211" s="89" t="str">
        <f t="shared" ref="R211:R274" si="48">IF(J211="","",IF(J211&gt;0,MAX(0,(L211+M211-J211)/J211),""))</f>
        <v/>
      </c>
      <c r="S211" s="88" t="str">
        <f>IF(F211="Bao",[2]Setup!$B$4,IF(F211="Soup Dumplings",[2]Setup!$B$5,""))</f>
        <v/>
      </c>
      <c r="T211" s="88" t="str">
        <f t="shared" ref="T211:T274" si="49">IF(L211="","",S211-L211)</f>
        <v/>
      </c>
      <c r="U211" s="84" t="e">
        <f t="shared" si="42"/>
        <v>#VALUE!</v>
      </c>
      <c r="V211" s="88" t="e">
        <f>IF(U211="",0,MAX(0,T211)+N211+ROUND(J211*[2]Setup!$B$9,0)+IF(O211&gt;[2]Setup!$B$10,ROUND(J211*[2]Setup!$B$11,0),0))</f>
        <v>#VALUE!</v>
      </c>
      <c r="W211" s="85" t="str">
        <f>IF(L211="","Open",IF(OR(P211&lt;[2]Setup!$B$6,Q211&gt;[2]Setup!$B$7,R211&gt;[2]Setup!$B$8,O211&gt;[2]Setup!$B$10),"Review","OK"))</f>
        <v>Open</v>
      </c>
      <c r="X211" s="86"/>
      <c r="Z211" s="81" t="str">
        <f t="shared" si="45"/>
        <v>Sou</v>
      </c>
    </row>
    <row r="212" spans="1:26" x14ac:dyDescent="0.3">
      <c r="A212" s="84">
        <v>46176</v>
      </c>
      <c r="B212" s="100">
        <f t="shared" si="43"/>
        <v>23</v>
      </c>
      <c r="C212" s="84" t="str">
        <f t="shared" si="44"/>
        <v>June</v>
      </c>
      <c r="D212" s="85" t="str">
        <f t="shared" si="40"/>
        <v>June</v>
      </c>
      <c r="E212" s="86" t="s">
        <v>220</v>
      </c>
      <c r="F212" s="86" t="s">
        <v>87</v>
      </c>
      <c r="G212" s="86" t="s">
        <v>313</v>
      </c>
      <c r="H212" s="86" t="s">
        <v>245</v>
      </c>
      <c r="I212" s="87">
        <v>70000</v>
      </c>
      <c r="J212" s="88">
        <f t="shared" si="41"/>
        <v>70000</v>
      </c>
      <c r="K212" s="88"/>
      <c r="L212" s="87"/>
      <c r="M212" s="87"/>
      <c r="N212" s="87"/>
      <c r="O212" s="87"/>
      <c r="P212" s="89">
        <f t="shared" si="46"/>
        <v>0</v>
      </c>
      <c r="Q212" s="89">
        <f t="shared" si="47"/>
        <v>1</v>
      </c>
      <c r="R212" s="89">
        <f t="shared" si="48"/>
        <v>0</v>
      </c>
      <c r="S212" s="88">
        <f>IF(F212="Bao",[2]Setup!$B$4,IF(F212="Soup Dumplings",[2]Setup!$B$5,""))</f>
        <v>90000</v>
      </c>
      <c r="T212" s="88" t="str">
        <f t="shared" si="49"/>
        <v/>
      </c>
      <c r="U212" s="84" t="e">
        <f t="shared" si="42"/>
        <v>#VALUE!</v>
      </c>
      <c r="V212" s="88" t="e">
        <f>IF(U212="",0,MAX(0,T212)+N212+ROUND(J212*[2]Setup!$B$9,0)+IF(O212&gt;[2]Setup!$B$10,ROUND(J212*[2]Setup!$B$11,0),0))</f>
        <v>#VALUE!</v>
      </c>
      <c r="W212" s="85" t="str">
        <f>IF(L212="","Open",IF(OR(P212&lt;[2]Setup!$B$6,Q212&gt;[2]Setup!$B$7,R212&gt;[2]Setup!$B$8,O212&gt;[2]Setup!$B$10),"Review","OK"))</f>
        <v>Open</v>
      </c>
      <c r="X212" s="86"/>
      <c r="Z212" s="81" t="str">
        <f t="shared" si="45"/>
        <v>Sou</v>
      </c>
    </row>
    <row r="213" spans="1:26" x14ac:dyDescent="0.3">
      <c r="A213" s="84">
        <v>46176</v>
      </c>
      <c r="B213" s="100">
        <f t="shared" si="43"/>
        <v>23</v>
      </c>
      <c r="C213" s="84" t="str">
        <f t="shared" si="44"/>
        <v>June</v>
      </c>
      <c r="D213" s="85" t="str">
        <f t="shared" si="40"/>
        <v>June</v>
      </c>
      <c r="E213" s="86" t="s">
        <v>220</v>
      </c>
      <c r="F213" s="86" t="s">
        <v>222</v>
      </c>
      <c r="G213" s="86" t="s">
        <v>340</v>
      </c>
      <c r="H213" s="86" t="s">
        <v>227</v>
      </c>
      <c r="I213" s="87" t="str">
        <f>IF(F213=0,"",IF(COUNTIF(F213,"Bao"),[2]Setup!$B$4,IF(COUNTIF(F213,"Soup Dumplings"),[2]Setup!$B$5,F213)))</f>
        <v>Bao Prep</v>
      </c>
      <c r="J213" s="88">
        <f t="shared" si="41"/>
        <v>0</v>
      </c>
      <c r="K213" s="88" t="s">
        <v>341</v>
      </c>
      <c r="L213" s="87"/>
      <c r="M213" s="87"/>
      <c r="N213" s="87"/>
      <c r="O213" s="87"/>
      <c r="P213" s="89" t="str">
        <f t="shared" si="46"/>
        <v/>
      </c>
      <c r="Q213" s="89" t="str">
        <f t="shared" si="47"/>
        <v/>
      </c>
      <c r="R213" s="89" t="str">
        <f t="shared" si="48"/>
        <v/>
      </c>
      <c r="S213" s="88" t="str">
        <f>IF(F213="Bao",[2]Setup!$B$4,IF(F213="Soup Dumplings",[2]Setup!$B$5,""))</f>
        <v/>
      </c>
      <c r="T213" s="88" t="str">
        <f t="shared" si="49"/>
        <v/>
      </c>
      <c r="U213" s="84" t="e">
        <f t="shared" si="42"/>
        <v>#VALUE!</v>
      </c>
      <c r="V213" s="88" t="e">
        <f>IF(U213="",0,MAX(0,T213)+N213+ROUND(J213*[2]Setup!$B$9,0)+IF(O213&gt;[2]Setup!$B$10,ROUND(J213*[2]Setup!$B$11,0),0))</f>
        <v>#VALUE!</v>
      </c>
      <c r="W213" s="85" t="str">
        <f>IF(L213="","Open",IF(OR(P213&lt;[2]Setup!$B$6,Q213&gt;[2]Setup!$B$7,R213&gt;[2]Setup!$B$8,O213&gt;[2]Setup!$B$10),"Review","OK"))</f>
        <v>Open</v>
      </c>
      <c r="X213" s="86"/>
      <c r="Z213" s="81" t="str">
        <f t="shared" si="45"/>
        <v>Bao</v>
      </c>
    </row>
    <row r="214" spans="1:26" ht="28.8" x14ac:dyDescent="0.3">
      <c r="A214" s="84">
        <v>46177</v>
      </c>
      <c r="B214" s="100">
        <f t="shared" si="43"/>
        <v>23</v>
      </c>
      <c r="C214" s="84" t="str">
        <f t="shared" si="44"/>
        <v>June</v>
      </c>
      <c r="D214" s="85" t="str">
        <f t="shared" si="40"/>
        <v>June</v>
      </c>
      <c r="E214" s="86" t="s">
        <v>220</v>
      </c>
      <c r="F214" s="86" t="s">
        <v>237</v>
      </c>
      <c r="G214" s="86" t="s">
        <v>303</v>
      </c>
      <c r="H214" s="86" t="s">
        <v>229</v>
      </c>
      <c r="I214" s="87" t="str">
        <f>IF(F214=0,"",IF(COUNTIF(F214,"Bao"),[2]Setup!$B$4,IF(COUNTIF(F214,"Soup Dumplings"),[2]Setup!$B$5,F214)))</f>
        <v>Soup Dumpling Prep</v>
      </c>
      <c r="J214" s="88">
        <f t="shared" si="41"/>
        <v>0</v>
      </c>
      <c r="K214" s="88" t="s">
        <v>342</v>
      </c>
      <c r="L214" s="87"/>
      <c r="M214" s="87"/>
      <c r="N214" s="87"/>
      <c r="O214" s="87"/>
      <c r="P214" s="89" t="str">
        <f t="shared" si="46"/>
        <v/>
      </c>
      <c r="Q214" s="89" t="str">
        <f t="shared" si="47"/>
        <v/>
      </c>
      <c r="R214" s="89" t="str">
        <f t="shared" si="48"/>
        <v/>
      </c>
      <c r="S214" s="88" t="str">
        <f>IF(F214="Bao",[2]Setup!$B$4,IF(F214="Soup Dumplings",[2]Setup!$B$5,""))</f>
        <v/>
      </c>
      <c r="T214" s="88" t="str">
        <f t="shared" si="49"/>
        <v/>
      </c>
      <c r="U214" s="84" t="e">
        <f t="shared" si="42"/>
        <v>#VALUE!</v>
      </c>
      <c r="V214" s="88" t="e">
        <f>IF(U214="",0,MAX(0,T214)+N214+ROUND(J214*[2]Setup!$B$9,0)+IF(O214&gt;[2]Setup!$B$10,ROUND(J214*[2]Setup!$B$11,0),0))</f>
        <v>#VALUE!</v>
      </c>
      <c r="W214" s="85" t="str">
        <f>IF(L214="","Open",IF(OR(P214&lt;[2]Setup!$B$6,Q214&gt;[2]Setup!$B$7,R214&gt;[2]Setup!$B$8,O214&gt;[2]Setup!$B$10),"Review","OK"))</f>
        <v>Open</v>
      </c>
      <c r="X214" s="86"/>
      <c r="Z214" s="81" t="str">
        <f t="shared" si="45"/>
        <v>Sou</v>
      </c>
    </row>
    <row r="215" spans="1:26" ht="28.8" x14ac:dyDescent="0.3">
      <c r="A215" s="84">
        <v>46177</v>
      </c>
      <c r="B215" s="100">
        <f t="shared" si="43"/>
        <v>23</v>
      </c>
      <c r="C215" s="84" t="str">
        <f t="shared" si="44"/>
        <v>June</v>
      </c>
      <c r="D215" s="85" t="str">
        <f t="shared" si="40"/>
        <v>June</v>
      </c>
      <c r="E215" s="86" t="s">
        <v>220</v>
      </c>
      <c r="F215" s="86" t="s">
        <v>237</v>
      </c>
      <c r="G215" s="86" t="s">
        <v>240</v>
      </c>
      <c r="H215" s="86" t="s">
        <v>224</v>
      </c>
      <c r="I215" s="87" t="str">
        <f>IF(F215=0,"",IF(COUNTIF(F215,"Bao"),[2]Setup!$B$4,IF(COUNTIF(F215,"Soup Dumplings"),[2]Setup!$B$5,F215)))</f>
        <v>Soup Dumpling Prep</v>
      </c>
      <c r="J215" s="88">
        <f t="shared" si="41"/>
        <v>0</v>
      </c>
      <c r="K215" s="88"/>
      <c r="L215" s="87"/>
      <c r="M215" s="87"/>
      <c r="N215" s="87"/>
      <c r="O215" s="87"/>
      <c r="P215" s="89" t="str">
        <f t="shared" si="46"/>
        <v/>
      </c>
      <c r="Q215" s="89" t="str">
        <f t="shared" si="47"/>
        <v/>
      </c>
      <c r="R215" s="89" t="str">
        <f t="shared" si="48"/>
        <v/>
      </c>
      <c r="S215" s="88" t="str">
        <f>IF(F215="Bao",[2]Setup!$B$4,IF(F215="Soup Dumplings",[2]Setup!$B$5,""))</f>
        <v/>
      </c>
      <c r="T215" s="88" t="str">
        <f t="shared" si="49"/>
        <v/>
      </c>
      <c r="U215" s="84" t="e">
        <f t="shared" si="42"/>
        <v>#VALUE!</v>
      </c>
      <c r="V215" s="88" t="e">
        <f>IF(U215="",0,MAX(0,T215)+N215+ROUND(J215*[2]Setup!$B$9,0)+IF(O215&gt;[2]Setup!$B$10,ROUND(J215*[2]Setup!$B$11,0),0))</f>
        <v>#VALUE!</v>
      </c>
      <c r="W215" s="85" t="str">
        <f>IF(L215="","Open",IF(OR(P215&lt;[2]Setup!$B$6,Q215&gt;[2]Setup!$B$7,R215&gt;[2]Setup!$B$8,O215&gt;[2]Setup!$B$10),"Review","OK"))</f>
        <v>Open</v>
      </c>
      <c r="X215" s="86"/>
      <c r="Z215" s="81" t="str">
        <f t="shared" si="45"/>
        <v>Sou</v>
      </c>
    </row>
    <row r="216" spans="1:26" ht="43.2" x14ac:dyDescent="0.3">
      <c r="A216" s="84">
        <v>46177</v>
      </c>
      <c r="B216" s="100">
        <f t="shared" si="43"/>
        <v>23</v>
      </c>
      <c r="C216" s="84" t="str">
        <f t="shared" si="44"/>
        <v>June</v>
      </c>
      <c r="D216" s="85" t="str">
        <f t="shared" si="40"/>
        <v>June</v>
      </c>
      <c r="E216" s="86" t="s">
        <v>220</v>
      </c>
      <c r="F216" s="86" t="s">
        <v>222</v>
      </c>
      <c r="G216" s="86" t="s">
        <v>276</v>
      </c>
      <c r="H216" s="86" t="s">
        <v>229</v>
      </c>
      <c r="I216" s="87" t="str">
        <f>IF(F216=0,"",IF(COUNTIF(F216,"Bao"),[2]Setup!$B$4,IF(COUNTIF(F216,"Soup Dumplings"),[2]Setup!$B$5,F216)))</f>
        <v>Bao Prep</v>
      </c>
      <c r="J216" s="88">
        <f t="shared" si="41"/>
        <v>0</v>
      </c>
      <c r="K216" s="88" t="s">
        <v>343</v>
      </c>
      <c r="L216" s="87"/>
      <c r="M216" s="87"/>
      <c r="N216" s="87"/>
      <c r="O216" s="87"/>
      <c r="P216" s="89" t="str">
        <f t="shared" si="46"/>
        <v/>
      </c>
      <c r="Q216" s="89" t="str">
        <f t="shared" si="47"/>
        <v/>
      </c>
      <c r="R216" s="89" t="str">
        <f t="shared" si="48"/>
        <v/>
      </c>
      <c r="S216" s="88" t="str">
        <f>IF(F216="Bao",[2]Setup!$B$4,IF(F216="Soup Dumplings",[2]Setup!$B$5,""))</f>
        <v/>
      </c>
      <c r="T216" s="88" t="str">
        <f t="shared" si="49"/>
        <v/>
      </c>
      <c r="U216" s="84" t="e">
        <f t="shared" si="42"/>
        <v>#VALUE!</v>
      </c>
      <c r="V216" s="88" t="e">
        <f>IF(U216="",0,MAX(0,T216)+N216+ROUND(J216*[2]Setup!$B$9,0)+IF(O216&gt;[2]Setup!$B$10,ROUND(J216*[2]Setup!$B$11,0),0))</f>
        <v>#VALUE!</v>
      </c>
      <c r="W216" s="85" t="str">
        <f>IF(L216="","Open",IF(OR(P216&lt;[2]Setup!$B$6,Q216&gt;[2]Setup!$B$7,R216&gt;[2]Setup!$B$8,O216&gt;[2]Setup!$B$10),"Review","OK"))</f>
        <v>Open</v>
      </c>
      <c r="X216" s="86"/>
      <c r="Z216" s="81" t="str">
        <f t="shared" si="45"/>
        <v>Bao</v>
      </c>
    </row>
    <row r="217" spans="1:26" ht="28.8" x14ac:dyDescent="0.3">
      <c r="A217" s="84">
        <v>46177</v>
      </c>
      <c r="B217" s="100">
        <f t="shared" si="43"/>
        <v>23</v>
      </c>
      <c r="C217" s="84" t="str">
        <f t="shared" si="44"/>
        <v>June</v>
      </c>
      <c r="D217" s="85" t="str">
        <f t="shared" si="40"/>
        <v>June</v>
      </c>
      <c r="E217" s="86" t="s">
        <v>220</v>
      </c>
      <c r="F217" s="86" t="s">
        <v>222</v>
      </c>
      <c r="G217" s="86" t="s">
        <v>226</v>
      </c>
      <c r="H217" s="86" t="s">
        <v>229</v>
      </c>
      <c r="I217" s="87" t="str">
        <f>IF(F217=0,"",IF(COUNTIF(F217,"Bao"),[2]Setup!$B$4,IF(COUNTIF(F217,"Soup Dumplings"),[2]Setup!$B$5,F217)))</f>
        <v>Bao Prep</v>
      </c>
      <c r="J217" s="88">
        <f t="shared" si="41"/>
        <v>0</v>
      </c>
      <c r="K217" s="88" t="s">
        <v>344</v>
      </c>
      <c r="L217" s="87"/>
      <c r="M217" s="87"/>
      <c r="N217" s="87"/>
      <c r="O217" s="87"/>
      <c r="P217" s="89" t="str">
        <f t="shared" si="46"/>
        <v/>
      </c>
      <c r="Q217" s="89" t="str">
        <f t="shared" si="47"/>
        <v/>
      </c>
      <c r="R217" s="89" t="str">
        <f t="shared" si="48"/>
        <v/>
      </c>
      <c r="S217" s="88" t="str">
        <f>IF(F217="Bao",[2]Setup!$B$4,IF(F217="Soup Dumplings",[2]Setup!$B$5,""))</f>
        <v/>
      </c>
      <c r="T217" s="88" t="str">
        <f t="shared" si="49"/>
        <v/>
      </c>
      <c r="U217" s="84" t="e">
        <f t="shared" si="42"/>
        <v>#VALUE!</v>
      </c>
      <c r="V217" s="88" t="e">
        <f>IF(U217="",0,MAX(0,T217)+N217+ROUND(J217*[2]Setup!$B$9,0)+IF(O217&gt;[2]Setup!$B$10,ROUND(J217*[2]Setup!$B$11,0),0))</f>
        <v>#VALUE!</v>
      </c>
      <c r="W217" s="85" t="str">
        <f>IF(L217="","Open",IF(OR(P217&lt;[2]Setup!$B$6,Q217&gt;[2]Setup!$B$7,R217&gt;[2]Setup!$B$8,O217&gt;[2]Setup!$B$10),"Review","OK"))</f>
        <v>Open</v>
      </c>
      <c r="X217" s="86"/>
      <c r="Z217" s="81" t="str">
        <f t="shared" si="45"/>
        <v>Bao</v>
      </c>
    </row>
    <row r="218" spans="1:26" x14ac:dyDescent="0.3">
      <c r="A218" s="84">
        <v>46177</v>
      </c>
      <c r="B218" s="100"/>
      <c r="C218" s="84"/>
      <c r="D218" s="85" t="str">
        <f t="shared" si="40"/>
        <v/>
      </c>
      <c r="E218" s="86" t="s">
        <v>220</v>
      </c>
      <c r="F218" s="86" t="s">
        <v>52</v>
      </c>
      <c r="G218" s="86" t="s">
        <v>82</v>
      </c>
      <c r="H218" s="86" t="s">
        <v>221</v>
      </c>
      <c r="I218" s="87">
        <f>IF(F218=0,"",IF(COUNTIF(F218,"Bao"),[2]Setup!$B$4,IF(COUNTIF(F218,"Soup Dumplings"),[2]Setup!$B$5,F218)))</f>
        <v>40000</v>
      </c>
      <c r="J218" s="88" t="str">
        <f t="shared" si="41"/>
        <v/>
      </c>
      <c r="K218" s="88"/>
      <c r="L218" s="87"/>
      <c r="M218" s="87"/>
      <c r="N218" s="87"/>
      <c r="O218" s="87"/>
      <c r="P218" s="89" t="str">
        <f t="shared" si="46"/>
        <v/>
      </c>
      <c r="Q218" s="89" t="str">
        <f t="shared" si="47"/>
        <v/>
      </c>
      <c r="R218" s="89" t="str">
        <f t="shared" si="48"/>
        <v/>
      </c>
      <c r="S218" s="88">
        <f>IF(F218="Bao",[2]Setup!$B$4,IF(F218="Soup Dumplings",[2]Setup!$B$5,""))</f>
        <v>40000</v>
      </c>
      <c r="T218" s="88" t="str">
        <f t="shared" si="49"/>
        <v/>
      </c>
      <c r="U218" s="84" t="str">
        <f t="shared" si="42"/>
        <v/>
      </c>
      <c r="V218" s="88">
        <f>IF(U218="",0,MAX(0,T218)+N218+ROUND(J218*[2]Setup!$B$9,0)+IF(O218&gt;[2]Setup!$B$10,ROUND(J218*[2]Setup!$B$11,0),0))</f>
        <v>0</v>
      </c>
      <c r="W218" s="85" t="str">
        <f>IF(L218="","Open",IF(OR(P218&lt;[2]Setup!$B$6,Q218&gt;[2]Setup!$B$7,R218&gt;[2]Setup!$B$8,O218&gt;[2]Setup!$B$10),"Review","OK"))</f>
        <v>Open</v>
      </c>
      <c r="X218" s="86"/>
      <c r="Z218" s="81" t="str">
        <f t="shared" si="45"/>
        <v>Bao</v>
      </c>
    </row>
    <row r="219" spans="1:26" x14ac:dyDescent="0.3">
      <c r="A219" s="84">
        <v>46177</v>
      </c>
      <c r="B219" s="100"/>
      <c r="C219" s="84"/>
      <c r="D219" s="85" t="str">
        <f t="shared" si="40"/>
        <v/>
      </c>
      <c r="E219" s="86" t="s">
        <v>220</v>
      </c>
      <c r="F219" s="86" t="s">
        <v>222</v>
      </c>
      <c r="G219" s="86" t="s">
        <v>223</v>
      </c>
      <c r="H219" s="86" t="s">
        <v>224</v>
      </c>
      <c r="I219" s="87" t="str">
        <f>IF(F219=0,"",IF(COUNTIF(F219,"Bao"),[2]Setup!$B$4,IF(COUNTIF(F219,"Soup Dumplings"),[2]Setup!$B$5,F219)))</f>
        <v>Bao Prep</v>
      </c>
      <c r="J219" s="88" t="str">
        <f t="shared" si="41"/>
        <v/>
      </c>
      <c r="K219" s="88" t="s">
        <v>336</v>
      </c>
      <c r="L219" s="87"/>
      <c r="M219" s="87"/>
      <c r="N219" s="87"/>
      <c r="O219" s="87"/>
      <c r="P219" s="89" t="str">
        <f t="shared" si="46"/>
        <v/>
      </c>
      <c r="Q219" s="89" t="str">
        <f t="shared" si="47"/>
        <v/>
      </c>
      <c r="R219" s="89" t="str">
        <f t="shared" si="48"/>
        <v/>
      </c>
      <c r="S219" s="88" t="str">
        <f>IF(F219="Bao",[2]Setup!$B$4,IF(F219="Soup Dumplings",[2]Setup!$B$5,""))</f>
        <v/>
      </c>
      <c r="T219" s="88" t="str">
        <f t="shared" si="49"/>
        <v/>
      </c>
      <c r="U219" s="84" t="str">
        <f t="shared" si="42"/>
        <v/>
      </c>
      <c r="V219" s="88">
        <f>IF(U219="",0,MAX(0,T219)+N219+ROUND(J219*[2]Setup!$B$9,0)+IF(O219&gt;[2]Setup!$B$10,ROUND(J219*[2]Setup!$B$11,0),0))</f>
        <v>0</v>
      </c>
      <c r="W219" s="85" t="str">
        <f>IF(L219="","Open",IF(OR(P219&lt;[2]Setup!$B$6,Q219&gt;[2]Setup!$B$7,R219&gt;[2]Setup!$B$8,O219&gt;[2]Setup!$B$10),"Review","OK"))</f>
        <v>Open</v>
      </c>
      <c r="X219" s="86"/>
      <c r="Z219" s="81" t="str">
        <f t="shared" si="45"/>
        <v>Bao</v>
      </c>
    </row>
    <row r="220" spans="1:26" x14ac:dyDescent="0.3">
      <c r="A220" s="84">
        <v>46177</v>
      </c>
      <c r="B220" s="100"/>
      <c r="C220" s="84"/>
      <c r="D220" s="85" t="str">
        <f t="shared" si="40"/>
        <v/>
      </c>
      <c r="E220" s="86" t="s">
        <v>220</v>
      </c>
      <c r="F220" s="86" t="s">
        <v>87</v>
      </c>
      <c r="G220" s="86" t="s">
        <v>313</v>
      </c>
      <c r="H220" s="86" t="s">
        <v>245</v>
      </c>
      <c r="I220" s="87">
        <v>90000</v>
      </c>
      <c r="J220" s="88" t="str">
        <f t="shared" si="41"/>
        <v/>
      </c>
      <c r="K220" s="88"/>
      <c r="L220" s="87"/>
      <c r="M220" s="87"/>
      <c r="N220" s="87"/>
      <c r="O220" s="87"/>
      <c r="P220" s="89" t="str">
        <f t="shared" si="46"/>
        <v/>
      </c>
      <c r="Q220" s="89" t="str">
        <f t="shared" si="47"/>
        <v/>
      </c>
      <c r="R220" s="89" t="str">
        <f t="shared" si="48"/>
        <v/>
      </c>
      <c r="S220" s="88">
        <f>IF(F220="Bao",[2]Setup!$B$4,IF(F220="Soup Dumplings",[2]Setup!$B$5,""))</f>
        <v>90000</v>
      </c>
      <c r="T220" s="88" t="str">
        <f t="shared" si="49"/>
        <v/>
      </c>
      <c r="U220" s="84" t="str">
        <f t="shared" si="42"/>
        <v/>
      </c>
      <c r="V220" s="88">
        <f>IF(U220="",0,MAX(0,T220)+N220+ROUND(J220*[2]Setup!$B$9,0)+IF(O220&gt;[2]Setup!$B$10,ROUND(J220*[2]Setup!$B$11,0),0))</f>
        <v>0</v>
      </c>
      <c r="W220" s="85" t="str">
        <f>IF(L220="","Open",IF(OR(P220&lt;[2]Setup!$B$6,Q220&gt;[2]Setup!$B$7,R220&gt;[2]Setup!$B$8,O220&gt;[2]Setup!$B$10),"Review","OK"))</f>
        <v>Open</v>
      </c>
      <c r="X220" s="86"/>
      <c r="Z220" s="81" t="str">
        <f t="shared" si="45"/>
        <v>Sou</v>
      </c>
    </row>
    <row r="221" spans="1:26" x14ac:dyDescent="0.3">
      <c r="A221" s="84">
        <v>46177</v>
      </c>
      <c r="B221" s="100"/>
      <c r="C221" s="84"/>
      <c r="D221" s="85" t="str">
        <f t="shared" si="40"/>
        <v/>
      </c>
      <c r="E221" s="86" t="s">
        <v>220</v>
      </c>
      <c r="F221" s="86" t="s">
        <v>222</v>
      </c>
      <c r="G221" s="86" t="s">
        <v>340</v>
      </c>
      <c r="H221" s="86" t="s">
        <v>232</v>
      </c>
      <c r="I221" s="87" t="str">
        <f>IF(F221=0,"",IF(COUNTIF(F221,"Bao"),[2]Setup!$B$4,IF(COUNTIF(F221,"Soup Dumplings"),[2]Setup!$B$5,F221)))</f>
        <v>Bao Prep</v>
      </c>
      <c r="J221" s="88" t="str">
        <f t="shared" si="41"/>
        <v/>
      </c>
      <c r="K221" s="88" t="s">
        <v>345</v>
      </c>
      <c r="L221" s="87"/>
      <c r="M221" s="87"/>
      <c r="N221" s="87"/>
      <c r="O221" s="87"/>
      <c r="P221" s="89" t="str">
        <f t="shared" si="46"/>
        <v/>
      </c>
      <c r="Q221" s="89" t="str">
        <f t="shared" si="47"/>
        <v/>
      </c>
      <c r="R221" s="89" t="str">
        <f t="shared" si="48"/>
        <v/>
      </c>
      <c r="S221" s="88" t="str">
        <f>IF(F221="Bao",[2]Setup!$B$4,IF(F221="Soup Dumplings",[2]Setup!$B$5,""))</f>
        <v/>
      </c>
      <c r="T221" s="88" t="str">
        <f t="shared" si="49"/>
        <v/>
      </c>
      <c r="U221" s="84" t="str">
        <f t="shared" si="42"/>
        <v/>
      </c>
      <c r="V221" s="88">
        <f>IF(U221="",0,MAX(0,T221)+N221+ROUND(J221*[2]Setup!$B$9,0)+IF(O221&gt;[2]Setup!$B$10,ROUND(J221*[2]Setup!$B$11,0),0))</f>
        <v>0</v>
      </c>
      <c r="W221" s="85" t="str">
        <f>IF(L221="","Open",IF(OR(P221&lt;[2]Setup!$B$6,Q221&gt;[2]Setup!$B$7,R221&gt;[2]Setup!$B$8,O221&gt;[2]Setup!$B$10),"Review","OK"))</f>
        <v>Open</v>
      </c>
      <c r="X221" s="86"/>
      <c r="Z221" s="81" t="str">
        <f t="shared" si="45"/>
        <v>Bao</v>
      </c>
    </row>
    <row r="222" spans="1:26" ht="28.8" x14ac:dyDescent="0.3">
      <c r="A222" s="84">
        <v>46177</v>
      </c>
      <c r="B222" s="100"/>
      <c r="C222" s="84"/>
      <c r="D222" s="85" t="str">
        <f t="shared" si="40"/>
        <v/>
      </c>
      <c r="E222" s="86" t="s">
        <v>220</v>
      </c>
      <c r="F222" s="86" t="s">
        <v>222</v>
      </c>
      <c r="G222" s="86" t="s">
        <v>346</v>
      </c>
      <c r="H222" s="86" t="s">
        <v>232</v>
      </c>
      <c r="I222" s="87" t="str">
        <f>IF(F222=0,"",IF(COUNTIF(F222,"Bao"),[2]Setup!$B$4,IF(COUNTIF(F222,"Soup Dumplings"),[2]Setup!$B$5,F222)))</f>
        <v>Bao Prep</v>
      </c>
      <c r="J222" s="88" t="str">
        <f t="shared" si="41"/>
        <v/>
      </c>
      <c r="K222" s="88" t="s">
        <v>347</v>
      </c>
      <c r="L222" s="87"/>
      <c r="M222" s="87"/>
      <c r="N222" s="87"/>
      <c r="O222" s="87"/>
      <c r="P222" s="89" t="str">
        <f t="shared" si="46"/>
        <v/>
      </c>
      <c r="Q222" s="89" t="str">
        <f t="shared" si="47"/>
        <v/>
      </c>
      <c r="R222" s="89" t="str">
        <f t="shared" si="48"/>
        <v/>
      </c>
      <c r="S222" s="88" t="str">
        <f>IF(F222="Bao",[2]Setup!$B$4,IF(F222="Soup Dumplings",[2]Setup!$B$5,""))</f>
        <v/>
      </c>
      <c r="T222" s="88" t="str">
        <f t="shared" si="49"/>
        <v/>
      </c>
      <c r="U222" s="84" t="str">
        <f t="shared" si="42"/>
        <v/>
      </c>
      <c r="V222" s="88">
        <f>IF(U222="",0,MAX(0,T222)+N222+ROUND(J222*[2]Setup!$B$9,0)+IF(O222&gt;[2]Setup!$B$10,ROUND(J222*[2]Setup!$B$11,0),0))</f>
        <v>0</v>
      </c>
      <c r="W222" s="85" t="str">
        <f>IF(L222="","Open",IF(OR(P222&lt;[2]Setup!$B$6,Q222&gt;[2]Setup!$B$7,R222&gt;[2]Setup!$B$8,O222&gt;[2]Setup!$B$10),"Review","OK"))</f>
        <v>Open</v>
      </c>
      <c r="X222" s="86"/>
      <c r="Z222" s="81" t="str">
        <f t="shared" si="45"/>
        <v>Bao</v>
      </c>
    </row>
    <row r="223" spans="1:26" x14ac:dyDescent="0.3">
      <c r="A223" s="84">
        <v>46181</v>
      </c>
      <c r="B223" s="100"/>
      <c r="C223" s="84"/>
      <c r="D223" s="85" t="str">
        <f t="shared" si="40"/>
        <v/>
      </c>
      <c r="E223" s="86" t="s">
        <v>220</v>
      </c>
      <c r="F223" s="86" t="s">
        <v>87</v>
      </c>
      <c r="G223" s="86" t="s">
        <v>259</v>
      </c>
      <c r="H223" s="86" t="s">
        <v>227</v>
      </c>
      <c r="I223" s="87">
        <f>IF(F223=0,"",IF(COUNTIF(F223,"Bao"),[2]Setup!$B$4,IF(COUNTIF(F223,"Soup Dumplings"),[2]Setup!$B$5,F223)))</f>
        <v>90000</v>
      </c>
      <c r="J223" s="88" t="str">
        <f t="shared" si="41"/>
        <v/>
      </c>
      <c r="K223" s="88" t="s">
        <v>308</v>
      </c>
      <c r="L223" s="87"/>
      <c r="M223" s="87"/>
      <c r="N223" s="87"/>
      <c r="O223" s="87"/>
      <c r="P223" s="89" t="str">
        <f t="shared" si="46"/>
        <v/>
      </c>
      <c r="Q223" s="89" t="str">
        <f t="shared" si="47"/>
        <v/>
      </c>
      <c r="R223" s="89" t="str">
        <f t="shared" si="48"/>
        <v/>
      </c>
      <c r="S223" s="88">
        <f>IF(F223="Bao",[2]Setup!$B$4,IF(F223="Soup Dumplings",[2]Setup!$B$5,""))</f>
        <v>90000</v>
      </c>
      <c r="T223" s="88" t="str">
        <f t="shared" si="49"/>
        <v/>
      </c>
      <c r="U223" s="84" t="str">
        <f t="shared" si="42"/>
        <v/>
      </c>
      <c r="V223" s="88">
        <f>IF(U223="",0,MAX(0,T223)+N223+ROUND(J223*[2]Setup!$B$9,0)+IF(O223&gt;[2]Setup!$B$10,ROUND(J223*[2]Setup!$B$11,0),0))</f>
        <v>0</v>
      </c>
      <c r="W223" s="85" t="str">
        <f>IF(L223="","Open",IF(OR(P223&lt;[2]Setup!$B$6,Q223&gt;[2]Setup!$B$7,R223&gt;[2]Setup!$B$8,O223&gt;[2]Setup!$B$10),"Review","OK"))</f>
        <v>Open</v>
      </c>
      <c r="X223" s="86"/>
      <c r="Z223" s="81" t="str">
        <f t="shared" si="45"/>
        <v>Sou</v>
      </c>
    </row>
    <row r="224" spans="1:26" ht="28.8" x14ac:dyDescent="0.3">
      <c r="A224" s="84">
        <v>46181</v>
      </c>
      <c r="B224" s="100"/>
      <c r="C224" s="84"/>
      <c r="D224" s="85" t="str">
        <f t="shared" si="40"/>
        <v/>
      </c>
      <c r="E224" s="86" t="s">
        <v>220</v>
      </c>
      <c r="F224" s="86" t="s">
        <v>237</v>
      </c>
      <c r="G224" s="86" t="s">
        <v>303</v>
      </c>
      <c r="H224" s="86" t="s">
        <v>229</v>
      </c>
      <c r="I224" s="87" t="str">
        <f>IF(F224=0,"",IF(COUNTIF(F224,"Bao"),[2]Setup!$B$4,IF(COUNTIF(F224,"Soup Dumplings"),[2]Setup!$B$5,F224)))</f>
        <v>Soup Dumpling Prep</v>
      </c>
      <c r="J224" s="88" t="str">
        <f t="shared" si="41"/>
        <v/>
      </c>
      <c r="K224" s="88" t="s">
        <v>348</v>
      </c>
      <c r="L224" s="87"/>
      <c r="M224" s="87"/>
      <c r="N224" s="87"/>
      <c r="O224" s="87"/>
      <c r="P224" s="89" t="str">
        <f t="shared" si="46"/>
        <v/>
      </c>
      <c r="Q224" s="89" t="str">
        <f t="shared" si="47"/>
        <v/>
      </c>
      <c r="R224" s="89" t="str">
        <f t="shared" si="48"/>
        <v/>
      </c>
      <c r="S224" s="88" t="str">
        <f>IF(F224="Bao",[2]Setup!$B$4,IF(F224="Soup Dumplings",[2]Setup!$B$5,""))</f>
        <v/>
      </c>
      <c r="T224" s="88" t="str">
        <f t="shared" si="49"/>
        <v/>
      </c>
      <c r="U224" s="84" t="str">
        <f t="shared" si="42"/>
        <v/>
      </c>
      <c r="V224" s="88">
        <f>IF(U224="",0,MAX(0,T224)+N224+ROUND(J224*[2]Setup!$B$9,0)+IF(O224&gt;[2]Setup!$B$10,ROUND(J224*[2]Setup!$B$11,0),0))</f>
        <v>0</v>
      </c>
      <c r="W224" s="85" t="str">
        <f>IF(L224="","Open",IF(OR(P224&lt;[2]Setup!$B$6,Q224&gt;[2]Setup!$B$7,R224&gt;[2]Setup!$B$8,O224&gt;[2]Setup!$B$10),"Review","OK"))</f>
        <v>Open</v>
      </c>
      <c r="X224" s="86"/>
      <c r="Z224" s="81" t="str">
        <f t="shared" si="45"/>
        <v>Sou</v>
      </c>
    </row>
    <row r="225" spans="1:26" ht="28.8" x14ac:dyDescent="0.3">
      <c r="A225" s="84">
        <v>46181</v>
      </c>
      <c r="B225" s="100"/>
      <c r="C225" s="84"/>
      <c r="D225" s="85" t="str">
        <f t="shared" si="40"/>
        <v/>
      </c>
      <c r="E225" s="86" t="s">
        <v>220</v>
      </c>
      <c r="F225" s="86" t="s">
        <v>237</v>
      </c>
      <c r="G225" s="86" t="s">
        <v>240</v>
      </c>
      <c r="H225" s="86" t="s">
        <v>224</v>
      </c>
      <c r="I225" s="87" t="str">
        <f>IF(F225=0,"",IF(COUNTIF(F225,"Bao"),[2]Setup!$B$4,IF(COUNTIF(F225,"Soup Dumplings"),[2]Setup!$B$5,F225)))</f>
        <v>Soup Dumpling Prep</v>
      </c>
      <c r="J225" s="88" t="str">
        <f t="shared" si="41"/>
        <v/>
      </c>
      <c r="K225" s="88"/>
      <c r="L225" s="87"/>
      <c r="M225" s="87"/>
      <c r="N225" s="87"/>
      <c r="O225" s="87"/>
      <c r="P225" s="89" t="str">
        <f t="shared" si="46"/>
        <v/>
      </c>
      <c r="Q225" s="89" t="str">
        <f t="shared" si="47"/>
        <v/>
      </c>
      <c r="R225" s="89" t="str">
        <f t="shared" si="48"/>
        <v/>
      </c>
      <c r="S225" s="88" t="str">
        <f>IF(F225="Bao",[2]Setup!$B$4,IF(F225="Soup Dumplings",[2]Setup!$B$5,""))</f>
        <v/>
      </c>
      <c r="T225" s="88" t="str">
        <f t="shared" si="49"/>
        <v/>
      </c>
      <c r="U225" s="84" t="str">
        <f t="shared" si="42"/>
        <v/>
      </c>
      <c r="V225" s="88">
        <f>IF(U225="",0,MAX(0,T225)+N225+ROUND(J225*[2]Setup!$B$9,0)+IF(O225&gt;[2]Setup!$B$10,ROUND(J225*[2]Setup!$B$11,0),0))</f>
        <v>0</v>
      </c>
      <c r="W225" s="85" t="str">
        <f>IF(L225="","Open",IF(OR(P225&lt;[2]Setup!$B$6,Q225&gt;[2]Setup!$B$7,R225&gt;[2]Setup!$B$8,O225&gt;[2]Setup!$B$10),"Review","OK"))</f>
        <v>Open</v>
      </c>
      <c r="X225" s="86"/>
      <c r="Z225" s="81" t="str">
        <f t="shared" si="45"/>
        <v>Sou</v>
      </c>
    </row>
    <row r="226" spans="1:26" ht="28.8" x14ac:dyDescent="0.3">
      <c r="A226" s="84">
        <v>46181</v>
      </c>
      <c r="B226" s="100"/>
      <c r="C226" s="84"/>
      <c r="D226" s="85" t="str">
        <f t="shared" si="40"/>
        <v/>
      </c>
      <c r="E226" s="86" t="s">
        <v>220</v>
      </c>
      <c r="F226" s="86" t="s">
        <v>222</v>
      </c>
      <c r="G226" s="86" t="s">
        <v>226</v>
      </c>
      <c r="H226" s="86" t="s">
        <v>229</v>
      </c>
      <c r="I226" s="87" t="str">
        <f>IF(F226=0,"",IF(COUNTIF(F226,"Bao"),[2]Setup!$B$4,IF(COUNTIF(F226,"Soup Dumplings"),[2]Setup!$B$5,F226)))</f>
        <v>Bao Prep</v>
      </c>
      <c r="J226" s="88" t="str">
        <f t="shared" si="41"/>
        <v/>
      </c>
      <c r="K226" s="88" t="s">
        <v>349</v>
      </c>
      <c r="L226" s="87"/>
      <c r="M226" s="87"/>
      <c r="N226" s="87"/>
      <c r="O226" s="87"/>
      <c r="P226" s="89" t="str">
        <f t="shared" si="46"/>
        <v/>
      </c>
      <c r="Q226" s="89" t="str">
        <f t="shared" si="47"/>
        <v/>
      </c>
      <c r="R226" s="89" t="str">
        <f t="shared" si="48"/>
        <v/>
      </c>
      <c r="S226" s="88" t="str">
        <f>IF(F226="Bao",[2]Setup!$B$4,IF(F226="Soup Dumplings",[2]Setup!$B$5,""))</f>
        <v/>
      </c>
      <c r="T226" s="88" t="str">
        <f t="shared" si="49"/>
        <v/>
      </c>
      <c r="U226" s="84" t="str">
        <f t="shared" si="42"/>
        <v/>
      </c>
      <c r="V226" s="88">
        <f>IF(U226="",0,MAX(0,T226)+N226+ROUND(J226*[2]Setup!$B$9,0)+IF(O226&gt;[2]Setup!$B$10,ROUND(J226*[2]Setup!$B$11,0),0))</f>
        <v>0</v>
      </c>
      <c r="W226" s="85" t="str">
        <f>IF(L226="","Open",IF(OR(P226&lt;[2]Setup!$B$6,Q226&gt;[2]Setup!$B$7,R226&gt;[2]Setup!$B$8,O226&gt;[2]Setup!$B$10),"Review","OK"))</f>
        <v>Open</v>
      </c>
      <c r="X226" s="86"/>
      <c r="Z226" s="81" t="str">
        <f t="shared" si="45"/>
        <v>Bao</v>
      </c>
    </row>
    <row r="227" spans="1:26" x14ac:dyDescent="0.3">
      <c r="A227" s="84">
        <v>46181</v>
      </c>
      <c r="B227" s="100"/>
      <c r="C227" s="84"/>
      <c r="D227" s="85" t="str">
        <f t="shared" si="40"/>
        <v/>
      </c>
      <c r="E227" s="86" t="s">
        <v>220</v>
      </c>
      <c r="F227" s="86" t="s">
        <v>52</v>
      </c>
      <c r="G227" s="86" t="s">
        <v>82</v>
      </c>
      <c r="H227" s="86" t="s">
        <v>221</v>
      </c>
      <c r="I227" s="87">
        <f>IF(F227=0,"",IF(COUNTIF(F227,"Bao"),[2]Setup!$B$4,IF(COUNTIF(F227,"Soup Dumplings"),[2]Setup!$B$5,F227)))</f>
        <v>40000</v>
      </c>
      <c r="J227" s="88" t="str">
        <f t="shared" si="41"/>
        <v/>
      </c>
      <c r="K227" s="88"/>
      <c r="L227" s="87"/>
      <c r="M227" s="87"/>
      <c r="N227" s="87"/>
      <c r="O227" s="87"/>
      <c r="P227" s="89" t="str">
        <f t="shared" si="46"/>
        <v/>
      </c>
      <c r="Q227" s="89" t="str">
        <f t="shared" si="47"/>
        <v/>
      </c>
      <c r="R227" s="89" t="str">
        <f t="shared" si="48"/>
        <v/>
      </c>
      <c r="S227" s="88">
        <f>IF(F227="Bao",[2]Setup!$B$4,IF(F227="Soup Dumplings",[2]Setup!$B$5,""))</f>
        <v>40000</v>
      </c>
      <c r="T227" s="88" t="str">
        <f t="shared" si="49"/>
        <v/>
      </c>
      <c r="U227" s="84" t="str">
        <f t="shared" si="42"/>
        <v/>
      </c>
      <c r="V227" s="88">
        <f>IF(U227="",0,MAX(0,T227)+N227+ROUND(J227*[2]Setup!$B$9,0)+IF(O227&gt;[2]Setup!$B$10,ROUND(J227*[2]Setup!$B$11,0),0))</f>
        <v>0</v>
      </c>
      <c r="W227" s="85" t="str">
        <f>IF(L227="","Open",IF(OR(P227&lt;[2]Setup!$B$6,Q227&gt;[2]Setup!$B$7,R227&gt;[2]Setup!$B$8,O227&gt;[2]Setup!$B$10),"Review","OK"))</f>
        <v>Open</v>
      </c>
      <c r="X227" s="86"/>
      <c r="Z227" s="81" t="str">
        <f t="shared" si="45"/>
        <v>Bao</v>
      </c>
    </row>
    <row r="228" spans="1:26" x14ac:dyDescent="0.3">
      <c r="A228" s="84">
        <v>46181</v>
      </c>
      <c r="B228" s="100"/>
      <c r="C228" s="84"/>
      <c r="D228" s="85" t="str">
        <f t="shared" si="40"/>
        <v/>
      </c>
      <c r="E228" s="86" t="s">
        <v>220</v>
      </c>
      <c r="F228" s="86" t="s">
        <v>222</v>
      </c>
      <c r="G228" s="86" t="s">
        <v>223</v>
      </c>
      <c r="H228" s="86" t="s">
        <v>224</v>
      </c>
      <c r="I228" s="87" t="str">
        <f>IF(F228=0,"",IF(COUNTIF(F228,"Bao"),[2]Setup!$B$4,IF(COUNTIF(F228,"Soup Dumplings"),[2]Setup!$B$5,F228)))</f>
        <v>Bao Prep</v>
      </c>
      <c r="J228" s="88" t="str">
        <f t="shared" si="41"/>
        <v/>
      </c>
      <c r="K228" s="88" t="s">
        <v>336</v>
      </c>
      <c r="L228" s="87"/>
      <c r="M228" s="87"/>
      <c r="N228" s="87"/>
      <c r="O228" s="87"/>
      <c r="P228" s="89" t="str">
        <f t="shared" si="46"/>
        <v/>
      </c>
      <c r="Q228" s="89" t="str">
        <f t="shared" si="47"/>
        <v/>
      </c>
      <c r="R228" s="89" t="str">
        <f t="shared" si="48"/>
        <v/>
      </c>
      <c r="S228" s="88" t="str">
        <f>IF(F228="Bao",[2]Setup!$B$4,IF(F228="Soup Dumplings",[2]Setup!$B$5,""))</f>
        <v/>
      </c>
      <c r="T228" s="88" t="str">
        <f t="shared" si="49"/>
        <v/>
      </c>
      <c r="U228" s="84" t="str">
        <f t="shared" si="42"/>
        <v/>
      </c>
      <c r="V228" s="88">
        <f>IF(U228="",0,MAX(0,T228)+N228+ROUND(J228*[2]Setup!$B$9,0)+IF(O228&gt;[2]Setup!$B$10,ROUND(J228*[2]Setup!$B$11,0),0))</f>
        <v>0</v>
      </c>
      <c r="W228" s="85" t="str">
        <f>IF(L228="","Open",IF(OR(P228&lt;[2]Setup!$B$6,Q228&gt;[2]Setup!$B$7,R228&gt;[2]Setup!$B$8,O228&gt;[2]Setup!$B$10),"Review","OK"))</f>
        <v>Open</v>
      </c>
      <c r="X228" s="86"/>
      <c r="Z228" s="81" t="str">
        <f t="shared" si="45"/>
        <v>Bao</v>
      </c>
    </row>
    <row r="229" spans="1:26" x14ac:dyDescent="0.3">
      <c r="A229" s="84">
        <v>46181</v>
      </c>
      <c r="B229" s="100"/>
      <c r="C229" s="84"/>
      <c r="D229" s="85" t="str">
        <f t="shared" si="40"/>
        <v/>
      </c>
      <c r="E229" s="86" t="s">
        <v>220</v>
      </c>
      <c r="F229" s="86" t="s">
        <v>87</v>
      </c>
      <c r="G229" s="86" t="s">
        <v>313</v>
      </c>
      <c r="H229" s="86" t="s">
        <v>245</v>
      </c>
      <c r="I229" s="87">
        <v>90000</v>
      </c>
      <c r="J229" s="88" t="str">
        <f t="shared" si="41"/>
        <v/>
      </c>
      <c r="K229" s="88"/>
      <c r="L229" s="87"/>
      <c r="M229" s="87"/>
      <c r="N229" s="87"/>
      <c r="O229" s="87"/>
      <c r="P229" s="89" t="str">
        <f t="shared" si="46"/>
        <v/>
      </c>
      <c r="Q229" s="89" t="str">
        <f t="shared" si="47"/>
        <v/>
      </c>
      <c r="R229" s="89" t="str">
        <f t="shared" si="48"/>
        <v/>
      </c>
      <c r="S229" s="88">
        <f>IF(F229="Bao",[2]Setup!$B$4,IF(F229="Soup Dumplings",[2]Setup!$B$5,""))</f>
        <v>90000</v>
      </c>
      <c r="T229" s="88" t="str">
        <f t="shared" si="49"/>
        <v/>
      </c>
      <c r="U229" s="84" t="str">
        <f t="shared" si="42"/>
        <v/>
      </c>
      <c r="V229" s="88">
        <f>IF(U229="",0,MAX(0,T229)+N229+ROUND(J229*[2]Setup!$B$9,0)+IF(O229&gt;[2]Setup!$B$10,ROUND(J229*[2]Setup!$B$11,0),0))</f>
        <v>0</v>
      </c>
      <c r="W229" s="85" t="str">
        <f>IF(L229="","Open",IF(OR(P229&lt;[2]Setup!$B$6,Q229&gt;[2]Setup!$B$7,R229&gt;[2]Setup!$B$8,O229&gt;[2]Setup!$B$10),"Review","OK"))</f>
        <v>Open</v>
      </c>
      <c r="X229" s="86"/>
      <c r="Z229" s="81" t="str">
        <f t="shared" si="45"/>
        <v>Sou</v>
      </c>
    </row>
    <row r="230" spans="1:26" x14ac:dyDescent="0.3">
      <c r="A230" s="84">
        <v>46181</v>
      </c>
      <c r="B230" s="100"/>
      <c r="C230" s="84"/>
      <c r="D230" s="85" t="str">
        <f t="shared" si="40"/>
        <v/>
      </c>
      <c r="E230" s="86" t="s">
        <v>220</v>
      </c>
      <c r="F230" s="86" t="s">
        <v>222</v>
      </c>
      <c r="G230" s="86" t="s">
        <v>350</v>
      </c>
      <c r="H230" s="86" t="s">
        <v>227</v>
      </c>
      <c r="I230" s="87" t="str">
        <f>IF(F230=0,"",IF(COUNTIF(F230,"Bao"),[2]Setup!$B$4,IF(COUNTIF(F230,"Soup Dumplings"),[2]Setup!$B$5,F230)))</f>
        <v>Bao Prep</v>
      </c>
      <c r="J230" s="88" t="str">
        <f t="shared" si="41"/>
        <v/>
      </c>
      <c r="K230" s="88" t="s">
        <v>351</v>
      </c>
      <c r="L230" s="87"/>
      <c r="M230" s="87"/>
      <c r="N230" s="87"/>
      <c r="O230" s="87"/>
      <c r="P230" s="89" t="str">
        <f t="shared" si="46"/>
        <v/>
      </c>
      <c r="Q230" s="89" t="str">
        <f t="shared" si="47"/>
        <v/>
      </c>
      <c r="R230" s="89" t="str">
        <f t="shared" si="48"/>
        <v/>
      </c>
      <c r="S230" s="88" t="str">
        <f>IF(F230="Bao",[2]Setup!$B$4,IF(F230="Soup Dumplings",[2]Setup!$B$5,""))</f>
        <v/>
      </c>
      <c r="T230" s="88" t="str">
        <f t="shared" si="49"/>
        <v/>
      </c>
      <c r="U230" s="84" t="str">
        <f t="shared" si="42"/>
        <v/>
      </c>
      <c r="V230" s="88">
        <f>IF(U230="",0,MAX(0,T230)+N230+ROUND(J230*[2]Setup!$B$9,0)+IF(O230&gt;[2]Setup!$B$10,ROUND(J230*[2]Setup!$B$11,0),0))</f>
        <v>0</v>
      </c>
      <c r="W230" s="85" t="str">
        <f>IF(L230="","Open",IF(OR(P230&lt;[2]Setup!$B$6,Q230&gt;[2]Setup!$B$7,R230&gt;[2]Setup!$B$8,O230&gt;[2]Setup!$B$10),"Review","OK"))</f>
        <v>Open</v>
      </c>
      <c r="X230" s="86"/>
      <c r="Z230" s="81" t="str">
        <f t="shared" si="45"/>
        <v>Bao</v>
      </c>
    </row>
    <row r="231" spans="1:26" ht="28.8" x14ac:dyDescent="0.3">
      <c r="A231" s="84">
        <v>46181</v>
      </c>
      <c r="B231" s="100"/>
      <c r="C231" s="84"/>
      <c r="D231" s="85" t="str">
        <f t="shared" si="40"/>
        <v/>
      </c>
      <c r="E231" s="86" t="s">
        <v>220</v>
      </c>
      <c r="F231" s="86" t="s">
        <v>222</v>
      </c>
      <c r="G231" s="86" t="s">
        <v>346</v>
      </c>
      <c r="H231" s="86" t="s">
        <v>232</v>
      </c>
      <c r="I231" s="87" t="str">
        <f>IF(F231=0,"",IF(COUNTIF(F231,"Bao"),[2]Setup!$B$4,IF(COUNTIF(F231,"Soup Dumplings"),[2]Setup!$B$5,F231)))</f>
        <v>Bao Prep</v>
      </c>
      <c r="J231" s="88" t="str">
        <f t="shared" si="41"/>
        <v/>
      </c>
      <c r="K231" s="88" t="s">
        <v>352</v>
      </c>
      <c r="L231" s="87"/>
      <c r="M231" s="87"/>
      <c r="N231" s="87"/>
      <c r="O231" s="87"/>
      <c r="P231" s="89" t="str">
        <f t="shared" si="46"/>
        <v/>
      </c>
      <c r="Q231" s="89" t="str">
        <f t="shared" si="47"/>
        <v/>
      </c>
      <c r="R231" s="89" t="str">
        <f t="shared" si="48"/>
        <v/>
      </c>
      <c r="S231" s="88" t="str">
        <f>IF(F231="Bao",[2]Setup!$B$4,IF(F231="Soup Dumplings",[2]Setup!$B$5,""))</f>
        <v/>
      </c>
      <c r="T231" s="88" t="str">
        <f t="shared" si="49"/>
        <v/>
      </c>
      <c r="U231" s="84" t="str">
        <f t="shared" si="42"/>
        <v/>
      </c>
      <c r="V231" s="88">
        <f>IF(U231="",0,MAX(0,T231)+N231+ROUND(J231*[2]Setup!$B$9,0)+IF(O231&gt;[2]Setup!$B$10,ROUND(J231*[2]Setup!$B$11,0),0))</f>
        <v>0</v>
      </c>
      <c r="W231" s="85" t="str">
        <f>IF(L231="","Open",IF(OR(P231&lt;[2]Setup!$B$6,Q231&gt;[2]Setup!$B$7,R231&gt;[2]Setup!$B$8,O231&gt;[2]Setup!$B$10),"Review","OK"))</f>
        <v>Open</v>
      </c>
      <c r="X231" s="86"/>
      <c r="Z231" s="81" t="str">
        <f t="shared" si="45"/>
        <v>Bao</v>
      </c>
    </row>
    <row r="232" spans="1:26" ht="28.8" x14ac:dyDescent="0.3">
      <c r="A232" s="84">
        <v>46181</v>
      </c>
      <c r="B232" s="100"/>
      <c r="C232" s="84"/>
      <c r="D232" s="85" t="str">
        <f t="shared" si="40"/>
        <v/>
      </c>
      <c r="E232" s="86" t="s">
        <v>220</v>
      </c>
      <c r="F232" s="86" t="s">
        <v>237</v>
      </c>
      <c r="G232" s="86" t="s">
        <v>242</v>
      </c>
      <c r="H232" s="86" t="s">
        <v>232</v>
      </c>
      <c r="I232" s="87" t="str">
        <f>IF(F232=0,"",IF(COUNTIF(F232,"Bao"),[2]Setup!$B$4,IF(COUNTIF(F232,"Soup Dumplings"),[2]Setup!$B$5,F232)))</f>
        <v>Soup Dumpling Prep</v>
      </c>
      <c r="J232" s="88" t="str">
        <f t="shared" si="41"/>
        <v/>
      </c>
      <c r="K232" s="88" t="s">
        <v>353</v>
      </c>
      <c r="L232" s="87"/>
      <c r="M232" s="87"/>
      <c r="N232" s="87"/>
      <c r="O232" s="87"/>
      <c r="P232" s="89" t="str">
        <f t="shared" si="46"/>
        <v/>
      </c>
      <c r="Q232" s="89" t="str">
        <f t="shared" si="47"/>
        <v/>
      </c>
      <c r="R232" s="89" t="str">
        <f t="shared" si="48"/>
        <v/>
      </c>
      <c r="S232" s="88" t="str">
        <f>IF(F232="Bao",[2]Setup!$B$4,IF(F232="Soup Dumplings",[2]Setup!$B$5,""))</f>
        <v/>
      </c>
      <c r="T232" s="88" t="str">
        <f t="shared" si="49"/>
        <v/>
      </c>
      <c r="U232" s="84" t="str">
        <f t="shared" si="42"/>
        <v/>
      </c>
      <c r="V232" s="88">
        <f>IF(U232="",0,MAX(0,T232)+N232+ROUND(J232*[2]Setup!$B$9,0)+IF(O232&gt;[2]Setup!$B$10,ROUND(J232*[2]Setup!$B$11,0),0))</f>
        <v>0</v>
      </c>
      <c r="W232" s="85" t="str">
        <f>IF(L232="","Open",IF(OR(P232&lt;[2]Setup!$B$6,Q232&gt;[2]Setup!$B$7,R232&gt;[2]Setup!$B$8,O232&gt;[2]Setup!$B$10),"Review","OK"))</f>
        <v>Open</v>
      </c>
      <c r="X232" s="86"/>
      <c r="Z232" s="81" t="str">
        <f t="shared" si="45"/>
        <v>Sou</v>
      </c>
    </row>
    <row r="233" spans="1:26" ht="28.8" x14ac:dyDescent="0.3">
      <c r="A233" s="84">
        <v>46181</v>
      </c>
      <c r="B233" s="100"/>
      <c r="C233" s="84"/>
      <c r="D233" s="85" t="s">
        <v>328</v>
      </c>
      <c r="E233" s="86" t="s">
        <v>220</v>
      </c>
      <c r="F233" s="86" t="s">
        <v>237</v>
      </c>
      <c r="G233" s="86" t="s">
        <v>287</v>
      </c>
      <c r="H233" s="86" t="s">
        <v>227</v>
      </c>
      <c r="I233" s="87" t="str">
        <f>IF(F233=0,"",IF(COUNTIF(F233,"Bao"),[2]Setup!$B$4,IF(COUNTIF(F233,"Soup Dumplings"),[2]Setup!$B$5,F233)))</f>
        <v>Soup Dumpling Prep</v>
      </c>
      <c r="J233" s="88" t="str">
        <f t="shared" si="41"/>
        <v/>
      </c>
      <c r="K233" s="88" t="s">
        <v>354</v>
      </c>
      <c r="L233" s="87"/>
      <c r="M233" s="87"/>
      <c r="N233" s="87"/>
      <c r="O233" s="87"/>
      <c r="P233" s="89" t="str">
        <f t="shared" si="46"/>
        <v/>
      </c>
      <c r="Q233" s="89" t="str">
        <f t="shared" si="47"/>
        <v/>
      </c>
      <c r="R233" s="89" t="str">
        <f t="shared" si="48"/>
        <v/>
      </c>
      <c r="S233" s="88" t="str">
        <f>IF(F233="Bao",[2]Setup!$B$4,IF(F233="Soup Dumplings",[2]Setup!$B$5,""))</f>
        <v/>
      </c>
      <c r="T233" s="88" t="str">
        <f t="shared" si="49"/>
        <v/>
      </c>
      <c r="U233" s="84" t="str">
        <f t="shared" si="42"/>
        <v/>
      </c>
      <c r="V233" s="88">
        <f>IF(U233="",0,MAX(0,T233)+N233+ROUND(J233*[2]Setup!$B$9,0)+IF(O233&gt;[2]Setup!$B$10,ROUND(J233*[2]Setup!$B$11,0),0))</f>
        <v>0</v>
      </c>
      <c r="W233" s="85" t="str">
        <f>IF(L233="","Open",IF(OR(P233&lt;[2]Setup!$B$6,Q233&gt;[2]Setup!$B$7,R233&gt;[2]Setup!$B$8,O233&gt;[2]Setup!$B$10),"Review","OK"))</f>
        <v>Open</v>
      </c>
      <c r="X233" s="86"/>
      <c r="Z233" s="81" t="str">
        <f t="shared" si="45"/>
        <v>Sou</v>
      </c>
    </row>
    <row r="234" spans="1:26" ht="28.8" x14ac:dyDescent="0.3">
      <c r="A234" s="84">
        <v>46181</v>
      </c>
      <c r="B234" s="100"/>
      <c r="C234" s="84"/>
      <c r="D234" s="85" t="str">
        <f t="shared" si="40"/>
        <v/>
      </c>
      <c r="E234" s="86" t="s">
        <v>220</v>
      </c>
      <c r="F234" s="86" t="s">
        <v>222</v>
      </c>
      <c r="G234" s="86" t="s">
        <v>287</v>
      </c>
      <c r="H234" s="86" t="s">
        <v>227</v>
      </c>
      <c r="I234" s="87" t="str">
        <f>IF(F234=0,"",IF(COUNTIF(F234,"Bao"),[2]Setup!$B$4,IF(COUNTIF(F234,"Soup Dumplings"),[2]Setup!$B$5,F234)))</f>
        <v>Bao Prep</v>
      </c>
      <c r="J234" s="88" t="str">
        <f t="shared" si="41"/>
        <v/>
      </c>
      <c r="K234" s="88" t="s">
        <v>355</v>
      </c>
      <c r="L234" s="87"/>
      <c r="M234" s="87"/>
      <c r="N234" s="87"/>
      <c r="O234" s="87"/>
      <c r="P234" s="89" t="str">
        <f t="shared" si="46"/>
        <v/>
      </c>
      <c r="Q234" s="89" t="str">
        <f t="shared" si="47"/>
        <v/>
      </c>
      <c r="R234" s="89" t="str">
        <f t="shared" si="48"/>
        <v/>
      </c>
      <c r="S234" s="88" t="str">
        <f>IF(F234="Bao",[2]Setup!$B$4,IF(F234="Soup Dumplings",[2]Setup!$B$5,""))</f>
        <v/>
      </c>
      <c r="T234" s="88" t="str">
        <f t="shared" si="49"/>
        <v/>
      </c>
      <c r="U234" s="84" t="str">
        <f t="shared" si="42"/>
        <v/>
      </c>
      <c r="V234" s="88">
        <f>IF(U234="",0,MAX(0,T234)+N234+ROUND(J234*[2]Setup!$B$9,0)+IF(O234&gt;[2]Setup!$B$10,ROUND(J234*[2]Setup!$B$11,0),0))</f>
        <v>0</v>
      </c>
      <c r="W234" s="85" t="str">
        <f>IF(L234="","Open",IF(OR(P234&lt;[2]Setup!$B$6,Q234&gt;[2]Setup!$B$7,R234&gt;[2]Setup!$B$8,O234&gt;[2]Setup!$B$10),"Review","OK"))</f>
        <v>Open</v>
      </c>
      <c r="X234" s="86"/>
      <c r="Z234" s="81" t="str">
        <f t="shared" si="45"/>
        <v>Bao</v>
      </c>
    </row>
    <row r="235" spans="1:26" x14ac:dyDescent="0.3">
      <c r="A235" s="84">
        <v>46181</v>
      </c>
      <c r="B235" s="100"/>
      <c r="C235" s="84"/>
      <c r="D235" s="85" t="s">
        <v>328</v>
      </c>
      <c r="E235" s="86" t="s">
        <v>220</v>
      </c>
      <c r="F235" s="86" t="s">
        <v>356</v>
      </c>
      <c r="G235" s="86" t="s">
        <v>357</v>
      </c>
      <c r="H235" s="86" t="s">
        <v>227</v>
      </c>
      <c r="I235" s="87" t="str">
        <f>IF(F235=0,"",IF(COUNTIF(F235,"Bao"),[2]Setup!$B$4,IF(COUNTIF(F235,"Soup Dumplings"),[2]Setup!$B$5,F235)))</f>
        <v>SPECIAL PREP</v>
      </c>
      <c r="J235" s="88" t="str">
        <f t="shared" si="41"/>
        <v/>
      </c>
      <c r="K235" s="88" t="s">
        <v>358</v>
      </c>
      <c r="L235" s="87"/>
      <c r="M235" s="87"/>
      <c r="N235" s="87"/>
      <c r="O235" s="87"/>
      <c r="P235" s="89" t="str">
        <f t="shared" si="46"/>
        <v/>
      </c>
      <c r="Q235" s="89" t="str">
        <f t="shared" si="47"/>
        <v/>
      </c>
      <c r="R235" s="89" t="str">
        <f t="shared" si="48"/>
        <v/>
      </c>
      <c r="S235" s="88" t="str">
        <f>IF(F235="Bao",[2]Setup!$B$4,IF(F235="Soup Dumplings",[2]Setup!$B$5,""))</f>
        <v/>
      </c>
      <c r="T235" s="88" t="str">
        <f t="shared" si="49"/>
        <v/>
      </c>
      <c r="U235" s="84" t="str">
        <f t="shared" si="42"/>
        <v/>
      </c>
      <c r="V235" s="88">
        <f>IF(U235="",0,MAX(0,T235)+N235+ROUND(J235*[2]Setup!$B$9,0)+IF(O235&gt;[2]Setup!$B$10,ROUND(J235*[2]Setup!$B$11,0),0))</f>
        <v>0</v>
      </c>
      <c r="W235" s="85" t="str">
        <f>IF(L235="","Open",IF(OR(P235&lt;[2]Setup!$B$6,Q235&gt;[2]Setup!$B$7,R235&gt;[2]Setup!$B$8,O235&gt;[2]Setup!$B$10),"Review","OK"))</f>
        <v>Open</v>
      </c>
      <c r="X235" s="86"/>
      <c r="Z235" s="81" t="str">
        <f t="shared" si="45"/>
        <v>SPE</v>
      </c>
    </row>
    <row r="236" spans="1:26" ht="28.8" x14ac:dyDescent="0.3">
      <c r="A236" s="84">
        <v>46181</v>
      </c>
      <c r="B236" s="100"/>
      <c r="C236" s="84"/>
      <c r="D236" s="85" t="str">
        <f t="shared" ref="D236:D295" si="50">IF(C236="","",TEXT(C236,"ddd"))</f>
        <v/>
      </c>
      <c r="E236" s="86" t="s">
        <v>220</v>
      </c>
      <c r="F236" s="86" t="s">
        <v>356</v>
      </c>
      <c r="G236" s="86" t="s">
        <v>359</v>
      </c>
      <c r="H236" s="86" t="s">
        <v>227</v>
      </c>
      <c r="I236" s="87" t="str">
        <f>IF(F236=0,"",IF(COUNTIF(F236,"Bao"),[2]Setup!$B$4,IF(COUNTIF(F236,"Soup Dumplings"),[2]Setup!$B$5,F236)))</f>
        <v>SPECIAL PREP</v>
      </c>
      <c r="J236" s="88" t="str">
        <f t="shared" si="41"/>
        <v/>
      </c>
      <c r="K236" s="88" t="s">
        <v>360</v>
      </c>
      <c r="L236" s="87"/>
      <c r="M236" s="87"/>
      <c r="N236" s="87"/>
      <c r="O236" s="87"/>
      <c r="P236" s="89" t="str">
        <f t="shared" si="46"/>
        <v/>
      </c>
      <c r="Q236" s="89" t="str">
        <f t="shared" si="47"/>
        <v/>
      </c>
      <c r="R236" s="89" t="str">
        <f t="shared" si="48"/>
        <v/>
      </c>
      <c r="S236" s="88" t="str">
        <f>IF(F236="Bao",[2]Setup!$B$4,IF(F236="Soup Dumplings",[2]Setup!$B$5,""))</f>
        <v/>
      </c>
      <c r="T236" s="88" t="str">
        <f t="shared" si="49"/>
        <v/>
      </c>
      <c r="U236" s="84" t="str">
        <f t="shared" si="42"/>
        <v/>
      </c>
      <c r="V236" s="88">
        <f>IF(U236="",0,MAX(0,T236)+N236+ROUND(J236*[2]Setup!$B$9,0)+IF(O236&gt;[2]Setup!$B$10,ROUND(J236*[2]Setup!$B$11,0),0))</f>
        <v>0</v>
      </c>
      <c r="W236" s="85" t="str">
        <f>IF(L236="","Open",IF(OR(P236&lt;[2]Setup!$B$6,Q236&gt;[2]Setup!$B$7,R236&gt;[2]Setup!$B$8,O236&gt;[2]Setup!$B$10),"Review","OK"))</f>
        <v>Open</v>
      </c>
      <c r="X236" s="86"/>
      <c r="Z236" s="81" t="str">
        <f t="shared" si="45"/>
        <v>SPE</v>
      </c>
    </row>
    <row r="237" spans="1:26" ht="57.6" x14ac:dyDescent="0.3">
      <c r="A237" s="84">
        <v>46182</v>
      </c>
      <c r="B237" s="100"/>
      <c r="C237" s="84"/>
      <c r="D237" s="85" t="str">
        <f t="shared" si="50"/>
        <v/>
      </c>
      <c r="E237" s="86"/>
      <c r="F237" s="86"/>
      <c r="G237" s="86"/>
      <c r="H237" s="86"/>
      <c r="I237" s="87" t="str">
        <f>IF(F237=0,"",IF(COUNTIF(F237,"Bao"),[2]Setup!$B$4,IF(COUNTIF(F237,"Soup Dumplings"),[2]Setup!$B$5,F237)))</f>
        <v/>
      </c>
      <c r="J237" s="88" t="str">
        <f t="shared" si="41"/>
        <v/>
      </c>
      <c r="K237" s="88" t="s">
        <v>361</v>
      </c>
      <c r="L237" s="87"/>
      <c r="M237" s="87"/>
      <c r="N237" s="87"/>
      <c r="O237" s="87"/>
      <c r="P237" s="89" t="str">
        <f t="shared" si="46"/>
        <v/>
      </c>
      <c r="Q237" s="89" t="str">
        <f t="shared" si="47"/>
        <v/>
      </c>
      <c r="R237" s="89" t="str">
        <f t="shared" si="48"/>
        <v/>
      </c>
      <c r="S237" s="88" t="str">
        <f>IF(F237="Bao",[2]Setup!$B$4,IF(F237="Soup Dumplings",[2]Setup!$B$5,""))</f>
        <v/>
      </c>
      <c r="T237" s="88" t="str">
        <f t="shared" si="49"/>
        <v/>
      </c>
      <c r="U237" s="84" t="str">
        <f t="shared" si="42"/>
        <v/>
      </c>
      <c r="V237" s="88">
        <f>IF(U237="",0,MAX(0,T237)+N237+ROUND(J237*[2]Setup!$B$9,0)+IF(O237&gt;[2]Setup!$B$10,ROUND(J237*[2]Setup!$B$11,0),0))</f>
        <v>0</v>
      </c>
      <c r="W237" s="85" t="str">
        <f>IF(L237="","Open",IF(OR(P237&lt;[2]Setup!$B$6,Q237&gt;[2]Setup!$B$7,R237&gt;[2]Setup!$B$8,O237&gt;[2]Setup!$B$10),"Review","OK"))</f>
        <v>Open</v>
      </c>
      <c r="X237" s="86"/>
      <c r="Z237" s="81" t="str">
        <f t="shared" si="45"/>
        <v/>
      </c>
    </row>
    <row r="238" spans="1:26" ht="28.8" x14ac:dyDescent="0.3">
      <c r="A238" s="84">
        <v>46182</v>
      </c>
      <c r="B238" s="100"/>
      <c r="C238" s="84"/>
      <c r="D238" s="85" t="str">
        <f t="shared" si="50"/>
        <v/>
      </c>
      <c r="E238" s="86" t="s">
        <v>220</v>
      </c>
      <c r="F238" s="86" t="s">
        <v>237</v>
      </c>
      <c r="G238" s="86" t="s">
        <v>259</v>
      </c>
      <c r="H238" s="86" t="s">
        <v>227</v>
      </c>
      <c r="I238" s="87" t="str">
        <f>IF(F238=0,"",IF(COUNTIF(F238,"Bao"),[2]Setup!$B$4,IF(COUNTIF(F238,"Soup Dumplings"),[2]Setup!$B$5,F238)))</f>
        <v>Soup Dumpling Prep</v>
      </c>
      <c r="J238" s="88" t="str">
        <f t="shared" si="41"/>
        <v/>
      </c>
      <c r="K238" s="88" t="s">
        <v>308</v>
      </c>
      <c r="L238" s="87"/>
      <c r="M238" s="87"/>
      <c r="N238" s="87"/>
      <c r="O238" s="87"/>
      <c r="P238" s="89" t="str">
        <f t="shared" si="46"/>
        <v/>
      </c>
      <c r="Q238" s="89" t="str">
        <f t="shared" si="47"/>
        <v/>
      </c>
      <c r="R238" s="89" t="str">
        <f t="shared" si="48"/>
        <v/>
      </c>
      <c r="S238" s="88" t="str">
        <f>IF(F238="Bao",[2]Setup!$B$4,IF(F238="Soup Dumplings",[2]Setup!$B$5,""))</f>
        <v/>
      </c>
      <c r="T238" s="88" t="str">
        <f t="shared" si="49"/>
        <v/>
      </c>
      <c r="U238" s="84" t="str">
        <f t="shared" si="42"/>
        <v/>
      </c>
      <c r="V238" s="88">
        <f>IF(U238="",0,MAX(0,T238)+N238+ROUND(J238*[2]Setup!$B$9,0)+IF(O238&gt;[2]Setup!$B$10,ROUND(J238*[2]Setup!$B$11,0),0))</f>
        <v>0</v>
      </c>
      <c r="W238" s="85" t="str">
        <f>IF(L238="","Open",IF(OR(P238&lt;[2]Setup!$B$6,Q238&gt;[2]Setup!$B$7,R238&gt;[2]Setup!$B$8,O238&gt;[2]Setup!$B$10),"Review","OK"))</f>
        <v>Open</v>
      </c>
      <c r="X238" s="86"/>
      <c r="Z238" s="81" t="str">
        <f t="shared" si="45"/>
        <v>Sou</v>
      </c>
    </row>
    <row r="239" spans="1:26" ht="28.8" x14ac:dyDescent="0.3">
      <c r="A239" s="84">
        <v>46182</v>
      </c>
      <c r="B239" s="100"/>
      <c r="C239" s="84"/>
      <c r="D239" s="85" t="str">
        <f t="shared" si="50"/>
        <v/>
      </c>
      <c r="E239" s="86" t="s">
        <v>220</v>
      </c>
      <c r="F239" s="86" t="s">
        <v>237</v>
      </c>
      <c r="G239" s="86" t="s">
        <v>303</v>
      </c>
      <c r="H239" s="86" t="s">
        <v>229</v>
      </c>
      <c r="I239" s="87" t="str">
        <f>IF(F239=0,"",IF(COUNTIF(F239,"Bao"),[2]Setup!$B$4,IF(COUNTIF(F239,"Soup Dumplings"),[2]Setup!$B$5,F239)))</f>
        <v>Soup Dumpling Prep</v>
      </c>
      <c r="J239" s="88" t="str">
        <f t="shared" ref="J239:J302" si="51">IF(C239="","",
   IFERROR(
      N(I239)+SUMIFS($T$4:$T$30,$S$4:$S$30,C239,$E$4:$E$30,G239),
   0)
)</f>
        <v/>
      </c>
      <c r="K239" s="88" t="s">
        <v>348</v>
      </c>
      <c r="L239" s="87"/>
      <c r="M239" s="87"/>
      <c r="N239" s="87"/>
      <c r="O239" s="87"/>
      <c r="P239" s="89" t="str">
        <f t="shared" si="46"/>
        <v/>
      </c>
      <c r="Q239" s="89" t="str">
        <f t="shared" si="47"/>
        <v/>
      </c>
      <c r="R239" s="89" t="str">
        <f t="shared" si="48"/>
        <v/>
      </c>
      <c r="S239" s="88" t="str">
        <f>IF(F239="Bao",[2]Setup!$B$4,IF(F239="Soup Dumplings",[2]Setup!$B$5,""))</f>
        <v/>
      </c>
      <c r="T239" s="88" t="str">
        <f t="shared" si="49"/>
        <v/>
      </c>
      <c r="U239" s="84" t="str">
        <f t="shared" ref="U239:U302" si="52">IF(C239="","",C239+1)</f>
        <v/>
      </c>
      <c r="V239" s="88">
        <f>IF(U239="",0,MAX(0,T239)+N239+ROUND(J239*[2]Setup!$B$9,0)+IF(O239&gt;[2]Setup!$B$10,ROUND(J239*[2]Setup!$B$11,0),0))</f>
        <v>0</v>
      </c>
      <c r="W239" s="85" t="str">
        <f>IF(L239="","Open",IF(OR(P239&lt;[2]Setup!$B$6,Q239&gt;[2]Setup!$B$7,R239&gt;[2]Setup!$B$8,O239&gt;[2]Setup!$B$10),"Review","OK"))</f>
        <v>Open</v>
      </c>
      <c r="X239" s="86"/>
      <c r="Z239" s="81" t="str">
        <f t="shared" si="45"/>
        <v>Sou</v>
      </c>
    </row>
    <row r="240" spans="1:26" ht="28.8" x14ac:dyDescent="0.3">
      <c r="A240" s="84">
        <v>46182</v>
      </c>
      <c r="B240" s="100"/>
      <c r="C240" s="84"/>
      <c r="D240" s="85" t="str">
        <f t="shared" si="50"/>
        <v/>
      </c>
      <c r="E240" s="86" t="s">
        <v>220</v>
      </c>
      <c r="F240" s="86" t="s">
        <v>237</v>
      </c>
      <c r="G240" s="86" t="s">
        <v>240</v>
      </c>
      <c r="H240" s="86" t="s">
        <v>224</v>
      </c>
      <c r="I240" s="87" t="str">
        <f>IF(F240=0,"",IF(COUNTIF(F240,"Bao"),[2]Setup!$B$4,IF(COUNTIF(F240,"Soup Dumplings"),[2]Setup!$B$5,F240)))</f>
        <v>Soup Dumpling Prep</v>
      </c>
      <c r="J240" s="88" t="str">
        <f t="shared" si="51"/>
        <v/>
      </c>
      <c r="K240" s="88"/>
      <c r="L240" s="87"/>
      <c r="M240" s="87"/>
      <c r="N240" s="87"/>
      <c r="O240" s="87"/>
      <c r="P240" s="89" t="str">
        <f t="shared" si="46"/>
        <v/>
      </c>
      <c r="Q240" s="89" t="str">
        <f t="shared" si="47"/>
        <v/>
      </c>
      <c r="R240" s="89" t="str">
        <f t="shared" si="48"/>
        <v/>
      </c>
      <c r="S240" s="88" t="str">
        <f>IF(F240="Bao",[2]Setup!$B$4,IF(F240="Soup Dumplings",[2]Setup!$B$5,""))</f>
        <v/>
      </c>
      <c r="T240" s="88" t="str">
        <f t="shared" si="49"/>
        <v/>
      </c>
      <c r="U240" s="84" t="str">
        <f t="shared" si="52"/>
        <v/>
      </c>
      <c r="V240" s="88">
        <f>IF(U240="",0,MAX(0,T240)+N240+ROUND(J240*[2]Setup!$B$9,0)+IF(O240&gt;[2]Setup!$B$10,ROUND(J240*[2]Setup!$B$11,0),0))</f>
        <v>0</v>
      </c>
      <c r="W240" s="85" t="str">
        <f>IF(L240="","Open",IF(OR(P240&lt;[2]Setup!$B$6,Q240&gt;[2]Setup!$B$7,R240&gt;[2]Setup!$B$8,O240&gt;[2]Setup!$B$10),"Review","OK"))</f>
        <v>Open</v>
      </c>
      <c r="X240" s="86"/>
      <c r="Z240" s="81" t="str">
        <f t="shared" si="45"/>
        <v>Sou</v>
      </c>
    </row>
    <row r="241" spans="1:26" ht="28.8" x14ac:dyDescent="0.3">
      <c r="A241" s="84">
        <v>46182</v>
      </c>
      <c r="B241" s="100"/>
      <c r="C241" s="84"/>
      <c r="D241" s="85" t="str">
        <f t="shared" si="50"/>
        <v/>
      </c>
      <c r="E241" s="86" t="s">
        <v>220</v>
      </c>
      <c r="F241" s="86" t="s">
        <v>222</v>
      </c>
      <c r="G241" s="86" t="s">
        <v>226</v>
      </c>
      <c r="H241" s="86" t="s">
        <v>229</v>
      </c>
      <c r="I241" s="87" t="str">
        <f>IF(F241=0,"",IF(COUNTIF(F241,"Bao"),[2]Setup!$B$4,IF(COUNTIF(F241,"Soup Dumplings"),[2]Setup!$B$5,F241)))</f>
        <v>Bao Prep</v>
      </c>
      <c r="J241" s="88" t="str">
        <f t="shared" si="51"/>
        <v/>
      </c>
      <c r="K241" s="88" t="s">
        <v>349</v>
      </c>
      <c r="L241" s="87"/>
      <c r="M241" s="87"/>
      <c r="N241" s="87"/>
      <c r="O241" s="87"/>
      <c r="P241" s="89" t="str">
        <f t="shared" si="46"/>
        <v/>
      </c>
      <c r="Q241" s="89" t="str">
        <f t="shared" si="47"/>
        <v/>
      </c>
      <c r="R241" s="89" t="str">
        <f t="shared" si="48"/>
        <v/>
      </c>
      <c r="S241" s="88" t="str">
        <f>IF(F241="Bao",[2]Setup!$B$4,IF(F241="Soup Dumplings",[2]Setup!$B$5,""))</f>
        <v/>
      </c>
      <c r="T241" s="88" t="str">
        <f t="shared" si="49"/>
        <v/>
      </c>
      <c r="U241" s="84" t="str">
        <f t="shared" si="52"/>
        <v/>
      </c>
      <c r="V241" s="88">
        <f>IF(U241="",0,MAX(0,T241)+N241+ROUND(J241*[2]Setup!$B$9,0)+IF(O241&gt;[2]Setup!$B$10,ROUND(J241*[2]Setup!$B$11,0),0))</f>
        <v>0</v>
      </c>
      <c r="W241" s="85" t="str">
        <f>IF(L241="","Open",IF(OR(P241&lt;[2]Setup!$B$6,Q241&gt;[2]Setup!$B$7,R241&gt;[2]Setup!$B$8,O241&gt;[2]Setup!$B$10),"Review","OK"))</f>
        <v>Open</v>
      </c>
      <c r="X241" s="86"/>
      <c r="Z241" s="81" t="str">
        <f t="shared" si="45"/>
        <v>Bao</v>
      </c>
    </row>
    <row r="242" spans="1:26" ht="28.8" x14ac:dyDescent="0.3">
      <c r="A242" s="84">
        <v>46182</v>
      </c>
      <c r="B242" s="100"/>
      <c r="C242" s="84"/>
      <c r="D242" s="85" t="str">
        <f t="shared" si="50"/>
        <v/>
      </c>
      <c r="E242" s="86" t="s">
        <v>220</v>
      </c>
      <c r="F242" s="86" t="s">
        <v>52</v>
      </c>
      <c r="G242" s="86" t="s">
        <v>82</v>
      </c>
      <c r="H242" s="86" t="s">
        <v>221</v>
      </c>
      <c r="I242" s="87" t="s">
        <v>286</v>
      </c>
      <c r="J242" s="88" t="str">
        <f t="shared" si="51"/>
        <v/>
      </c>
      <c r="K242" s="88" t="s">
        <v>362</v>
      </c>
      <c r="L242" s="87"/>
      <c r="M242" s="87"/>
      <c r="N242" s="87"/>
      <c r="O242" s="87"/>
      <c r="P242" s="89" t="str">
        <f t="shared" si="46"/>
        <v/>
      </c>
      <c r="Q242" s="89" t="str">
        <f t="shared" si="47"/>
        <v/>
      </c>
      <c r="R242" s="89" t="str">
        <f t="shared" si="48"/>
        <v/>
      </c>
      <c r="S242" s="88">
        <f>IF(F242="Bao",[2]Setup!$B$4,IF(F242="Soup Dumplings",[2]Setup!$B$5,""))</f>
        <v>40000</v>
      </c>
      <c r="T242" s="88" t="str">
        <f t="shared" si="49"/>
        <v/>
      </c>
      <c r="U242" s="84" t="str">
        <f t="shared" si="52"/>
        <v/>
      </c>
      <c r="V242" s="88">
        <f>IF(U242="",0,MAX(0,T242)+N242+ROUND(J242*[2]Setup!$B$9,0)+IF(O242&gt;[2]Setup!$B$10,ROUND(J242*[2]Setup!$B$11,0),0))</f>
        <v>0</v>
      </c>
      <c r="W242" s="85" t="str">
        <f>IF(L242="","Open",IF(OR(P242&lt;[2]Setup!$B$6,Q242&gt;[2]Setup!$B$7,R242&gt;[2]Setup!$B$8,O242&gt;[2]Setup!$B$10),"Review","OK"))</f>
        <v>Open</v>
      </c>
      <c r="X242" s="86"/>
      <c r="Z242" s="81" t="str">
        <f t="shared" si="45"/>
        <v>Bao</v>
      </c>
    </row>
    <row r="243" spans="1:26" x14ac:dyDescent="0.3">
      <c r="A243" s="84">
        <v>46182</v>
      </c>
      <c r="B243" s="100"/>
      <c r="C243" s="84"/>
      <c r="D243" s="85" t="str">
        <f t="shared" si="50"/>
        <v/>
      </c>
      <c r="E243" s="86" t="s">
        <v>220</v>
      </c>
      <c r="F243" s="86" t="s">
        <v>222</v>
      </c>
      <c r="G243" s="86" t="s">
        <v>223</v>
      </c>
      <c r="H243" s="86" t="s">
        <v>224</v>
      </c>
      <c r="I243" s="87" t="str">
        <f>IF(F243=0,"",IF(COUNTIF(F243,"Bao"),[2]Setup!$B$4,IF(COUNTIF(F243,"Soup Dumplings"),[2]Setup!$B$5,F243)))</f>
        <v>Bao Prep</v>
      </c>
      <c r="J243" s="88" t="str">
        <f t="shared" si="51"/>
        <v/>
      </c>
      <c r="K243" s="88" t="s">
        <v>363</v>
      </c>
      <c r="L243" s="87"/>
      <c r="M243" s="87"/>
      <c r="N243" s="87"/>
      <c r="O243" s="87"/>
      <c r="P243" s="89" t="str">
        <f t="shared" si="46"/>
        <v/>
      </c>
      <c r="Q243" s="89" t="str">
        <f t="shared" si="47"/>
        <v/>
      </c>
      <c r="R243" s="89" t="str">
        <f t="shared" si="48"/>
        <v/>
      </c>
      <c r="S243" s="88" t="str">
        <f>IF(F243="Bao",[2]Setup!$B$4,IF(F243="Soup Dumplings",[2]Setup!$B$5,""))</f>
        <v/>
      </c>
      <c r="T243" s="88" t="str">
        <f t="shared" si="49"/>
        <v/>
      </c>
      <c r="U243" s="84" t="str">
        <f t="shared" si="52"/>
        <v/>
      </c>
      <c r="V243" s="88">
        <f>IF(U243="",0,MAX(0,T243)+N243+ROUND(J243*[2]Setup!$B$9,0)+IF(O243&gt;[2]Setup!$B$10,ROUND(J243*[2]Setup!$B$11,0),0))</f>
        <v>0</v>
      </c>
      <c r="W243" s="85" t="str">
        <f>IF(L243="","Open",IF(OR(P243&lt;[2]Setup!$B$6,Q243&gt;[2]Setup!$B$7,R243&gt;[2]Setup!$B$8,O243&gt;[2]Setup!$B$10),"Review","OK"))</f>
        <v>Open</v>
      </c>
      <c r="X243" s="86"/>
      <c r="Z243" s="81" t="str">
        <f t="shared" si="45"/>
        <v>Bao</v>
      </c>
    </row>
    <row r="244" spans="1:26" x14ac:dyDescent="0.3">
      <c r="A244" s="84">
        <v>46182</v>
      </c>
      <c r="B244" s="100"/>
      <c r="C244" s="84"/>
      <c r="D244" s="85" t="str">
        <f t="shared" si="50"/>
        <v/>
      </c>
      <c r="E244" s="86" t="s">
        <v>220</v>
      </c>
      <c r="F244" s="86" t="s">
        <v>87</v>
      </c>
      <c r="G244" s="86" t="s">
        <v>313</v>
      </c>
      <c r="H244" s="86" t="s">
        <v>245</v>
      </c>
      <c r="I244" s="87">
        <v>90000</v>
      </c>
      <c r="J244" s="88" t="str">
        <f t="shared" si="51"/>
        <v/>
      </c>
      <c r="K244" s="88"/>
      <c r="L244" s="87"/>
      <c r="M244" s="87"/>
      <c r="N244" s="87"/>
      <c r="O244" s="87"/>
      <c r="P244" s="89" t="str">
        <f t="shared" si="46"/>
        <v/>
      </c>
      <c r="Q244" s="89" t="str">
        <f t="shared" si="47"/>
        <v/>
      </c>
      <c r="R244" s="89" t="str">
        <f t="shared" si="48"/>
        <v/>
      </c>
      <c r="S244" s="88">
        <f>IF(F244="Bao",[2]Setup!$B$4,IF(F244="Soup Dumplings",[2]Setup!$B$5,""))</f>
        <v>90000</v>
      </c>
      <c r="T244" s="88" t="str">
        <f t="shared" si="49"/>
        <v/>
      </c>
      <c r="U244" s="84" t="str">
        <f t="shared" si="52"/>
        <v/>
      </c>
      <c r="V244" s="88">
        <f>IF(U244="",0,MAX(0,T244)+N244+ROUND(J244*[2]Setup!$B$9,0)+IF(O244&gt;[2]Setup!$B$10,ROUND(J244*[2]Setup!$B$11,0),0))</f>
        <v>0</v>
      </c>
      <c r="W244" s="85" t="str">
        <f>IF(L244="","Open",IF(OR(P244&lt;[2]Setup!$B$6,Q244&gt;[2]Setup!$B$7,R244&gt;[2]Setup!$B$8,O244&gt;[2]Setup!$B$10),"Review","OK"))</f>
        <v>Open</v>
      </c>
      <c r="X244" s="86"/>
      <c r="Z244" s="81" t="str">
        <f t="shared" si="45"/>
        <v>Sou</v>
      </c>
    </row>
    <row r="245" spans="1:26" x14ac:dyDescent="0.3">
      <c r="A245" s="84">
        <v>46182</v>
      </c>
      <c r="B245" s="100"/>
      <c r="C245" s="84"/>
      <c r="D245" s="85" t="str">
        <f t="shared" si="50"/>
        <v/>
      </c>
      <c r="E245" s="86" t="s">
        <v>220</v>
      </c>
      <c r="F245" s="86" t="s">
        <v>222</v>
      </c>
      <c r="G245" s="86" t="s">
        <v>350</v>
      </c>
      <c r="H245" s="86" t="s">
        <v>227</v>
      </c>
      <c r="I245" s="87" t="str">
        <f>IF(F245=0,"",IF(COUNTIF(F245,"Bao"),[2]Setup!$B$4,IF(COUNTIF(F245,"Soup Dumplings"),[2]Setup!$B$5,F245)))</f>
        <v>Bao Prep</v>
      </c>
      <c r="J245" s="88" t="str">
        <f t="shared" si="51"/>
        <v/>
      </c>
      <c r="K245" s="88" t="s">
        <v>364</v>
      </c>
      <c r="L245" s="87"/>
      <c r="M245" s="87"/>
      <c r="N245" s="87"/>
      <c r="O245" s="87"/>
      <c r="P245" s="89" t="str">
        <f t="shared" si="46"/>
        <v/>
      </c>
      <c r="Q245" s="89" t="str">
        <f t="shared" si="47"/>
        <v/>
      </c>
      <c r="R245" s="89" t="str">
        <f t="shared" si="48"/>
        <v/>
      </c>
      <c r="S245" s="88" t="str">
        <f>IF(F245="Bao",[2]Setup!$B$4,IF(F245="Soup Dumplings",[2]Setup!$B$5,""))</f>
        <v/>
      </c>
      <c r="T245" s="88" t="str">
        <f t="shared" si="49"/>
        <v/>
      </c>
      <c r="U245" s="84" t="str">
        <f t="shared" si="52"/>
        <v/>
      </c>
      <c r="V245" s="88">
        <f>IF(U245="",0,MAX(0,T245)+N245+ROUND(J245*[2]Setup!$B$9,0)+IF(O245&gt;[2]Setup!$B$10,ROUND(J245*[2]Setup!$B$11,0),0))</f>
        <v>0</v>
      </c>
      <c r="W245" s="85" t="str">
        <f>IF(L245="","Open",IF(OR(P245&lt;[2]Setup!$B$6,Q245&gt;[2]Setup!$B$7,R245&gt;[2]Setup!$B$8,O245&gt;[2]Setup!$B$10),"Review","OK"))</f>
        <v>Open</v>
      </c>
      <c r="X245" s="86"/>
      <c r="Z245" s="81" t="str">
        <f t="shared" si="45"/>
        <v>Bao</v>
      </c>
    </row>
    <row r="246" spans="1:26" ht="28.8" x14ac:dyDescent="0.3">
      <c r="A246" s="84">
        <v>46182</v>
      </c>
      <c r="B246" s="100"/>
      <c r="C246" s="84"/>
      <c r="D246" s="85" t="str">
        <f t="shared" si="50"/>
        <v/>
      </c>
      <c r="E246" s="86" t="s">
        <v>220</v>
      </c>
      <c r="F246" s="86" t="s">
        <v>222</v>
      </c>
      <c r="G246" s="86" t="s">
        <v>346</v>
      </c>
      <c r="H246" s="86" t="s">
        <v>232</v>
      </c>
      <c r="I246" s="87" t="str">
        <f>IF(F246=0,"",IF(COUNTIF(F246,"Bao"),[2]Setup!$B$4,IF(COUNTIF(F246,"Soup Dumplings"),[2]Setup!$B$5,F246)))</f>
        <v>Bao Prep</v>
      </c>
      <c r="J246" s="88" t="str">
        <f t="shared" si="51"/>
        <v/>
      </c>
      <c r="K246" s="88" t="s">
        <v>365</v>
      </c>
      <c r="L246" s="87"/>
      <c r="M246" s="87"/>
      <c r="N246" s="87"/>
      <c r="O246" s="87"/>
      <c r="P246" s="89" t="str">
        <f t="shared" si="46"/>
        <v/>
      </c>
      <c r="Q246" s="89" t="str">
        <f t="shared" si="47"/>
        <v/>
      </c>
      <c r="R246" s="89" t="str">
        <f t="shared" si="48"/>
        <v/>
      </c>
      <c r="S246" s="88" t="str">
        <f>IF(F246="Bao",[2]Setup!$B$4,IF(F246="Soup Dumplings",[2]Setup!$B$5,""))</f>
        <v/>
      </c>
      <c r="T246" s="88" t="str">
        <f t="shared" si="49"/>
        <v/>
      </c>
      <c r="U246" s="84" t="str">
        <f t="shared" si="52"/>
        <v/>
      </c>
      <c r="V246" s="88">
        <f>IF(U246="",0,MAX(0,T246)+N246+ROUND(J246*[2]Setup!$B$9,0)+IF(O246&gt;[2]Setup!$B$10,ROUND(J246*[2]Setup!$B$11,0),0))</f>
        <v>0</v>
      </c>
      <c r="W246" s="85" t="str">
        <f>IF(L246="","Open",IF(OR(P246&lt;[2]Setup!$B$6,Q246&gt;[2]Setup!$B$7,R246&gt;[2]Setup!$B$8,O246&gt;[2]Setup!$B$10),"Review","OK"))</f>
        <v>Open</v>
      </c>
      <c r="X246" s="86"/>
      <c r="Z246" s="81" t="str">
        <f t="shared" si="45"/>
        <v>Bao</v>
      </c>
    </row>
    <row r="247" spans="1:26" ht="28.8" x14ac:dyDescent="0.3">
      <c r="A247" s="84">
        <v>46182</v>
      </c>
      <c r="B247" s="100"/>
      <c r="C247" s="84"/>
      <c r="D247" s="85" t="str">
        <f t="shared" si="50"/>
        <v/>
      </c>
      <c r="E247" s="86" t="s">
        <v>220</v>
      </c>
      <c r="F247" s="86" t="s">
        <v>237</v>
      </c>
      <c r="G247" s="86" t="s">
        <v>242</v>
      </c>
      <c r="H247" s="86" t="s">
        <v>232</v>
      </c>
      <c r="I247" s="87" t="str">
        <f>IF(F247=0,"",IF(COUNTIF(F247,"Bao"),[2]Setup!$B$4,IF(COUNTIF(F247,"Soup Dumplings"),[2]Setup!$B$5,F247)))</f>
        <v>Soup Dumpling Prep</v>
      </c>
      <c r="J247" s="88" t="str">
        <f t="shared" si="51"/>
        <v/>
      </c>
      <c r="K247" s="88" t="s">
        <v>353</v>
      </c>
      <c r="L247" s="87"/>
      <c r="M247" s="87"/>
      <c r="N247" s="87"/>
      <c r="O247" s="87"/>
      <c r="P247" s="89" t="str">
        <f t="shared" si="46"/>
        <v/>
      </c>
      <c r="Q247" s="89" t="str">
        <f t="shared" si="47"/>
        <v/>
      </c>
      <c r="R247" s="89" t="str">
        <f t="shared" si="48"/>
        <v/>
      </c>
      <c r="S247" s="88" t="str">
        <f>IF(F247="Bao",[2]Setup!$B$4,IF(F247="Soup Dumplings",[2]Setup!$B$5,""))</f>
        <v/>
      </c>
      <c r="T247" s="88" t="str">
        <f t="shared" si="49"/>
        <v/>
      </c>
      <c r="U247" s="84" t="str">
        <f t="shared" si="52"/>
        <v/>
      </c>
      <c r="V247" s="88">
        <f>IF(U247="",0,MAX(0,T247)+N247+ROUND(J247*[2]Setup!$B$9,0)+IF(O247&gt;[2]Setup!$B$10,ROUND(J247*[2]Setup!$B$11,0),0))</f>
        <v>0</v>
      </c>
      <c r="W247" s="85" t="str">
        <f>IF(L247="","Open",IF(OR(P247&lt;[2]Setup!$B$6,Q247&gt;[2]Setup!$B$7,R247&gt;[2]Setup!$B$8,O247&gt;[2]Setup!$B$10),"Review","OK"))</f>
        <v>Open</v>
      </c>
      <c r="X247" s="86"/>
      <c r="Z247" s="81" t="str">
        <f t="shared" si="45"/>
        <v>Sou</v>
      </c>
    </row>
    <row r="248" spans="1:26" ht="28.8" x14ac:dyDescent="0.3">
      <c r="A248" s="84">
        <v>46182</v>
      </c>
      <c r="B248" s="100"/>
      <c r="C248" s="84"/>
      <c r="D248" s="85" t="str">
        <f t="shared" si="50"/>
        <v/>
      </c>
      <c r="E248" s="86" t="s">
        <v>220</v>
      </c>
      <c r="F248" s="86" t="s">
        <v>237</v>
      </c>
      <c r="G248" s="86" t="s">
        <v>287</v>
      </c>
      <c r="H248" s="86" t="s">
        <v>227</v>
      </c>
      <c r="I248" s="87" t="str">
        <f>IF(F248=0,"",IF(COUNTIF(F248,"Bao"),[2]Setup!$B$4,IF(COUNTIF(F248,"Soup Dumplings"),[2]Setup!$B$5,F248)))</f>
        <v>Soup Dumpling Prep</v>
      </c>
      <c r="J248" s="88" t="str">
        <f t="shared" si="51"/>
        <v/>
      </c>
      <c r="K248" s="88" t="s">
        <v>354</v>
      </c>
      <c r="L248" s="87"/>
      <c r="M248" s="87"/>
      <c r="N248" s="87"/>
      <c r="O248" s="87"/>
      <c r="P248" s="89" t="str">
        <f t="shared" si="46"/>
        <v/>
      </c>
      <c r="Q248" s="89" t="str">
        <f t="shared" si="47"/>
        <v/>
      </c>
      <c r="R248" s="89" t="str">
        <f t="shared" si="48"/>
        <v/>
      </c>
      <c r="S248" s="88" t="str">
        <f>IF(F248="Bao",[2]Setup!$B$4,IF(F248="Soup Dumplings",[2]Setup!$B$5,""))</f>
        <v/>
      </c>
      <c r="T248" s="88" t="str">
        <f t="shared" si="49"/>
        <v/>
      </c>
      <c r="U248" s="84" t="str">
        <f t="shared" si="52"/>
        <v/>
      </c>
      <c r="V248" s="88">
        <f>IF(U248="",0,MAX(0,T248)+N248+ROUND(J248*[2]Setup!$B$9,0)+IF(O248&gt;[2]Setup!$B$10,ROUND(J248*[2]Setup!$B$11,0),0))</f>
        <v>0</v>
      </c>
      <c r="W248" s="85" t="str">
        <f>IF(L248="","Open",IF(OR(P248&lt;[2]Setup!$B$6,Q248&gt;[2]Setup!$B$7,R248&gt;[2]Setup!$B$8,O248&gt;[2]Setup!$B$10),"Review","OK"))</f>
        <v>Open</v>
      </c>
      <c r="X248" s="86"/>
      <c r="Z248" s="81" t="str">
        <f t="shared" si="45"/>
        <v>Sou</v>
      </c>
    </row>
    <row r="249" spans="1:26" ht="28.8" x14ac:dyDescent="0.3">
      <c r="A249" s="84">
        <v>46182</v>
      </c>
      <c r="B249" s="100"/>
      <c r="C249" s="84"/>
      <c r="D249" s="85" t="str">
        <f t="shared" si="50"/>
        <v/>
      </c>
      <c r="E249" s="86" t="s">
        <v>220</v>
      </c>
      <c r="F249" s="86" t="s">
        <v>356</v>
      </c>
      <c r="G249" s="86" t="s">
        <v>359</v>
      </c>
      <c r="H249" s="86" t="s">
        <v>227</v>
      </c>
      <c r="I249" s="87" t="str">
        <f>IF(F249=0,"",IF(COUNTIF(F249,"Bao"),[2]Setup!$B$4,IF(COUNTIF(F249,"Soup Dumplings"),[2]Setup!$B$5,F249)))</f>
        <v>SPECIAL PREP</v>
      </c>
      <c r="J249" s="88" t="str">
        <f t="shared" si="51"/>
        <v/>
      </c>
      <c r="K249" s="88" t="s">
        <v>360</v>
      </c>
      <c r="L249" s="87"/>
      <c r="M249" s="87"/>
      <c r="N249" s="87"/>
      <c r="O249" s="87"/>
      <c r="P249" s="89" t="str">
        <f t="shared" si="46"/>
        <v/>
      </c>
      <c r="Q249" s="89" t="str">
        <f t="shared" si="47"/>
        <v/>
      </c>
      <c r="R249" s="89" t="str">
        <f t="shared" si="48"/>
        <v/>
      </c>
      <c r="S249" s="88" t="str">
        <f>IF(F249="Bao",[2]Setup!$B$4,IF(F249="Soup Dumplings",[2]Setup!$B$5,""))</f>
        <v/>
      </c>
      <c r="T249" s="88" t="str">
        <f t="shared" si="49"/>
        <v/>
      </c>
      <c r="U249" s="84" t="str">
        <f t="shared" si="52"/>
        <v/>
      </c>
      <c r="V249" s="88">
        <f>IF(U249="",0,MAX(0,T249)+N249+ROUND(J249*[2]Setup!$B$9,0)+IF(O249&gt;[2]Setup!$B$10,ROUND(J249*[2]Setup!$B$11,0),0))</f>
        <v>0</v>
      </c>
      <c r="W249" s="85" t="str">
        <f>IF(L249="","Open",IF(OR(P249&lt;[2]Setup!$B$6,Q249&gt;[2]Setup!$B$7,R249&gt;[2]Setup!$B$8,O249&gt;[2]Setup!$B$10),"Review","OK"))</f>
        <v>Open</v>
      </c>
      <c r="X249" s="86"/>
      <c r="Z249" s="81" t="str">
        <f t="shared" si="45"/>
        <v>SPE</v>
      </c>
    </row>
    <row r="250" spans="1:26" ht="28.8" x14ac:dyDescent="0.3">
      <c r="A250" s="84">
        <v>46183</v>
      </c>
      <c r="B250" s="100"/>
      <c r="C250" s="84"/>
      <c r="D250" s="85" t="str">
        <f t="shared" si="50"/>
        <v/>
      </c>
      <c r="E250" s="86" t="s">
        <v>220</v>
      </c>
      <c r="F250" s="86" t="s">
        <v>237</v>
      </c>
      <c r="G250" s="86" t="s">
        <v>242</v>
      </c>
      <c r="H250" s="86" t="s">
        <v>232</v>
      </c>
      <c r="I250" s="87" t="str">
        <f>IF(F250=0,"",IF(COUNTIF(F250,"Bao"),[2]Setup!$B$4,IF(COUNTIF(F250,"Soup Dumplings"),[2]Setup!$B$5,F250)))</f>
        <v>Soup Dumpling Prep</v>
      </c>
      <c r="J250" s="88" t="str">
        <f t="shared" si="51"/>
        <v/>
      </c>
      <c r="K250" s="88" t="s">
        <v>366</v>
      </c>
      <c r="L250" s="87"/>
      <c r="M250" s="87"/>
      <c r="N250" s="87"/>
      <c r="O250" s="87"/>
      <c r="P250" s="89" t="str">
        <f t="shared" si="46"/>
        <v/>
      </c>
      <c r="Q250" s="89" t="str">
        <f t="shared" si="47"/>
        <v/>
      </c>
      <c r="R250" s="89" t="str">
        <f t="shared" si="48"/>
        <v/>
      </c>
      <c r="S250" s="88" t="str">
        <f>IF(F250="Bao",[2]Setup!$B$4,IF(F250="Soup Dumplings",[2]Setup!$B$5,""))</f>
        <v/>
      </c>
      <c r="T250" s="88" t="str">
        <f t="shared" si="49"/>
        <v/>
      </c>
      <c r="U250" s="84" t="str">
        <f t="shared" si="52"/>
        <v/>
      </c>
      <c r="V250" s="88">
        <f>IF(U250="",0,MAX(0,T250)+N250+ROUND(J250*[2]Setup!$B$9,0)+IF(O250&gt;[2]Setup!$B$10,ROUND(J250*[2]Setup!$B$11,0),0))</f>
        <v>0</v>
      </c>
      <c r="W250" s="85" t="str">
        <f>IF(L250="","Open",IF(OR(P250&lt;[2]Setup!$B$6,Q250&gt;[2]Setup!$B$7,R250&gt;[2]Setup!$B$8,O250&gt;[2]Setup!$B$10),"Review","OK"))</f>
        <v>Open</v>
      </c>
      <c r="X250" s="86"/>
      <c r="Z250" s="81" t="str">
        <f t="shared" si="45"/>
        <v>Sou</v>
      </c>
    </row>
    <row r="251" spans="1:26" ht="28.8" x14ac:dyDescent="0.3">
      <c r="A251" s="84">
        <v>46183</v>
      </c>
      <c r="B251" s="100"/>
      <c r="C251" s="84"/>
      <c r="D251" s="85" t="str">
        <f t="shared" si="50"/>
        <v/>
      </c>
      <c r="E251" s="86" t="s">
        <v>220</v>
      </c>
      <c r="F251" s="86" t="s">
        <v>237</v>
      </c>
      <c r="G251" s="86" t="s">
        <v>259</v>
      </c>
      <c r="H251" s="86" t="s">
        <v>227</v>
      </c>
      <c r="I251" s="87" t="str">
        <f>IF(F251=0,"",IF(COUNTIF(F251,"Bao"),[2]Setup!$B$4,IF(COUNTIF(F251,"Soup Dumplings"),[2]Setup!$B$5,F251)))</f>
        <v>Soup Dumpling Prep</v>
      </c>
      <c r="J251" s="88" t="str">
        <f t="shared" si="51"/>
        <v/>
      </c>
      <c r="K251" s="88" t="s">
        <v>367</v>
      </c>
      <c r="L251" s="87"/>
      <c r="M251" s="87"/>
      <c r="N251" s="87"/>
      <c r="O251" s="87"/>
      <c r="P251" s="89" t="str">
        <f t="shared" si="46"/>
        <v/>
      </c>
      <c r="Q251" s="89" t="str">
        <f t="shared" si="47"/>
        <v/>
      </c>
      <c r="R251" s="89" t="str">
        <f t="shared" si="48"/>
        <v/>
      </c>
      <c r="S251" s="88" t="str">
        <f>IF(F251="Bao",[2]Setup!$B$4,IF(F251="Soup Dumplings",[2]Setup!$B$5,""))</f>
        <v/>
      </c>
      <c r="T251" s="88" t="str">
        <f t="shared" si="49"/>
        <v/>
      </c>
      <c r="U251" s="84" t="str">
        <f t="shared" si="52"/>
        <v/>
      </c>
      <c r="V251" s="88">
        <f>IF(U251="",0,MAX(0,T251)+N251+ROUND(J251*[2]Setup!$B$9,0)+IF(O251&gt;[2]Setup!$B$10,ROUND(J251*[2]Setup!$B$11,0),0))</f>
        <v>0</v>
      </c>
      <c r="W251" s="85" t="str">
        <f>IF(L251="","Open",IF(OR(P251&lt;[2]Setup!$B$6,Q251&gt;[2]Setup!$B$7,R251&gt;[2]Setup!$B$8,O251&gt;[2]Setup!$B$10),"Review","OK"))</f>
        <v>Open</v>
      </c>
      <c r="X251" s="86"/>
      <c r="Z251" s="81" t="str">
        <f t="shared" si="45"/>
        <v>Sou</v>
      </c>
    </row>
    <row r="252" spans="1:26" ht="28.8" x14ac:dyDescent="0.3">
      <c r="A252" s="84">
        <v>46183</v>
      </c>
      <c r="B252" s="100"/>
      <c r="C252" s="84"/>
      <c r="D252" s="85" t="str">
        <f t="shared" si="50"/>
        <v/>
      </c>
      <c r="E252" s="86" t="s">
        <v>220</v>
      </c>
      <c r="F252" s="86" t="s">
        <v>237</v>
      </c>
      <c r="G252" s="86" t="s">
        <v>368</v>
      </c>
      <c r="H252" s="86" t="s">
        <v>227</v>
      </c>
      <c r="I252" s="87" t="str">
        <f>IF(F252=0,"",IF(COUNTIF(F252,"Bao"),[2]Setup!$B$4,IF(COUNTIF(F252,"Soup Dumplings"),[2]Setup!$B$5,F252)))</f>
        <v>Soup Dumpling Prep</v>
      </c>
      <c r="J252" s="88" t="str">
        <f t="shared" si="51"/>
        <v/>
      </c>
      <c r="K252" s="88" t="s">
        <v>369</v>
      </c>
      <c r="L252" s="87"/>
      <c r="M252" s="87"/>
      <c r="N252" s="87"/>
      <c r="O252" s="87"/>
      <c r="P252" s="89" t="str">
        <f t="shared" si="46"/>
        <v/>
      </c>
      <c r="Q252" s="89" t="str">
        <f t="shared" si="47"/>
        <v/>
      </c>
      <c r="R252" s="89" t="str">
        <f t="shared" si="48"/>
        <v/>
      </c>
      <c r="S252" s="88" t="str">
        <f>IF(F252="Bao",[2]Setup!$B$4,IF(F252="Soup Dumplings",[2]Setup!$B$5,""))</f>
        <v/>
      </c>
      <c r="T252" s="88" t="str">
        <f t="shared" si="49"/>
        <v/>
      </c>
      <c r="U252" s="84" t="str">
        <f t="shared" si="52"/>
        <v/>
      </c>
      <c r="V252" s="88">
        <f>IF(U252="",0,MAX(0,T252)+N252+ROUND(J252*[2]Setup!$B$9,0)+IF(O252&gt;[2]Setup!$B$10,ROUND(J252*[2]Setup!$B$11,0),0))</f>
        <v>0</v>
      </c>
      <c r="W252" s="85" t="str">
        <f>IF(L252="","Open",IF(OR(P252&lt;[2]Setup!$B$6,Q252&gt;[2]Setup!$B$7,R252&gt;[2]Setup!$B$8,O252&gt;[2]Setup!$B$10),"Review","OK"))</f>
        <v>Open</v>
      </c>
      <c r="X252" s="86"/>
      <c r="Z252" s="81" t="str">
        <f t="shared" si="45"/>
        <v>Sou</v>
      </c>
    </row>
    <row r="253" spans="1:26" ht="28.8" x14ac:dyDescent="0.3">
      <c r="A253" s="84">
        <v>46183</v>
      </c>
      <c r="B253" s="100"/>
      <c r="C253" s="84"/>
      <c r="D253" s="85" t="str">
        <f t="shared" si="50"/>
        <v/>
      </c>
      <c r="E253" s="86" t="s">
        <v>220</v>
      </c>
      <c r="F253" s="86" t="s">
        <v>237</v>
      </c>
      <c r="G253" s="86" t="s">
        <v>370</v>
      </c>
      <c r="H253" s="86" t="s">
        <v>227</v>
      </c>
      <c r="I253" s="87" t="str">
        <f>IF(F253=0,"",IF(COUNTIF(F253,"Bao"),[2]Setup!$B$4,IF(COUNTIF(F253,"Soup Dumplings"),[2]Setup!$B$5,F253)))</f>
        <v>Soup Dumpling Prep</v>
      </c>
      <c r="J253" s="88" t="str">
        <f t="shared" si="51"/>
        <v/>
      </c>
      <c r="K253" s="88" t="s">
        <v>371</v>
      </c>
      <c r="L253" s="87"/>
      <c r="M253" s="87"/>
      <c r="N253" s="87"/>
      <c r="O253" s="87"/>
      <c r="P253" s="89" t="str">
        <f t="shared" si="46"/>
        <v/>
      </c>
      <c r="Q253" s="89" t="str">
        <f t="shared" si="47"/>
        <v/>
      </c>
      <c r="R253" s="89" t="str">
        <f t="shared" si="48"/>
        <v/>
      </c>
      <c r="S253" s="88" t="str">
        <f>IF(F253="Bao",[2]Setup!$B$4,IF(F253="Soup Dumplings",[2]Setup!$B$5,""))</f>
        <v/>
      </c>
      <c r="T253" s="88" t="str">
        <f t="shared" si="49"/>
        <v/>
      </c>
      <c r="U253" s="84" t="str">
        <f t="shared" si="52"/>
        <v/>
      </c>
      <c r="V253" s="88">
        <f>IF(U253="",0,MAX(0,T253)+N253+ROUND(J253*[2]Setup!$B$9,0)+IF(O253&gt;[2]Setup!$B$10,ROUND(J253*[2]Setup!$B$11,0),0))</f>
        <v>0</v>
      </c>
      <c r="W253" s="85" t="str">
        <f>IF(L253="","Open",IF(OR(P253&lt;[2]Setup!$B$6,Q253&gt;[2]Setup!$B$7,R253&gt;[2]Setup!$B$8,O253&gt;[2]Setup!$B$10),"Review","OK"))</f>
        <v>Open</v>
      </c>
      <c r="X253" s="86"/>
      <c r="Z253" s="81" t="str">
        <f t="shared" si="45"/>
        <v>Sou</v>
      </c>
    </row>
    <row r="254" spans="1:26" ht="28.8" x14ac:dyDescent="0.3">
      <c r="A254" s="84">
        <v>46183</v>
      </c>
      <c r="B254" s="100"/>
      <c r="C254" s="84"/>
      <c r="D254" s="85" t="str">
        <f t="shared" si="50"/>
        <v/>
      </c>
      <c r="E254" s="86" t="s">
        <v>220</v>
      </c>
      <c r="F254" s="86" t="s">
        <v>237</v>
      </c>
      <c r="G254" s="86" t="s">
        <v>368</v>
      </c>
      <c r="H254" s="86" t="s">
        <v>229</v>
      </c>
      <c r="I254" s="87" t="str">
        <f>IF(F254=0,"",IF(COUNTIF(F254,"Bao"),[2]Setup!$B$4,IF(COUNTIF(F254,"Soup Dumplings"),[2]Setup!$B$5,F254)))</f>
        <v>Soup Dumpling Prep</v>
      </c>
      <c r="J254" s="88" t="str">
        <f t="shared" si="51"/>
        <v/>
      </c>
      <c r="K254" s="88" t="s">
        <v>348</v>
      </c>
      <c r="L254" s="87"/>
      <c r="M254" s="87"/>
      <c r="N254" s="87"/>
      <c r="O254" s="87"/>
      <c r="P254" s="89" t="str">
        <f t="shared" si="46"/>
        <v/>
      </c>
      <c r="Q254" s="89" t="str">
        <f t="shared" si="47"/>
        <v/>
      </c>
      <c r="R254" s="89" t="str">
        <f t="shared" si="48"/>
        <v/>
      </c>
      <c r="S254" s="88" t="str">
        <f>IF(F254="Bao",[2]Setup!$B$4,IF(F254="Soup Dumplings",[2]Setup!$B$5,""))</f>
        <v/>
      </c>
      <c r="T254" s="88" t="str">
        <f t="shared" si="49"/>
        <v/>
      </c>
      <c r="U254" s="84" t="str">
        <f t="shared" si="52"/>
        <v/>
      </c>
      <c r="V254" s="88">
        <f>IF(U254="",0,MAX(0,T254)+N254+ROUND(J254*[2]Setup!$B$9,0)+IF(O254&gt;[2]Setup!$B$10,ROUND(J254*[2]Setup!$B$11,0),0))</f>
        <v>0</v>
      </c>
      <c r="W254" s="85" t="str">
        <f>IF(L254="","Open",IF(OR(P254&lt;[2]Setup!$B$6,Q254&gt;[2]Setup!$B$7,R254&gt;[2]Setup!$B$8,O254&gt;[2]Setup!$B$10),"Review","OK"))</f>
        <v>Open</v>
      </c>
      <c r="X254" s="86"/>
      <c r="Z254" s="81" t="str">
        <f t="shared" si="45"/>
        <v>Sou</v>
      </c>
    </row>
    <row r="255" spans="1:26" ht="28.8" x14ac:dyDescent="0.3">
      <c r="A255" s="84">
        <v>46183</v>
      </c>
      <c r="B255" s="100"/>
      <c r="C255" s="84"/>
      <c r="D255" s="85" t="str">
        <f t="shared" si="50"/>
        <v/>
      </c>
      <c r="E255" s="86" t="s">
        <v>220</v>
      </c>
      <c r="F255" s="86" t="s">
        <v>87</v>
      </c>
      <c r="G255" s="86" t="s">
        <v>368</v>
      </c>
      <c r="H255" s="86" t="s">
        <v>245</v>
      </c>
      <c r="I255" s="87">
        <f>IF(F255=0,"",IF(COUNTIF(F255,"Bao"),[2]Setup!$B$4,IF(COUNTIF(F255,"Soup Dumplings"),[2]Setup!$B$5,F255)))</f>
        <v>90000</v>
      </c>
      <c r="J255" s="88" t="str">
        <f t="shared" si="51"/>
        <v/>
      </c>
      <c r="K255" s="88"/>
      <c r="L255" s="87"/>
      <c r="M255" s="87"/>
      <c r="N255" s="87"/>
      <c r="O255" s="87"/>
      <c r="P255" s="89" t="str">
        <f t="shared" si="46"/>
        <v/>
      </c>
      <c r="Q255" s="89" t="str">
        <f t="shared" si="47"/>
        <v/>
      </c>
      <c r="R255" s="89" t="str">
        <f t="shared" si="48"/>
        <v/>
      </c>
      <c r="S255" s="88">
        <f>IF(F255="Bao",[2]Setup!$B$4,IF(F255="Soup Dumplings",[2]Setup!$B$5,""))</f>
        <v>90000</v>
      </c>
      <c r="T255" s="88" t="str">
        <f t="shared" si="49"/>
        <v/>
      </c>
      <c r="U255" s="84" t="str">
        <f t="shared" si="52"/>
        <v/>
      </c>
      <c r="V255" s="88">
        <f>IF(U255="",0,MAX(0,T255)+N255+ROUND(J255*[2]Setup!$B$9,0)+IF(O255&gt;[2]Setup!$B$10,ROUND(J255*[2]Setup!$B$11,0),0))</f>
        <v>0</v>
      </c>
      <c r="W255" s="85" t="str">
        <f>IF(L255="","Open",IF(OR(P255&lt;[2]Setup!$B$6,Q255&gt;[2]Setup!$B$7,R255&gt;[2]Setup!$B$8,O255&gt;[2]Setup!$B$10),"Review","OK"))</f>
        <v>Open</v>
      </c>
      <c r="X255" s="86"/>
      <c r="Z255" s="81" t="str">
        <f t="shared" si="45"/>
        <v>Sou</v>
      </c>
    </row>
    <row r="256" spans="1:26" ht="28.8" x14ac:dyDescent="0.3">
      <c r="A256" s="84">
        <v>46183</v>
      </c>
      <c r="B256" s="100"/>
      <c r="C256" s="84"/>
      <c r="D256" s="85" t="str">
        <f t="shared" si="50"/>
        <v/>
      </c>
      <c r="E256" s="86" t="s">
        <v>220</v>
      </c>
      <c r="F256" s="86" t="s">
        <v>237</v>
      </c>
      <c r="G256" s="86" t="s">
        <v>240</v>
      </c>
      <c r="H256" s="86" t="s">
        <v>224</v>
      </c>
      <c r="I256" s="87" t="str">
        <f>IF(F256=0,"",IF(COUNTIF(F256,"Bao"),[2]Setup!$B$4,IF(COUNTIF(F256,"Soup Dumplings"),[2]Setup!$B$5,F256)))</f>
        <v>Soup Dumpling Prep</v>
      </c>
      <c r="J256" s="88" t="str">
        <f t="shared" si="51"/>
        <v/>
      </c>
      <c r="K256" s="88"/>
      <c r="L256" s="87"/>
      <c r="M256" s="87"/>
      <c r="N256" s="87"/>
      <c r="O256" s="87"/>
      <c r="P256" s="89" t="str">
        <f t="shared" si="46"/>
        <v/>
      </c>
      <c r="Q256" s="89" t="str">
        <f t="shared" si="47"/>
        <v/>
      </c>
      <c r="R256" s="89" t="str">
        <f t="shared" si="48"/>
        <v/>
      </c>
      <c r="S256" s="88" t="str">
        <f>IF(F256="Bao",[2]Setup!$B$4,IF(F256="Soup Dumplings",[2]Setup!$B$5,""))</f>
        <v/>
      </c>
      <c r="T256" s="88" t="str">
        <f t="shared" si="49"/>
        <v/>
      </c>
      <c r="U256" s="84" t="str">
        <f t="shared" si="52"/>
        <v/>
      </c>
      <c r="V256" s="88">
        <f>IF(U256="",0,MAX(0,T256)+N256+ROUND(J256*[2]Setup!$B$9,0)+IF(O256&gt;[2]Setup!$B$10,ROUND(J256*[2]Setup!$B$11,0),0))</f>
        <v>0</v>
      </c>
      <c r="W256" s="85" t="str">
        <f>IF(L256="","Open",IF(OR(P256&lt;[2]Setup!$B$6,Q256&gt;[2]Setup!$B$7,R256&gt;[2]Setup!$B$8,O256&gt;[2]Setup!$B$10),"Review","OK"))</f>
        <v>Open</v>
      </c>
      <c r="X256" s="86"/>
      <c r="Z256" s="81" t="str">
        <f t="shared" si="45"/>
        <v>Sou</v>
      </c>
    </row>
    <row r="257" spans="1:26" x14ac:dyDescent="0.3">
      <c r="A257" s="84">
        <v>46183</v>
      </c>
      <c r="B257" s="100"/>
      <c r="C257" s="84"/>
      <c r="D257" s="85" t="str">
        <f t="shared" si="50"/>
        <v/>
      </c>
      <c r="E257" s="86" t="s">
        <v>220</v>
      </c>
      <c r="F257" s="86" t="s">
        <v>222</v>
      </c>
      <c r="G257" s="86" t="s">
        <v>235</v>
      </c>
      <c r="H257" s="86" t="s">
        <v>227</v>
      </c>
      <c r="I257" s="87" t="str">
        <f>IF(F257=0,"",IF(COUNTIF(F257,"Bao"),[2]Setup!$B$4,IF(COUNTIF(F257,"Soup Dumplings"),[2]Setup!$B$5,F257)))</f>
        <v>Bao Prep</v>
      </c>
      <c r="J257" s="88" t="str">
        <f t="shared" si="51"/>
        <v/>
      </c>
      <c r="K257" s="88" t="s">
        <v>372</v>
      </c>
      <c r="L257" s="87"/>
      <c r="M257" s="87"/>
      <c r="N257" s="87"/>
      <c r="O257" s="87"/>
      <c r="P257" s="89" t="str">
        <f t="shared" si="46"/>
        <v/>
      </c>
      <c r="Q257" s="89" t="str">
        <f t="shared" si="47"/>
        <v/>
      </c>
      <c r="R257" s="89" t="str">
        <f t="shared" si="48"/>
        <v/>
      </c>
      <c r="S257" s="88" t="str">
        <f>IF(F257="Bao",[2]Setup!$B$4,IF(F257="Soup Dumplings",[2]Setup!$B$5,""))</f>
        <v/>
      </c>
      <c r="T257" s="88" t="str">
        <f t="shared" si="49"/>
        <v/>
      </c>
      <c r="U257" s="84" t="str">
        <f t="shared" si="52"/>
        <v/>
      </c>
      <c r="V257" s="88">
        <f>IF(U257="",0,MAX(0,T257)+N257+ROUND(J257*[2]Setup!$B$9,0)+IF(O257&gt;[2]Setup!$B$10,ROUND(J257*[2]Setup!$B$11,0),0))</f>
        <v>0</v>
      </c>
      <c r="W257" s="85" t="str">
        <f>IF(L257="","Open",IF(OR(P257&lt;[2]Setup!$B$6,Q257&gt;[2]Setup!$B$7,R257&gt;[2]Setup!$B$8,O257&gt;[2]Setup!$B$10),"Review","OK"))</f>
        <v>Open</v>
      </c>
      <c r="X257" s="86"/>
      <c r="Z257" s="81" t="str">
        <f t="shared" si="45"/>
        <v>Bao</v>
      </c>
    </row>
    <row r="258" spans="1:26" ht="28.8" x14ac:dyDescent="0.3">
      <c r="A258" s="84">
        <v>46183</v>
      </c>
      <c r="B258" s="100"/>
      <c r="C258" s="84"/>
      <c r="D258" s="85" t="str">
        <f t="shared" si="50"/>
        <v/>
      </c>
      <c r="E258" s="86" t="s">
        <v>220</v>
      </c>
      <c r="F258" s="86" t="s">
        <v>237</v>
      </c>
      <c r="G258" s="86" t="s">
        <v>287</v>
      </c>
      <c r="H258" s="86" t="s">
        <v>227</v>
      </c>
      <c r="I258" s="87" t="str">
        <f>IF(F258=0,"",IF(COUNTIF(F258,"Bao"),[2]Setup!$B$4,IF(COUNTIF(F258,"Soup Dumplings"),[2]Setup!$B$5,F258)))</f>
        <v>Soup Dumpling Prep</v>
      </c>
      <c r="J258" s="88" t="str">
        <f t="shared" si="51"/>
        <v/>
      </c>
      <c r="K258" s="88" t="s">
        <v>373</v>
      </c>
      <c r="L258" s="87"/>
      <c r="M258" s="87"/>
      <c r="N258" s="87"/>
      <c r="O258" s="87"/>
      <c r="P258" s="89" t="str">
        <f t="shared" si="46"/>
        <v/>
      </c>
      <c r="Q258" s="89" t="str">
        <f t="shared" si="47"/>
        <v/>
      </c>
      <c r="R258" s="89" t="str">
        <f t="shared" si="48"/>
        <v/>
      </c>
      <c r="S258" s="88" t="str">
        <f>IF(F258="Bao",[2]Setup!$B$4,IF(F258="Soup Dumplings",[2]Setup!$B$5,""))</f>
        <v/>
      </c>
      <c r="T258" s="88" t="str">
        <f t="shared" si="49"/>
        <v/>
      </c>
      <c r="U258" s="84" t="str">
        <f t="shared" si="52"/>
        <v/>
      </c>
      <c r="V258" s="88">
        <f>IF(U258="",0,MAX(0,T258)+N258+ROUND(J258*[2]Setup!$B$9,0)+IF(O258&gt;[2]Setup!$B$10,ROUND(J258*[2]Setup!$B$11,0),0))</f>
        <v>0</v>
      </c>
      <c r="W258" s="85" t="str">
        <f>IF(L258="","Open",IF(OR(P258&lt;[2]Setup!$B$6,Q258&gt;[2]Setup!$B$7,R258&gt;[2]Setup!$B$8,O258&gt;[2]Setup!$B$10),"Review","OK"))</f>
        <v>Open</v>
      </c>
      <c r="X258" s="86"/>
      <c r="Z258" s="81" t="str">
        <f t="shared" si="45"/>
        <v>Sou</v>
      </c>
    </row>
    <row r="259" spans="1:26" x14ac:dyDescent="0.3">
      <c r="A259" s="84">
        <v>46183</v>
      </c>
      <c r="B259" s="100"/>
      <c r="C259" s="84"/>
      <c r="D259" s="85" t="str">
        <f t="shared" si="50"/>
        <v/>
      </c>
      <c r="E259" s="86" t="s">
        <v>220</v>
      </c>
      <c r="F259" s="86" t="s">
        <v>52</v>
      </c>
      <c r="G259" s="86" t="s">
        <v>374</v>
      </c>
      <c r="H259" s="86" t="s">
        <v>221</v>
      </c>
      <c r="I259" s="87">
        <f>IF(F259=0,"",IF(COUNTIF(F259,"Bao"),[2]Setup!$B$4,IF(COUNTIF(F259,"Soup Dumplings"),[2]Setup!$B$5,F259)))</f>
        <v>40000</v>
      </c>
      <c r="J259" s="88" t="str">
        <f t="shared" si="51"/>
        <v/>
      </c>
      <c r="K259" s="88"/>
      <c r="L259" s="87"/>
      <c r="M259" s="87"/>
      <c r="N259" s="87"/>
      <c r="O259" s="87"/>
      <c r="P259" s="89" t="str">
        <f t="shared" si="46"/>
        <v/>
      </c>
      <c r="Q259" s="89" t="str">
        <f t="shared" si="47"/>
        <v/>
      </c>
      <c r="R259" s="89" t="str">
        <f t="shared" si="48"/>
        <v/>
      </c>
      <c r="S259" s="88">
        <f>IF(F259="Bao",[2]Setup!$B$4,IF(F259="Soup Dumplings",[2]Setup!$B$5,""))</f>
        <v>40000</v>
      </c>
      <c r="T259" s="88" t="str">
        <f t="shared" si="49"/>
        <v/>
      </c>
      <c r="U259" s="84" t="str">
        <f t="shared" si="52"/>
        <v/>
      </c>
      <c r="V259" s="88">
        <f>IF(U259="",0,MAX(0,T259)+N259+ROUND(J259*[2]Setup!$B$9,0)+IF(O259&gt;[2]Setup!$B$10,ROUND(J259*[2]Setup!$B$11,0),0))</f>
        <v>0</v>
      </c>
      <c r="W259" s="85" t="str">
        <f>IF(L259="","Open",IF(OR(P259&lt;[2]Setup!$B$6,Q259&gt;[2]Setup!$B$7,R259&gt;[2]Setup!$B$8,O259&gt;[2]Setup!$B$10),"Review","OK"))</f>
        <v>Open</v>
      </c>
      <c r="X259" s="86"/>
      <c r="Z259" s="81" t="str">
        <f t="shared" si="45"/>
        <v>Bao</v>
      </c>
    </row>
    <row r="260" spans="1:26" x14ac:dyDescent="0.3">
      <c r="A260" s="84">
        <v>46183</v>
      </c>
      <c r="B260" s="100"/>
      <c r="C260" s="84"/>
      <c r="D260" s="85" t="str">
        <f t="shared" si="50"/>
        <v/>
      </c>
      <c r="E260" s="86" t="s">
        <v>220</v>
      </c>
      <c r="F260" s="86" t="s">
        <v>222</v>
      </c>
      <c r="G260" s="86" t="s">
        <v>223</v>
      </c>
      <c r="H260" s="86" t="s">
        <v>224</v>
      </c>
      <c r="I260" s="87" t="str">
        <f>IF(F260=0,"",IF(COUNTIF(F260,"Bao"),[2]Setup!$B$4,IF(COUNTIF(F260,"Soup Dumplings"),[2]Setup!$B$5,F260)))</f>
        <v>Bao Prep</v>
      </c>
      <c r="J260" s="88" t="str">
        <f t="shared" si="51"/>
        <v/>
      </c>
      <c r="K260" s="88" t="s">
        <v>375</v>
      </c>
      <c r="L260" s="87"/>
      <c r="M260" s="87"/>
      <c r="N260" s="87"/>
      <c r="O260" s="87"/>
      <c r="P260" s="89" t="str">
        <f t="shared" si="46"/>
        <v/>
      </c>
      <c r="Q260" s="89" t="str">
        <f t="shared" si="47"/>
        <v/>
      </c>
      <c r="R260" s="89" t="str">
        <f t="shared" si="48"/>
        <v/>
      </c>
      <c r="S260" s="88" t="str">
        <f>IF(F260="Bao",[2]Setup!$B$4,IF(F260="Soup Dumplings",[2]Setup!$B$5,""))</f>
        <v/>
      </c>
      <c r="T260" s="88" t="str">
        <f t="shared" si="49"/>
        <v/>
      </c>
      <c r="U260" s="84" t="str">
        <f t="shared" si="52"/>
        <v/>
      </c>
      <c r="V260" s="88">
        <f>IF(U260="",0,MAX(0,T260)+N260+ROUND(J260*[2]Setup!$B$9,0)+IF(O260&gt;[2]Setup!$B$10,ROUND(J260*[2]Setup!$B$11,0),0))</f>
        <v>0</v>
      </c>
      <c r="W260" s="85" t="str">
        <f>IF(L260="","Open",IF(OR(P260&lt;[2]Setup!$B$6,Q260&gt;[2]Setup!$B$7,R260&gt;[2]Setup!$B$8,O260&gt;[2]Setup!$B$10),"Review","OK"))</f>
        <v>Open</v>
      </c>
      <c r="X260" s="86"/>
      <c r="Z260" s="81" t="str">
        <f t="shared" si="45"/>
        <v>Bao</v>
      </c>
    </row>
    <row r="261" spans="1:26" ht="28.8" x14ac:dyDescent="0.3">
      <c r="A261" s="84">
        <v>46183</v>
      </c>
      <c r="B261" s="100"/>
      <c r="C261" s="84"/>
      <c r="D261" s="85" t="str">
        <f t="shared" si="50"/>
        <v/>
      </c>
      <c r="E261" s="86" t="s">
        <v>220</v>
      </c>
      <c r="F261" s="86" t="s">
        <v>222</v>
      </c>
      <c r="G261" s="86" t="s">
        <v>246</v>
      </c>
      <c r="H261" s="86" t="s">
        <v>232</v>
      </c>
      <c r="I261" s="87" t="str">
        <f>IF(F261=0,"",IF(COUNTIF(F261,"Bao"),[2]Setup!$B$4,IF(COUNTIF(F261,"Soup Dumplings"),[2]Setup!$B$5,F261)))</f>
        <v>Bao Prep</v>
      </c>
      <c r="J261" s="88" t="str">
        <f t="shared" si="51"/>
        <v/>
      </c>
      <c r="K261" s="88" t="s">
        <v>315</v>
      </c>
      <c r="L261" s="87"/>
      <c r="M261" s="87"/>
      <c r="N261" s="87"/>
      <c r="O261" s="87"/>
      <c r="P261" s="89" t="str">
        <f t="shared" si="46"/>
        <v/>
      </c>
      <c r="Q261" s="89" t="str">
        <f t="shared" si="47"/>
        <v/>
      </c>
      <c r="R261" s="89" t="str">
        <f t="shared" si="48"/>
        <v/>
      </c>
      <c r="S261" s="88" t="str">
        <f>IF(F261="Bao",[2]Setup!$B$4,IF(F261="Soup Dumplings",[2]Setup!$B$5,""))</f>
        <v/>
      </c>
      <c r="T261" s="88" t="str">
        <f t="shared" si="49"/>
        <v/>
      </c>
      <c r="U261" s="84" t="str">
        <f t="shared" si="52"/>
        <v/>
      </c>
      <c r="V261" s="88">
        <f>IF(U261="",0,MAX(0,T261)+N261+ROUND(J261*[2]Setup!$B$9,0)+IF(O261&gt;[2]Setup!$B$10,ROUND(J261*[2]Setup!$B$11,0),0))</f>
        <v>0</v>
      </c>
      <c r="W261" s="85" t="str">
        <f>IF(L261="","Open",IF(OR(P261&lt;[2]Setup!$B$6,Q261&gt;[2]Setup!$B$7,R261&gt;[2]Setup!$B$8,O261&gt;[2]Setup!$B$10),"Review","OK"))</f>
        <v>Open</v>
      </c>
      <c r="X261" s="86"/>
      <c r="Z261" s="81" t="str">
        <f t="shared" ref="Z261:Z324" si="53">+LEFT(F261,3)</f>
        <v>Bao</v>
      </c>
    </row>
    <row r="262" spans="1:26" x14ac:dyDescent="0.3">
      <c r="A262" s="84">
        <v>46183</v>
      </c>
      <c r="B262" s="100">
        <f t="shared" ref="B262:B324" si="54">+WEEKNUM(A262)</f>
        <v>24</v>
      </c>
      <c r="C262" s="84" t="str">
        <f t="shared" ref="C262:C324" si="55">+TEXT(A262,"mmmm")</f>
        <v>June</v>
      </c>
      <c r="D262" s="85" t="str">
        <f t="shared" si="50"/>
        <v>June</v>
      </c>
      <c r="E262" s="86" t="s">
        <v>220</v>
      </c>
      <c r="F262" s="86" t="s">
        <v>222</v>
      </c>
      <c r="G262" s="86" t="s">
        <v>226</v>
      </c>
      <c r="H262" s="86" t="s">
        <v>227</v>
      </c>
      <c r="I262" s="87" t="str">
        <f>IF(F262=0,"",IF(COUNTIF(F262,"Bao"),[2]Setup!$B$4,IF(COUNTIF(F262,"Soup Dumplings"),[2]Setup!$B$5,F262)))</f>
        <v>Bao Prep</v>
      </c>
      <c r="J262" s="88">
        <f t="shared" si="51"/>
        <v>0</v>
      </c>
      <c r="K262" s="88" t="s">
        <v>310</v>
      </c>
      <c r="L262" s="87"/>
      <c r="M262" s="87"/>
      <c r="N262" s="87"/>
      <c r="O262" s="87"/>
      <c r="P262" s="89" t="str">
        <f t="shared" si="46"/>
        <v/>
      </c>
      <c r="Q262" s="89" t="str">
        <f t="shared" si="47"/>
        <v/>
      </c>
      <c r="R262" s="89" t="str">
        <f t="shared" si="48"/>
        <v/>
      </c>
      <c r="S262" s="88" t="str">
        <f>IF(F262="Bao",[2]Setup!$B$4,IF(F262="Soup Dumplings",[2]Setup!$B$5,""))</f>
        <v/>
      </c>
      <c r="T262" s="88" t="str">
        <f t="shared" si="49"/>
        <v/>
      </c>
      <c r="U262" s="84" t="e">
        <f t="shared" si="52"/>
        <v>#VALUE!</v>
      </c>
      <c r="V262" s="88" t="e">
        <f>IF(U262="",0,MAX(0,T262)+N262+ROUND(J262*[2]Setup!$B$9,0)+IF(O262&gt;[2]Setup!$B$10,ROUND(J262*[2]Setup!$B$11,0),0))</f>
        <v>#VALUE!</v>
      </c>
      <c r="W262" s="85" t="str">
        <f>IF(L262="","Open",IF(OR(P262&lt;[2]Setup!$B$6,Q262&gt;[2]Setup!$B$7,R262&gt;[2]Setup!$B$8,O262&gt;[2]Setup!$B$10),"Review","OK"))</f>
        <v>Open</v>
      </c>
      <c r="X262" s="86"/>
      <c r="Z262" s="81" t="str">
        <f t="shared" si="53"/>
        <v>Bao</v>
      </c>
    </row>
    <row r="263" spans="1:26" ht="28.8" x14ac:dyDescent="0.3">
      <c r="A263" s="84">
        <v>46184</v>
      </c>
      <c r="B263" s="100">
        <f t="shared" si="54"/>
        <v>24</v>
      </c>
      <c r="C263" s="84" t="str">
        <f t="shared" si="55"/>
        <v>June</v>
      </c>
      <c r="D263" s="85" t="str">
        <f t="shared" si="50"/>
        <v>June</v>
      </c>
      <c r="E263" s="86" t="s">
        <v>220</v>
      </c>
      <c r="F263" s="86" t="s">
        <v>237</v>
      </c>
      <c r="G263" s="86" t="s">
        <v>242</v>
      </c>
      <c r="H263" s="86" t="s">
        <v>232</v>
      </c>
      <c r="I263" s="87" t="str">
        <f>IF(F263=0,"",IF(COUNTIF(F263,"Bao"),[2]Setup!$B$4,IF(COUNTIF(F263,"Soup Dumplings"),[2]Setup!$B$5,F263)))</f>
        <v>Soup Dumpling Prep</v>
      </c>
      <c r="J263" s="88">
        <f t="shared" si="51"/>
        <v>0</v>
      </c>
      <c r="K263" s="88" t="s">
        <v>366</v>
      </c>
      <c r="L263" s="87"/>
      <c r="M263" s="87"/>
      <c r="N263" s="87"/>
      <c r="O263" s="87"/>
      <c r="P263" s="89" t="str">
        <f t="shared" si="46"/>
        <v/>
      </c>
      <c r="Q263" s="89" t="str">
        <f t="shared" si="47"/>
        <v/>
      </c>
      <c r="R263" s="89" t="str">
        <f t="shared" si="48"/>
        <v/>
      </c>
      <c r="S263" s="88" t="str">
        <f>IF(F263="Bao",[2]Setup!$B$4,IF(F263="Soup Dumplings",[2]Setup!$B$5,""))</f>
        <v/>
      </c>
      <c r="T263" s="88" t="str">
        <f t="shared" si="49"/>
        <v/>
      </c>
      <c r="U263" s="84" t="e">
        <f t="shared" si="52"/>
        <v>#VALUE!</v>
      </c>
      <c r="V263" s="88" t="e">
        <f>IF(U263="",0,MAX(0,T263)+N263+ROUND(J263*[2]Setup!$B$9,0)+IF(O263&gt;[2]Setup!$B$10,ROUND(J263*[2]Setup!$B$11,0),0))</f>
        <v>#VALUE!</v>
      </c>
      <c r="W263" s="85" t="str">
        <f>IF(L263="","Open",IF(OR(P263&lt;[2]Setup!$B$6,Q263&gt;[2]Setup!$B$7,R263&gt;[2]Setup!$B$8,O263&gt;[2]Setup!$B$10),"Review","OK"))</f>
        <v>Open</v>
      </c>
      <c r="X263" s="86"/>
      <c r="Z263" s="81" t="str">
        <f t="shared" si="53"/>
        <v>Sou</v>
      </c>
    </row>
    <row r="264" spans="1:26" ht="28.8" x14ac:dyDescent="0.3">
      <c r="A264" s="84">
        <v>46184</v>
      </c>
      <c r="B264" s="100">
        <f t="shared" si="54"/>
        <v>24</v>
      </c>
      <c r="C264" s="84" t="str">
        <f t="shared" si="55"/>
        <v>June</v>
      </c>
      <c r="D264" s="85" t="str">
        <f t="shared" si="50"/>
        <v>June</v>
      </c>
      <c r="E264" s="86" t="s">
        <v>220</v>
      </c>
      <c r="F264" s="86" t="s">
        <v>87</v>
      </c>
      <c r="G264" s="86" t="s">
        <v>368</v>
      </c>
      <c r="H264" s="86" t="s">
        <v>245</v>
      </c>
      <c r="I264" s="87">
        <v>45000</v>
      </c>
      <c r="J264" s="88">
        <f t="shared" si="51"/>
        <v>45000</v>
      </c>
      <c r="K264" s="88"/>
      <c r="L264" s="87"/>
      <c r="M264" s="87"/>
      <c r="N264" s="87"/>
      <c r="O264" s="87"/>
      <c r="P264" s="89">
        <f t="shared" si="46"/>
        <v>0</v>
      </c>
      <c r="Q264" s="89">
        <f t="shared" si="47"/>
        <v>1</v>
      </c>
      <c r="R264" s="89">
        <f t="shared" si="48"/>
        <v>0</v>
      </c>
      <c r="S264" s="88">
        <f>IF(F264="Bao",[2]Setup!$B$4,IF(F264="Soup Dumplings",[2]Setup!$B$5,""))</f>
        <v>90000</v>
      </c>
      <c r="T264" s="88" t="str">
        <f t="shared" si="49"/>
        <v/>
      </c>
      <c r="U264" s="84" t="e">
        <f t="shared" si="52"/>
        <v>#VALUE!</v>
      </c>
      <c r="V264" s="88" t="e">
        <f>IF(U264="",0,MAX(0,T264)+N264+ROUND(J264*[2]Setup!$B$9,0)+IF(O264&gt;[2]Setup!$B$10,ROUND(J264*[2]Setup!$B$11,0),0))</f>
        <v>#VALUE!</v>
      </c>
      <c r="W264" s="85" t="str">
        <f>IF(L264="","Open",IF(OR(P264&lt;[2]Setup!$B$6,Q264&gt;[2]Setup!$B$7,R264&gt;[2]Setup!$B$8,O264&gt;[2]Setup!$B$10),"Review","OK"))</f>
        <v>Open</v>
      </c>
      <c r="X264" s="86"/>
      <c r="Z264" s="81" t="str">
        <f t="shared" si="53"/>
        <v>Sou</v>
      </c>
    </row>
    <row r="265" spans="1:26" ht="28.8" x14ac:dyDescent="0.3">
      <c r="A265" s="84">
        <v>46184</v>
      </c>
      <c r="B265" s="100">
        <f t="shared" si="54"/>
        <v>24</v>
      </c>
      <c r="C265" s="84" t="str">
        <f t="shared" si="55"/>
        <v>June</v>
      </c>
      <c r="D265" s="85" t="str">
        <f t="shared" si="50"/>
        <v>June</v>
      </c>
      <c r="E265" s="86" t="s">
        <v>220</v>
      </c>
      <c r="F265" s="86" t="s">
        <v>237</v>
      </c>
      <c r="G265" s="86" t="s">
        <v>240</v>
      </c>
      <c r="H265" s="86" t="s">
        <v>224</v>
      </c>
      <c r="I265" s="87" t="str">
        <f>IF(F265=0,"",IF(COUNTIF(F265,"Bao"),[2]Setup!$B$4,IF(COUNTIF(F265,"Soup Dumplings"),[2]Setup!$B$5,F265)))</f>
        <v>Soup Dumpling Prep</v>
      </c>
      <c r="J265" s="88">
        <f t="shared" si="51"/>
        <v>0</v>
      </c>
      <c r="K265" s="88"/>
      <c r="L265" s="87"/>
      <c r="M265" s="87"/>
      <c r="N265" s="87"/>
      <c r="O265" s="87"/>
      <c r="P265" s="89" t="str">
        <f t="shared" si="46"/>
        <v/>
      </c>
      <c r="Q265" s="89" t="str">
        <f t="shared" si="47"/>
        <v/>
      </c>
      <c r="R265" s="89" t="str">
        <f t="shared" si="48"/>
        <v/>
      </c>
      <c r="S265" s="88" t="str">
        <f>IF(F265="Bao",[2]Setup!$B$4,IF(F265="Soup Dumplings",[2]Setup!$B$5,""))</f>
        <v/>
      </c>
      <c r="T265" s="88" t="str">
        <f t="shared" si="49"/>
        <v/>
      </c>
      <c r="U265" s="84" t="e">
        <f t="shared" si="52"/>
        <v>#VALUE!</v>
      </c>
      <c r="V265" s="88" t="e">
        <f>IF(U265="",0,MAX(0,T265)+N265+ROUND(J265*[2]Setup!$B$9,0)+IF(O265&gt;[2]Setup!$B$10,ROUND(J265*[2]Setup!$B$11,0),0))</f>
        <v>#VALUE!</v>
      </c>
      <c r="W265" s="85" t="str">
        <f>IF(L265="","Open",IF(OR(P265&lt;[2]Setup!$B$6,Q265&gt;[2]Setup!$B$7,R265&gt;[2]Setup!$B$8,O265&gt;[2]Setup!$B$10),"Review","OK"))</f>
        <v>Open</v>
      </c>
      <c r="X265" s="86"/>
      <c r="Z265" s="81" t="str">
        <f t="shared" si="53"/>
        <v>Sou</v>
      </c>
    </row>
    <row r="266" spans="1:26" ht="28.8" x14ac:dyDescent="0.3">
      <c r="A266" s="84">
        <v>46184</v>
      </c>
      <c r="B266" s="100">
        <f t="shared" si="54"/>
        <v>24</v>
      </c>
      <c r="C266" s="84" t="str">
        <f t="shared" si="55"/>
        <v>June</v>
      </c>
      <c r="D266" s="85" t="str">
        <f t="shared" si="50"/>
        <v>June</v>
      </c>
      <c r="E266" s="86" t="s">
        <v>220</v>
      </c>
      <c r="F266" s="86" t="s">
        <v>237</v>
      </c>
      <c r="G266" s="86" t="s">
        <v>370</v>
      </c>
      <c r="H266" s="86" t="s">
        <v>227</v>
      </c>
      <c r="I266" s="87" t="str">
        <f>IF(F266=0,"",IF(COUNTIF(F266,"Bao"),[2]Setup!$B$4,IF(COUNTIF(F266,"Soup Dumplings"),[2]Setup!$B$5,F266)))</f>
        <v>Soup Dumpling Prep</v>
      </c>
      <c r="J266" s="88">
        <f t="shared" si="51"/>
        <v>0</v>
      </c>
      <c r="K266" s="88" t="s">
        <v>376</v>
      </c>
      <c r="L266" s="87"/>
      <c r="M266" s="87"/>
      <c r="N266" s="87"/>
      <c r="O266" s="87"/>
      <c r="P266" s="89" t="str">
        <f t="shared" si="46"/>
        <v/>
      </c>
      <c r="Q266" s="89" t="str">
        <f t="shared" si="47"/>
        <v/>
      </c>
      <c r="R266" s="89" t="str">
        <f t="shared" si="48"/>
        <v/>
      </c>
      <c r="S266" s="88" t="str">
        <f>IF(F266="Bao",[2]Setup!$B$4,IF(F266="Soup Dumplings",[2]Setup!$B$5,""))</f>
        <v/>
      </c>
      <c r="T266" s="88" t="str">
        <f t="shared" si="49"/>
        <v/>
      </c>
      <c r="U266" s="84" t="e">
        <f t="shared" si="52"/>
        <v>#VALUE!</v>
      </c>
      <c r="V266" s="88" t="e">
        <f>IF(U266="",0,MAX(0,T266)+N266+ROUND(J266*[2]Setup!$B$9,0)+IF(O266&gt;[2]Setup!$B$10,ROUND(J266*[2]Setup!$B$11,0),0))</f>
        <v>#VALUE!</v>
      </c>
      <c r="W266" s="85" t="str">
        <f>IF(L266="","Open",IF(OR(P266&lt;[2]Setup!$B$6,Q266&gt;[2]Setup!$B$7,R266&gt;[2]Setup!$B$8,O266&gt;[2]Setup!$B$10),"Review","OK"))</f>
        <v>Open</v>
      </c>
      <c r="X266" s="86"/>
      <c r="Z266" s="81" t="str">
        <f t="shared" si="53"/>
        <v>Sou</v>
      </c>
    </row>
    <row r="267" spans="1:26" x14ac:dyDescent="0.3">
      <c r="A267" s="84">
        <v>46184</v>
      </c>
      <c r="B267" s="100">
        <f t="shared" si="54"/>
        <v>24</v>
      </c>
      <c r="C267" s="84" t="str">
        <f t="shared" si="55"/>
        <v>June</v>
      </c>
      <c r="D267" s="85" t="str">
        <f t="shared" si="50"/>
        <v>June</v>
      </c>
      <c r="E267" s="86" t="s">
        <v>220</v>
      </c>
      <c r="F267" s="86" t="s">
        <v>52</v>
      </c>
      <c r="G267" s="86" t="s">
        <v>374</v>
      </c>
      <c r="H267" s="86" t="s">
        <v>221</v>
      </c>
      <c r="I267" s="87">
        <f>IF(F267=0,"",IF(COUNTIF(F267,"Bao"),[2]Setup!$B$4,IF(COUNTIF(F267,"Soup Dumplings"),[2]Setup!$B$5,F267)))</f>
        <v>40000</v>
      </c>
      <c r="J267" s="88">
        <f t="shared" si="51"/>
        <v>40000</v>
      </c>
      <c r="K267" s="88" t="s">
        <v>377</v>
      </c>
      <c r="L267" s="87"/>
      <c r="M267" s="87"/>
      <c r="N267" s="87"/>
      <c r="O267" s="87"/>
      <c r="P267" s="89">
        <f t="shared" si="46"/>
        <v>0</v>
      </c>
      <c r="Q267" s="89">
        <f t="shared" si="47"/>
        <v>1</v>
      </c>
      <c r="R267" s="89">
        <f t="shared" si="48"/>
        <v>0</v>
      </c>
      <c r="S267" s="88">
        <f>IF(F267="Bao",[2]Setup!$B$4,IF(F267="Soup Dumplings",[2]Setup!$B$5,""))</f>
        <v>40000</v>
      </c>
      <c r="T267" s="88" t="str">
        <f t="shared" si="49"/>
        <v/>
      </c>
      <c r="U267" s="84" t="e">
        <f t="shared" si="52"/>
        <v>#VALUE!</v>
      </c>
      <c r="V267" s="88" t="e">
        <f>IF(U267="",0,MAX(0,T267)+N267+ROUND(J267*[2]Setup!$B$9,0)+IF(O267&gt;[2]Setup!$B$10,ROUND(J267*[2]Setup!$B$11,0),0))</f>
        <v>#VALUE!</v>
      </c>
      <c r="W267" s="85" t="str">
        <f>IF(L267="","Open",IF(OR(P267&lt;[2]Setup!$B$6,Q267&gt;[2]Setup!$B$7,R267&gt;[2]Setup!$B$8,O267&gt;[2]Setup!$B$10),"Review","OK"))</f>
        <v>Open</v>
      </c>
      <c r="X267" s="86"/>
      <c r="Z267" s="81" t="str">
        <f t="shared" si="53"/>
        <v>Bao</v>
      </c>
    </row>
    <row r="268" spans="1:26" x14ac:dyDescent="0.3">
      <c r="A268" s="84">
        <v>46184</v>
      </c>
      <c r="B268" s="100">
        <f t="shared" si="54"/>
        <v>24</v>
      </c>
      <c r="C268" s="84" t="str">
        <f t="shared" si="55"/>
        <v>June</v>
      </c>
      <c r="D268" s="85" t="str">
        <f t="shared" si="50"/>
        <v>June</v>
      </c>
      <c r="E268" s="86" t="s">
        <v>220</v>
      </c>
      <c r="F268" s="86" t="s">
        <v>222</v>
      </c>
      <c r="G268" s="86" t="s">
        <v>223</v>
      </c>
      <c r="H268" s="86" t="s">
        <v>224</v>
      </c>
      <c r="I268" s="87" t="str">
        <f>IF(F268=0,"",IF(COUNTIF(F268,"Bao"),[2]Setup!$B$4,IF(COUNTIF(F268,"Soup Dumplings"),[2]Setup!$B$5,F268)))</f>
        <v>Bao Prep</v>
      </c>
      <c r="J268" s="88">
        <f t="shared" si="51"/>
        <v>0</v>
      </c>
      <c r="K268" s="88" t="s">
        <v>375</v>
      </c>
      <c r="L268" s="87"/>
      <c r="M268" s="87"/>
      <c r="N268" s="87"/>
      <c r="O268" s="87"/>
      <c r="P268" s="89" t="str">
        <f t="shared" si="46"/>
        <v/>
      </c>
      <c r="Q268" s="89" t="str">
        <f t="shared" si="47"/>
        <v/>
      </c>
      <c r="R268" s="89" t="str">
        <f t="shared" si="48"/>
        <v/>
      </c>
      <c r="S268" s="88" t="str">
        <f>IF(F268="Bao",[2]Setup!$B$4,IF(F268="Soup Dumplings",[2]Setup!$B$5,""))</f>
        <v/>
      </c>
      <c r="T268" s="88" t="str">
        <f t="shared" si="49"/>
        <v/>
      </c>
      <c r="U268" s="84" t="e">
        <f t="shared" si="52"/>
        <v>#VALUE!</v>
      </c>
      <c r="V268" s="88" t="e">
        <f>IF(U268="",0,MAX(0,T268)+N268+ROUND(J268*[2]Setup!$B$9,0)+IF(O268&gt;[2]Setup!$B$10,ROUND(J268*[2]Setup!$B$11,0),0))</f>
        <v>#VALUE!</v>
      </c>
      <c r="W268" s="85" t="str">
        <f>IF(L268="","Open",IF(OR(P268&lt;[2]Setup!$B$6,Q268&gt;[2]Setup!$B$7,R268&gt;[2]Setup!$B$8,O268&gt;[2]Setup!$B$10),"Review","OK"))</f>
        <v>Open</v>
      </c>
      <c r="X268" s="86"/>
      <c r="Z268" s="81" t="str">
        <f t="shared" si="53"/>
        <v>Bao</v>
      </c>
    </row>
    <row r="269" spans="1:26" ht="28.8" x14ac:dyDescent="0.3">
      <c r="A269" s="84">
        <v>46184</v>
      </c>
      <c r="B269" s="100">
        <f t="shared" si="54"/>
        <v>24</v>
      </c>
      <c r="C269" s="84" t="str">
        <f t="shared" si="55"/>
        <v>June</v>
      </c>
      <c r="D269" s="85" t="str">
        <f t="shared" si="50"/>
        <v>June</v>
      </c>
      <c r="E269" s="86" t="s">
        <v>220</v>
      </c>
      <c r="F269" s="86" t="s">
        <v>222</v>
      </c>
      <c r="G269" s="86" t="s">
        <v>246</v>
      </c>
      <c r="H269" s="86" t="s">
        <v>232</v>
      </c>
      <c r="I269" s="87" t="str">
        <f>IF(F269=0,"",IF(COUNTIF(F269,"Bao"),[2]Setup!$B$4,IF(COUNTIF(F269,"Soup Dumplings"),[2]Setup!$B$5,F269)))</f>
        <v>Bao Prep</v>
      </c>
      <c r="J269" s="88">
        <f t="shared" si="51"/>
        <v>0</v>
      </c>
      <c r="K269" s="88" t="s">
        <v>315</v>
      </c>
      <c r="L269" s="87"/>
      <c r="M269" s="87"/>
      <c r="N269" s="87"/>
      <c r="O269" s="87"/>
      <c r="P269" s="89" t="str">
        <f t="shared" si="46"/>
        <v/>
      </c>
      <c r="Q269" s="89" t="str">
        <f t="shared" si="47"/>
        <v/>
      </c>
      <c r="R269" s="89" t="str">
        <f t="shared" si="48"/>
        <v/>
      </c>
      <c r="S269" s="88" t="str">
        <f>IF(F269="Bao",[2]Setup!$B$4,IF(F269="Soup Dumplings",[2]Setup!$B$5,""))</f>
        <v/>
      </c>
      <c r="T269" s="88" t="str">
        <f t="shared" si="49"/>
        <v/>
      </c>
      <c r="U269" s="84" t="e">
        <f t="shared" si="52"/>
        <v>#VALUE!</v>
      </c>
      <c r="V269" s="88" t="e">
        <f>IF(U269="",0,MAX(0,T269)+N269+ROUND(J269*[2]Setup!$B$9,0)+IF(O269&gt;[2]Setup!$B$10,ROUND(J269*[2]Setup!$B$11,0),0))</f>
        <v>#VALUE!</v>
      </c>
      <c r="W269" s="85" t="str">
        <f>IF(L269="","Open",IF(OR(P269&lt;[2]Setup!$B$6,Q269&gt;[2]Setup!$B$7,R269&gt;[2]Setup!$B$8,O269&gt;[2]Setup!$B$10),"Review","OK"))</f>
        <v>Open</v>
      </c>
      <c r="X269" s="86"/>
      <c r="Z269" s="81" t="str">
        <f t="shared" si="53"/>
        <v>Bao</v>
      </c>
    </row>
    <row r="270" spans="1:26" ht="28.8" x14ac:dyDescent="0.3">
      <c r="A270" s="84">
        <v>46188</v>
      </c>
      <c r="B270" s="100">
        <f t="shared" si="54"/>
        <v>25</v>
      </c>
      <c r="C270" s="84" t="str">
        <f t="shared" si="55"/>
        <v>June</v>
      </c>
      <c r="D270" s="85" t="str">
        <f t="shared" si="50"/>
        <v>June</v>
      </c>
      <c r="E270" s="86" t="s">
        <v>220</v>
      </c>
      <c r="F270" s="86" t="s">
        <v>237</v>
      </c>
      <c r="G270" s="86" t="s">
        <v>259</v>
      </c>
      <c r="H270" s="86" t="s">
        <v>227</v>
      </c>
      <c r="I270" s="87" t="str">
        <f>IF(F270=0,"",IF(COUNTIF(F270,"Bao"),[2]Setup!$B$4,IF(COUNTIF(F270,"Soup Dumplings"),[2]Setup!$B$5,F270)))</f>
        <v>Soup Dumpling Prep</v>
      </c>
      <c r="J270" s="88"/>
      <c r="K270" s="88" t="s">
        <v>378</v>
      </c>
      <c r="L270" s="87"/>
      <c r="M270" s="87"/>
      <c r="N270" s="87"/>
      <c r="O270" s="87"/>
      <c r="P270" s="89" t="str">
        <f t="shared" si="46"/>
        <v/>
      </c>
      <c r="Q270" s="89" t="str">
        <f t="shared" si="47"/>
        <v/>
      </c>
      <c r="R270" s="89" t="str">
        <f t="shared" si="48"/>
        <v/>
      </c>
      <c r="S270" s="88" t="str">
        <f>IF(F270="Bao",[2]Setup!$B$4,IF(F270="Soup Dumplings",[2]Setup!$B$5,""))</f>
        <v/>
      </c>
      <c r="T270" s="88" t="str">
        <f t="shared" si="49"/>
        <v/>
      </c>
      <c r="U270" s="84" t="e">
        <f t="shared" si="52"/>
        <v>#VALUE!</v>
      </c>
      <c r="V270" s="88" t="e">
        <f>IF(U270="",0,MAX(0,T270)+N270+ROUND(J270*[2]Setup!$B$9,0)+IF(O270&gt;[2]Setup!$B$10,ROUND(J270*[2]Setup!$B$11,0),0))</f>
        <v>#VALUE!</v>
      </c>
      <c r="W270" s="85" t="str">
        <f>IF(L270="","Open",IF(OR(P270&lt;[2]Setup!$B$6,Q270&gt;[2]Setup!$B$7,R270&gt;[2]Setup!$B$8,O270&gt;[2]Setup!$B$10),"Review","OK"))</f>
        <v>Open</v>
      </c>
      <c r="X270" s="86"/>
      <c r="Z270" s="81" t="str">
        <f t="shared" si="53"/>
        <v>Sou</v>
      </c>
    </row>
    <row r="271" spans="1:26" ht="28.8" x14ac:dyDescent="0.3">
      <c r="A271" s="84">
        <v>46188</v>
      </c>
      <c r="B271" s="100">
        <f t="shared" si="54"/>
        <v>25</v>
      </c>
      <c r="C271" s="84" t="str">
        <f t="shared" si="55"/>
        <v>June</v>
      </c>
      <c r="D271" s="85" t="str">
        <f t="shared" si="50"/>
        <v>June</v>
      </c>
      <c r="E271" s="86" t="s">
        <v>220</v>
      </c>
      <c r="F271" s="86" t="s">
        <v>237</v>
      </c>
      <c r="G271" s="86" t="s">
        <v>368</v>
      </c>
      <c r="H271" s="86" t="s">
        <v>229</v>
      </c>
      <c r="I271" s="87" t="str">
        <f>IF(F271=0,"",IF(COUNTIF(F271,"Bao"),[2]Setup!$B$4,IF(COUNTIF(F271,"Soup Dumplings"),[2]Setup!$B$5,F271)))</f>
        <v>Soup Dumpling Prep</v>
      </c>
      <c r="J271" s="88"/>
      <c r="K271" s="88" t="s">
        <v>348</v>
      </c>
      <c r="L271" s="87"/>
      <c r="M271" s="87"/>
      <c r="N271" s="87"/>
      <c r="O271" s="87"/>
      <c r="P271" s="89" t="str">
        <f t="shared" si="46"/>
        <v/>
      </c>
      <c r="Q271" s="89" t="str">
        <f t="shared" si="47"/>
        <v/>
      </c>
      <c r="R271" s="89" t="str">
        <f t="shared" si="48"/>
        <v/>
      </c>
      <c r="S271" s="88" t="str">
        <f>IF(F271="Bao",[2]Setup!$B$4,IF(F271="Soup Dumplings",[2]Setup!$B$5,""))</f>
        <v/>
      </c>
      <c r="T271" s="88" t="str">
        <f t="shared" si="49"/>
        <v/>
      </c>
      <c r="U271" s="84" t="e">
        <f t="shared" si="52"/>
        <v>#VALUE!</v>
      </c>
      <c r="V271" s="88" t="e">
        <f>IF(U271="",0,MAX(0,T271)+N271+ROUND(J271*[2]Setup!$B$9,0)+IF(O271&gt;[2]Setup!$B$10,ROUND(J271*[2]Setup!$B$11,0),0))</f>
        <v>#VALUE!</v>
      </c>
      <c r="W271" s="85" t="str">
        <f>IF(L271="","Open",IF(OR(P271&lt;[2]Setup!$B$6,Q271&gt;[2]Setup!$B$7,R271&gt;[2]Setup!$B$8,O271&gt;[2]Setup!$B$10),"Review","OK"))</f>
        <v>Open</v>
      </c>
      <c r="X271" s="86"/>
      <c r="Z271" s="81" t="str">
        <f t="shared" si="53"/>
        <v>Sou</v>
      </c>
    </row>
    <row r="272" spans="1:26" ht="28.8" x14ac:dyDescent="0.3">
      <c r="A272" s="84">
        <v>46188</v>
      </c>
      <c r="B272" s="100">
        <f t="shared" si="54"/>
        <v>25</v>
      </c>
      <c r="C272" s="84" t="str">
        <f t="shared" si="55"/>
        <v>June</v>
      </c>
      <c r="D272" s="85" t="str">
        <f t="shared" si="50"/>
        <v>June</v>
      </c>
      <c r="E272" s="86" t="s">
        <v>220</v>
      </c>
      <c r="F272" s="86" t="s">
        <v>87</v>
      </c>
      <c r="G272" s="86" t="s">
        <v>368</v>
      </c>
      <c r="H272" s="86" t="s">
        <v>245</v>
      </c>
      <c r="I272" s="87">
        <v>45000</v>
      </c>
      <c r="J272" s="88"/>
      <c r="K272" s="88" t="s">
        <v>379</v>
      </c>
      <c r="L272" s="87"/>
      <c r="M272" s="87"/>
      <c r="N272" s="87"/>
      <c r="O272" s="87"/>
      <c r="P272" s="89" t="str">
        <f t="shared" si="46"/>
        <v/>
      </c>
      <c r="Q272" s="89" t="str">
        <f t="shared" si="47"/>
        <v/>
      </c>
      <c r="R272" s="89" t="str">
        <f t="shared" si="48"/>
        <v/>
      </c>
      <c r="S272" s="88">
        <f>IF(F272="Bao",[2]Setup!$B$4,IF(F272="Soup Dumplings",[2]Setup!$B$5,""))</f>
        <v>90000</v>
      </c>
      <c r="T272" s="88" t="str">
        <f t="shared" si="49"/>
        <v/>
      </c>
      <c r="U272" s="84" t="e">
        <f t="shared" si="52"/>
        <v>#VALUE!</v>
      </c>
      <c r="V272" s="88" t="e">
        <f>IF(U272="",0,MAX(0,T272)+N272+ROUND(J272*[2]Setup!$B$9,0)+IF(O272&gt;[2]Setup!$B$10,ROUND(J272*[2]Setup!$B$11,0),0))</f>
        <v>#VALUE!</v>
      </c>
      <c r="W272" s="85" t="str">
        <f>IF(L272="","Open",IF(OR(P272&lt;[2]Setup!$B$6,Q272&gt;[2]Setup!$B$7,R272&gt;[2]Setup!$B$8,O272&gt;[2]Setup!$B$10),"Review","OK"))</f>
        <v>Open</v>
      </c>
      <c r="X272" s="86"/>
      <c r="Z272" s="81" t="str">
        <f t="shared" si="53"/>
        <v>Sou</v>
      </c>
    </row>
    <row r="273" spans="1:26" ht="28.8" x14ac:dyDescent="0.3">
      <c r="A273" s="84">
        <v>46188</v>
      </c>
      <c r="B273" s="100">
        <f t="shared" si="54"/>
        <v>25</v>
      </c>
      <c r="C273" s="84" t="str">
        <f t="shared" si="55"/>
        <v>June</v>
      </c>
      <c r="D273" s="85" t="str">
        <f t="shared" si="50"/>
        <v>June</v>
      </c>
      <c r="E273" s="86" t="s">
        <v>220</v>
      </c>
      <c r="F273" s="86" t="s">
        <v>237</v>
      </c>
      <c r="G273" s="86" t="s">
        <v>240</v>
      </c>
      <c r="H273" s="86" t="s">
        <v>224</v>
      </c>
      <c r="I273" s="87" t="str">
        <f>IF(F273=0,"",IF(COUNTIF(F273,"Bao"),[2]Setup!$B$4,IF(COUNTIF(F273,"Soup Dumplings"),[2]Setup!$B$5,F273)))</f>
        <v>Soup Dumpling Prep</v>
      </c>
      <c r="J273" s="88"/>
      <c r="K273" s="88"/>
      <c r="L273" s="87"/>
      <c r="M273" s="87"/>
      <c r="N273" s="87"/>
      <c r="O273" s="87"/>
      <c r="P273" s="89" t="str">
        <f t="shared" si="46"/>
        <v/>
      </c>
      <c r="Q273" s="89" t="str">
        <f t="shared" si="47"/>
        <v/>
      </c>
      <c r="R273" s="89" t="str">
        <f t="shared" si="48"/>
        <v/>
      </c>
      <c r="S273" s="88" t="str">
        <f>IF(F273="Bao",[2]Setup!$B$4,IF(F273="Soup Dumplings",[2]Setup!$B$5,""))</f>
        <v/>
      </c>
      <c r="T273" s="88" t="str">
        <f t="shared" si="49"/>
        <v/>
      </c>
      <c r="U273" s="84" t="e">
        <f t="shared" si="52"/>
        <v>#VALUE!</v>
      </c>
      <c r="V273" s="88" t="e">
        <f>IF(U273="",0,MAX(0,T273)+N273+ROUND(J273*[2]Setup!$B$9,0)+IF(O273&gt;[2]Setup!$B$10,ROUND(J273*[2]Setup!$B$11,0),0))</f>
        <v>#VALUE!</v>
      </c>
      <c r="W273" s="85" t="str">
        <f>IF(L273="","Open",IF(OR(P273&lt;[2]Setup!$B$6,Q273&gt;[2]Setup!$B$7,R273&gt;[2]Setup!$B$8,O273&gt;[2]Setup!$B$10),"Review","OK"))</f>
        <v>Open</v>
      </c>
      <c r="X273" s="86"/>
      <c r="Z273" s="81" t="str">
        <f t="shared" si="53"/>
        <v>Sou</v>
      </c>
    </row>
    <row r="274" spans="1:26" x14ac:dyDescent="0.3">
      <c r="A274" s="84">
        <v>46188</v>
      </c>
      <c r="B274" s="100">
        <f t="shared" si="54"/>
        <v>25</v>
      </c>
      <c r="C274" s="84" t="str">
        <f t="shared" si="55"/>
        <v>June</v>
      </c>
      <c r="D274" s="85" t="str">
        <f t="shared" si="50"/>
        <v>June</v>
      </c>
      <c r="E274" s="86" t="s">
        <v>220</v>
      </c>
      <c r="F274" s="86" t="s">
        <v>222</v>
      </c>
      <c r="G274" s="86" t="s">
        <v>276</v>
      </c>
      <c r="H274" s="86" t="s">
        <v>229</v>
      </c>
      <c r="I274" s="87" t="str">
        <f>IF(F274=0,"",IF(COUNTIF(F274,"Bao"),[2]Setup!$B$4,IF(COUNTIF(F274,"Soup Dumplings"),[2]Setup!$B$5,F274)))</f>
        <v>Bao Prep</v>
      </c>
      <c r="J274" s="88"/>
      <c r="K274" s="88" t="s">
        <v>380</v>
      </c>
      <c r="L274" s="87"/>
      <c r="M274" s="87"/>
      <c r="N274" s="87"/>
      <c r="O274" s="87"/>
      <c r="P274" s="89" t="str">
        <f t="shared" si="46"/>
        <v/>
      </c>
      <c r="Q274" s="89" t="str">
        <f t="shared" si="47"/>
        <v/>
      </c>
      <c r="R274" s="89" t="str">
        <f t="shared" si="48"/>
        <v/>
      </c>
      <c r="S274" s="88" t="str">
        <f>IF(F274="Bao",[2]Setup!$B$4,IF(F274="Soup Dumplings",[2]Setup!$B$5,""))</f>
        <v/>
      </c>
      <c r="T274" s="88" t="str">
        <f t="shared" si="49"/>
        <v/>
      </c>
      <c r="U274" s="84" t="e">
        <f t="shared" si="52"/>
        <v>#VALUE!</v>
      </c>
      <c r="V274" s="88" t="e">
        <f>IF(U274="",0,MAX(0,T274)+N274+ROUND(J274*[2]Setup!$B$9,0)+IF(O274&gt;[2]Setup!$B$10,ROUND(J274*[2]Setup!$B$11,0),0))</f>
        <v>#VALUE!</v>
      </c>
      <c r="W274" s="85" t="str">
        <f>IF(L274="","Open",IF(OR(P274&lt;[2]Setup!$B$6,Q274&gt;[2]Setup!$B$7,R274&gt;[2]Setup!$B$8,O274&gt;[2]Setup!$B$10),"Review","OK"))</f>
        <v>Open</v>
      </c>
      <c r="X274" s="86"/>
      <c r="Z274" s="81" t="str">
        <f t="shared" si="53"/>
        <v>Bao</v>
      </c>
    </row>
    <row r="275" spans="1:26" x14ac:dyDescent="0.3">
      <c r="A275" s="84">
        <v>46188</v>
      </c>
      <c r="B275" s="100">
        <f t="shared" si="54"/>
        <v>25</v>
      </c>
      <c r="C275" s="84" t="str">
        <f t="shared" si="55"/>
        <v>June</v>
      </c>
      <c r="D275" s="85" t="str">
        <f t="shared" si="50"/>
        <v>June</v>
      </c>
      <c r="E275" s="86" t="s">
        <v>220</v>
      </c>
      <c r="F275" s="86" t="s">
        <v>222</v>
      </c>
      <c r="G275" s="86" t="s">
        <v>226</v>
      </c>
      <c r="H275" s="86" t="s">
        <v>229</v>
      </c>
      <c r="I275" s="87" t="str">
        <f>IF(F275=0,"",IF(COUNTIF(F275,"Bao"),[2]Setup!$B$4,IF(COUNTIF(F275,"Soup Dumplings"),[2]Setup!$B$5,F275)))</f>
        <v>Bao Prep</v>
      </c>
      <c r="J275" s="88"/>
      <c r="K275" s="88" t="s">
        <v>381</v>
      </c>
      <c r="L275" s="87"/>
      <c r="M275" s="87"/>
      <c r="N275" s="87"/>
      <c r="O275" s="87"/>
      <c r="P275" s="89" t="str">
        <f t="shared" ref="P275:P338" si="56">IF(J275="","",IF(J275&gt;0,(L275+M275)/J275,""))</f>
        <v/>
      </c>
      <c r="Q275" s="89" t="str">
        <f t="shared" ref="Q275:Q338" si="57">IF(J275="","",IF(J275&gt;0,MAX(0,(J275-(L275+M275))/J275),""))</f>
        <v/>
      </c>
      <c r="R275" s="89" t="str">
        <f t="shared" ref="R275:R338" si="58">IF(J275="","",IF(J275&gt;0,MAX(0,(L275+M275-J275)/J275),""))</f>
        <v/>
      </c>
      <c r="S275" s="88" t="str">
        <f>IF(F275="Bao",[2]Setup!$B$4,IF(F275="Soup Dumplings",[2]Setup!$B$5,""))</f>
        <v/>
      </c>
      <c r="T275" s="88" t="str">
        <f t="shared" ref="T275:T338" si="59">IF(L275="","",S275-L275)</f>
        <v/>
      </c>
      <c r="U275" s="84" t="e">
        <f t="shared" si="52"/>
        <v>#VALUE!</v>
      </c>
      <c r="V275" s="88" t="e">
        <f>IF(U275="",0,MAX(0,T275)+N275+ROUND(J275*[2]Setup!$B$9,0)+IF(O275&gt;[2]Setup!$B$10,ROUND(J275*[2]Setup!$B$11,0),0))</f>
        <v>#VALUE!</v>
      </c>
      <c r="W275" s="85" t="str">
        <f>IF(L275="","Open",IF(OR(P275&lt;[2]Setup!$B$6,Q275&gt;[2]Setup!$B$7,R275&gt;[2]Setup!$B$8,O275&gt;[2]Setup!$B$10),"Review","OK"))</f>
        <v>Open</v>
      </c>
      <c r="X275" s="86"/>
      <c r="Z275" s="81" t="str">
        <f t="shared" si="53"/>
        <v>Bao</v>
      </c>
    </row>
    <row r="276" spans="1:26" x14ac:dyDescent="0.3">
      <c r="A276" s="84">
        <v>46188</v>
      </c>
      <c r="B276" s="100">
        <f t="shared" si="54"/>
        <v>25</v>
      </c>
      <c r="C276" s="84" t="str">
        <f t="shared" si="55"/>
        <v>June</v>
      </c>
      <c r="D276" s="85" t="str">
        <f t="shared" si="50"/>
        <v>June</v>
      </c>
      <c r="E276" s="86" t="s">
        <v>220</v>
      </c>
      <c r="F276" s="86" t="s">
        <v>222</v>
      </c>
      <c r="G276" s="86" t="s">
        <v>257</v>
      </c>
      <c r="H276" s="86" t="s">
        <v>227</v>
      </c>
      <c r="I276" s="87" t="str">
        <f>IF(F276=0,"",IF(COUNTIF(F276,"Bao"),[2]Setup!$B$4,IF(COUNTIF(F276,"Soup Dumplings"),[2]Setup!$B$5,F276)))</f>
        <v>Bao Prep</v>
      </c>
      <c r="J276" s="88"/>
      <c r="K276" s="88" t="s">
        <v>310</v>
      </c>
      <c r="L276" s="87"/>
      <c r="M276" s="87"/>
      <c r="N276" s="87"/>
      <c r="O276" s="87"/>
      <c r="P276" s="89" t="str">
        <f t="shared" si="56"/>
        <v/>
      </c>
      <c r="Q276" s="89" t="str">
        <f t="shared" si="57"/>
        <v/>
      </c>
      <c r="R276" s="89" t="str">
        <f t="shared" si="58"/>
        <v/>
      </c>
      <c r="S276" s="88" t="str">
        <f>IF(F276="Bao",[2]Setup!$B$4,IF(F276="Soup Dumplings",[2]Setup!$B$5,""))</f>
        <v/>
      </c>
      <c r="T276" s="88" t="str">
        <f t="shared" si="59"/>
        <v/>
      </c>
      <c r="U276" s="84" t="e">
        <f t="shared" si="52"/>
        <v>#VALUE!</v>
      </c>
      <c r="V276" s="88" t="e">
        <f>IF(U276="",0,MAX(0,T276)+N276+ROUND(J276*[2]Setup!$B$9,0)+IF(O276&gt;[2]Setup!$B$10,ROUND(J276*[2]Setup!$B$11,0),0))</f>
        <v>#VALUE!</v>
      </c>
      <c r="W276" s="85" t="str">
        <f>IF(L276="","Open",IF(OR(P276&lt;[2]Setup!$B$6,Q276&gt;[2]Setup!$B$7,R276&gt;[2]Setup!$B$8,O276&gt;[2]Setup!$B$10),"Review","OK"))</f>
        <v>Open</v>
      </c>
      <c r="X276" s="86"/>
      <c r="Z276" s="81" t="str">
        <f t="shared" si="53"/>
        <v>Bao</v>
      </c>
    </row>
    <row r="277" spans="1:26" x14ac:dyDescent="0.3">
      <c r="A277" s="84">
        <v>46188</v>
      </c>
      <c r="B277" s="100">
        <f t="shared" si="54"/>
        <v>25</v>
      </c>
      <c r="C277" s="84" t="str">
        <f t="shared" si="55"/>
        <v>June</v>
      </c>
      <c r="D277" s="85" t="str">
        <f t="shared" si="50"/>
        <v>June</v>
      </c>
      <c r="E277" s="86" t="s">
        <v>220</v>
      </c>
      <c r="F277" s="86" t="s">
        <v>222</v>
      </c>
      <c r="G277" s="86" t="s">
        <v>231</v>
      </c>
      <c r="H277" s="86" t="s">
        <v>227</v>
      </c>
      <c r="I277" s="87" t="str">
        <f>IF(F277=0,"",IF(COUNTIF(F277,"Bao"),[2]Setup!$B$4,IF(COUNTIF(F277,"Soup Dumplings"),[2]Setup!$B$5,F277)))</f>
        <v>Bao Prep</v>
      </c>
      <c r="J277" s="88"/>
      <c r="K277" s="88" t="s">
        <v>234</v>
      </c>
      <c r="L277" s="87"/>
      <c r="M277" s="87"/>
      <c r="N277" s="87"/>
      <c r="O277" s="87"/>
      <c r="P277" s="89" t="str">
        <f t="shared" si="56"/>
        <v/>
      </c>
      <c r="Q277" s="89" t="str">
        <f t="shared" si="57"/>
        <v/>
      </c>
      <c r="R277" s="89" t="str">
        <f t="shared" si="58"/>
        <v/>
      </c>
      <c r="S277" s="88" t="str">
        <f>IF(F277="Bao",[2]Setup!$B$4,IF(F277="Soup Dumplings",[2]Setup!$B$5,""))</f>
        <v/>
      </c>
      <c r="T277" s="88" t="str">
        <f t="shared" si="59"/>
        <v/>
      </c>
      <c r="U277" s="84" t="e">
        <f t="shared" si="52"/>
        <v>#VALUE!</v>
      </c>
      <c r="V277" s="88" t="e">
        <f>IF(U277="",0,MAX(0,T277)+N277+ROUND(J277*[2]Setup!$B$9,0)+IF(O277&gt;[2]Setup!$B$10,ROUND(J277*[2]Setup!$B$11,0),0))</f>
        <v>#VALUE!</v>
      </c>
      <c r="W277" s="85" t="str">
        <f>IF(L277="","Open",IF(OR(P277&lt;[2]Setup!$B$6,Q277&gt;[2]Setup!$B$7,R277&gt;[2]Setup!$B$8,O277&gt;[2]Setup!$B$10),"Review","OK"))</f>
        <v>Open</v>
      </c>
      <c r="X277" s="86"/>
      <c r="Z277" s="81" t="str">
        <f t="shared" si="53"/>
        <v>Bao</v>
      </c>
    </row>
    <row r="278" spans="1:26" ht="28.8" x14ac:dyDescent="0.3">
      <c r="A278" s="84">
        <v>46188</v>
      </c>
      <c r="B278" s="100">
        <f t="shared" si="54"/>
        <v>25</v>
      </c>
      <c r="C278" s="84" t="str">
        <f t="shared" si="55"/>
        <v>June</v>
      </c>
      <c r="D278" s="85" t="str">
        <f t="shared" si="50"/>
        <v>June</v>
      </c>
      <c r="E278" s="86" t="s">
        <v>220</v>
      </c>
      <c r="F278" s="86" t="s">
        <v>237</v>
      </c>
      <c r="G278" s="86" t="s">
        <v>382</v>
      </c>
      <c r="H278" s="86" t="s">
        <v>227</v>
      </c>
      <c r="I278" s="87" t="str">
        <f>IF(F278=0,"",IF(COUNTIF(F278,"Bao"),[2]Setup!$B$4,IF(COUNTIF(F278,"Soup Dumplings"),[2]Setup!$B$5,F278)))</f>
        <v>Soup Dumpling Prep</v>
      </c>
      <c r="J278" s="88"/>
      <c r="K278" s="88" t="s">
        <v>383</v>
      </c>
      <c r="L278" s="87"/>
      <c r="M278" s="87"/>
      <c r="N278" s="87"/>
      <c r="O278" s="87"/>
      <c r="P278" s="89" t="str">
        <f t="shared" si="56"/>
        <v/>
      </c>
      <c r="Q278" s="89" t="str">
        <f t="shared" si="57"/>
        <v/>
      </c>
      <c r="R278" s="89" t="str">
        <f t="shared" si="58"/>
        <v/>
      </c>
      <c r="S278" s="88" t="str">
        <f>IF(F278="Bao",[2]Setup!$B$4,IF(F278="Soup Dumplings",[2]Setup!$B$5,""))</f>
        <v/>
      </c>
      <c r="T278" s="88" t="str">
        <f t="shared" si="59"/>
        <v/>
      </c>
      <c r="U278" s="84" t="e">
        <f t="shared" si="52"/>
        <v>#VALUE!</v>
      </c>
      <c r="V278" s="88" t="e">
        <f>IF(U278="",0,MAX(0,T278)+N278+ROUND(J278*[2]Setup!$B$9,0)+IF(O278&gt;[2]Setup!$B$10,ROUND(J278*[2]Setup!$B$11,0),0))</f>
        <v>#VALUE!</v>
      </c>
      <c r="W278" s="85" t="str">
        <f>IF(L278="","Open",IF(OR(P278&lt;[2]Setup!$B$6,Q278&gt;[2]Setup!$B$7,R278&gt;[2]Setup!$B$8,O278&gt;[2]Setup!$B$10),"Review","OK"))</f>
        <v>Open</v>
      </c>
      <c r="X278" s="86"/>
      <c r="Z278" s="81" t="str">
        <f t="shared" si="53"/>
        <v>Sou</v>
      </c>
    </row>
    <row r="279" spans="1:26" ht="28.8" x14ac:dyDescent="0.3">
      <c r="A279" s="84">
        <v>46188</v>
      </c>
      <c r="B279" s="100">
        <f t="shared" si="54"/>
        <v>25</v>
      </c>
      <c r="C279" s="84" t="str">
        <f t="shared" si="55"/>
        <v>June</v>
      </c>
      <c r="D279" s="85" t="str">
        <f t="shared" si="50"/>
        <v>June</v>
      </c>
      <c r="E279" s="86" t="s">
        <v>220</v>
      </c>
      <c r="F279" s="86" t="s">
        <v>237</v>
      </c>
      <c r="G279" s="86" t="s">
        <v>370</v>
      </c>
      <c r="H279" s="86" t="s">
        <v>232</v>
      </c>
      <c r="I279" s="87" t="str">
        <f>IF(F279=0,"",IF(COUNTIF(F279,"Bao"),[2]Setup!$B$4,IF(COUNTIF(F279,"Soup Dumplings"),[2]Setup!$B$5,F279)))</f>
        <v>Soup Dumpling Prep</v>
      </c>
      <c r="J279" s="88"/>
      <c r="K279" s="88" t="s">
        <v>384</v>
      </c>
      <c r="L279" s="87"/>
      <c r="M279" s="87"/>
      <c r="N279" s="87"/>
      <c r="O279" s="87"/>
      <c r="P279" s="89" t="str">
        <f t="shared" si="56"/>
        <v/>
      </c>
      <c r="Q279" s="89" t="str">
        <f t="shared" si="57"/>
        <v/>
      </c>
      <c r="R279" s="89" t="str">
        <f t="shared" si="58"/>
        <v/>
      </c>
      <c r="S279" s="88" t="str">
        <f>IF(F279="Bao",[2]Setup!$B$4,IF(F279="Soup Dumplings",[2]Setup!$B$5,""))</f>
        <v/>
      </c>
      <c r="T279" s="88" t="str">
        <f t="shared" si="59"/>
        <v/>
      </c>
      <c r="U279" s="84" t="e">
        <f t="shared" si="52"/>
        <v>#VALUE!</v>
      </c>
      <c r="V279" s="88" t="e">
        <f>IF(U279="",0,MAX(0,T279)+N279+ROUND(J279*[2]Setup!$B$9,0)+IF(O279&gt;[2]Setup!$B$10,ROUND(J279*[2]Setup!$B$11,0),0))</f>
        <v>#VALUE!</v>
      </c>
      <c r="W279" s="85" t="str">
        <f>IF(L279="","Open",IF(OR(P279&lt;[2]Setup!$B$6,Q279&gt;[2]Setup!$B$7,R279&gt;[2]Setup!$B$8,O279&gt;[2]Setup!$B$10),"Review","OK"))</f>
        <v>Open</v>
      </c>
      <c r="X279" s="86"/>
      <c r="Z279" s="81" t="str">
        <f t="shared" si="53"/>
        <v>Sou</v>
      </c>
    </row>
    <row r="280" spans="1:26" ht="28.8" x14ac:dyDescent="0.3">
      <c r="A280" s="84">
        <v>46188</v>
      </c>
      <c r="B280" s="100">
        <f t="shared" si="54"/>
        <v>25</v>
      </c>
      <c r="C280" s="84" t="str">
        <f t="shared" si="55"/>
        <v>June</v>
      </c>
      <c r="D280" s="85" t="str">
        <f t="shared" si="50"/>
        <v>June</v>
      </c>
      <c r="E280" s="86" t="s">
        <v>220</v>
      </c>
      <c r="F280" s="86" t="s">
        <v>237</v>
      </c>
      <c r="G280" s="86" t="s">
        <v>287</v>
      </c>
      <c r="H280" s="86" t="s">
        <v>227</v>
      </c>
      <c r="I280" s="87" t="str">
        <f>IF(F280=0,"",IF(COUNTIF(F280,"Bao"),[2]Setup!$B$4,IF(COUNTIF(F280,"Soup Dumplings"),[2]Setup!$B$5,F280)))</f>
        <v>Soup Dumpling Prep</v>
      </c>
      <c r="J280" s="88"/>
      <c r="K280" s="88" t="s">
        <v>385</v>
      </c>
      <c r="L280" s="87"/>
      <c r="M280" s="87"/>
      <c r="N280" s="87"/>
      <c r="O280" s="87"/>
      <c r="P280" s="89" t="str">
        <f t="shared" si="56"/>
        <v/>
      </c>
      <c r="Q280" s="89" t="str">
        <f t="shared" si="57"/>
        <v/>
      </c>
      <c r="R280" s="89" t="str">
        <f t="shared" si="58"/>
        <v/>
      </c>
      <c r="S280" s="88" t="str">
        <f>IF(F280="Bao",[2]Setup!$B$4,IF(F280="Soup Dumplings",[2]Setup!$B$5,""))</f>
        <v/>
      </c>
      <c r="T280" s="88" t="str">
        <f t="shared" si="59"/>
        <v/>
      </c>
      <c r="U280" s="84" t="e">
        <f t="shared" si="52"/>
        <v>#VALUE!</v>
      </c>
      <c r="V280" s="88" t="e">
        <f>IF(U280="",0,MAX(0,T280)+N280+ROUND(J280*[2]Setup!$B$9,0)+IF(O280&gt;[2]Setup!$B$10,ROUND(J280*[2]Setup!$B$11,0),0))</f>
        <v>#VALUE!</v>
      </c>
      <c r="W280" s="85" t="str">
        <f>IF(L280="","Open",IF(OR(P280&lt;[2]Setup!$B$6,Q280&gt;[2]Setup!$B$7,R280&gt;[2]Setup!$B$8,O280&gt;[2]Setup!$B$10),"Review","OK"))</f>
        <v>Open</v>
      </c>
      <c r="X280" s="86"/>
      <c r="Z280" s="81" t="str">
        <f t="shared" si="53"/>
        <v>Sou</v>
      </c>
    </row>
    <row r="281" spans="1:26" ht="28.8" x14ac:dyDescent="0.3">
      <c r="A281" s="84">
        <v>46188</v>
      </c>
      <c r="B281" s="100">
        <f t="shared" si="54"/>
        <v>25</v>
      </c>
      <c r="C281" s="84" t="str">
        <f t="shared" si="55"/>
        <v>June</v>
      </c>
      <c r="D281" s="85" t="str">
        <f t="shared" si="50"/>
        <v>June</v>
      </c>
      <c r="E281" s="86" t="s">
        <v>220</v>
      </c>
      <c r="F281" s="86" t="s">
        <v>237</v>
      </c>
      <c r="G281" s="86" t="s">
        <v>368</v>
      </c>
      <c r="H281" s="86" t="s">
        <v>227</v>
      </c>
      <c r="I281" s="87" t="str">
        <f>IF(F281=0,"",IF(COUNTIF(F281,"Bao"),[2]Setup!$B$4,IF(COUNTIF(F281,"Soup Dumplings"),[2]Setup!$B$5,F281)))</f>
        <v>Soup Dumpling Prep</v>
      </c>
      <c r="J281" s="88"/>
      <c r="K281" s="88" t="s">
        <v>234</v>
      </c>
      <c r="L281" s="87"/>
      <c r="M281" s="87"/>
      <c r="N281" s="87"/>
      <c r="O281" s="87"/>
      <c r="P281" s="89" t="str">
        <f t="shared" si="56"/>
        <v/>
      </c>
      <c r="Q281" s="89" t="str">
        <f t="shared" si="57"/>
        <v/>
      </c>
      <c r="R281" s="89" t="str">
        <f t="shared" si="58"/>
        <v/>
      </c>
      <c r="S281" s="88" t="str">
        <f>IF(F281="Bao",[2]Setup!$B$4,IF(F281="Soup Dumplings",[2]Setup!$B$5,""))</f>
        <v/>
      </c>
      <c r="T281" s="88" t="str">
        <f t="shared" si="59"/>
        <v/>
      </c>
      <c r="U281" s="84" t="e">
        <f t="shared" si="52"/>
        <v>#VALUE!</v>
      </c>
      <c r="V281" s="88" t="e">
        <f>IF(U281="",0,MAX(0,T281)+N281+ROUND(J281*[2]Setup!$B$9,0)+IF(O281&gt;[2]Setup!$B$10,ROUND(J281*[2]Setup!$B$11,0),0))</f>
        <v>#VALUE!</v>
      </c>
      <c r="W281" s="85" t="str">
        <f>IF(L281="","Open",IF(OR(P281&lt;[2]Setup!$B$6,Q281&gt;[2]Setup!$B$7,R281&gt;[2]Setup!$B$8,O281&gt;[2]Setup!$B$10),"Review","OK"))</f>
        <v>Open</v>
      </c>
      <c r="X281" s="86"/>
      <c r="Z281" s="81" t="str">
        <f t="shared" si="53"/>
        <v>Sou</v>
      </c>
    </row>
    <row r="282" spans="1:26" ht="43.2" x14ac:dyDescent="0.3">
      <c r="A282" s="84">
        <v>46188</v>
      </c>
      <c r="B282" s="100">
        <f t="shared" si="54"/>
        <v>25</v>
      </c>
      <c r="C282" s="84" t="str">
        <f t="shared" si="55"/>
        <v>June</v>
      </c>
      <c r="D282" s="85" t="str">
        <f t="shared" si="50"/>
        <v>June</v>
      </c>
      <c r="E282" s="86" t="s">
        <v>220</v>
      </c>
      <c r="F282" s="86" t="s">
        <v>251</v>
      </c>
      <c r="G282" s="86" t="s">
        <v>82</v>
      </c>
      <c r="H282" s="86" t="s">
        <v>249</v>
      </c>
      <c r="I282" s="87" t="str">
        <f>IF(F282=0,"",IF(COUNTIF(F282,"Bao"),[2]Setup!$B$4,IF(COUNTIF(F282,"Soup Dumplings"),[2]Setup!$B$5,F282)))</f>
        <v>Pack Bao</v>
      </c>
      <c r="J282" s="88"/>
      <c r="K282" s="88" t="s">
        <v>386</v>
      </c>
      <c r="L282" s="87"/>
      <c r="M282" s="87"/>
      <c r="N282" s="87"/>
      <c r="O282" s="87"/>
      <c r="P282" s="89" t="str">
        <f t="shared" si="56"/>
        <v/>
      </c>
      <c r="Q282" s="89" t="str">
        <f t="shared" si="57"/>
        <v/>
      </c>
      <c r="R282" s="89" t="str">
        <f t="shared" si="58"/>
        <v/>
      </c>
      <c r="S282" s="88" t="str">
        <f>IF(F282="Bao",[2]Setup!$B$4,IF(F282="Soup Dumplings",[2]Setup!$B$5,""))</f>
        <v/>
      </c>
      <c r="T282" s="88" t="str">
        <f t="shared" si="59"/>
        <v/>
      </c>
      <c r="U282" s="84" t="e">
        <f t="shared" si="52"/>
        <v>#VALUE!</v>
      </c>
      <c r="V282" s="88" t="e">
        <f>IF(U282="",0,MAX(0,T282)+N282+ROUND(J282*[2]Setup!$B$9,0)+IF(O282&gt;[2]Setup!$B$10,ROUND(J282*[2]Setup!$B$11,0),0))</f>
        <v>#VALUE!</v>
      </c>
      <c r="W282" s="85" t="str">
        <f>IF(L282="","Open",IF(OR(P282&lt;[2]Setup!$B$6,Q282&gt;[2]Setup!$B$7,R282&gt;[2]Setup!$B$8,O282&gt;[2]Setup!$B$10),"Review","OK"))</f>
        <v>Open</v>
      </c>
      <c r="X282" s="86"/>
      <c r="Z282" s="81" t="str">
        <f t="shared" si="53"/>
        <v>Pac</v>
      </c>
    </row>
    <row r="283" spans="1:26" ht="28.8" x14ac:dyDescent="0.3">
      <c r="A283" s="84">
        <v>46188</v>
      </c>
      <c r="B283" s="100">
        <f t="shared" si="54"/>
        <v>25</v>
      </c>
      <c r="C283" s="84" t="str">
        <f t="shared" si="55"/>
        <v>June</v>
      </c>
      <c r="D283" s="85" t="str">
        <f t="shared" si="50"/>
        <v>June</v>
      </c>
      <c r="E283" s="86" t="s">
        <v>220</v>
      </c>
      <c r="F283" s="86" t="s">
        <v>248</v>
      </c>
      <c r="G283" s="86" t="s">
        <v>368</v>
      </c>
      <c r="H283" s="86" t="s">
        <v>252</v>
      </c>
      <c r="I283" s="87" t="str">
        <f>IF(F283=0,"",IF(COUNTIF(F283,"Bao"),[2]Setup!$B$4,IF(COUNTIF(F283,"Soup Dumplings"),[2]Setup!$B$5,F283)))</f>
        <v>Pack Soup Dumplings</v>
      </c>
      <c r="J283" s="88"/>
      <c r="K283" s="88" t="s">
        <v>387</v>
      </c>
      <c r="L283" s="87"/>
      <c r="M283" s="87"/>
      <c r="N283" s="87"/>
      <c r="O283" s="87"/>
      <c r="P283" s="89" t="str">
        <f t="shared" si="56"/>
        <v/>
      </c>
      <c r="Q283" s="89" t="str">
        <f t="shared" si="57"/>
        <v/>
      </c>
      <c r="R283" s="89" t="str">
        <f t="shared" si="58"/>
        <v/>
      </c>
      <c r="S283" s="88" t="str">
        <f>IF(F283="Bao",[2]Setup!$B$4,IF(F283="Soup Dumplings",[2]Setup!$B$5,""))</f>
        <v/>
      </c>
      <c r="T283" s="88" t="str">
        <f t="shared" si="59"/>
        <v/>
      </c>
      <c r="U283" s="84" t="e">
        <f t="shared" si="52"/>
        <v>#VALUE!</v>
      </c>
      <c r="V283" s="88" t="e">
        <f>IF(U283="",0,MAX(0,T283)+N283+ROUND(J283*[2]Setup!$B$9,0)+IF(O283&gt;[2]Setup!$B$10,ROUND(J283*[2]Setup!$B$11,0),0))</f>
        <v>#VALUE!</v>
      </c>
      <c r="W283" s="85" t="str">
        <f>IF(L283="","Open",IF(OR(P283&lt;[2]Setup!$B$6,Q283&gt;[2]Setup!$B$7,R283&gt;[2]Setup!$B$8,O283&gt;[2]Setup!$B$10),"Review","OK"))</f>
        <v>Open</v>
      </c>
      <c r="X283" s="86"/>
      <c r="Z283" s="81" t="str">
        <f t="shared" si="53"/>
        <v>Pac</v>
      </c>
    </row>
    <row r="284" spans="1:26" ht="28.8" x14ac:dyDescent="0.3">
      <c r="A284" s="84">
        <v>46188</v>
      </c>
      <c r="B284" s="100">
        <f t="shared" si="54"/>
        <v>25</v>
      </c>
      <c r="C284" s="84" t="str">
        <f t="shared" si="55"/>
        <v>June</v>
      </c>
      <c r="D284" s="85" t="str">
        <f t="shared" si="50"/>
        <v>June</v>
      </c>
      <c r="E284" s="86" t="s">
        <v>220</v>
      </c>
      <c r="F284" s="86" t="s">
        <v>248</v>
      </c>
      <c r="G284" s="86" t="s">
        <v>313</v>
      </c>
      <c r="H284" s="86" t="s">
        <v>252</v>
      </c>
      <c r="I284" s="87" t="str">
        <f>IF(F284=0,"",IF(COUNTIF(F284,"Bao"),[2]Setup!$B$4,IF(COUNTIF(F284,"Soup Dumplings"),[2]Setup!$B$5,F284)))</f>
        <v>Pack Soup Dumplings</v>
      </c>
      <c r="J284" s="88"/>
      <c r="K284" s="88" t="s">
        <v>388</v>
      </c>
      <c r="L284" s="87"/>
      <c r="M284" s="87"/>
      <c r="N284" s="87"/>
      <c r="O284" s="87"/>
      <c r="P284" s="89" t="str">
        <f t="shared" si="56"/>
        <v/>
      </c>
      <c r="Q284" s="89" t="str">
        <f t="shared" si="57"/>
        <v/>
      </c>
      <c r="R284" s="89" t="str">
        <f t="shared" si="58"/>
        <v/>
      </c>
      <c r="S284" s="88" t="str">
        <f>IF(F284="Bao",[2]Setup!$B$4,IF(F284="Soup Dumplings",[2]Setup!$B$5,""))</f>
        <v/>
      </c>
      <c r="T284" s="88" t="str">
        <f t="shared" si="59"/>
        <v/>
      </c>
      <c r="U284" s="84" t="e">
        <f t="shared" si="52"/>
        <v>#VALUE!</v>
      </c>
      <c r="V284" s="88" t="e">
        <f>IF(U284="",0,MAX(0,T284)+N284+ROUND(J284*[2]Setup!$B$9,0)+IF(O284&gt;[2]Setup!$B$10,ROUND(J284*[2]Setup!$B$11,0),0))</f>
        <v>#VALUE!</v>
      </c>
      <c r="W284" s="85" t="str">
        <f>IF(L284="","Open",IF(OR(P284&lt;[2]Setup!$B$6,Q284&gt;[2]Setup!$B$7,R284&gt;[2]Setup!$B$8,O284&gt;[2]Setup!$B$10),"Review","OK"))</f>
        <v>Open</v>
      </c>
      <c r="X284" s="86"/>
      <c r="Z284" s="81" t="str">
        <f t="shared" si="53"/>
        <v>Pac</v>
      </c>
    </row>
    <row r="285" spans="1:26" ht="28.8" x14ac:dyDescent="0.3">
      <c r="A285" s="84">
        <v>46188</v>
      </c>
      <c r="B285" s="100">
        <f t="shared" si="54"/>
        <v>25</v>
      </c>
      <c r="C285" s="84" t="str">
        <f t="shared" si="55"/>
        <v>June</v>
      </c>
      <c r="D285" s="85" t="str">
        <f t="shared" si="50"/>
        <v>June</v>
      </c>
      <c r="E285" s="86" t="s">
        <v>299</v>
      </c>
      <c r="F285" s="86" t="s">
        <v>222</v>
      </c>
      <c r="G285" s="86" t="s">
        <v>223</v>
      </c>
      <c r="H285" s="86" t="s">
        <v>224</v>
      </c>
      <c r="I285" s="87" t="str">
        <f>IF(F285=0,"",IF(COUNTIF(F285,"Bao"),[2]Setup!$B$4,IF(COUNTIF(F285,"Soup Dumplings"),[2]Setup!$B$5,F285)))</f>
        <v>Bao Prep</v>
      </c>
      <c r="J285" s="88">
        <f t="shared" si="51"/>
        <v>0</v>
      </c>
      <c r="K285" s="88" t="s">
        <v>389</v>
      </c>
      <c r="L285" s="87"/>
      <c r="M285" s="87"/>
      <c r="N285" s="87"/>
      <c r="O285" s="87"/>
      <c r="P285" s="89" t="str">
        <f t="shared" si="56"/>
        <v/>
      </c>
      <c r="Q285" s="89" t="str">
        <f t="shared" si="57"/>
        <v/>
      </c>
      <c r="R285" s="89" t="str">
        <f t="shared" si="58"/>
        <v/>
      </c>
      <c r="S285" s="88" t="str">
        <f>IF(F285="Bao",[2]Setup!$B$4,IF(F285="Soup Dumplings",[2]Setup!$B$5,""))</f>
        <v/>
      </c>
      <c r="T285" s="88" t="str">
        <f t="shared" si="59"/>
        <v/>
      </c>
      <c r="U285" s="84" t="e">
        <f t="shared" si="52"/>
        <v>#VALUE!</v>
      </c>
      <c r="V285" s="88" t="e">
        <f>IF(U285="",0,MAX(0,T285)+N285+ROUND(J285*[2]Setup!$B$9,0)+IF(O285&gt;[2]Setup!$B$10,ROUND(J285*[2]Setup!$B$11,0),0))</f>
        <v>#VALUE!</v>
      </c>
      <c r="W285" s="85" t="str">
        <f>IF(L285="","Open",IF(OR(P285&lt;[2]Setup!$B$6,Q285&gt;[2]Setup!$B$7,R285&gt;[2]Setup!$B$8,O285&gt;[2]Setup!$B$10),"Review","OK"))</f>
        <v>Open</v>
      </c>
      <c r="X285" s="86"/>
      <c r="Z285" s="81" t="str">
        <f t="shared" si="53"/>
        <v>Bao</v>
      </c>
    </row>
    <row r="286" spans="1:26" ht="28.8" x14ac:dyDescent="0.3">
      <c r="A286" s="84">
        <v>46188</v>
      </c>
      <c r="B286" s="100">
        <f t="shared" si="54"/>
        <v>25</v>
      </c>
      <c r="C286" s="84" t="str">
        <f t="shared" si="55"/>
        <v>June</v>
      </c>
      <c r="D286" s="85" t="str">
        <f t="shared" si="50"/>
        <v>June</v>
      </c>
      <c r="E286" s="86" t="s">
        <v>220</v>
      </c>
      <c r="F286" s="86" t="s">
        <v>237</v>
      </c>
      <c r="G286" s="86" t="s">
        <v>242</v>
      </c>
      <c r="H286" s="86" t="s">
        <v>232</v>
      </c>
      <c r="I286" s="87" t="str">
        <f>IF(F286=0,"",IF(COUNTIF(F286,"Bao"),[2]Setup!$B$4,IF(COUNTIF(F286,"Soup Dumplings"),[2]Setup!$B$5,F286)))</f>
        <v>Soup Dumpling Prep</v>
      </c>
      <c r="J286" s="88">
        <f t="shared" si="51"/>
        <v>0</v>
      </c>
      <c r="K286" s="88" t="s">
        <v>353</v>
      </c>
      <c r="L286" s="87"/>
      <c r="M286" s="87"/>
      <c r="N286" s="87"/>
      <c r="O286" s="87"/>
      <c r="P286" s="89" t="str">
        <f t="shared" si="56"/>
        <v/>
      </c>
      <c r="Q286" s="89" t="str">
        <f t="shared" si="57"/>
        <v/>
      </c>
      <c r="R286" s="89" t="str">
        <f t="shared" si="58"/>
        <v/>
      </c>
      <c r="S286" s="88" t="str">
        <f>IF(F286="Bao",[2]Setup!$B$4,IF(F286="Soup Dumplings",[2]Setup!$B$5,""))</f>
        <v/>
      </c>
      <c r="T286" s="88" t="str">
        <f t="shared" si="59"/>
        <v/>
      </c>
      <c r="U286" s="84" t="e">
        <f t="shared" si="52"/>
        <v>#VALUE!</v>
      </c>
      <c r="V286" s="88" t="e">
        <f>IF(U286="",0,MAX(0,T286)+N286+ROUND(J286*[2]Setup!$B$9,0)+IF(O286&gt;[2]Setup!$B$10,ROUND(J286*[2]Setup!$B$11,0),0))</f>
        <v>#VALUE!</v>
      </c>
      <c r="W286" s="85" t="str">
        <f>IF(L286="","Open",IF(OR(P286&lt;[2]Setup!$B$6,Q286&gt;[2]Setup!$B$7,R286&gt;[2]Setup!$B$8,O286&gt;[2]Setup!$B$10),"Review","OK"))</f>
        <v>Open</v>
      </c>
      <c r="X286" s="86"/>
      <c r="Z286" s="81" t="str">
        <f t="shared" si="53"/>
        <v>Sou</v>
      </c>
    </row>
    <row r="287" spans="1:26" ht="28.8" x14ac:dyDescent="0.3">
      <c r="A287" s="84">
        <v>46189</v>
      </c>
      <c r="B287" s="100">
        <f t="shared" si="54"/>
        <v>25</v>
      </c>
      <c r="C287" s="84" t="str">
        <f t="shared" si="55"/>
        <v>June</v>
      </c>
      <c r="D287" s="85" t="str">
        <f t="shared" si="50"/>
        <v>June</v>
      </c>
      <c r="E287" s="86" t="s">
        <v>299</v>
      </c>
      <c r="F287" s="86" t="s">
        <v>237</v>
      </c>
      <c r="G287" s="86" t="s">
        <v>287</v>
      </c>
      <c r="H287" s="86" t="s">
        <v>227</v>
      </c>
      <c r="I287" s="87" t="str">
        <f>IF(F287=0,"",IF(COUNTIF(F287,"Bao"),[2]Setup!$B$4,IF(COUNTIF(F287,"Soup Dumplings"),[2]Setup!$B$5,F287)))</f>
        <v>Soup Dumpling Prep</v>
      </c>
      <c r="J287" s="88">
        <f t="shared" si="51"/>
        <v>0</v>
      </c>
      <c r="K287" s="88" t="s">
        <v>390</v>
      </c>
      <c r="L287" s="87"/>
      <c r="M287" s="87"/>
      <c r="N287" s="87"/>
      <c r="O287" s="87"/>
      <c r="P287" s="89" t="str">
        <f t="shared" si="56"/>
        <v/>
      </c>
      <c r="Q287" s="89" t="str">
        <f t="shared" si="57"/>
        <v/>
      </c>
      <c r="R287" s="89" t="str">
        <f t="shared" si="58"/>
        <v/>
      </c>
      <c r="S287" s="88" t="str">
        <f>IF(F287="Bao",[2]Setup!$B$4,IF(F287="Soup Dumplings",[2]Setup!$B$5,""))</f>
        <v/>
      </c>
      <c r="T287" s="88" t="str">
        <f t="shared" si="59"/>
        <v/>
      </c>
      <c r="U287" s="84" t="e">
        <f t="shared" si="52"/>
        <v>#VALUE!</v>
      </c>
      <c r="V287" s="88" t="e">
        <f>IF(U287="",0,MAX(0,T287)+N287+ROUND(J287*[2]Setup!$B$9,0)+IF(O287&gt;[2]Setup!$B$10,ROUND(J287*[2]Setup!$B$11,0),0))</f>
        <v>#VALUE!</v>
      </c>
      <c r="W287" s="85" t="str">
        <f>IF(L287="","Open",IF(OR(P287&lt;[2]Setup!$B$6,Q287&gt;[2]Setup!$B$7,R287&gt;[2]Setup!$B$8,O287&gt;[2]Setup!$B$10),"Review","OK"))</f>
        <v>Open</v>
      </c>
      <c r="X287" s="86"/>
      <c r="Z287" s="81" t="str">
        <f t="shared" si="53"/>
        <v>Sou</v>
      </c>
    </row>
    <row r="288" spans="1:26" ht="28.8" x14ac:dyDescent="0.3">
      <c r="A288" s="84">
        <v>46189</v>
      </c>
      <c r="B288" s="100">
        <f t="shared" si="54"/>
        <v>25</v>
      </c>
      <c r="C288" s="84" t="str">
        <f t="shared" si="55"/>
        <v>June</v>
      </c>
      <c r="D288" s="85" t="str">
        <f t="shared" si="50"/>
        <v>June</v>
      </c>
      <c r="E288" s="86" t="s">
        <v>220</v>
      </c>
      <c r="F288" s="86" t="s">
        <v>237</v>
      </c>
      <c r="G288" s="86" t="s">
        <v>259</v>
      </c>
      <c r="H288" s="86" t="s">
        <v>227</v>
      </c>
      <c r="I288" s="87" t="str">
        <f>IF(F288=0,"",IF(COUNTIF(F288,"Bao"),[2]Setup!$B$4,IF(COUNTIF(F288,"Soup Dumplings"),[2]Setup!$B$5,F288)))</f>
        <v>Soup Dumpling Prep</v>
      </c>
      <c r="J288" s="88">
        <f t="shared" si="51"/>
        <v>0</v>
      </c>
      <c r="K288" s="88" t="s">
        <v>378</v>
      </c>
      <c r="L288" s="87"/>
      <c r="M288" s="87"/>
      <c r="N288" s="87"/>
      <c r="O288" s="87"/>
      <c r="P288" s="89" t="str">
        <f t="shared" si="56"/>
        <v/>
      </c>
      <c r="Q288" s="89" t="str">
        <f t="shared" si="57"/>
        <v/>
      </c>
      <c r="R288" s="89" t="str">
        <f t="shared" si="58"/>
        <v/>
      </c>
      <c r="S288" s="88" t="str">
        <f>IF(F288="Bao",[2]Setup!$B$4,IF(F288="Soup Dumplings",[2]Setup!$B$5,""))</f>
        <v/>
      </c>
      <c r="T288" s="88" t="str">
        <f t="shared" si="59"/>
        <v/>
      </c>
      <c r="U288" s="84" t="e">
        <f t="shared" si="52"/>
        <v>#VALUE!</v>
      </c>
      <c r="V288" s="88" t="e">
        <f>IF(U288="",0,MAX(0,T288)+N288+ROUND(J288*[2]Setup!$B$9,0)+IF(O288&gt;[2]Setup!$B$10,ROUND(J288*[2]Setup!$B$11,0),0))</f>
        <v>#VALUE!</v>
      </c>
      <c r="W288" s="85" t="str">
        <f>IF(L288="","Open",IF(OR(P288&lt;[2]Setup!$B$6,Q288&gt;[2]Setup!$B$7,R288&gt;[2]Setup!$B$8,O288&gt;[2]Setup!$B$10),"Review","OK"))</f>
        <v>Open</v>
      </c>
      <c r="X288" s="86"/>
      <c r="Z288" s="81" t="str">
        <f t="shared" si="53"/>
        <v>Sou</v>
      </c>
    </row>
    <row r="289" spans="1:26" ht="28.8" x14ac:dyDescent="0.3">
      <c r="A289" s="84">
        <v>46189</v>
      </c>
      <c r="B289" s="100">
        <f t="shared" si="54"/>
        <v>25</v>
      </c>
      <c r="C289" s="84" t="str">
        <f t="shared" si="55"/>
        <v>June</v>
      </c>
      <c r="D289" s="85" t="s">
        <v>391</v>
      </c>
      <c r="E289" s="86" t="s">
        <v>220</v>
      </c>
      <c r="F289" s="86" t="s">
        <v>237</v>
      </c>
      <c r="G289" s="86" t="s">
        <v>368</v>
      </c>
      <c r="H289" s="86" t="s">
        <v>229</v>
      </c>
      <c r="I289" s="87" t="str">
        <f>IF(F289=0,"",IF(COUNTIF(F289,"Bao"),[2]Setup!$B$4,IF(COUNTIF(F289,"Soup Dumplings"),[2]Setup!$B$5,F289)))</f>
        <v>Soup Dumpling Prep</v>
      </c>
      <c r="J289" s="88">
        <f t="shared" si="51"/>
        <v>0</v>
      </c>
      <c r="K289" s="88" t="s">
        <v>348</v>
      </c>
      <c r="L289" s="87"/>
      <c r="M289" s="87"/>
      <c r="N289" s="87"/>
      <c r="O289" s="87"/>
      <c r="P289" s="89" t="str">
        <f t="shared" si="56"/>
        <v/>
      </c>
      <c r="Q289" s="89" t="str">
        <f t="shared" si="57"/>
        <v/>
      </c>
      <c r="R289" s="89" t="str">
        <f t="shared" si="58"/>
        <v/>
      </c>
      <c r="S289" s="88" t="str">
        <f>IF(F289="Bao",[2]Setup!$B$4,IF(F289="Soup Dumplings",[2]Setup!$B$5,""))</f>
        <v/>
      </c>
      <c r="T289" s="88" t="str">
        <f t="shared" si="59"/>
        <v/>
      </c>
      <c r="U289" s="84" t="e">
        <f t="shared" si="52"/>
        <v>#VALUE!</v>
      </c>
      <c r="V289" s="88" t="e">
        <f>IF(U289="",0,MAX(0,T289)+N289+ROUND(J289*[2]Setup!$B$9,0)+IF(O289&gt;[2]Setup!$B$10,ROUND(J289*[2]Setup!$B$11,0),0))</f>
        <v>#VALUE!</v>
      </c>
      <c r="W289" s="85" t="str">
        <f>IF(L289="","Open",IF(OR(P289&lt;[2]Setup!$B$6,Q289&gt;[2]Setup!$B$7,R289&gt;[2]Setup!$B$8,O289&gt;[2]Setup!$B$10),"Review","OK"))</f>
        <v>Open</v>
      </c>
      <c r="X289" s="86"/>
      <c r="Z289" s="81" t="str">
        <f t="shared" si="53"/>
        <v>Sou</v>
      </c>
    </row>
    <row r="290" spans="1:26" x14ac:dyDescent="0.3">
      <c r="A290" s="84">
        <v>46189</v>
      </c>
      <c r="B290" s="100">
        <f t="shared" si="54"/>
        <v>25</v>
      </c>
      <c r="C290" s="84" t="str">
        <f t="shared" si="55"/>
        <v>June</v>
      </c>
      <c r="D290" s="85" t="str">
        <f t="shared" si="50"/>
        <v>June</v>
      </c>
      <c r="E290" s="86" t="s">
        <v>220</v>
      </c>
      <c r="F290" s="86" t="s">
        <v>87</v>
      </c>
      <c r="G290" s="86" t="s">
        <v>313</v>
      </c>
      <c r="H290" s="86" t="s">
        <v>245</v>
      </c>
      <c r="I290" s="87">
        <v>90000</v>
      </c>
      <c r="J290" s="88">
        <f t="shared" si="51"/>
        <v>90000</v>
      </c>
      <c r="K290" s="88" t="s">
        <v>392</v>
      </c>
      <c r="L290" s="87"/>
      <c r="M290" s="87"/>
      <c r="N290" s="87"/>
      <c r="O290" s="87"/>
      <c r="P290" s="89">
        <f t="shared" si="56"/>
        <v>0</v>
      </c>
      <c r="Q290" s="89">
        <f t="shared" si="57"/>
        <v>1</v>
      </c>
      <c r="R290" s="89">
        <f t="shared" si="58"/>
        <v>0</v>
      </c>
      <c r="S290" s="88">
        <f>IF(F290="Bao",[2]Setup!$B$4,IF(F290="Soup Dumplings",[2]Setup!$B$5,""))</f>
        <v>90000</v>
      </c>
      <c r="T290" s="88" t="str">
        <f t="shared" si="59"/>
        <v/>
      </c>
      <c r="U290" s="84" t="e">
        <f t="shared" si="52"/>
        <v>#VALUE!</v>
      </c>
      <c r="V290" s="88" t="e">
        <f>IF(U290="",0,MAX(0,T290)+N290+ROUND(J290*[2]Setup!$B$9,0)+IF(O290&gt;[2]Setup!$B$10,ROUND(J290*[2]Setup!$B$11,0),0))</f>
        <v>#VALUE!</v>
      </c>
      <c r="W290" s="85" t="str">
        <f>IF(L290="","Open",IF(OR(P290&lt;[2]Setup!$B$6,Q290&gt;[2]Setup!$B$7,R290&gt;[2]Setup!$B$8,O290&gt;[2]Setup!$B$10),"Review","OK"))</f>
        <v>Open</v>
      </c>
      <c r="X290" s="86"/>
      <c r="Z290" s="81" t="str">
        <f t="shared" si="53"/>
        <v>Sou</v>
      </c>
    </row>
    <row r="291" spans="1:26" ht="28.8" x14ac:dyDescent="0.3">
      <c r="A291" s="84">
        <v>46189</v>
      </c>
      <c r="B291" s="100">
        <f t="shared" si="54"/>
        <v>25</v>
      </c>
      <c r="C291" s="84" t="str">
        <f t="shared" si="55"/>
        <v>June</v>
      </c>
      <c r="D291" s="85" t="str">
        <f t="shared" si="50"/>
        <v>June</v>
      </c>
      <c r="E291" s="86" t="s">
        <v>220</v>
      </c>
      <c r="F291" s="86" t="s">
        <v>237</v>
      </c>
      <c r="G291" s="86" t="s">
        <v>240</v>
      </c>
      <c r="H291" s="86" t="s">
        <v>224</v>
      </c>
      <c r="I291" s="87" t="str">
        <f>IF(F291=0,"",IF(COUNTIF(F291,"Bao"),[2]Setup!$B$4,IF(COUNTIF(F291,"Soup Dumplings"),[2]Setup!$B$5,F291)))</f>
        <v>Soup Dumpling Prep</v>
      </c>
      <c r="J291" s="88">
        <f t="shared" si="51"/>
        <v>0</v>
      </c>
      <c r="K291" s="88"/>
      <c r="L291" s="87"/>
      <c r="M291" s="87"/>
      <c r="N291" s="87"/>
      <c r="O291" s="87"/>
      <c r="P291" s="89" t="str">
        <f t="shared" si="56"/>
        <v/>
      </c>
      <c r="Q291" s="89" t="str">
        <f t="shared" si="57"/>
        <v/>
      </c>
      <c r="R291" s="89" t="str">
        <f t="shared" si="58"/>
        <v/>
      </c>
      <c r="S291" s="88" t="str">
        <f>IF(F291="Bao",[2]Setup!$B$4,IF(F291="Soup Dumplings",[2]Setup!$B$5,""))</f>
        <v/>
      </c>
      <c r="T291" s="88" t="str">
        <f t="shared" si="59"/>
        <v/>
      </c>
      <c r="U291" s="84" t="e">
        <f t="shared" si="52"/>
        <v>#VALUE!</v>
      </c>
      <c r="V291" s="88" t="e">
        <f>IF(U291="",0,MAX(0,T291)+N291+ROUND(J291*[2]Setup!$B$9,0)+IF(O291&gt;[2]Setup!$B$10,ROUND(J291*[2]Setup!$B$11,0),0))</f>
        <v>#VALUE!</v>
      </c>
      <c r="W291" s="85" t="str">
        <f>IF(L291="","Open",IF(OR(P291&lt;[2]Setup!$B$6,Q291&gt;[2]Setup!$B$7,R291&gt;[2]Setup!$B$8,O291&gt;[2]Setup!$B$10),"Review","OK"))</f>
        <v>Open</v>
      </c>
      <c r="X291" s="86"/>
      <c r="Z291" s="81" t="str">
        <f t="shared" si="53"/>
        <v>Sou</v>
      </c>
    </row>
    <row r="292" spans="1:26" ht="28.8" x14ac:dyDescent="0.3">
      <c r="A292" s="84">
        <v>46189</v>
      </c>
      <c r="B292" s="100">
        <f t="shared" si="54"/>
        <v>25</v>
      </c>
      <c r="C292" s="84" t="str">
        <f t="shared" si="55"/>
        <v>June</v>
      </c>
      <c r="D292" s="85" t="str">
        <f t="shared" si="50"/>
        <v>June</v>
      </c>
      <c r="E292" s="86" t="s">
        <v>220</v>
      </c>
      <c r="F292" s="86" t="s">
        <v>248</v>
      </c>
      <c r="G292" s="86" t="s">
        <v>368</v>
      </c>
      <c r="H292" s="86" t="s">
        <v>249</v>
      </c>
      <c r="I292" s="87" t="str">
        <f>IF(F292=0,"",IF(COUNTIF(F292,"Bao"),[2]Setup!$B$4,IF(COUNTIF(F292,"Soup Dumplings"),[2]Setup!$B$5,F292)))</f>
        <v>Pack Soup Dumplings</v>
      </c>
      <c r="J292" s="88">
        <f t="shared" si="51"/>
        <v>0</v>
      </c>
      <c r="K292" s="88" t="s">
        <v>393</v>
      </c>
      <c r="L292" s="87"/>
      <c r="M292" s="87"/>
      <c r="N292" s="87"/>
      <c r="O292" s="87"/>
      <c r="P292" s="89" t="str">
        <f t="shared" si="56"/>
        <v/>
      </c>
      <c r="Q292" s="89" t="str">
        <f t="shared" si="57"/>
        <v/>
      </c>
      <c r="R292" s="89" t="str">
        <f t="shared" si="58"/>
        <v/>
      </c>
      <c r="S292" s="88" t="str">
        <f>IF(F292="Bao",[2]Setup!$B$4,IF(F292="Soup Dumplings",[2]Setup!$B$5,""))</f>
        <v/>
      </c>
      <c r="T292" s="88" t="str">
        <f t="shared" si="59"/>
        <v/>
      </c>
      <c r="U292" s="84" t="e">
        <f t="shared" si="52"/>
        <v>#VALUE!</v>
      </c>
      <c r="V292" s="88" t="e">
        <f>IF(U292="",0,MAX(0,T292)+N292+ROUND(J292*[2]Setup!$B$9,0)+IF(O292&gt;[2]Setup!$B$10,ROUND(J292*[2]Setup!$B$11,0),0))</f>
        <v>#VALUE!</v>
      </c>
      <c r="W292" s="85" t="str">
        <f>IF(L292="","Open",IF(OR(P292&lt;[2]Setup!$B$6,Q292&gt;[2]Setup!$B$7,R292&gt;[2]Setup!$B$8,O292&gt;[2]Setup!$B$10),"Review","OK"))</f>
        <v>Open</v>
      </c>
      <c r="X292" s="86"/>
      <c r="Z292" s="81" t="str">
        <f t="shared" si="53"/>
        <v>Pac</v>
      </c>
    </row>
    <row r="293" spans="1:26" ht="28.8" x14ac:dyDescent="0.3">
      <c r="A293" s="84">
        <v>46189</v>
      </c>
      <c r="B293" s="100">
        <f t="shared" si="54"/>
        <v>25</v>
      </c>
      <c r="C293" s="84" t="str">
        <f t="shared" si="55"/>
        <v>June</v>
      </c>
      <c r="D293" s="85" t="str">
        <f t="shared" si="50"/>
        <v>June</v>
      </c>
      <c r="E293" s="86" t="s">
        <v>220</v>
      </c>
      <c r="F293" s="86" t="s">
        <v>248</v>
      </c>
      <c r="G293" s="86" t="s">
        <v>313</v>
      </c>
      <c r="H293" s="86" t="s">
        <v>252</v>
      </c>
      <c r="I293" s="87" t="str">
        <f>IF(F293=0,"",IF(COUNTIF(F293,"Bao"),[2]Setup!$B$4,IF(COUNTIF(F293,"Soup Dumplings"),[2]Setup!$B$5,F293)))</f>
        <v>Pack Soup Dumplings</v>
      </c>
      <c r="J293" s="88">
        <f t="shared" si="51"/>
        <v>0</v>
      </c>
      <c r="K293" s="88" t="s">
        <v>394</v>
      </c>
      <c r="L293" s="87"/>
      <c r="M293" s="87"/>
      <c r="N293" s="87"/>
      <c r="O293" s="87"/>
      <c r="P293" s="89" t="str">
        <f t="shared" si="56"/>
        <v/>
      </c>
      <c r="Q293" s="89" t="str">
        <f t="shared" si="57"/>
        <v/>
      </c>
      <c r="R293" s="89" t="str">
        <f t="shared" si="58"/>
        <v/>
      </c>
      <c r="S293" s="88" t="str">
        <f>IF(F293="Bao",[2]Setup!$B$4,IF(F293="Soup Dumplings",[2]Setup!$B$5,""))</f>
        <v/>
      </c>
      <c r="T293" s="88" t="str">
        <f t="shared" si="59"/>
        <v/>
      </c>
      <c r="U293" s="84" t="e">
        <f t="shared" si="52"/>
        <v>#VALUE!</v>
      </c>
      <c r="V293" s="88" t="e">
        <f>IF(U293="",0,MAX(0,T293)+N293+ROUND(J293*[2]Setup!$B$9,0)+IF(O293&gt;[2]Setup!$B$10,ROUND(J293*[2]Setup!$B$11,0),0))</f>
        <v>#VALUE!</v>
      </c>
      <c r="W293" s="85" t="str">
        <f>IF(L293="","Open",IF(OR(P293&lt;[2]Setup!$B$6,Q293&gt;[2]Setup!$B$7,R293&gt;[2]Setup!$B$8,O293&gt;[2]Setup!$B$10),"Review","OK"))</f>
        <v>Open</v>
      </c>
      <c r="X293" s="86"/>
      <c r="Z293" s="81" t="str">
        <f t="shared" si="53"/>
        <v>Pac</v>
      </c>
    </row>
    <row r="294" spans="1:26" ht="28.8" x14ac:dyDescent="0.3">
      <c r="A294" s="84">
        <v>46189</v>
      </c>
      <c r="B294" s="100">
        <f t="shared" si="54"/>
        <v>25</v>
      </c>
      <c r="C294" s="84" t="str">
        <f t="shared" si="55"/>
        <v>June</v>
      </c>
      <c r="D294" s="85" t="str">
        <f t="shared" si="50"/>
        <v>June</v>
      </c>
      <c r="E294" s="86" t="s">
        <v>220</v>
      </c>
      <c r="F294" s="86" t="s">
        <v>237</v>
      </c>
      <c r="G294" s="86" t="s">
        <v>242</v>
      </c>
      <c r="H294" s="86" t="s">
        <v>232</v>
      </c>
      <c r="I294" s="87" t="str">
        <f>IF(F294=0,"",IF(COUNTIF(F294,"Bao"),[2]Setup!$B$4,IF(COUNTIF(F294,"Soup Dumplings"),[2]Setup!$B$5,F294)))</f>
        <v>Soup Dumpling Prep</v>
      </c>
      <c r="J294" s="88">
        <f t="shared" si="51"/>
        <v>0</v>
      </c>
      <c r="K294" s="88" t="s">
        <v>353</v>
      </c>
      <c r="L294" s="87"/>
      <c r="M294" s="87"/>
      <c r="N294" s="87"/>
      <c r="O294" s="87"/>
      <c r="P294" s="89" t="str">
        <f t="shared" si="56"/>
        <v/>
      </c>
      <c r="Q294" s="89" t="str">
        <f t="shared" si="57"/>
        <v/>
      </c>
      <c r="R294" s="89" t="str">
        <f t="shared" si="58"/>
        <v/>
      </c>
      <c r="S294" s="88" t="str">
        <f>IF(F294="Bao",[2]Setup!$B$4,IF(F294="Soup Dumplings",[2]Setup!$B$5,""))</f>
        <v/>
      </c>
      <c r="T294" s="88" t="str">
        <f t="shared" si="59"/>
        <v/>
      </c>
      <c r="U294" s="84" t="e">
        <f t="shared" si="52"/>
        <v>#VALUE!</v>
      </c>
      <c r="V294" s="88" t="e">
        <f>IF(U294="",0,MAX(0,T294)+N294+ROUND(J294*[2]Setup!$B$9,0)+IF(O294&gt;[2]Setup!$B$10,ROUND(J294*[2]Setup!$B$11,0),0))</f>
        <v>#VALUE!</v>
      </c>
      <c r="W294" s="85" t="str">
        <f>IF(L294="","Open",IF(OR(P294&lt;[2]Setup!$B$6,Q294&gt;[2]Setup!$B$7,R294&gt;[2]Setup!$B$8,O294&gt;[2]Setup!$B$10),"Review","OK"))</f>
        <v>Open</v>
      </c>
      <c r="X294" s="86"/>
      <c r="Z294" s="81" t="str">
        <f t="shared" si="53"/>
        <v>Sou</v>
      </c>
    </row>
    <row r="295" spans="1:26" ht="28.8" x14ac:dyDescent="0.3">
      <c r="A295" s="84">
        <v>46189</v>
      </c>
      <c r="B295" s="100">
        <f t="shared" si="54"/>
        <v>25</v>
      </c>
      <c r="C295" s="84" t="str">
        <f t="shared" si="55"/>
        <v>June</v>
      </c>
      <c r="D295" s="85" t="str">
        <f t="shared" si="50"/>
        <v>June</v>
      </c>
      <c r="E295" s="86" t="s">
        <v>220</v>
      </c>
      <c r="F295" s="86" t="s">
        <v>237</v>
      </c>
      <c r="G295" s="86" t="s">
        <v>287</v>
      </c>
      <c r="H295" s="86" t="s">
        <v>227</v>
      </c>
      <c r="I295" s="87" t="str">
        <f>IF(F295=0,"",IF(COUNTIF(F295,"Bao"),[2]Setup!$B$4,IF(COUNTIF(F295,"Soup Dumplings"),[2]Setup!$B$5,F295)))</f>
        <v>Soup Dumpling Prep</v>
      </c>
      <c r="J295" s="88">
        <f t="shared" si="51"/>
        <v>0</v>
      </c>
      <c r="K295" s="88" t="s">
        <v>395</v>
      </c>
      <c r="L295" s="87"/>
      <c r="M295" s="87"/>
      <c r="N295" s="87"/>
      <c r="O295" s="87"/>
      <c r="P295" s="89" t="str">
        <f t="shared" si="56"/>
        <v/>
      </c>
      <c r="Q295" s="89" t="str">
        <f t="shared" si="57"/>
        <v/>
      </c>
      <c r="R295" s="89" t="str">
        <f t="shared" si="58"/>
        <v/>
      </c>
      <c r="S295" s="88" t="str">
        <f>IF(F295="Bao",[2]Setup!$B$4,IF(F295="Soup Dumplings",[2]Setup!$B$5,""))</f>
        <v/>
      </c>
      <c r="T295" s="88" t="str">
        <f t="shared" si="59"/>
        <v/>
      </c>
      <c r="U295" s="84" t="e">
        <f t="shared" si="52"/>
        <v>#VALUE!</v>
      </c>
      <c r="V295" s="88" t="e">
        <f>IF(U295="",0,MAX(0,T295)+N295+ROUND(J295*[2]Setup!$B$9,0)+IF(O295&gt;[2]Setup!$B$10,ROUND(J295*[2]Setup!$B$11,0),0))</f>
        <v>#VALUE!</v>
      </c>
      <c r="W295" s="85" t="str">
        <f>IF(L295="","Open",IF(OR(P295&lt;[2]Setup!$B$6,Q295&gt;[2]Setup!$B$7,R295&gt;[2]Setup!$B$8,O295&gt;[2]Setup!$B$10),"Review","OK"))</f>
        <v>Open</v>
      </c>
      <c r="X295" s="86"/>
      <c r="Z295" s="81" t="str">
        <f t="shared" si="53"/>
        <v>Sou</v>
      </c>
    </row>
    <row r="296" spans="1:26" ht="28.8" x14ac:dyDescent="0.3">
      <c r="A296" s="84">
        <v>46189</v>
      </c>
      <c r="B296" s="100">
        <f t="shared" si="54"/>
        <v>25</v>
      </c>
      <c r="C296" s="84" t="str">
        <f t="shared" si="55"/>
        <v>June</v>
      </c>
      <c r="D296" s="85" t="s">
        <v>391</v>
      </c>
      <c r="E296" s="86" t="s">
        <v>220</v>
      </c>
      <c r="F296" s="86" t="s">
        <v>237</v>
      </c>
      <c r="G296" s="86" t="s">
        <v>368</v>
      </c>
      <c r="H296" s="86" t="s">
        <v>227</v>
      </c>
      <c r="I296" s="87" t="str">
        <f>IF(F296=0,"",IF(COUNTIF(F296,"Bao"),[2]Setup!$B$4,IF(COUNTIF(F296,"Soup Dumplings"),[2]Setup!$B$5,F296)))</f>
        <v>Soup Dumpling Prep</v>
      </c>
      <c r="J296" s="88">
        <f t="shared" si="51"/>
        <v>0</v>
      </c>
      <c r="K296" s="88" t="s">
        <v>396</v>
      </c>
      <c r="L296" s="87"/>
      <c r="M296" s="87"/>
      <c r="N296" s="87"/>
      <c r="O296" s="87"/>
      <c r="P296" s="89" t="str">
        <f t="shared" si="56"/>
        <v/>
      </c>
      <c r="Q296" s="89" t="str">
        <f t="shared" si="57"/>
        <v/>
      </c>
      <c r="R296" s="89" t="str">
        <f t="shared" si="58"/>
        <v/>
      </c>
      <c r="S296" s="88" t="str">
        <f>IF(F296="Bao",[2]Setup!$B$4,IF(F296="Soup Dumplings",[2]Setup!$B$5,""))</f>
        <v/>
      </c>
      <c r="T296" s="88" t="str">
        <f t="shared" si="59"/>
        <v/>
      </c>
      <c r="U296" s="84" t="e">
        <f t="shared" si="52"/>
        <v>#VALUE!</v>
      </c>
      <c r="V296" s="88" t="e">
        <f>IF(U296="",0,MAX(0,T296)+N296+ROUND(J296*[2]Setup!$B$9,0)+IF(O296&gt;[2]Setup!$B$10,ROUND(J296*[2]Setup!$B$11,0),0))</f>
        <v>#VALUE!</v>
      </c>
      <c r="W296" s="85" t="str">
        <f>IF(L296="","Open",IF(OR(P296&lt;[2]Setup!$B$6,Q296&gt;[2]Setup!$B$7,R296&gt;[2]Setup!$B$8,O296&gt;[2]Setup!$B$10),"Review","OK"))</f>
        <v>Open</v>
      </c>
      <c r="X296" s="86"/>
      <c r="Z296" s="81" t="str">
        <f t="shared" si="53"/>
        <v>Sou</v>
      </c>
    </row>
    <row r="297" spans="1:26" ht="28.8" x14ac:dyDescent="0.3">
      <c r="A297" s="84">
        <v>46190</v>
      </c>
      <c r="B297" s="100">
        <f t="shared" si="54"/>
        <v>25</v>
      </c>
      <c r="C297" s="84" t="str">
        <f t="shared" si="55"/>
        <v>June</v>
      </c>
      <c r="D297" s="85" t="str">
        <f t="shared" ref="D297:D324" si="60">IF(C297="","",TEXT(C297,"ddd"))</f>
        <v>June</v>
      </c>
      <c r="E297" s="86" t="s">
        <v>220</v>
      </c>
      <c r="F297" s="86" t="s">
        <v>222</v>
      </c>
      <c r="G297" s="86" t="s">
        <v>246</v>
      </c>
      <c r="H297" s="86" t="s">
        <v>232</v>
      </c>
      <c r="I297" s="87" t="str">
        <f>IF(F297=0,"",IF(COUNTIF(F297,"Bao"),[2]Setup!$B$4,IF(COUNTIF(F297,"Soup Dumplings"),[2]Setup!$B$5,F297)))</f>
        <v>Bao Prep</v>
      </c>
      <c r="J297" s="88">
        <f t="shared" si="51"/>
        <v>0</v>
      </c>
      <c r="K297" s="88"/>
      <c r="L297" s="87"/>
      <c r="M297" s="87"/>
      <c r="N297" s="87"/>
      <c r="O297" s="87"/>
      <c r="P297" s="89" t="str">
        <f t="shared" si="56"/>
        <v/>
      </c>
      <c r="Q297" s="89" t="str">
        <f t="shared" si="57"/>
        <v/>
      </c>
      <c r="R297" s="89" t="str">
        <f t="shared" si="58"/>
        <v/>
      </c>
      <c r="S297" s="88" t="str">
        <f>IF(F297="Bao",[2]Setup!$B$4,IF(F297="Soup Dumplings",[2]Setup!$B$5,""))</f>
        <v/>
      </c>
      <c r="T297" s="88" t="str">
        <f t="shared" si="59"/>
        <v/>
      </c>
      <c r="U297" s="84" t="e">
        <f t="shared" si="52"/>
        <v>#VALUE!</v>
      </c>
      <c r="V297" s="88" t="e">
        <f>IF(U297="",0,MAX(0,T297)+N297+ROUND(J297*[2]Setup!$B$9,0)+IF(O297&gt;[2]Setup!$B$10,ROUND(J297*[2]Setup!$B$11,0),0))</f>
        <v>#VALUE!</v>
      </c>
      <c r="W297" s="85" t="str">
        <f>IF(L297="","Open",IF(OR(P297&lt;[2]Setup!$B$6,Q297&gt;[2]Setup!$B$7,R297&gt;[2]Setup!$B$8,O297&gt;[2]Setup!$B$10),"Review","OK"))</f>
        <v>Open</v>
      </c>
      <c r="X297" s="86"/>
      <c r="Z297" s="81" t="str">
        <f t="shared" si="53"/>
        <v>Bao</v>
      </c>
    </row>
    <row r="298" spans="1:26" ht="28.8" x14ac:dyDescent="0.3">
      <c r="A298" s="84">
        <v>46190</v>
      </c>
      <c r="B298" s="100">
        <f t="shared" si="54"/>
        <v>25</v>
      </c>
      <c r="C298" s="84" t="str">
        <f t="shared" si="55"/>
        <v>June</v>
      </c>
      <c r="D298" s="85" t="str">
        <f t="shared" si="60"/>
        <v>June</v>
      </c>
      <c r="E298" s="86" t="s">
        <v>220</v>
      </c>
      <c r="F298" s="86" t="s">
        <v>237</v>
      </c>
      <c r="G298" s="86" t="s">
        <v>238</v>
      </c>
      <c r="H298" s="86" t="s">
        <v>227</v>
      </c>
      <c r="I298" s="87" t="str">
        <f>IF(F298=0,"",IF(COUNTIF(F298,"Bao"),[2]Setup!$B$4,IF(COUNTIF(F298,"Soup Dumplings"),[2]Setup!$B$5,F298)))</f>
        <v>Soup Dumpling Prep</v>
      </c>
      <c r="J298" s="88">
        <f t="shared" si="51"/>
        <v>0</v>
      </c>
      <c r="K298" s="88" t="s">
        <v>228</v>
      </c>
      <c r="L298" s="87"/>
      <c r="M298" s="87"/>
      <c r="N298" s="87"/>
      <c r="O298" s="87"/>
      <c r="P298" s="89" t="str">
        <f t="shared" si="56"/>
        <v/>
      </c>
      <c r="Q298" s="89" t="str">
        <f t="shared" si="57"/>
        <v/>
      </c>
      <c r="R298" s="89" t="str">
        <f t="shared" si="58"/>
        <v/>
      </c>
      <c r="S298" s="88" t="str">
        <f>IF(F298="Bao",[2]Setup!$B$4,IF(F298="Soup Dumplings",[2]Setup!$B$5,""))</f>
        <v/>
      </c>
      <c r="T298" s="88" t="str">
        <f t="shared" si="59"/>
        <v/>
      </c>
      <c r="U298" s="84" t="e">
        <f t="shared" si="52"/>
        <v>#VALUE!</v>
      </c>
      <c r="V298" s="88" t="e">
        <f>IF(U298="",0,MAX(0,T298)+N298+ROUND(J298*[2]Setup!$B$9,0)+IF(O298&gt;[2]Setup!$B$10,ROUND(J298*[2]Setup!$B$11,0),0))</f>
        <v>#VALUE!</v>
      </c>
      <c r="W298" s="85" t="str">
        <f>IF(L298="","Open",IF(OR(P298&lt;[2]Setup!$B$6,Q298&gt;[2]Setup!$B$7,R298&gt;[2]Setup!$B$8,O298&gt;[2]Setup!$B$10),"Review","OK"))</f>
        <v>Open</v>
      </c>
      <c r="X298" s="86"/>
      <c r="Z298" s="81" t="str">
        <f t="shared" si="53"/>
        <v>Sou</v>
      </c>
    </row>
    <row r="299" spans="1:26" x14ac:dyDescent="0.3">
      <c r="A299" s="84">
        <v>46190</v>
      </c>
      <c r="B299" s="100">
        <f t="shared" si="54"/>
        <v>25</v>
      </c>
      <c r="C299" s="84" t="str">
        <f t="shared" si="55"/>
        <v>June</v>
      </c>
      <c r="D299" s="85" t="str">
        <f t="shared" si="60"/>
        <v>June</v>
      </c>
      <c r="E299" s="86" t="s">
        <v>220</v>
      </c>
      <c r="F299" s="86" t="s">
        <v>87</v>
      </c>
      <c r="G299" s="86" t="s">
        <v>313</v>
      </c>
      <c r="H299" s="86" t="s">
        <v>245</v>
      </c>
      <c r="I299" s="87">
        <v>45000</v>
      </c>
      <c r="J299" s="88">
        <f t="shared" si="51"/>
        <v>45000</v>
      </c>
      <c r="K299" s="88" t="s">
        <v>397</v>
      </c>
      <c r="L299" s="87"/>
      <c r="M299" s="87"/>
      <c r="N299" s="87"/>
      <c r="O299" s="87"/>
      <c r="P299" s="89">
        <f t="shared" si="56"/>
        <v>0</v>
      </c>
      <c r="Q299" s="89">
        <f t="shared" si="57"/>
        <v>1</v>
      </c>
      <c r="R299" s="89">
        <f t="shared" si="58"/>
        <v>0</v>
      </c>
      <c r="S299" s="88">
        <f>IF(F299="Bao",[2]Setup!$B$4,IF(F299="Soup Dumplings",[2]Setup!$B$5,""))</f>
        <v>90000</v>
      </c>
      <c r="T299" s="88" t="str">
        <f t="shared" si="59"/>
        <v/>
      </c>
      <c r="U299" s="84" t="e">
        <f t="shared" si="52"/>
        <v>#VALUE!</v>
      </c>
      <c r="V299" s="88" t="e">
        <f>IF(U299="",0,MAX(0,T299)+N299+ROUND(J299*[2]Setup!$B$9,0)+IF(O299&gt;[2]Setup!$B$10,ROUND(J299*[2]Setup!$B$11,0),0))</f>
        <v>#VALUE!</v>
      </c>
      <c r="W299" s="85" t="str">
        <f>IF(L299="","Open",IF(OR(P299&lt;[2]Setup!$B$6,Q299&gt;[2]Setup!$B$7,R299&gt;[2]Setup!$B$8,O299&gt;[2]Setup!$B$10),"Review","OK"))</f>
        <v>Open</v>
      </c>
      <c r="X299" s="86"/>
      <c r="Z299" s="81" t="str">
        <f t="shared" si="53"/>
        <v>Sou</v>
      </c>
    </row>
    <row r="300" spans="1:26" ht="43.2" x14ac:dyDescent="0.3">
      <c r="A300" s="84">
        <v>46190</v>
      </c>
      <c r="B300" s="100">
        <f t="shared" si="54"/>
        <v>25</v>
      </c>
      <c r="C300" s="84" t="str">
        <f t="shared" si="55"/>
        <v>June</v>
      </c>
      <c r="D300" s="85" t="str">
        <f t="shared" si="60"/>
        <v>June</v>
      </c>
      <c r="E300" s="86" t="s">
        <v>220</v>
      </c>
      <c r="F300" s="86" t="s">
        <v>87</v>
      </c>
      <c r="G300" s="86" t="s">
        <v>244</v>
      </c>
      <c r="H300" s="86" t="s">
        <v>245</v>
      </c>
      <c r="I300" s="87">
        <v>45000</v>
      </c>
      <c r="J300" s="88">
        <f t="shared" si="51"/>
        <v>45000</v>
      </c>
      <c r="K300" s="88" t="s">
        <v>398</v>
      </c>
      <c r="L300" s="87"/>
      <c r="M300" s="87"/>
      <c r="N300" s="87"/>
      <c r="O300" s="87"/>
      <c r="P300" s="89">
        <f t="shared" si="56"/>
        <v>0</v>
      </c>
      <c r="Q300" s="89">
        <f t="shared" si="57"/>
        <v>1</v>
      </c>
      <c r="R300" s="89">
        <f t="shared" si="58"/>
        <v>0</v>
      </c>
      <c r="S300" s="88">
        <f>IF(F300="Bao",[2]Setup!$B$4,IF(F300="Soup Dumplings",[2]Setup!$B$5,""))</f>
        <v>90000</v>
      </c>
      <c r="T300" s="88" t="str">
        <f t="shared" si="59"/>
        <v/>
      </c>
      <c r="U300" s="84" t="e">
        <f t="shared" si="52"/>
        <v>#VALUE!</v>
      </c>
      <c r="V300" s="88" t="e">
        <f>IF(U300="",0,MAX(0,T300)+N300+ROUND(J300*[2]Setup!$B$9,0)+IF(O300&gt;[2]Setup!$B$10,ROUND(J300*[2]Setup!$B$11,0),0))</f>
        <v>#VALUE!</v>
      </c>
      <c r="W300" s="85" t="str">
        <f>IF(L300="","Open",IF(OR(P300&lt;[2]Setup!$B$6,Q300&gt;[2]Setup!$B$7,R300&gt;[2]Setup!$B$8,O300&gt;[2]Setup!$B$10),"Review","OK"))</f>
        <v>Open</v>
      </c>
      <c r="X300" s="86"/>
      <c r="Z300" s="81" t="str">
        <f t="shared" si="53"/>
        <v>Sou</v>
      </c>
    </row>
    <row r="301" spans="1:26" ht="28.8" x14ac:dyDescent="0.3">
      <c r="A301" s="84">
        <v>46190</v>
      </c>
      <c r="B301" s="100">
        <f t="shared" si="54"/>
        <v>25</v>
      </c>
      <c r="C301" s="84" t="str">
        <f t="shared" si="55"/>
        <v>June</v>
      </c>
      <c r="D301" s="85" t="str">
        <f t="shared" si="60"/>
        <v>June</v>
      </c>
      <c r="E301" s="86" t="s">
        <v>220</v>
      </c>
      <c r="F301" s="86" t="s">
        <v>237</v>
      </c>
      <c r="G301" s="86" t="s">
        <v>240</v>
      </c>
      <c r="H301" s="86" t="s">
        <v>224</v>
      </c>
      <c r="I301" s="87" t="str">
        <f>IF(F301=0,"",IF(COUNTIF(F301,"Bao"),[2]Setup!$B$4,IF(COUNTIF(F301,"Soup Dumplings"),[2]Setup!$B$5,F301)))</f>
        <v>Soup Dumpling Prep</v>
      </c>
      <c r="J301" s="88">
        <f t="shared" si="51"/>
        <v>0</v>
      </c>
      <c r="K301" s="88"/>
      <c r="L301" s="87"/>
      <c r="M301" s="87"/>
      <c r="N301" s="87"/>
      <c r="O301" s="87"/>
      <c r="P301" s="89" t="str">
        <f t="shared" si="56"/>
        <v/>
      </c>
      <c r="Q301" s="89" t="str">
        <f t="shared" si="57"/>
        <v/>
      </c>
      <c r="R301" s="89" t="str">
        <f t="shared" si="58"/>
        <v/>
      </c>
      <c r="S301" s="88" t="str">
        <f>IF(F301="Bao",[2]Setup!$B$4,IF(F301="Soup Dumplings",[2]Setup!$B$5,""))</f>
        <v/>
      </c>
      <c r="T301" s="88" t="str">
        <f t="shared" si="59"/>
        <v/>
      </c>
      <c r="U301" s="84" t="e">
        <f t="shared" si="52"/>
        <v>#VALUE!</v>
      </c>
      <c r="V301" s="88" t="e">
        <f>IF(U301="",0,MAX(0,T301)+N301+ROUND(J301*[2]Setup!$B$9,0)+IF(O301&gt;[2]Setup!$B$10,ROUND(J301*[2]Setup!$B$11,0),0))</f>
        <v>#VALUE!</v>
      </c>
      <c r="W301" s="85" t="str">
        <f>IF(L301="","Open",IF(OR(P301&lt;[2]Setup!$B$6,Q301&gt;[2]Setup!$B$7,R301&gt;[2]Setup!$B$8,O301&gt;[2]Setup!$B$10),"Review","OK"))</f>
        <v>Open</v>
      </c>
      <c r="X301" s="86"/>
      <c r="Z301" s="81" t="str">
        <f t="shared" si="53"/>
        <v>Sou</v>
      </c>
    </row>
    <row r="302" spans="1:26" ht="28.8" x14ac:dyDescent="0.3">
      <c r="A302" s="84">
        <v>46190</v>
      </c>
      <c r="B302" s="100">
        <f t="shared" si="54"/>
        <v>25</v>
      </c>
      <c r="C302" s="84" t="str">
        <f t="shared" si="55"/>
        <v>June</v>
      </c>
      <c r="D302" s="85" t="str">
        <f t="shared" si="60"/>
        <v>June</v>
      </c>
      <c r="E302" s="86" t="s">
        <v>220</v>
      </c>
      <c r="F302" s="86" t="s">
        <v>248</v>
      </c>
      <c r="G302" s="86" t="s">
        <v>313</v>
      </c>
      <c r="H302" s="86" t="s">
        <v>249</v>
      </c>
      <c r="I302" s="87" t="str">
        <f>IF(F302=0,"",IF(COUNTIF(F302,"Bao"),[2]Setup!$B$4,IF(COUNTIF(F302,"Soup Dumplings"),[2]Setup!$B$5,F302)))</f>
        <v>Pack Soup Dumplings</v>
      </c>
      <c r="J302" s="88">
        <f t="shared" si="51"/>
        <v>0</v>
      </c>
      <c r="K302" s="88"/>
      <c r="L302" s="87"/>
      <c r="M302" s="87"/>
      <c r="N302" s="87"/>
      <c r="O302" s="87"/>
      <c r="P302" s="89" t="str">
        <f t="shared" si="56"/>
        <v/>
      </c>
      <c r="Q302" s="89" t="str">
        <f t="shared" si="57"/>
        <v/>
      </c>
      <c r="R302" s="89" t="str">
        <f t="shared" si="58"/>
        <v/>
      </c>
      <c r="S302" s="88" t="str">
        <f>IF(F302="Bao",[2]Setup!$B$4,IF(F302="Soup Dumplings",[2]Setup!$B$5,""))</f>
        <v/>
      </c>
      <c r="T302" s="88" t="str">
        <f t="shared" si="59"/>
        <v/>
      </c>
      <c r="U302" s="84" t="e">
        <f t="shared" si="52"/>
        <v>#VALUE!</v>
      </c>
      <c r="V302" s="88" t="e">
        <f>IF(U302="",0,MAX(0,T302)+N302+ROUND(J302*[2]Setup!$B$9,0)+IF(O302&gt;[2]Setup!$B$10,ROUND(J302*[2]Setup!$B$11,0),0))</f>
        <v>#VALUE!</v>
      </c>
      <c r="W302" s="85" t="str">
        <f>IF(L302="","Open",IF(OR(P302&lt;[2]Setup!$B$6,Q302&gt;[2]Setup!$B$7,R302&gt;[2]Setup!$B$8,O302&gt;[2]Setup!$B$10),"Review","OK"))</f>
        <v>Open</v>
      </c>
      <c r="X302" s="86"/>
      <c r="Z302" s="81" t="str">
        <f t="shared" si="53"/>
        <v>Pac</v>
      </c>
    </row>
    <row r="303" spans="1:26" ht="28.8" x14ac:dyDescent="0.3">
      <c r="A303" s="84">
        <v>46190</v>
      </c>
      <c r="B303" s="100">
        <f t="shared" si="54"/>
        <v>25</v>
      </c>
      <c r="C303" s="84" t="str">
        <f t="shared" si="55"/>
        <v>June</v>
      </c>
      <c r="D303" s="85" t="str">
        <f t="shared" si="60"/>
        <v>June</v>
      </c>
      <c r="E303" s="86" t="s">
        <v>220</v>
      </c>
      <c r="F303" s="86" t="s">
        <v>248</v>
      </c>
      <c r="G303" s="86" t="s">
        <v>244</v>
      </c>
      <c r="H303" s="86" t="s">
        <v>249</v>
      </c>
      <c r="I303" s="87" t="str">
        <f>IF(F303=0,"",IF(COUNTIF(F303,"Bao"),[2]Setup!$B$4,IF(COUNTIF(F303,"Soup Dumplings"),[2]Setup!$B$5,F303)))</f>
        <v>Pack Soup Dumplings</v>
      </c>
      <c r="J303" s="88">
        <f t="shared" ref="J303:J366" si="61">IF(C303="","",
   IFERROR(
      N(I303)+SUMIFS($T$4:$T$30,$S$4:$S$30,C303,$E$4:$E$30,G303),
   0)
)</f>
        <v>0</v>
      </c>
      <c r="K303" s="88"/>
      <c r="L303" s="87"/>
      <c r="M303" s="87"/>
      <c r="N303" s="87"/>
      <c r="O303" s="87"/>
      <c r="P303" s="89" t="str">
        <f t="shared" si="56"/>
        <v/>
      </c>
      <c r="Q303" s="89" t="str">
        <f t="shared" si="57"/>
        <v/>
      </c>
      <c r="R303" s="89" t="str">
        <f t="shared" si="58"/>
        <v/>
      </c>
      <c r="S303" s="88" t="str">
        <f>IF(F303="Bao",[2]Setup!$B$4,IF(F303="Soup Dumplings",[2]Setup!$B$5,""))</f>
        <v/>
      </c>
      <c r="T303" s="88" t="str">
        <f t="shared" si="59"/>
        <v/>
      </c>
      <c r="U303" s="84" t="e">
        <f t="shared" ref="U303:U366" si="62">IF(C303="","",C303+1)</f>
        <v>#VALUE!</v>
      </c>
      <c r="V303" s="88" t="e">
        <f>IF(U303="",0,MAX(0,T303)+N303+ROUND(J303*[2]Setup!$B$9,0)+IF(O303&gt;[2]Setup!$B$10,ROUND(J303*[2]Setup!$B$11,0),0))</f>
        <v>#VALUE!</v>
      </c>
      <c r="W303" s="85" t="str">
        <f>IF(L303="","Open",IF(OR(P303&lt;[2]Setup!$B$6,Q303&gt;[2]Setup!$B$7,R303&gt;[2]Setup!$B$8,O303&gt;[2]Setup!$B$10),"Review","OK"))</f>
        <v>Open</v>
      </c>
      <c r="X303" s="86"/>
      <c r="Z303" s="81" t="str">
        <f t="shared" si="53"/>
        <v>Pac</v>
      </c>
    </row>
    <row r="304" spans="1:26" x14ac:dyDescent="0.3">
      <c r="A304" s="84">
        <v>46190</v>
      </c>
      <c r="B304" s="100">
        <f t="shared" si="54"/>
        <v>25</v>
      </c>
      <c r="C304" s="84" t="str">
        <f t="shared" si="55"/>
        <v>June</v>
      </c>
      <c r="D304" s="85" t="str">
        <f t="shared" si="60"/>
        <v>June</v>
      </c>
      <c r="E304" s="86" t="s">
        <v>220</v>
      </c>
      <c r="F304" s="86" t="s">
        <v>251</v>
      </c>
      <c r="G304" s="86" t="s">
        <v>82</v>
      </c>
      <c r="H304" s="86" t="s">
        <v>252</v>
      </c>
      <c r="I304" s="87" t="str">
        <f>IF(F304=0,"",IF(COUNTIF(F304,"Bao"),[2]Setup!$B$4,IF(COUNTIF(F304,"Soup Dumplings"),[2]Setup!$B$5,F304)))</f>
        <v>Pack Bao</v>
      </c>
      <c r="J304" s="88">
        <f t="shared" si="61"/>
        <v>0</v>
      </c>
      <c r="K304" s="88"/>
      <c r="L304" s="87"/>
      <c r="M304" s="87"/>
      <c r="N304" s="87"/>
      <c r="O304" s="87"/>
      <c r="P304" s="89" t="str">
        <f t="shared" si="56"/>
        <v/>
      </c>
      <c r="Q304" s="89" t="str">
        <f t="shared" si="57"/>
        <v/>
      </c>
      <c r="R304" s="89" t="str">
        <f t="shared" si="58"/>
        <v/>
      </c>
      <c r="S304" s="88" t="str">
        <f>IF(F304="Bao",[2]Setup!$B$4,IF(F304="Soup Dumplings",[2]Setup!$B$5,""))</f>
        <v/>
      </c>
      <c r="T304" s="88" t="str">
        <f t="shared" si="59"/>
        <v/>
      </c>
      <c r="U304" s="84" t="e">
        <f t="shared" si="62"/>
        <v>#VALUE!</v>
      </c>
      <c r="V304" s="88" t="e">
        <f>IF(U304="",0,MAX(0,T304)+N304+ROUND(J304*[2]Setup!$B$9,0)+IF(O304&gt;[2]Setup!$B$10,ROUND(J304*[2]Setup!$B$11,0),0))</f>
        <v>#VALUE!</v>
      </c>
      <c r="W304" s="85" t="str">
        <f>IF(L304="","Open",IF(OR(P304&lt;[2]Setup!$B$6,Q304&gt;[2]Setup!$B$7,R304&gt;[2]Setup!$B$8,O304&gt;[2]Setup!$B$10),"Review","OK"))</f>
        <v>Open</v>
      </c>
      <c r="X304" s="86"/>
      <c r="Z304" s="81" t="str">
        <f t="shared" si="53"/>
        <v>Pac</v>
      </c>
    </row>
    <row r="305" spans="1:26" ht="28.8" x14ac:dyDescent="0.3">
      <c r="A305" s="84">
        <v>46190</v>
      </c>
      <c r="B305" s="100">
        <f t="shared" si="54"/>
        <v>25</v>
      </c>
      <c r="C305" s="84" t="str">
        <f t="shared" si="55"/>
        <v>June</v>
      </c>
      <c r="D305" s="85" t="str">
        <f t="shared" si="60"/>
        <v>June</v>
      </c>
      <c r="E305" s="86" t="s">
        <v>220</v>
      </c>
      <c r="F305" s="86" t="s">
        <v>237</v>
      </c>
      <c r="G305" s="86" t="s">
        <v>242</v>
      </c>
      <c r="H305" s="86" t="s">
        <v>232</v>
      </c>
      <c r="I305" s="87" t="str">
        <f>IF(F305=0,"",IF(COUNTIF(F305,"Bao"),[2]Setup!$B$4,IF(COUNTIF(F305,"Soup Dumplings"),[2]Setup!$B$5,F305)))</f>
        <v>Soup Dumpling Prep</v>
      </c>
      <c r="J305" s="88">
        <f t="shared" si="61"/>
        <v>0</v>
      </c>
      <c r="K305" s="88"/>
      <c r="L305" s="87"/>
      <c r="M305" s="87"/>
      <c r="N305" s="87"/>
      <c r="O305" s="87"/>
      <c r="P305" s="89" t="str">
        <f t="shared" si="56"/>
        <v/>
      </c>
      <c r="Q305" s="89" t="str">
        <f t="shared" si="57"/>
        <v/>
      </c>
      <c r="R305" s="89" t="str">
        <f t="shared" si="58"/>
        <v/>
      </c>
      <c r="S305" s="88" t="str">
        <f>IF(F305="Bao",[2]Setup!$B$4,IF(F305="Soup Dumplings",[2]Setup!$B$5,""))</f>
        <v/>
      </c>
      <c r="T305" s="88" t="str">
        <f t="shared" si="59"/>
        <v/>
      </c>
      <c r="U305" s="84" t="e">
        <f t="shared" si="62"/>
        <v>#VALUE!</v>
      </c>
      <c r="V305" s="88" t="e">
        <f>IF(U305="",0,MAX(0,T305)+N305+ROUND(J305*[2]Setup!$B$9,0)+IF(O305&gt;[2]Setup!$B$10,ROUND(J305*[2]Setup!$B$11,0),0))</f>
        <v>#VALUE!</v>
      </c>
      <c r="W305" s="85" t="str">
        <f>IF(L305="","Open",IF(OR(P305&lt;[2]Setup!$B$6,Q305&gt;[2]Setup!$B$7,R305&gt;[2]Setup!$B$8,O305&gt;[2]Setup!$B$10),"Review","OK"))</f>
        <v>Open</v>
      </c>
      <c r="X305" s="86"/>
      <c r="Z305" s="81" t="str">
        <f t="shared" si="53"/>
        <v>Sou</v>
      </c>
    </row>
    <row r="306" spans="1:26" ht="28.8" x14ac:dyDescent="0.3">
      <c r="A306" s="84">
        <v>46190</v>
      </c>
      <c r="B306" s="100">
        <f t="shared" si="54"/>
        <v>25</v>
      </c>
      <c r="C306" s="84" t="str">
        <f t="shared" si="55"/>
        <v>June</v>
      </c>
      <c r="D306" s="85" t="str">
        <f t="shared" si="60"/>
        <v>June</v>
      </c>
      <c r="E306" s="86" t="s">
        <v>220</v>
      </c>
      <c r="F306" s="86" t="s">
        <v>237</v>
      </c>
      <c r="G306" s="86" t="s">
        <v>238</v>
      </c>
      <c r="H306" s="86" t="s">
        <v>229</v>
      </c>
      <c r="I306" s="87" t="str">
        <f>IF(F306=0,"",IF(COUNTIF(F306,"Bao"),[2]Setup!$B$4,IF(COUNTIF(F306,"Soup Dumplings"),[2]Setup!$B$5,F306)))</f>
        <v>Soup Dumpling Prep</v>
      </c>
      <c r="J306" s="88">
        <f t="shared" si="61"/>
        <v>0</v>
      </c>
      <c r="K306" s="88" t="s">
        <v>399</v>
      </c>
      <c r="L306" s="87"/>
      <c r="M306" s="87"/>
      <c r="N306" s="87"/>
      <c r="O306" s="87"/>
      <c r="P306" s="89" t="str">
        <f t="shared" si="56"/>
        <v/>
      </c>
      <c r="Q306" s="89" t="str">
        <f t="shared" si="57"/>
        <v/>
      </c>
      <c r="R306" s="89" t="str">
        <f t="shared" si="58"/>
        <v/>
      </c>
      <c r="S306" s="88" t="str">
        <f>IF(F306="Bao",[2]Setup!$B$4,IF(F306="Soup Dumplings",[2]Setup!$B$5,""))</f>
        <v/>
      </c>
      <c r="T306" s="88" t="str">
        <f t="shared" si="59"/>
        <v/>
      </c>
      <c r="U306" s="84" t="e">
        <f t="shared" si="62"/>
        <v>#VALUE!</v>
      </c>
      <c r="V306" s="88" t="e">
        <f>IF(U306="",0,MAX(0,T306)+N306+ROUND(J306*[2]Setup!$B$9,0)+IF(O306&gt;[2]Setup!$B$10,ROUND(J306*[2]Setup!$B$11,0),0))</f>
        <v>#VALUE!</v>
      </c>
      <c r="W306" s="85" t="str">
        <f>IF(L306="","Open",IF(OR(P306&lt;[2]Setup!$B$6,Q306&gt;[2]Setup!$B$7,R306&gt;[2]Setup!$B$8,O306&gt;[2]Setup!$B$10),"Review","OK"))</f>
        <v>Open</v>
      </c>
      <c r="X306" s="86"/>
      <c r="Z306" s="81" t="str">
        <f t="shared" si="53"/>
        <v>Sou</v>
      </c>
    </row>
    <row r="307" spans="1:26" ht="28.8" x14ac:dyDescent="0.3">
      <c r="A307" s="84">
        <v>46190</v>
      </c>
      <c r="B307" s="100">
        <f t="shared" si="54"/>
        <v>25</v>
      </c>
      <c r="C307" s="84" t="str">
        <f t="shared" si="55"/>
        <v>June</v>
      </c>
      <c r="D307" s="85" t="str">
        <f t="shared" si="60"/>
        <v>June</v>
      </c>
      <c r="E307" s="86" t="s">
        <v>220</v>
      </c>
      <c r="F307" s="86" t="s">
        <v>237</v>
      </c>
      <c r="G307" s="86" t="s">
        <v>259</v>
      </c>
      <c r="H307" s="86" t="s">
        <v>227</v>
      </c>
      <c r="I307" s="87" t="str">
        <f>IF(F307=0,"",IF(COUNTIF(F307,"Bao"),[2]Setup!$B$4,IF(COUNTIF(F307,"Soup Dumplings"),[2]Setup!$B$5,F307)))</f>
        <v>Soup Dumpling Prep</v>
      </c>
      <c r="J307" s="88">
        <f t="shared" si="61"/>
        <v>0</v>
      </c>
      <c r="K307" s="88" t="s">
        <v>400</v>
      </c>
      <c r="L307" s="87"/>
      <c r="M307" s="87"/>
      <c r="N307" s="87"/>
      <c r="O307" s="87"/>
      <c r="P307" s="89" t="str">
        <f t="shared" si="56"/>
        <v/>
      </c>
      <c r="Q307" s="89" t="str">
        <f t="shared" si="57"/>
        <v/>
      </c>
      <c r="R307" s="89" t="str">
        <f t="shared" si="58"/>
        <v/>
      </c>
      <c r="S307" s="88" t="str">
        <f>IF(F307="Bao",[2]Setup!$B$4,IF(F307="Soup Dumplings",[2]Setup!$B$5,""))</f>
        <v/>
      </c>
      <c r="T307" s="88" t="str">
        <f t="shared" si="59"/>
        <v/>
      </c>
      <c r="U307" s="84" t="e">
        <f t="shared" si="62"/>
        <v>#VALUE!</v>
      </c>
      <c r="V307" s="88" t="e">
        <f>IF(U307="",0,MAX(0,T307)+N307+ROUND(J307*[2]Setup!$B$9,0)+IF(O307&gt;[2]Setup!$B$10,ROUND(J307*[2]Setup!$B$11,0),0))</f>
        <v>#VALUE!</v>
      </c>
      <c r="W307" s="85" t="str">
        <f>IF(L307="","Open",IF(OR(P307&lt;[2]Setup!$B$6,Q307&gt;[2]Setup!$B$7,R307&gt;[2]Setup!$B$8,O307&gt;[2]Setup!$B$10),"Review","OK"))</f>
        <v>Open</v>
      </c>
      <c r="X307" s="86"/>
      <c r="Z307" s="81" t="str">
        <f t="shared" si="53"/>
        <v>Sou</v>
      </c>
    </row>
    <row r="308" spans="1:26" x14ac:dyDescent="0.3">
      <c r="A308" s="84">
        <v>46191</v>
      </c>
      <c r="B308" s="100">
        <f t="shared" si="54"/>
        <v>25</v>
      </c>
      <c r="C308" s="84" t="str">
        <f t="shared" si="55"/>
        <v>June</v>
      </c>
      <c r="D308" s="85" t="str">
        <f t="shared" si="60"/>
        <v>June</v>
      </c>
      <c r="E308" s="86" t="s">
        <v>220</v>
      </c>
      <c r="F308" s="86" t="s">
        <v>222</v>
      </c>
      <c r="G308" s="86" t="s">
        <v>235</v>
      </c>
      <c r="H308" s="86" t="s">
        <v>227</v>
      </c>
      <c r="I308" s="87" t="str">
        <f>IF(F308=0,"",IF(COUNTIF(F308,"Bao"),[2]Setup!$B$4,IF(COUNTIF(F308,"Soup Dumplings"),[2]Setup!$B$5,F308)))</f>
        <v>Bao Prep</v>
      </c>
      <c r="J308" s="88">
        <f t="shared" si="61"/>
        <v>0</v>
      </c>
      <c r="K308" s="88" t="s">
        <v>266</v>
      </c>
      <c r="L308" s="87"/>
      <c r="M308" s="87"/>
      <c r="N308" s="87"/>
      <c r="O308" s="87"/>
      <c r="P308" s="89" t="str">
        <f t="shared" si="56"/>
        <v/>
      </c>
      <c r="Q308" s="89" t="str">
        <f t="shared" si="57"/>
        <v/>
      </c>
      <c r="R308" s="89" t="str">
        <f t="shared" si="58"/>
        <v/>
      </c>
      <c r="S308" s="88" t="str">
        <f>IF(F308="Bao",[2]Setup!$B$4,IF(F308="Soup Dumplings",[2]Setup!$B$5,""))</f>
        <v/>
      </c>
      <c r="T308" s="88" t="str">
        <f t="shared" si="59"/>
        <v/>
      </c>
      <c r="U308" s="84" t="e">
        <f t="shared" si="62"/>
        <v>#VALUE!</v>
      </c>
      <c r="V308" s="88" t="e">
        <f>IF(U308="",0,MAX(0,T308)+N308+ROUND(J308*[2]Setup!$B$9,0)+IF(O308&gt;[2]Setup!$B$10,ROUND(J308*[2]Setup!$B$11,0),0))</f>
        <v>#VALUE!</v>
      </c>
      <c r="W308" s="85" t="str">
        <f>IF(L308="","Open",IF(OR(P308&lt;[2]Setup!$B$6,Q308&gt;[2]Setup!$B$7,R308&gt;[2]Setup!$B$8,O308&gt;[2]Setup!$B$10),"Review","OK"))</f>
        <v>Open</v>
      </c>
      <c r="X308" s="86"/>
      <c r="Z308" s="81" t="str">
        <f t="shared" si="53"/>
        <v>Bao</v>
      </c>
    </row>
    <row r="309" spans="1:26" x14ac:dyDescent="0.3">
      <c r="A309" s="84">
        <v>46191</v>
      </c>
      <c r="B309" s="100">
        <f t="shared" si="54"/>
        <v>25</v>
      </c>
      <c r="C309" s="84" t="str">
        <f t="shared" si="55"/>
        <v>June</v>
      </c>
      <c r="D309" s="85" t="str">
        <f t="shared" si="60"/>
        <v>June</v>
      </c>
      <c r="E309" s="86" t="s">
        <v>220</v>
      </c>
      <c r="F309" s="86" t="s">
        <v>222</v>
      </c>
      <c r="G309" s="86" t="s">
        <v>231</v>
      </c>
      <c r="H309" s="86" t="s">
        <v>227</v>
      </c>
      <c r="I309" s="87" t="str">
        <f>IF(F309=0,"",IF(COUNTIF(F309,"Bao"),[2]Setup!$B$4,IF(COUNTIF(F309,"Soup Dumplings"),[2]Setup!$B$5,F309)))</f>
        <v>Bao Prep</v>
      </c>
      <c r="J309" s="88">
        <f t="shared" si="61"/>
        <v>0</v>
      </c>
      <c r="K309" s="88" t="s">
        <v>233</v>
      </c>
      <c r="L309" s="87"/>
      <c r="M309" s="87"/>
      <c r="N309" s="87"/>
      <c r="O309" s="87"/>
      <c r="P309" s="89" t="str">
        <f t="shared" si="56"/>
        <v/>
      </c>
      <c r="Q309" s="89" t="str">
        <f t="shared" si="57"/>
        <v/>
      </c>
      <c r="R309" s="89" t="str">
        <f t="shared" si="58"/>
        <v/>
      </c>
      <c r="S309" s="88" t="str">
        <f>IF(F309="Bao",[2]Setup!$B$4,IF(F309="Soup Dumplings",[2]Setup!$B$5,""))</f>
        <v/>
      </c>
      <c r="T309" s="88" t="str">
        <f t="shared" si="59"/>
        <v/>
      </c>
      <c r="U309" s="84" t="e">
        <f t="shared" si="62"/>
        <v>#VALUE!</v>
      </c>
      <c r="V309" s="88" t="e">
        <f>IF(U309="",0,MAX(0,T309)+N309+ROUND(J309*[2]Setup!$B$9,0)+IF(O309&gt;[2]Setup!$B$10,ROUND(J309*[2]Setup!$B$11,0),0))</f>
        <v>#VALUE!</v>
      </c>
      <c r="W309" s="85" t="str">
        <f>IF(L309="","Open",IF(OR(P309&lt;[2]Setup!$B$6,Q309&gt;[2]Setup!$B$7,R309&gt;[2]Setup!$B$8,O309&gt;[2]Setup!$B$10),"Review","OK"))</f>
        <v>Open</v>
      </c>
      <c r="X309" s="86"/>
      <c r="Z309" s="81" t="str">
        <f t="shared" si="53"/>
        <v>Bao</v>
      </c>
    </row>
    <row r="310" spans="1:26" x14ac:dyDescent="0.3">
      <c r="A310" s="84">
        <v>46191</v>
      </c>
      <c r="B310" s="100">
        <f t="shared" si="54"/>
        <v>25</v>
      </c>
      <c r="C310" s="84" t="str">
        <f t="shared" si="55"/>
        <v>June</v>
      </c>
      <c r="D310" s="85" t="str">
        <f t="shared" si="60"/>
        <v>June</v>
      </c>
      <c r="E310" s="86" t="s">
        <v>220</v>
      </c>
      <c r="F310" s="86" t="s">
        <v>222</v>
      </c>
      <c r="G310" s="86" t="s">
        <v>226</v>
      </c>
      <c r="H310" s="86" t="s">
        <v>227</v>
      </c>
      <c r="I310" s="87" t="str">
        <f>IF(F310=0,"",IF(COUNTIF(F310,"Bao"),[2]Setup!$B$4,IF(COUNTIF(F310,"Soup Dumplings"),[2]Setup!$B$5,F310)))</f>
        <v>Bao Prep</v>
      </c>
      <c r="J310" s="88">
        <f t="shared" si="61"/>
        <v>0</v>
      </c>
      <c r="K310" s="88" t="s">
        <v>293</v>
      </c>
      <c r="L310" s="87"/>
      <c r="M310" s="87"/>
      <c r="N310" s="87"/>
      <c r="O310" s="87"/>
      <c r="P310" s="89" t="str">
        <f t="shared" si="56"/>
        <v/>
      </c>
      <c r="Q310" s="89" t="str">
        <f t="shared" si="57"/>
        <v/>
      </c>
      <c r="R310" s="89" t="str">
        <f t="shared" si="58"/>
        <v/>
      </c>
      <c r="S310" s="88" t="str">
        <f>IF(F310="Bao",[2]Setup!$B$4,IF(F310="Soup Dumplings",[2]Setup!$B$5,""))</f>
        <v/>
      </c>
      <c r="T310" s="88" t="str">
        <f t="shared" si="59"/>
        <v/>
      </c>
      <c r="U310" s="84" t="e">
        <f t="shared" si="62"/>
        <v>#VALUE!</v>
      </c>
      <c r="V310" s="88" t="e">
        <f>IF(U310="",0,MAX(0,T310)+N310+ROUND(J310*[2]Setup!$B$9,0)+IF(O310&gt;[2]Setup!$B$10,ROUND(J310*[2]Setup!$B$11,0),0))</f>
        <v>#VALUE!</v>
      </c>
      <c r="W310" s="85" t="str">
        <f>IF(L310="","Open",IF(OR(P310&lt;[2]Setup!$B$6,Q310&gt;[2]Setup!$B$7,R310&gt;[2]Setup!$B$8,O310&gt;[2]Setup!$B$10),"Review","OK"))</f>
        <v>Open</v>
      </c>
      <c r="X310" s="86"/>
      <c r="Z310" s="81" t="str">
        <f t="shared" si="53"/>
        <v>Bao</v>
      </c>
    </row>
    <row r="311" spans="1:26" x14ac:dyDescent="0.3">
      <c r="A311" s="84">
        <v>46191</v>
      </c>
      <c r="B311" s="100">
        <f t="shared" si="54"/>
        <v>25</v>
      </c>
      <c r="C311" s="84" t="str">
        <f t="shared" si="55"/>
        <v>June</v>
      </c>
      <c r="D311" s="85" t="str">
        <f t="shared" si="60"/>
        <v>June</v>
      </c>
      <c r="E311" s="86" t="s">
        <v>220</v>
      </c>
      <c r="F311" s="86" t="s">
        <v>222</v>
      </c>
      <c r="G311" s="86" t="s">
        <v>257</v>
      </c>
      <c r="H311" s="86" t="s">
        <v>227</v>
      </c>
      <c r="I311" s="87" t="str">
        <f>IF(F311=0,"",IF(COUNTIF(F311,"Bao"),[2]Setup!$B$4,IF(COUNTIF(F311,"Soup Dumplings"),[2]Setup!$B$5,F311)))</f>
        <v>Bao Prep</v>
      </c>
      <c r="J311" s="88">
        <f t="shared" si="61"/>
        <v>0</v>
      </c>
      <c r="K311" s="88" t="s">
        <v>264</v>
      </c>
      <c r="L311" s="87"/>
      <c r="M311" s="87"/>
      <c r="N311" s="87"/>
      <c r="O311" s="87"/>
      <c r="P311" s="89" t="str">
        <f t="shared" si="56"/>
        <v/>
      </c>
      <c r="Q311" s="89" t="str">
        <f t="shared" si="57"/>
        <v/>
      </c>
      <c r="R311" s="89" t="str">
        <f t="shared" si="58"/>
        <v/>
      </c>
      <c r="S311" s="88" t="str">
        <f>IF(F311="Bao",[2]Setup!$B$4,IF(F311="Soup Dumplings",[2]Setup!$B$5,""))</f>
        <v/>
      </c>
      <c r="T311" s="88" t="str">
        <f t="shared" si="59"/>
        <v/>
      </c>
      <c r="U311" s="84" t="e">
        <f t="shared" si="62"/>
        <v>#VALUE!</v>
      </c>
      <c r="V311" s="88" t="e">
        <f>IF(U311="",0,MAX(0,T311)+N311+ROUND(J311*[2]Setup!$B$9,0)+IF(O311&gt;[2]Setup!$B$10,ROUND(J311*[2]Setup!$B$11,0),0))</f>
        <v>#VALUE!</v>
      </c>
      <c r="W311" s="85" t="str">
        <f>IF(L311="","Open",IF(OR(P311&lt;[2]Setup!$B$6,Q311&gt;[2]Setup!$B$7,R311&gt;[2]Setup!$B$8,O311&gt;[2]Setup!$B$10),"Review","OK"))</f>
        <v>Open</v>
      </c>
      <c r="X311" s="86"/>
      <c r="Z311" s="81" t="str">
        <f t="shared" si="53"/>
        <v>Bao</v>
      </c>
    </row>
    <row r="312" spans="1:26" x14ac:dyDescent="0.3">
      <c r="A312" s="84">
        <v>46191</v>
      </c>
      <c r="B312" s="100">
        <f t="shared" si="54"/>
        <v>25</v>
      </c>
      <c r="C312" s="84" t="str">
        <f t="shared" si="55"/>
        <v>June</v>
      </c>
      <c r="D312" s="85" t="str">
        <f t="shared" si="60"/>
        <v>June</v>
      </c>
      <c r="E312" s="86" t="s">
        <v>220</v>
      </c>
      <c r="F312" s="86" t="s">
        <v>52</v>
      </c>
      <c r="G312" s="86" t="s">
        <v>82</v>
      </c>
      <c r="H312" s="86" t="s">
        <v>221</v>
      </c>
      <c r="I312" s="87">
        <f>IF(F312=0,"",IF(COUNTIF(F312,"Bao"),[2]Setup!$B$4,IF(COUNTIF(F312,"Soup Dumplings"),[2]Setup!$B$5,F312)))</f>
        <v>40000</v>
      </c>
      <c r="J312" s="88">
        <f t="shared" si="61"/>
        <v>40000</v>
      </c>
      <c r="K312" s="88"/>
      <c r="L312" s="87"/>
      <c r="M312" s="87"/>
      <c r="N312" s="87"/>
      <c r="O312" s="87"/>
      <c r="P312" s="89">
        <f t="shared" si="56"/>
        <v>0</v>
      </c>
      <c r="Q312" s="89">
        <f t="shared" si="57"/>
        <v>1</v>
      </c>
      <c r="R312" s="89">
        <f t="shared" si="58"/>
        <v>0</v>
      </c>
      <c r="S312" s="88">
        <f>IF(F312="Bao",[2]Setup!$B$4,IF(F312="Soup Dumplings",[2]Setup!$B$5,""))</f>
        <v>40000</v>
      </c>
      <c r="T312" s="88" t="str">
        <f t="shared" si="59"/>
        <v/>
      </c>
      <c r="U312" s="84" t="e">
        <f t="shared" si="62"/>
        <v>#VALUE!</v>
      </c>
      <c r="V312" s="88" t="e">
        <f>IF(U312="",0,MAX(0,T312)+N312+ROUND(J312*[2]Setup!$B$9,0)+IF(O312&gt;[2]Setup!$B$10,ROUND(J312*[2]Setup!$B$11,0),0))</f>
        <v>#VALUE!</v>
      </c>
      <c r="W312" s="85" t="str">
        <f>IF(L312="","Open",IF(OR(P312&lt;[2]Setup!$B$6,Q312&gt;[2]Setup!$B$7,R312&gt;[2]Setup!$B$8,O312&gt;[2]Setup!$B$10),"Review","OK"))</f>
        <v>Open</v>
      </c>
      <c r="X312" s="86"/>
      <c r="Z312" s="81" t="str">
        <f t="shared" si="53"/>
        <v>Bao</v>
      </c>
    </row>
    <row r="313" spans="1:26" ht="43.2" x14ac:dyDescent="0.3">
      <c r="A313" s="84">
        <v>46191</v>
      </c>
      <c r="B313" s="100">
        <f t="shared" si="54"/>
        <v>25</v>
      </c>
      <c r="C313" s="84" t="str">
        <f t="shared" si="55"/>
        <v>June</v>
      </c>
      <c r="D313" s="85" t="str">
        <f t="shared" si="60"/>
        <v>June</v>
      </c>
      <c r="E313" s="86" t="s">
        <v>220</v>
      </c>
      <c r="F313" s="86" t="s">
        <v>222</v>
      </c>
      <c r="G313" s="86" t="s">
        <v>223</v>
      </c>
      <c r="H313" s="86" t="s">
        <v>224</v>
      </c>
      <c r="I313" s="87" t="str">
        <f>IF(F313=0,"",IF(COUNTIF(F313,"Bao"),[2]Setup!$B$4,IF(COUNTIF(F313,"Soup Dumplings"),[2]Setup!$B$5,F313)))</f>
        <v>Bao Prep</v>
      </c>
      <c r="J313" s="88">
        <f t="shared" si="61"/>
        <v>0</v>
      </c>
      <c r="K313" s="88" t="s">
        <v>401</v>
      </c>
      <c r="L313" s="87"/>
      <c r="M313" s="87"/>
      <c r="N313" s="87"/>
      <c r="O313" s="87"/>
      <c r="P313" s="89" t="str">
        <f t="shared" si="56"/>
        <v/>
      </c>
      <c r="Q313" s="89" t="str">
        <f t="shared" si="57"/>
        <v/>
      </c>
      <c r="R313" s="89" t="str">
        <f t="shared" si="58"/>
        <v/>
      </c>
      <c r="S313" s="88" t="str">
        <f>IF(F313="Bao",[2]Setup!$B$4,IF(F313="Soup Dumplings",[2]Setup!$B$5,""))</f>
        <v/>
      </c>
      <c r="T313" s="88" t="str">
        <f t="shared" si="59"/>
        <v/>
      </c>
      <c r="U313" s="84" t="e">
        <f t="shared" si="62"/>
        <v>#VALUE!</v>
      </c>
      <c r="V313" s="88" t="e">
        <f>IF(U313="",0,MAX(0,T313)+N313+ROUND(J313*[2]Setup!$B$9,0)+IF(O313&gt;[2]Setup!$B$10,ROUND(J313*[2]Setup!$B$11,0),0))</f>
        <v>#VALUE!</v>
      </c>
      <c r="W313" s="85" t="str">
        <f>IF(L313="","Open",IF(OR(P313&lt;[2]Setup!$B$6,Q313&gt;[2]Setup!$B$7,R313&gt;[2]Setup!$B$8,O313&gt;[2]Setup!$B$10),"Review","OK"))</f>
        <v>Open</v>
      </c>
      <c r="X313" s="86"/>
      <c r="Z313" s="81" t="str">
        <f t="shared" si="53"/>
        <v>Bao</v>
      </c>
    </row>
    <row r="314" spans="1:26" ht="28.8" x14ac:dyDescent="0.3">
      <c r="A314" s="84">
        <v>46191</v>
      </c>
      <c r="B314" s="100">
        <f t="shared" si="54"/>
        <v>25</v>
      </c>
      <c r="C314" s="84" t="str">
        <f t="shared" si="55"/>
        <v>June</v>
      </c>
      <c r="D314" s="85" t="str">
        <f t="shared" si="60"/>
        <v>June</v>
      </c>
      <c r="E314" s="86" t="s">
        <v>220</v>
      </c>
      <c r="F314" s="86" t="s">
        <v>237</v>
      </c>
      <c r="G314" s="86" t="s">
        <v>244</v>
      </c>
      <c r="H314" s="86" t="s">
        <v>229</v>
      </c>
      <c r="I314" s="87" t="str">
        <f>IF(F314=0,"",IF(COUNTIF(F314,"Bao"),[2]Setup!$B$4,IF(COUNTIF(F314,"Soup Dumplings"),[2]Setup!$B$5,F314)))</f>
        <v>Soup Dumpling Prep</v>
      </c>
      <c r="J314" s="88">
        <f t="shared" si="61"/>
        <v>0</v>
      </c>
      <c r="K314" s="88" t="s">
        <v>399</v>
      </c>
      <c r="L314" s="87"/>
      <c r="M314" s="87"/>
      <c r="N314" s="87"/>
      <c r="O314" s="87"/>
      <c r="P314" s="89" t="str">
        <f t="shared" si="56"/>
        <v/>
      </c>
      <c r="Q314" s="89" t="str">
        <f t="shared" si="57"/>
        <v/>
      </c>
      <c r="R314" s="89" t="str">
        <f t="shared" si="58"/>
        <v/>
      </c>
      <c r="S314" s="88" t="str">
        <f>IF(F314="Bao",[2]Setup!$B$4,IF(F314="Soup Dumplings",[2]Setup!$B$5,""))</f>
        <v/>
      </c>
      <c r="T314" s="88" t="str">
        <f t="shared" si="59"/>
        <v/>
      </c>
      <c r="U314" s="84" t="e">
        <f t="shared" si="62"/>
        <v>#VALUE!</v>
      </c>
      <c r="V314" s="88" t="e">
        <f>IF(U314="",0,MAX(0,T314)+N314+ROUND(J314*[2]Setup!$B$9,0)+IF(O314&gt;[2]Setup!$B$10,ROUND(J314*[2]Setup!$B$11,0),0))</f>
        <v>#VALUE!</v>
      </c>
      <c r="W314" s="85" t="str">
        <f>IF(L314="","Open",IF(OR(P314&lt;[2]Setup!$B$6,Q314&gt;[2]Setup!$B$7,R314&gt;[2]Setup!$B$8,O314&gt;[2]Setup!$B$10),"Review","OK"))</f>
        <v>Open</v>
      </c>
      <c r="X314" s="86"/>
      <c r="Z314" s="81" t="str">
        <f t="shared" si="53"/>
        <v>Sou</v>
      </c>
    </row>
    <row r="315" spans="1:26" ht="28.8" x14ac:dyDescent="0.3">
      <c r="A315" s="84">
        <v>46191</v>
      </c>
      <c r="B315" s="100">
        <f t="shared" si="54"/>
        <v>25</v>
      </c>
      <c r="C315" s="84" t="str">
        <f t="shared" si="55"/>
        <v>June</v>
      </c>
      <c r="D315" s="85" t="str">
        <f t="shared" si="60"/>
        <v>June</v>
      </c>
      <c r="E315" s="86" t="s">
        <v>220</v>
      </c>
      <c r="F315" s="86" t="s">
        <v>237</v>
      </c>
      <c r="G315" s="86" t="s">
        <v>259</v>
      </c>
      <c r="H315" s="86" t="s">
        <v>227</v>
      </c>
      <c r="I315" s="87" t="str">
        <f>IF(F315=0,"",IF(COUNTIF(F315,"Bao"),[2]Setup!$B$4,IF(COUNTIF(F315,"Soup Dumplings"),[2]Setup!$B$5,F315)))</f>
        <v>Soup Dumpling Prep</v>
      </c>
      <c r="J315" s="88">
        <f t="shared" si="61"/>
        <v>0</v>
      </c>
      <c r="K315" s="88" t="s">
        <v>402</v>
      </c>
      <c r="L315" s="87"/>
      <c r="M315" s="87"/>
      <c r="N315" s="87"/>
      <c r="O315" s="87"/>
      <c r="P315" s="89" t="str">
        <f t="shared" si="56"/>
        <v/>
      </c>
      <c r="Q315" s="89" t="str">
        <f t="shared" si="57"/>
        <v/>
      </c>
      <c r="R315" s="89" t="str">
        <f t="shared" si="58"/>
        <v/>
      </c>
      <c r="S315" s="88" t="str">
        <f>IF(F315="Bao",[2]Setup!$B$4,IF(F315="Soup Dumplings",[2]Setup!$B$5,""))</f>
        <v/>
      </c>
      <c r="T315" s="88" t="str">
        <f t="shared" si="59"/>
        <v/>
      </c>
      <c r="U315" s="84" t="e">
        <f t="shared" si="62"/>
        <v>#VALUE!</v>
      </c>
      <c r="V315" s="88" t="e">
        <f>IF(U315="",0,MAX(0,T315)+N315+ROUND(J315*[2]Setup!$B$9,0)+IF(O315&gt;[2]Setup!$B$10,ROUND(J315*[2]Setup!$B$11,0),0))</f>
        <v>#VALUE!</v>
      </c>
      <c r="W315" s="85" t="str">
        <f>IF(L315="","Open",IF(OR(P315&lt;[2]Setup!$B$6,Q315&gt;[2]Setup!$B$7,R315&gt;[2]Setup!$B$8,O315&gt;[2]Setup!$B$10),"Review","OK"))</f>
        <v>Open</v>
      </c>
      <c r="X315" s="86"/>
      <c r="Z315" s="81" t="str">
        <f t="shared" si="53"/>
        <v>Sou</v>
      </c>
    </row>
    <row r="316" spans="1:26" ht="28.8" x14ac:dyDescent="0.3">
      <c r="A316" s="84">
        <v>46191</v>
      </c>
      <c r="B316" s="100">
        <f t="shared" si="54"/>
        <v>25</v>
      </c>
      <c r="C316" s="84" t="str">
        <f t="shared" si="55"/>
        <v>June</v>
      </c>
      <c r="D316" s="85" t="str">
        <f t="shared" si="60"/>
        <v>June</v>
      </c>
      <c r="E316" s="86" t="s">
        <v>220</v>
      </c>
      <c r="F316" s="86" t="s">
        <v>237</v>
      </c>
      <c r="G316" s="86" t="s">
        <v>242</v>
      </c>
      <c r="H316" s="86" t="s">
        <v>232</v>
      </c>
      <c r="I316" s="87" t="str">
        <f>IF(F316=0,"",IF(COUNTIF(F316,"Bao"),[2]Setup!$B$4,IF(COUNTIF(F316,"Soup Dumplings"),[2]Setup!$B$5,F316)))</f>
        <v>Soup Dumpling Prep</v>
      </c>
      <c r="J316" s="88">
        <f t="shared" si="61"/>
        <v>0</v>
      </c>
      <c r="K316" s="88" t="s">
        <v>353</v>
      </c>
      <c r="L316" s="87"/>
      <c r="M316" s="87"/>
      <c r="N316" s="87"/>
      <c r="O316" s="87"/>
      <c r="P316" s="89" t="str">
        <f t="shared" si="56"/>
        <v/>
      </c>
      <c r="Q316" s="89" t="str">
        <f t="shared" si="57"/>
        <v/>
      </c>
      <c r="R316" s="89" t="str">
        <f t="shared" si="58"/>
        <v/>
      </c>
      <c r="S316" s="88" t="str">
        <f>IF(F316="Bao",[2]Setup!$B$4,IF(F316="Soup Dumplings",[2]Setup!$B$5,""))</f>
        <v/>
      </c>
      <c r="T316" s="88" t="str">
        <f t="shared" si="59"/>
        <v/>
      </c>
      <c r="U316" s="84" t="e">
        <f t="shared" si="62"/>
        <v>#VALUE!</v>
      </c>
      <c r="V316" s="88" t="e">
        <f>IF(U316="",0,MAX(0,T316)+N316+ROUND(J316*[2]Setup!$B$9,0)+IF(O316&gt;[2]Setup!$B$10,ROUND(J316*[2]Setup!$B$11,0),0))</f>
        <v>#VALUE!</v>
      </c>
      <c r="W316" s="85" t="str">
        <f>IF(L316="","Open",IF(OR(P316&lt;[2]Setup!$B$6,Q316&gt;[2]Setup!$B$7,R316&gt;[2]Setup!$B$8,O316&gt;[2]Setup!$B$10),"Review","OK"))</f>
        <v>Open</v>
      </c>
      <c r="X316" s="86"/>
      <c r="Z316" s="81" t="str">
        <f t="shared" si="53"/>
        <v>Sou</v>
      </c>
    </row>
    <row r="317" spans="1:26" x14ac:dyDescent="0.3">
      <c r="A317" s="84">
        <v>46191</v>
      </c>
      <c r="B317" s="100">
        <f t="shared" si="54"/>
        <v>25</v>
      </c>
      <c r="C317" s="84" t="str">
        <f t="shared" si="55"/>
        <v>June</v>
      </c>
      <c r="D317" s="85" t="str">
        <f t="shared" si="60"/>
        <v>June</v>
      </c>
      <c r="E317" s="86" t="s">
        <v>220</v>
      </c>
      <c r="F317" s="86" t="s">
        <v>87</v>
      </c>
      <c r="G317" s="86" t="s">
        <v>244</v>
      </c>
      <c r="H317" s="86" t="s">
        <v>245</v>
      </c>
      <c r="I317" s="87">
        <f>IF(F317=0,"",IF(COUNTIF(F317,"Bao"),[2]Setup!$B$4,IF(COUNTIF(F317,"Soup Dumplings"),[2]Setup!$B$5,F317)))</f>
        <v>90000</v>
      </c>
      <c r="J317" s="88">
        <f t="shared" si="61"/>
        <v>90000</v>
      </c>
      <c r="K317" s="88"/>
      <c r="L317" s="87"/>
      <c r="M317" s="87"/>
      <c r="N317" s="87"/>
      <c r="O317" s="87"/>
      <c r="P317" s="89">
        <f t="shared" si="56"/>
        <v>0</v>
      </c>
      <c r="Q317" s="89">
        <f t="shared" si="57"/>
        <v>1</v>
      </c>
      <c r="R317" s="89">
        <f t="shared" si="58"/>
        <v>0</v>
      </c>
      <c r="S317" s="88">
        <f>IF(F317="Bao",[2]Setup!$B$4,IF(F317="Soup Dumplings",[2]Setup!$B$5,""))</f>
        <v>90000</v>
      </c>
      <c r="T317" s="88" t="str">
        <f t="shared" si="59"/>
        <v/>
      </c>
      <c r="U317" s="84" t="e">
        <f t="shared" si="62"/>
        <v>#VALUE!</v>
      </c>
      <c r="V317" s="88" t="e">
        <f>IF(U317="",0,MAX(0,T317)+N317+ROUND(J317*[2]Setup!$B$9,0)+IF(O317&gt;[2]Setup!$B$10,ROUND(J317*[2]Setup!$B$11,0),0))</f>
        <v>#VALUE!</v>
      </c>
      <c r="W317" s="85" t="str">
        <f>IF(L317="","Open",IF(OR(P317&lt;[2]Setup!$B$6,Q317&gt;[2]Setup!$B$7,R317&gt;[2]Setup!$B$8,O317&gt;[2]Setup!$B$10),"Review","OK"))</f>
        <v>Open</v>
      </c>
      <c r="X317" s="86"/>
      <c r="Z317" s="81" t="str">
        <f t="shared" si="53"/>
        <v>Sou</v>
      </c>
    </row>
    <row r="318" spans="1:26" ht="28.8" x14ac:dyDescent="0.3">
      <c r="A318" s="84">
        <v>46191</v>
      </c>
      <c r="B318" s="100">
        <f t="shared" si="54"/>
        <v>25</v>
      </c>
      <c r="C318" s="84" t="str">
        <f t="shared" si="55"/>
        <v>June</v>
      </c>
      <c r="D318" s="85" t="str">
        <f t="shared" si="60"/>
        <v>June</v>
      </c>
      <c r="E318" s="86" t="s">
        <v>220</v>
      </c>
      <c r="F318" s="86" t="s">
        <v>237</v>
      </c>
      <c r="G318" s="86" t="s">
        <v>240</v>
      </c>
      <c r="H318" s="86" t="s">
        <v>224</v>
      </c>
      <c r="I318" s="87" t="str">
        <f>IF(F318=0,"",IF(COUNTIF(F318,"Bao"),[2]Setup!$B$4,IF(COUNTIF(F318,"Soup Dumplings"),[2]Setup!$B$5,F318)))</f>
        <v>Soup Dumpling Prep</v>
      </c>
      <c r="J318" s="88">
        <f t="shared" si="61"/>
        <v>0</v>
      </c>
      <c r="K318" s="88"/>
      <c r="L318" s="87"/>
      <c r="M318" s="87"/>
      <c r="N318" s="87"/>
      <c r="O318" s="87"/>
      <c r="P318" s="89" t="str">
        <f t="shared" si="56"/>
        <v/>
      </c>
      <c r="Q318" s="89" t="str">
        <f t="shared" si="57"/>
        <v/>
      </c>
      <c r="R318" s="89" t="str">
        <f t="shared" si="58"/>
        <v/>
      </c>
      <c r="S318" s="88" t="str">
        <f>IF(F318="Bao",[2]Setup!$B$4,IF(F318="Soup Dumplings",[2]Setup!$B$5,""))</f>
        <v/>
      </c>
      <c r="T318" s="88" t="str">
        <f t="shared" si="59"/>
        <v/>
      </c>
      <c r="U318" s="84" t="e">
        <f t="shared" si="62"/>
        <v>#VALUE!</v>
      </c>
      <c r="V318" s="88" t="e">
        <f>IF(U318="",0,MAX(0,T318)+N318+ROUND(J318*[2]Setup!$B$9,0)+IF(O318&gt;[2]Setup!$B$10,ROUND(J318*[2]Setup!$B$11,0),0))</f>
        <v>#VALUE!</v>
      </c>
      <c r="W318" s="85" t="str">
        <f>IF(L318="","Open",IF(OR(P318&lt;[2]Setup!$B$6,Q318&gt;[2]Setup!$B$7,R318&gt;[2]Setup!$B$8,O318&gt;[2]Setup!$B$10),"Review","OK"))</f>
        <v>Open</v>
      </c>
      <c r="X318" s="86"/>
      <c r="Z318" s="81" t="str">
        <f t="shared" si="53"/>
        <v>Sou</v>
      </c>
    </row>
    <row r="319" spans="1:26" ht="28.8" x14ac:dyDescent="0.3">
      <c r="A319" s="84">
        <v>46191</v>
      </c>
      <c r="B319" s="100">
        <f t="shared" si="54"/>
        <v>25</v>
      </c>
      <c r="C319" s="84" t="str">
        <f t="shared" si="55"/>
        <v>June</v>
      </c>
      <c r="D319" s="85" t="str">
        <f t="shared" si="60"/>
        <v>June</v>
      </c>
      <c r="E319" s="86" t="s">
        <v>220</v>
      </c>
      <c r="F319" s="86" t="s">
        <v>237</v>
      </c>
      <c r="G319" s="86" t="s">
        <v>238</v>
      </c>
      <c r="H319" s="86" t="s">
        <v>227</v>
      </c>
      <c r="I319" s="87" t="str">
        <f>IF(F319=0,"",IF(COUNTIF(F319,"Bao"),[2]Setup!$B$4,IF(COUNTIF(F319,"Soup Dumplings"),[2]Setup!$B$5,F319)))</f>
        <v>Soup Dumpling Prep</v>
      </c>
      <c r="J319" s="88">
        <f t="shared" si="61"/>
        <v>0</v>
      </c>
      <c r="K319" s="88" t="s">
        <v>293</v>
      </c>
      <c r="L319" s="87"/>
      <c r="M319" s="87"/>
      <c r="N319" s="87"/>
      <c r="O319" s="87"/>
      <c r="P319" s="89" t="str">
        <f t="shared" si="56"/>
        <v/>
      </c>
      <c r="Q319" s="89" t="str">
        <f t="shared" si="57"/>
        <v/>
      </c>
      <c r="R319" s="89" t="str">
        <f t="shared" si="58"/>
        <v/>
      </c>
      <c r="S319" s="88" t="str">
        <f>IF(F319="Bao",[2]Setup!$B$4,IF(F319="Soup Dumplings",[2]Setup!$B$5,""))</f>
        <v/>
      </c>
      <c r="T319" s="88" t="str">
        <f t="shared" si="59"/>
        <v/>
      </c>
      <c r="U319" s="84" t="e">
        <f t="shared" si="62"/>
        <v>#VALUE!</v>
      </c>
      <c r="V319" s="88" t="e">
        <f>IF(U319="",0,MAX(0,T319)+N319+ROUND(J319*[2]Setup!$B$9,0)+IF(O319&gt;[2]Setup!$B$10,ROUND(J319*[2]Setup!$B$11,0),0))</f>
        <v>#VALUE!</v>
      </c>
      <c r="W319" s="85" t="str">
        <f>IF(L319="","Open",IF(OR(P319&lt;[2]Setup!$B$6,Q319&gt;[2]Setup!$B$7,R319&gt;[2]Setup!$B$8,O319&gt;[2]Setup!$B$10),"Review","OK"))</f>
        <v>Open</v>
      </c>
      <c r="X319" s="86"/>
      <c r="Z319" s="81" t="str">
        <f t="shared" si="53"/>
        <v>Sou</v>
      </c>
    </row>
    <row r="320" spans="1:26" x14ac:dyDescent="0.3">
      <c r="A320" s="84">
        <v>46191</v>
      </c>
      <c r="B320" s="100">
        <f t="shared" si="54"/>
        <v>25</v>
      </c>
      <c r="C320" s="84" t="str">
        <f t="shared" si="55"/>
        <v>June</v>
      </c>
      <c r="D320" s="85" t="str">
        <f t="shared" si="60"/>
        <v>June</v>
      </c>
      <c r="E320" s="86" t="s">
        <v>220</v>
      </c>
      <c r="F320" s="86" t="s">
        <v>251</v>
      </c>
      <c r="G320" s="86" t="s">
        <v>82</v>
      </c>
      <c r="H320" s="86" t="s">
        <v>249</v>
      </c>
      <c r="I320" s="87" t="str">
        <f>IF(F320=0,"",IF(COUNTIF(F320,"Bao"),[2]Setup!$B$4,IF(COUNTIF(F320,"Soup Dumplings"),[2]Setup!$B$5,F320)))</f>
        <v>Pack Bao</v>
      </c>
      <c r="J320" s="88">
        <f t="shared" si="61"/>
        <v>0</v>
      </c>
      <c r="K320" s="88"/>
      <c r="L320" s="87"/>
      <c r="M320" s="87"/>
      <c r="N320" s="87"/>
      <c r="O320" s="87"/>
      <c r="P320" s="89" t="str">
        <f t="shared" si="56"/>
        <v/>
      </c>
      <c r="Q320" s="89" t="str">
        <f t="shared" si="57"/>
        <v/>
      </c>
      <c r="R320" s="89" t="str">
        <f t="shared" si="58"/>
        <v/>
      </c>
      <c r="S320" s="88" t="str">
        <f>IF(F320="Bao",[2]Setup!$B$4,IF(F320="Soup Dumplings",[2]Setup!$B$5,""))</f>
        <v/>
      </c>
      <c r="T320" s="88" t="str">
        <f t="shared" si="59"/>
        <v/>
      </c>
      <c r="U320" s="84" t="e">
        <f t="shared" si="62"/>
        <v>#VALUE!</v>
      </c>
      <c r="V320" s="88" t="e">
        <f>IF(U320="",0,MAX(0,T320)+N320+ROUND(J320*[2]Setup!$B$9,0)+IF(O320&gt;[2]Setup!$B$10,ROUND(J320*[2]Setup!$B$11,0),0))</f>
        <v>#VALUE!</v>
      </c>
      <c r="W320" s="85" t="str">
        <f>IF(L320="","Open",IF(OR(P320&lt;[2]Setup!$B$6,Q320&gt;[2]Setup!$B$7,R320&gt;[2]Setup!$B$8,O320&gt;[2]Setup!$B$10),"Review","OK"))</f>
        <v>Open</v>
      </c>
      <c r="X320" s="86"/>
      <c r="Z320" s="81" t="str">
        <f t="shared" si="53"/>
        <v>Pac</v>
      </c>
    </row>
    <row r="321" spans="1:26" ht="28.8" x14ac:dyDescent="0.3">
      <c r="A321" s="84">
        <v>46191</v>
      </c>
      <c r="B321" s="100">
        <f t="shared" si="54"/>
        <v>25</v>
      </c>
      <c r="C321" s="84" t="str">
        <f t="shared" si="55"/>
        <v>June</v>
      </c>
      <c r="D321" s="85" t="str">
        <f t="shared" si="60"/>
        <v>June</v>
      </c>
      <c r="E321" s="86" t="s">
        <v>220</v>
      </c>
      <c r="F321" s="86" t="s">
        <v>248</v>
      </c>
      <c r="G321" s="86" t="s">
        <v>244</v>
      </c>
      <c r="H321" s="86" t="s">
        <v>252</v>
      </c>
      <c r="I321" s="87" t="str">
        <f>IF(F321=0,"",IF(COUNTIF(F321,"Bao"),[2]Setup!$B$4,IF(COUNTIF(F321,"Soup Dumplings"),[2]Setup!$B$5,F321)))</f>
        <v>Pack Soup Dumplings</v>
      </c>
      <c r="J321" s="88">
        <f t="shared" si="61"/>
        <v>0</v>
      </c>
      <c r="K321" s="88"/>
      <c r="L321" s="87"/>
      <c r="M321" s="87"/>
      <c r="N321" s="87"/>
      <c r="O321" s="87"/>
      <c r="P321" s="89" t="str">
        <f t="shared" si="56"/>
        <v/>
      </c>
      <c r="Q321" s="89" t="str">
        <f t="shared" si="57"/>
        <v/>
      </c>
      <c r="R321" s="89" t="str">
        <f t="shared" si="58"/>
        <v/>
      </c>
      <c r="S321" s="88" t="str">
        <f>IF(F321="Bao",[2]Setup!$B$4,IF(F321="Soup Dumplings",[2]Setup!$B$5,""))</f>
        <v/>
      </c>
      <c r="T321" s="88" t="str">
        <f t="shared" si="59"/>
        <v/>
      </c>
      <c r="U321" s="84" t="e">
        <f t="shared" si="62"/>
        <v>#VALUE!</v>
      </c>
      <c r="V321" s="88" t="e">
        <f>IF(U321="",0,MAX(0,T321)+N321+ROUND(J321*[2]Setup!$B$9,0)+IF(O321&gt;[2]Setup!$B$10,ROUND(J321*[2]Setup!$B$11,0),0))</f>
        <v>#VALUE!</v>
      </c>
      <c r="W321" s="85" t="str">
        <f>IF(L321="","Open",IF(OR(P321&lt;[2]Setup!$B$6,Q321&gt;[2]Setup!$B$7,R321&gt;[2]Setup!$B$8,O321&gt;[2]Setup!$B$10),"Review","OK"))</f>
        <v>Open</v>
      </c>
      <c r="X321" s="86"/>
      <c r="Z321" s="81" t="str">
        <f t="shared" si="53"/>
        <v>Pac</v>
      </c>
    </row>
    <row r="322" spans="1:26" x14ac:dyDescent="0.3">
      <c r="A322" s="84">
        <v>46191</v>
      </c>
      <c r="B322" s="100">
        <f t="shared" si="54"/>
        <v>25</v>
      </c>
      <c r="C322" s="84" t="str">
        <f t="shared" si="55"/>
        <v>June</v>
      </c>
      <c r="D322" s="85" t="str">
        <f t="shared" si="60"/>
        <v>June</v>
      </c>
      <c r="E322" s="86" t="s">
        <v>220</v>
      </c>
      <c r="F322" s="86"/>
      <c r="G322" s="86"/>
      <c r="H322" s="86"/>
      <c r="I322" s="87" t="str">
        <f>IF(F322=0,"",IF(COUNTIF(F322,"Bao"),[2]Setup!$B$4,IF(COUNTIF(F322,"Soup Dumplings"),[2]Setup!$B$5,F322)))</f>
        <v/>
      </c>
      <c r="J322" s="88">
        <f t="shared" si="61"/>
        <v>0</v>
      </c>
      <c r="K322" s="88"/>
      <c r="L322" s="87"/>
      <c r="M322" s="87"/>
      <c r="N322" s="87"/>
      <c r="O322" s="87"/>
      <c r="P322" s="89" t="str">
        <f t="shared" si="56"/>
        <v/>
      </c>
      <c r="Q322" s="89" t="str">
        <f t="shared" si="57"/>
        <v/>
      </c>
      <c r="R322" s="89" t="str">
        <f t="shared" si="58"/>
        <v/>
      </c>
      <c r="S322" s="88" t="str">
        <f>IF(F322="Bao",[2]Setup!$B$4,IF(F322="Soup Dumplings",[2]Setup!$B$5,""))</f>
        <v/>
      </c>
      <c r="T322" s="88" t="str">
        <f t="shared" si="59"/>
        <v/>
      </c>
      <c r="U322" s="84" t="e">
        <f t="shared" si="62"/>
        <v>#VALUE!</v>
      </c>
      <c r="V322" s="88" t="e">
        <f>IF(U322="",0,MAX(0,T322)+N322+ROUND(J322*[2]Setup!$B$9,0)+IF(O322&gt;[2]Setup!$B$10,ROUND(J322*[2]Setup!$B$11,0),0))</f>
        <v>#VALUE!</v>
      </c>
      <c r="W322" s="85" t="str">
        <f>IF(L322="","Open",IF(OR(P322&lt;[2]Setup!$B$6,Q322&gt;[2]Setup!$B$7,R322&gt;[2]Setup!$B$8,O322&gt;[2]Setup!$B$10),"Review","OK"))</f>
        <v>Open</v>
      </c>
      <c r="X322" s="86"/>
      <c r="Z322" s="81" t="str">
        <f t="shared" si="53"/>
        <v/>
      </c>
    </row>
    <row r="323" spans="1:26" x14ac:dyDescent="0.3">
      <c r="A323" s="84">
        <v>46191</v>
      </c>
      <c r="B323" s="100">
        <f t="shared" si="54"/>
        <v>25</v>
      </c>
      <c r="C323" s="84" t="str">
        <f t="shared" si="55"/>
        <v>June</v>
      </c>
      <c r="D323" s="85" t="str">
        <f t="shared" si="60"/>
        <v>June</v>
      </c>
      <c r="E323" s="86" t="s">
        <v>220</v>
      </c>
      <c r="F323" s="86"/>
      <c r="G323" s="86"/>
      <c r="H323" s="86"/>
      <c r="I323" s="87" t="str">
        <f>IF(F323=0,"",IF(COUNTIF(F323,"Bao"),[2]Setup!$B$4,IF(COUNTIF(F323,"Soup Dumplings"),[2]Setup!$B$5,F323)))</f>
        <v/>
      </c>
      <c r="J323" s="88">
        <f t="shared" si="61"/>
        <v>0</v>
      </c>
      <c r="K323" s="88"/>
      <c r="L323" s="87"/>
      <c r="M323" s="87"/>
      <c r="N323" s="87"/>
      <c r="O323" s="87"/>
      <c r="P323" s="89" t="str">
        <f t="shared" si="56"/>
        <v/>
      </c>
      <c r="Q323" s="89" t="str">
        <f t="shared" si="57"/>
        <v/>
      </c>
      <c r="R323" s="89" t="str">
        <f t="shared" si="58"/>
        <v/>
      </c>
      <c r="S323" s="88" t="str">
        <f>IF(F323="Bao",[2]Setup!$B$4,IF(F323="Soup Dumplings",[2]Setup!$B$5,""))</f>
        <v/>
      </c>
      <c r="T323" s="88" t="str">
        <f t="shared" si="59"/>
        <v/>
      </c>
      <c r="U323" s="84" t="e">
        <f t="shared" si="62"/>
        <v>#VALUE!</v>
      </c>
      <c r="V323" s="88" t="e">
        <f>IF(U323="",0,MAX(0,T323)+N323+ROUND(J323*[2]Setup!$B$9,0)+IF(O323&gt;[2]Setup!$B$10,ROUND(J323*[2]Setup!$B$11,0),0))</f>
        <v>#VALUE!</v>
      </c>
      <c r="W323" s="85" t="str">
        <f>IF(L323="","Open",IF(OR(P323&lt;[2]Setup!$B$6,Q323&gt;[2]Setup!$B$7,R323&gt;[2]Setup!$B$8,O323&gt;[2]Setup!$B$10),"Review","OK"))</f>
        <v>Open</v>
      </c>
      <c r="X323" s="86"/>
      <c r="Z323" s="81" t="str">
        <f t="shared" si="53"/>
        <v/>
      </c>
    </row>
    <row r="324" spans="1:26" x14ac:dyDescent="0.3">
      <c r="A324" s="84">
        <v>46191</v>
      </c>
      <c r="B324" s="100">
        <f t="shared" si="54"/>
        <v>25</v>
      </c>
      <c r="C324" s="84" t="str">
        <f t="shared" si="55"/>
        <v>June</v>
      </c>
      <c r="D324" s="85" t="str">
        <f t="shared" si="60"/>
        <v>June</v>
      </c>
      <c r="E324" s="86" t="s">
        <v>220</v>
      </c>
      <c r="F324" s="86"/>
      <c r="G324" s="86"/>
      <c r="H324" s="86"/>
      <c r="I324" s="87" t="str">
        <f>IF(F324=0,"",IF(COUNTIF(F324,"Bao"),[2]Setup!$B$4,IF(COUNTIF(F324,"Soup Dumplings"),[2]Setup!$B$5,F324)))</f>
        <v/>
      </c>
      <c r="J324" s="88">
        <f t="shared" si="61"/>
        <v>0</v>
      </c>
      <c r="K324" s="88"/>
      <c r="L324" s="87"/>
      <c r="M324" s="87"/>
      <c r="N324" s="87"/>
      <c r="O324" s="87"/>
      <c r="P324" s="89" t="str">
        <f t="shared" si="56"/>
        <v/>
      </c>
      <c r="Q324" s="89" t="str">
        <f t="shared" si="57"/>
        <v/>
      </c>
      <c r="R324" s="89" t="str">
        <f t="shared" si="58"/>
        <v/>
      </c>
      <c r="S324" s="88" t="str">
        <f>IF(F324="Bao",[2]Setup!$B$4,IF(F324="Soup Dumplings",[2]Setup!$B$5,""))</f>
        <v/>
      </c>
      <c r="T324" s="88" t="str">
        <f t="shared" si="59"/>
        <v/>
      </c>
      <c r="U324" s="84" t="e">
        <f t="shared" si="62"/>
        <v>#VALUE!</v>
      </c>
      <c r="V324" s="88" t="e">
        <f>IF(U324="",0,MAX(0,T324)+N324+ROUND(J324*[2]Setup!$B$9,0)+IF(O324&gt;[2]Setup!$B$10,ROUND(J324*[2]Setup!$B$11,0),0))</f>
        <v>#VALUE!</v>
      </c>
      <c r="W324" s="85" t="str">
        <f>IF(L324="","Open",IF(OR(P324&lt;[2]Setup!$B$6,Q324&gt;[2]Setup!$B$7,R324&gt;[2]Setup!$B$8,O324&gt;[2]Setup!$B$10),"Review","OK"))</f>
        <v>Open</v>
      </c>
      <c r="X324" s="86"/>
      <c r="Z324" s="81" t="str">
        <f t="shared" si="53"/>
        <v/>
      </c>
    </row>
    <row r="325" spans="1:26" ht="28.8" x14ac:dyDescent="0.3">
      <c r="A325" s="84">
        <v>46195</v>
      </c>
      <c r="B325" s="100">
        <f t="shared" ref="B325:B388" si="63">+WEEKNUM(A325)</f>
        <v>26</v>
      </c>
      <c r="C325" s="84" t="str">
        <f t="shared" ref="C325:C388" si="64">+TEXT(A325,"mmmm")</f>
        <v>June</v>
      </c>
      <c r="D325" s="85" t="str">
        <f t="shared" ref="D325:D387" si="65">IF(A325="","",TEXT(A325,"ddd"))</f>
        <v>Mon</v>
      </c>
      <c r="E325" s="86" t="s">
        <v>220</v>
      </c>
      <c r="F325" s="86" t="s">
        <v>237</v>
      </c>
      <c r="G325" s="86" t="s">
        <v>259</v>
      </c>
      <c r="H325" s="86" t="s">
        <v>227</v>
      </c>
      <c r="I325" s="87" t="str">
        <f>IF(F325=0,"",IF(COUNTIF(F325,"Bao"),[2]Setup!$B$4,IF(COUNTIF(F325,"Soup Dumplings"),[2]Setup!$B$5,F325)))</f>
        <v>Soup Dumpling Prep</v>
      </c>
      <c r="J325" s="88">
        <f t="shared" si="61"/>
        <v>0</v>
      </c>
      <c r="K325" s="88" t="s">
        <v>403</v>
      </c>
      <c r="L325" s="87"/>
      <c r="M325" s="87"/>
      <c r="N325" s="87"/>
      <c r="O325" s="87"/>
      <c r="P325" s="89" t="str">
        <f t="shared" si="56"/>
        <v/>
      </c>
      <c r="Q325" s="89" t="str">
        <f t="shared" si="57"/>
        <v/>
      </c>
      <c r="R325" s="89" t="str">
        <f t="shared" si="58"/>
        <v/>
      </c>
      <c r="S325" s="88" t="str">
        <f>IF(F325="Bao",[2]Setup!$B$4,IF(F325="Soup Dumplings",[2]Setup!$B$5,""))</f>
        <v/>
      </c>
      <c r="T325" s="88" t="str">
        <f t="shared" si="59"/>
        <v/>
      </c>
      <c r="U325" s="84" t="e">
        <f t="shared" si="62"/>
        <v>#VALUE!</v>
      </c>
      <c r="V325" s="88" t="e">
        <f>IF(U325="",0,MAX(0,T325)+N325+ROUND(J325*[2]Setup!$B$9,0)+IF(O325&gt;[2]Setup!$B$10,ROUND(J325*[2]Setup!$B$11,0),0))</f>
        <v>#VALUE!</v>
      </c>
      <c r="W325" s="85" t="str">
        <f>IF(L325="","Open",IF(OR(P325&lt;[2]Setup!$B$6,Q325&gt;[2]Setup!$B$7,R325&gt;[2]Setup!$B$8,O325&gt;[2]Setup!$B$10),"Review","OK"))</f>
        <v>Open</v>
      </c>
      <c r="X325" s="86"/>
      <c r="Z325" s="81" t="str">
        <f t="shared" ref="Z325:Z388" si="66">+LEFT(F325,3)</f>
        <v>Sou</v>
      </c>
    </row>
    <row r="326" spans="1:26" ht="28.8" x14ac:dyDescent="0.3">
      <c r="A326" s="84">
        <v>46195</v>
      </c>
      <c r="B326" s="100">
        <f t="shared" si="63"/>
        <v>26</v>
      </c>
      <c r="C326" s="84" t="str">
        <f t="shared" si="64"/>
        <v>June</v>
      </c>
      <c r="D326" s="85" t="str">
        <f t="shared" si="65"/>
        <v>Mon</v>
      </c>
      <c r="E326" s="86" t="s">
        <v>220</v>
      </c>
      <c r="F326" s="86" t="s">
        <v>237</v>
      </c>
      <c r="G326" s="86" t="s">
        <v>242</v>
      </c>
      <c r="H326" s="86" t="s">
        <v>232</v>
      </c>
      <c r="I326" s="87" t="str">
        <f>IF(F326=0,"",IF(COUNTIF(F326,"Bao"),[2]Setup!$B$4,IF(COUNTIF(F326,"Soup Dumplings"),[2]Setup!$B$5,F326)))</f>
        <v>Soup Dumpling Prep</v>
      </c>
      <c r="J326" s="88">
        <f t="shared" si="61"/>
        <v>0</v>
      </c>
      <c r="K326" s="88"/>
      <c r="L326" s="87"/>
      <c r="M326" s="87"/>
      <c r="N326" s="87"/>
      <c r="O326" s="87"/>
      <c r="P326" s="89" t="str">
        <f t="shared" si="56"/>
        <v/>
      </c>
      <c r="Q326" s="89" t="str">
        <f t="shared" si="57"/>
        <v/>
      </c>
      <c r="R326" s="89" t="str">
        <f t="shared" si="58"/>
        <v/>
      </c>
      <c r="S326" s="88" t="str">
        <f>IF(F326="Bao",[2]Setup!$B$4,IF(F326="Soup Dumplings",[2]Setup!$B$5,""))</f>
        <v/>
      </c>
      <c r="T326" s="88" t="str">
        <f t="shared" si="59"/>
        <v/>
      </c>
      <c r="U326" s="84" t="e">
        <f t="shared" si="62"/>
        <v>#VALUE!</v>
      </c>
      <c r="V326" s="88" t="e">
        <f>IF(U326="",0,MAX(0,T326)+N326+ROUND(J326*[2]Setup!$B$9,0)+IF(O326&gt;[2]Setup!$B$10,ROUND(J326*[2]Setup!$B$11,0),0))</f>
        <v>#VALUE!</v>
      </c>
      <c r="W326" s="85" t="str">
        <f>IF(L326="","Open",IF(OR(P326&lt;[2]Setup!$B$6,Q326&gt;[2]Setup!$B$7,R326&gt;[2]Setup!$B$8,O326&gt;[2]Setup!$B$10),"Review","OK"))</f>
        <v>Open</v>
      </c>
      <c r="X326" s="86"/>
      <c r="Z326" s="81" t="str">
        <f t="shared" si="66"/>
        <v>Sou</v>
      </c>
    </row>
    <row r="327" spans="1:26" ht="28.8" x14ac:dyDescent="0.3">
      <c r="A327" s="84">
        <v>46195</v>
      </c>
      <c r="B327" s="100">
        <f t="shared" si="63"/>
        <v>26</v>
      </c>
      <c r="C327" s="84" t="str">
        <f t="shared" si="64"/>
        <v>June</v>
      </c>
      <c r="D327" s="85" t="str">
        <f t="shared" si="65"/>
        <v>Mon</v>
      </c>
      <c r="E327" s="86" t="s">
        <v>220</v>
      </c>
      <c r="F327" s="86" t="s">
        <v>237</v>
      </c>
      <c r="G327" s="86" t="s">
        <v>238</v>
      </c>
      <c r="H327" s="86" t="s">
        <v>229</v>
      </c>
      <c r="I327" s="87" t="str">
        <f>IF(F327=0,"",IF(COUNTIF(F327,"Bao"),[2]Setup!$B$4,IF(COUNTIF(F327,"Soup Dumplings"),[2]Setup!$B$5,F327)))</f>
        <v>Soup Dumpling Prep</v>
      </c>
      <c r="J327" s="88">
        <f t="shared" si="61"/>
        <v>0</v>
      </c>
      <c r="K327" s="88" t="s">
        <v>404</v>
      </c>
      <c r="L327" s="87"/>
      <c r="M327" s="87"/>
      <c r="N327" s="87"/>
      <c r="O327" s="87"/>
      <c r="P327" s="89" t="str">
        <f t="shared" si="56"/>
        <v/>
      </c>
      <c r="Q327" s="89" t="str">
        <f t="shared" si="57"/>
        <v/>
      </c>
      <c r="R327" s="89" t="str">
        <f t="shared" si="58"/>
        <v/>
      </c>
      <c r="S327" s="88" t="str">
        <f>IF(F327="Bao",[2]Setup!$B$4,IF(F327="Soup Dumplings",[2]Setup!$B$5,""))</f>
        <v/>
      </c>
      <c r="T327" s="88" t="str">
        <f t="shared" si="59"/>
        <v/>
      </c>
      <c r="U327" s="84" t="e">
        <f t="shared" si="62"/>
        <v>#VALUE!</v>
      </c>
      <c r="V327" s="88" t="e">
        <f>IF(U327="",0,MAX(0,T327)+N327+ROUND(J327*[2]Setup!$B$9,0)+IF(O327&gt;[2]Setup!$B$10,ROUND(J327*[2]Setup!$B$11,0),0))</f>
        <v>#VALUE!</v>
      </c>
      <c r="W327" s="85" t="str">
        <f>IF(L327="","Open",IF(OR(P327&lt;[2]Setup!$B$6,Q327&gt;[2]Setup!$B$7,R327&gt;[2]Setup!$B$8,O327&gt;[2]Setup!$B$10),"Review","OK"))</f>
        <v>Open</v>
      </c>
      <c r="X327" s="86"/>
      <c r="Z327" s="81" t="str">
        <f t="shared" si="66"/>
        <v>Sou</v>
      </c>
    </row>
    <row r="328" spans="1:26" x14ac:dyDescent="0.3">
      <c r="A328" s="84">
        <v>46195</v>
      </c>
      <c r="B328" s="100">
        <f t="shared" si="63"/>
        <v>26</v>
      </c>
      <c r="C328" s="84" t="str">
        <f t="shared" si="64"/>
        <v>June</v>
      </c>
      <c r="D328" s="85" t="str">
        <f t="shared" si="65"/>
        <v>Mon</v>
      </c>
      <c r="E328" s="86" t="s">
        <v>220</v>
      </c>
      <c r="F328" s="86" t="s">
        <v>87</v>
      </c>
      <c r="G328" s="86" t="s">
        <v>244</v>
      </c>
      <c r="H328" s="86" t="s">
        <v>245</v>
      </c>
      <c r="I328" s="87">
        <v>80000</v>
      </c>
      <c r="J328" s="88">
        <f t="shared" si="61"/>
        <v>80000</v>
      </c>
      <c r="K328" s="88"/>
      <c r="L328" s="87"/>
      <c r="M328" s="87"/>
      <c r="N328" s="87"/>
      <c r="O328" s="87"/>
      <c r="P328" s="89">
        <f t="shared" si="56"/>
        <v>0</v>
      </c>
      <c r="Q328" s="89">
        <f t="shared" si="57"/>
        <v>1</v>
      </c>
      <c r="R328" s="89">
        <f t="shared" si="58"/>
        <v>0</v>
      </c>
      <c r="S328" s="88">
        <f>IF(F328="Bao",[2]Setup!$B$4,IF(F328="Soup Dumplings",[2]Setup!$B$5,""))</f>
        <v>90000</v>
      </c>
      <c r="T328" s="88" t="str">
        <f t="shared" si="59"/>
        <v/>
      </c>
      <c r="U328" s="84" t="e">
        <f t="shared" si="62"/>
        <v>#VALUE!</v>
      </c>
      <c r="V328" s="88" t="e">
        <f>IF(U328="",0,MAX(0,T328)+N328+ROUND(J328*[2]Setup!$B$9,0)+IF(O328&gt;[2]Setup!$B$10,ROUND(J328*[2]Setup!$B$11,0),0))</f>
        <v>#VALUE!</v>
      </c>
      <c r="W328" s="85" t="str">
        <f>IF(L328="","Open",IF(OR(P328&lt;[2]Setup!$B$6,Q328&gt;[2]Setup!$B$7,R328&gt;[2]Setup!$B$8,O328&gt;[2]Setup!$B$10),"Review","OK"))</f>
        <v>Open</v>
      </c>
      <c r="X328" s="86"/>
      <c r="Z328" s="81" t="str">
        <f t="shared" si="66"/>
        <v>Sou</v>
      </c>
    </row>
    <row r="329" spans="1:26" ht="28.8" x14ac:dyDescent="0.3">
      <c r="A329" s="84">
        <v>46195</v>
      </c>
      <c r="B329" s="100">
        <f t="shared" si="63"/>
        <v>26</v>
      </c>
      <c r="C329" s="84" t="str">
        <f t="shared" si="64"/>
        <v>June</v>
      </c>
      <c r="D329" s="85" t="str">
        <f t="shared" si="65"/>
        <v>Mon</v>
      </c>
      <c r="E329" s="86" t="s">
        <v>220</v>
      </c>
      <c r="F329" s="86" t="s">
        <v>237</v>
      </c>
      <c r="G329" s="86" t="s">
        <v>240</v>
      </c>
      <c r="H329" s="86" t="s">
        <v>224</v>
      </c>
      <c r="I329" s="87" t="str">
        <f>IF(F329=0,"",IF(COUNTIF(F329,"Bao"),[2]Setup!$B$4,IF(COUNTIF(F329,"Soup Dumplings"),[2]Setup!$B$5,F329)))</f>
        <v>Soup Dumpling Prep</v>
      </c>
      <c r="J329" s="88">
        <f t="shared" si="61"/>
        <v>0</v>
      </c>
      <c r="K329" s="88"/>
      <c r="L329" s="87"/>
      <c r="M329" s="87"/>
      <c r="N329" s="87"/>
      <c r="O329" s="87"/>
      <c r="P329" s="89" t="str">
        <f t="shared" si="56"/>
        <v/>
      </c>
      <c r="Q329" s="89" t="str">
        <f t="shared" si="57"/>
        <v/>
      </c>
      <c r="R329" s="89" t="str">
        <f t="shared" si="58"/>
        <v/>
      </c>
      <c r="S329" s="88" t="str">
        <f>IF(F329="Bao",[2]Setup!$B$4,IF(F329="Soup Dumplings",[2]Setup!$B$5,""))</f>
        <v/>
      </c>
      <c r="T329" s="88" t="str">
        <f t="shared" si="59"/>
        <v/>
      </c>
      <c r="U329" s="84" t="e">
        <f t="shared" si="62"/>
        <v>#VALUE!</v>
      </c>
      <c r="V329" s="88" t="e">
        <f>IF(U329="",0,MAX(0,T329)+N329+ROUND(J329*[2]Setup!$B$9,0)+IF(O329&gt;[2]Setup!$B$10,ROUND(J329*[2]Setup!$B$11,0),0))</f>
        <v>#VALUE!</v>
      </c>
      <c r="W329" s="85" t="str">
        <f>IF(L329="","Open",IF(OR(P329&lt;[2]Setup!$B$6,Q329&gt;[2]Setup!$B$7,R329&gt;[2]Setup!$B$8,O329&gt;[2]Setup!$B$10),"Review","OK"))</f>
        <v>Open</v>
      </c>
      <c r="X329" s="86"/>
      <c r="Z329" s="81" t="str">
        <f t="shared" si="66"/>
        <v>Sou</v>
      </c>
    </row>
    <row r="330" spans="1:26" ht="43.2" x14ac:dyDescent="0.3">
      <c r="A330" s="84">
        <v>46195</v>
      </c>
      <c r="B330" s="100">
        <f t="shared" si="63"/>
        <v>26</v>
      </c>
      <c r="C330" s="84" t="str">
        <f t="shared" si="64"/>
        <v>June</v>
      </c>
      <c r="D330" s="85" t="str">
        <f t="shared" si="65"/>
        <v>Mon</v>
      </c>
      <c r="E330" s="86" t="s">
        <v>220</v>
      </c>
      <c r="F330" s="86" t="s">
        <v>248</v>
      </c>
      <c r="G330" s="86" t="s">
        <v>244</v>
      </c>
      <c r="H330" s="86" t="s">
        <v>252</v>
      </c>
      <c r="I330" s="87" t="str">
        <f>IF(F330=0,"",IF(COUNTIF(F330,"Bao"),[2]Setup!$B$4,IF(COUNTIF(F330,"Soup Dumplings"),[2]Setup!$B$5,F330)))</f>
        <v>Pack Soup Dumplings</v>
      </c>
      <c r="J330" s="88">
        <f t="shared" si="61"/>
        <v>0</v>
      </c>
      <c r="K330" s="88" t="s">
        <v>405</v>
      </c>
      <c r="L330" s="87"/>
      <c r="M330" s="87"/>
      <c r="N330" s="87"/>
      <c r="O330" s="87"/>
      <c r="P330" s="89" t="str">
        <f t="shared" si="56"/>
        <v/>
      </c>
      <c r="Q330" s="89" t="str">
        <f t="shared" si="57"/>
        <v/>
      </c>
      <c r="R330" s="89" t="str">
        <f t="shared" si="58"/>
        <v/>
      </c>
      <c r="S330" s="88" t="str">
        <f>IF(F330="Bao",[2]Setup!$B$4,IF(F330="Soup Dumplings",[2]Setup!$B$5,""))</f>
        <v/>
      </c>
      <c r="T330" s="88" t="str">
        <f t="shared" si="59"/>
        <v/>
      </c>
      <c r="U330" s="84" t="e">
        <f t="shared" si="62"/>
        <v>#VALUE!</v>
      </c>
      <c r="V330" s="88" t="e">
        <f>IF(U330="",0,MAX(0,T330)+N330+ROUND(J330*[2]Setup!$B$9,0)+IF(O330&gt;[2]Setup!$B$10,ROUND(J330*[2]Setup!$B$11,0),0))</f>
        <v>#VALUE!</v>
      </c>
      <c r="W330" s="85" t="str">
        <f>IF(L330="","Open",IF(OR(P330&lt;[2]Setup!$B$6,Q330&gt;[2]Setup!$B$7,R330&gt;[2]Setup!$B$8,O330&gt;[2]Setup!$B$10),"Review","OK"))</f>
        <v>Open</v>
      </c>
      <c r="X330" s="86"/>
      <c r="Z330" s="81" t="str">
        <f t="shared" si="66"/>
        <v>Pac</v>
      </c>
    </row>
    <row r="331" spans="1:26" x14ac:dyDescent="0.3">
      <c r="A331" s="84">
        <v>46195</v>
      </c>
      <c r="B331" s="100">
        <f t="shared" si="63"/>
        <v>26</v>
      </c>
      <c r="C331" s="84" t="str">
        <f t="shared" si="64"/>
        <v>June</v>
      </c>
      <c r="D331" s="85" t="str">
        <f t="shared" si="65"/>
        <v>Mon</v>
      </c>
      <c r="E331" s="86" t="s">
        <v>220</v>
      </c>
      <c r="F331" s="86" t="s">
        <v>222</v>
      </c>
      <c r="G331" s="86" t="s">
        <v>231</v>
      </c>
      <c r="H331" s="86" t="s">
        <v>232</v>
      </c>
      <c r="I331" s="87" t="str">
        <f>IF(F331=0,"",IF(COUNTIF(F331,"Bao"),[2]Setup!$B$4,IF(COUNTIF(F331,"Soup Dumplings"),[2]Setup!$B$5,F331)))</f>
        <v>Bao Prep</v>
      </c>
      <c r="J331" s="88">
        <f t="shared" si="61"/>
        <v>0</v>
      </c>
      <c r="K331" s="88" t="s">
        <v>406</v>
      </c>
      <c r="L331" s="87"/>
      <c r="M331" s="87"/>
      <c r="N331" s="87"/>
      <c r="O331" s="87"/>
      <c r="P331" s="89" t="str">
        <f t="shared" si="56"/>
        <v/>
      </c>
      <c r="Q331" s="89" t="str">
        <f t="shared" si="57"/>
        <v/>
      </c>
      <c r="R331" s="89" t="str">
        <f t="shared" si="58"/>
        <v/>
      </c>
      <c r="S331" s="88" t="str">
        <f>IF(F331="Bao",[2]Setup!$B$4,IF(F331="Soup Dumplings",[2]Setup!$B$5,""))</f>
        <v/>
      </c>
      <c r="T331" s="88" t="str">
        <f t="shared" si="59"/>
        <v/>
      </c>
      <c r="U331" s="84" t="e">
        <f t="shared" si="62"/>
        <v>#VALUE!</v>
      </c>
      <c r="V331" s="88" t="e">
        <f>IF(U331="",0,MAX(0,T331)+N331+ROUND(J331*[2]Setup!$B$9,0)+IF(O331&gt;[2]Setup!$B$10,ROUND(J331*[2]Setup!$B$11,0),0))</f>
        <v>#VALUE!</v>
      </c>
      <c r="W331" s="85" t="str">
        <f>IF(L331="","Open",IF(OR(P331&lt;[2]Setup!$B$6,Q331&gt;[2]Setup!$B$7,R331&gt;[2]Setup!$B$8,O331&gt;[2]Setup!$B$10),"Review","OK"))</f>
        <v>Open</v>
      </c>
      <c r="X331" s="86"/>
      <c r="Z331" s="81" t="str">
        <f t="shared" si="66"/>
        <v>Bao</v>
      </c>
    </row>
    <row r="332" spans="1:26" x14ac:dyDescent="0.3">
      <c r="A332" s="84">
        <v>46195</v>
      </c>
      <c r="B332" s="100">
        <f t="shared" si="63"/>
        <v>26</v>
      </c>
      <c r="C332" s="84" t="str">
        <f t="shared" si="64"/>
        <v>June</v>
      </c>
      <c r="D332" s="85" t="str">
        <f t="shared" si="65"/>
        <v>Mon</v>
      </c>
      <c r="E332" s="86" t="s">
        <v>220</v>
      </c>
      <c r="F332" s="86" t="s">
        <v>222</v>
      </c>
      <c r="G332" s="86" t="s">
        <v>276</v>
      </c>
      <c r="H332" s="86" t="s">
        <v>229</v>
      </c>
      <c r="I332" s="87" t="str">
        <f>IF(F332=0,"",IF(COUNTIF(F332,"Bao"),[2]Setup!$B$4,IF(COUNTIF(F332,"Soup Dumplings"),[2]Setup!$B$5,F332)))</f>
        <v>Bao Prep</v>
      </c>
      <c r="J332" s="88">
        <f t="shared" si="61"/>
        <v>0</v>
      </c>
      <c r="K332" s="88" t="s">
        <v>407</v>
      </c>
      <c r="L332" s="87"/>
      <c r="M332" s="87"/>
      <c r="N332" s="87"/>
      <c r="O332" s="87"/>
      <c r="P332" s="89" t="str">
        <f t="shared" si="56"/>
        <v/>
      </c>
      <c r="Q332" s="89" t="str">
        <f t="shared" si="57"/>
        <v/>
      </c>
      <c r="R332" s="89" t="str">
        <f t="shared" si="58"/>
        <v/>
      </c>
      <c r="S332" s="88" t="str">
        <f>IF(F332="Bao",[2]Setup!$B$4,IF(F332="Soup Dumplings",[2]Setup!$B$5,""))</f>
        <v/>
      </c>
      <c r="T332" s="88" t="str">
        <f t="shared" si="59"/>
        <v/>
      </c>
      <c r="U332" s="84" t="e">
        <f t="shared" si="62"/>
        <v>#VALUE!</v>
      </c>
      <c r="V332" s="88" t="e">
        <f>IF(U332="",0,MAX(0,T332)+N332+ROUND(J332*[2]Setup!$B$9,0)+IF(O332&gt;[2]Setup!$B$10,ROUND(J332*[2]Setup!$B$11,0),0))</f>
        <v>#VALUE!</v>
      </c>
      <c r="W332" s="85" t="str">
        <f>IF(L332="","Open",IF(OR(P332&lt;[2]Setup!$B$6,Q332&gt;[2]Setup!$B$7,R332&gt;[2]Setup!$B$8,O332&gt;[2]Setup!$B$10),"Review","OK"))</f>
        <v>Open</v>
      </c>
      <c r="X332" s="86"/>
      <c r="Z332" s="81" t="str">
        <f t="shared" si="66"/>
        <v>Bao</v>
      </c>
    </row>
    <row r="333" spans="1:26" x14ac:dyDescent="0.3">
      <c r="A333" s="84">
        <v>46195</v>
      </c>
      <c r="B333" s="100">
        <f t="shared" si="63"/>
        <v>26</v>
      </c>
      <c r="C333" s="84" t="str">
        <f t="shared" si="64"/>
        <v>June</v>
      </c>
      <c r="D333" s="85" t="str">
        <f t="shared" si="65"/>
        <v>Mon</v>
      </c>
      <c r="E333" s="86" t="s">
        <v>220</v>
      </c>
      <c r="F333" s="86" t="s">
        <v>52</v>
      </c>
      <c r="G333" s="86" t="s">
        <v>82</v>
      </c>
      <c r="H333" s="86" t="s">
        <v>221</v>
      </c>
      <c r="I333" s="87">
        <v>8000</v>
      </c>
      <c r="J333" s="88">
        <f t="shared" si="61"/>
        <v>8000</v>
      </c>
      <c r="K333" s="88"/>
      <c r="L333" s="87"/>
      <c r="M333" s="87"/>
      <c r="N333" s="87"/>
      <c r="O333" s="87"/>
      <c r="P333" s="89">
        <f t="shared" si="56"/>
        <v>0</v>
      </c>
      <c r="Q333" s="89">
        <f t="shared" si="57"/>
        <v>1</v>
      </c>
      <c r="R333" s="89">
        <f t="shared" si="58"/>
        <v>0</v>
      </c>
      <c r="S333" s="88">
        <f>IF(F333="Bao",[2]Setup!$B$4,IF(F333="Soup Dumplings",[2]Setup!$B$5,""))</f>
        <v>40000</v>
      </c>
      <c r="T333" s="88" t="str">
        <f t="shared" si="59"/>
        <v/>
      </c>
      <c r="U333" s="84" t="e">
        <f t="shared" si="62"/>
        <v>#VALUE!</v>
      </c>
      <c r="V333" s="88" t="e">
        <f>IF(U333="",0,MAX(0,T333)+N333+ROUND(J333*[2]Setup!$B$9,0)+IF(O333&gt;[2]Setup!$B$10,ROUND(J333*[2]Setup!$B$11,0),0))</f>
        <v>#VALUE!</v>
      </c>
      <c r="W333" s="85" t="str">
        <f>IF(L333="","Open",IF(OR(P333&lt;[2]Setup!$B$6,Q333&gt;[2]Setup!$B$7,R333&gt;[2]Setup!$B$8,O333&gt;[2]Setup!$B$10),"Review","OK"))</f>
        <v>Open</v>
      </c>
      <c r="X333" s="86"/>
      <c r="Z333" s="81" t="str">
        <f t="shared" si="66"/>
        <v>Bao</v>
      </c>
    </row>
    <row r="334" spans="1:26" x14ac:dyDescent="0.3">
      <c r="A334" s="84">
        <v>46195</v>
      </c>
      <c r="B334" s="100">
        <f t="shared" si="63"/>
        <v>26</v>
      </c>
      <c r="C334" s="84" t="str">
        <f t="shared" si="64"/>
        <v>June</v>
      </c>
      <c r="D334" s="85" t="str">
        <f t="shared" si="65"/>
        <v>Mon</v>
      </c>
      <c r="E334" s="86" t="s">
        <v>220</v>
      </c>
      <c r="F334" s="86" t="s">
        <v>222</v>
      </c>
      <c r="G334" s="86" t="s">
        <v>223</v>
      </c>
      <c r="H334" s="86" t="s">
        <v>224</v>
      </c>
      <c r="I334" s="87" t="str">
        <f>IF(F334=0,"",IF(COUNTIF(F334,"Bao"),[2]Setup!$B$4,IF(COUNTIF(F334,"Soup Dumplings"),[2]Setup!$B$5,F334)))</f>
        <v>Bao Prep</v>
      </c>
      <c r="J334" s="88">
        <f t="shared" si="61"/>
        <v>0</v>
      </c>
      <c r="K334" s="88"/>
      <c r="L334" s="87"/>
      <c r="M334" s="87"/>
      <c r="N334" s="87"/>
      <c r="O334" s="87"/>
      <c r="P334" s="89" t="str">
        <f t="shared" si="56"/>
        <v/>
      </c>
      <c r="Q334" s="89" t="str">
        <f t="shared" si="57"/>
        <v/>
      </c>
      <c r="R334" s="89" t="str">
        <f t="shared" si="58"/>
        <v/>
      </c>
      <c r="S334" s="88" t="str">
        <f>IF(F334="Bao",[2]Setup!$B$4,IF(F334="Soup Dumplings",[2]Setup!$B$5,""))</f>
        <v/>
      </c>
      <c r="T334" s="88" t="str">
        <f t="shared" si="59"/>
        <v/>
      </c>
      <c r="U334" s="84" t="e">
        <f t="shared" si="62"/>
        <v>#VALUE!</v>
      </c>
      <c r="V334" s="88" t="e">
        <f>IF(U334="",0,MAX(0,T334)+N334+ROUND(J334*[2]Setup!$B$9,0)+IF(O334&gt;[2]Setup!$B$10,ROUND(J334*[2]Setup!$B$11,0),0))</f>
        <v>#VALUE!</v>
      </c>
      <c r="W334" s="85" t="str">
        <f>IF(L334="","Open",IF(OR(P334&lt;[2]Setup!$B$6,Q334&gt;[2]Setup!$B$7,R334&gt;[2]Setup!$B$8,O334&gt;[2]Setup!$B$10),"Review","OK"))</f>
        <v>Open</v>
      </c>
      <c r="X334" s="86"/>
      <c r="Z334" s="81" t="str">
        <f t="shared" si="66"/>
        <v>Bao</v>
      </c>
    </row>
    <row r="335" spans="1:26" ht="28.8" x14ac:dyDescent="0.3">
      <c r="A335" s="84">
        <v>46195</v>
      </c>
      <c r="B335" s="100">
        <f t="shared" si="63"/>
        <v>26</v>
      </c>
      <c r="C335" s="84" t="str">
        <f t="shared" si="64"/>
        <v>June</v>
      </c>
      <c r="D335" s="85" t="str">
        <f t="shared" si="65"/>
        <v>Mon</v>
      </c>
      <c r="E335" s="86" t="s">
        <v>220</v>
      </c>
      <c r="F335" s="86" t="s">
        <v>251</v>
      </c>
      <c r="G335" s="86" t="s">
        <v>82</v>
      </c>
      <c r="H335" s="86" t="s">
        <v>249</v>
      </c>
      <c r="I335" s="87" t="str">
        <f>IF(F335=0,"",IF(COUNTIF(F335,"Bao"),[2]Setup!$B$4,IF(COUNTIF(F335,"Soup Dumplings"),[2]Setup!$B$5,F335)))</f>
        <v>Pack Bao</v>
      </c>
      <c r="J335" s="88">
        <f t="shared" si="61"/>
        <v>0</v>
      </c>
      <c r="K335" s="88" t="s">
        <v>408</v>
      </c>
      <c r="L335" s="87"/>
      <c r="M335" s="87"/>
      <c r="N335" s="87"/>
      <c r="O335" s="87"/>
      <c r="P335" s="89" t="str">
        <f t="shared" si="56"/>
        <v/>
      </c>
      <c r="Q335" s="89" t="str">
        <f t="shared" si="57"/>
        <v/>
      </c>
      <c r="R335" s="89" t="str">
        <f t="shared" si="58"/>
        <v/>
      </c>
      <c r="S335" s="88" t="str">
        <f>IF(F335="Bao",[2]Setup!$B$4,IF(F335="Soup Dumplings",[2]Setup!$B$5,""))</f>
        <v/>
      </c>
      <c r="T335" s="88" t="str">
        <f t="shared" si="59"/>
        <v/>
      </c>
      <c r="U335" s="84" t="e">
        <f t="shared" si="62"/>
        <v>#VALUE!</v>
      </c>
      <c r="V335" s="88" t="e">
        <f>IF(U335="",0,MAX(0,T335)+N335+ROUND(J335*[2]Setup!$B$9,0)+IF(O335&gt;[2]Setup!$B$10,ROUND(J335*[2]Setup!$B$11,0),0))</f>
        <v>#VALUE!</v>
      </c>
      <c r="W335" s="85" t="str">
        <f>IF(L335="","Open",IF(OR(P335&lt;[2]Setup!$B$6,Q335&gt;[2]Setup!$B$7,R335&gt;[2]Setup!$B$8,O335&gt;[2]Setup!$B$10),"Review","OK"))</f>
        <v>Open</v>
      </c>
      <c r="X335" s="86"/>
      <c r="Z335" s="81" t="str">
        <f t="shared" si="66"/>
        <v>Pac</v>
      </c>
    </row>
    <row r="336" spans="1:26" x14ac:dyDescent="0.3">
      <c r="A336" s="84">
        <v>46195</v>
      </c>
      <c r="B336" s="100">
        <f t="shared" si="63"/>
        <v>26</v>
      </c>
      <c r="C336" s="84" t="str">
        <f t="shared" si="64"/>
        <v>June</v>
      </c>
      <c r="D336" s="85" t="str">
        <f t="shared" si="65"/>
        <v>Mon</v>
      </c>
      <c r="E336" s="86" t="s">
        <v>220</v>
      </c>
      <c r="F336" s="86" t="s">
        <v>222</v>
      </c>
      <c r="G336" s="86" t="s">
        <v>235</v>
      </c>
      <c r="H336" s="86" t="s">
        <v>227</v>
      </c>
      <c r="I336" s="87" t="str">
        <f>IF(F336=0,"",IF(COUNTIF(F336,"Bao"),[2]Setup!$B$4,IF(COUNTIF(F336,"Soup Dumplings"),[2]Setup!$B$5,F336)))</f>
        <v>Bao Prep</v>
      </c>
      <c r="J336" s="88">
        <f t="shared" si="61"/>
        <v>0</v>
      </c>
      <c r="K336" s="88" t="s">
        <v>266</v>
      </c>
      <c r="L336" s="87"/>
      <c r="M336" s="87"/>
      <c r="N336" s="87"/>
      <c r="O336" s="87"/>
      <c r="P336" s="89" t="str">
        <f t="shared" si="56"/>
        <v/>
      </c>
      <c r="Q336" s="89" t="str">
        <f t="shared" si="57"/>
        <v/>
      </c>
      <c r="R336" s="89" t="str">
        <f t="shared" si="58"/>
        <v/>
      </c>
      <c r="S336" s="88" t="str">
        <f>IF(F336="Bao",[2]Setup!$B$4,IF(F336="Soup Dumplings",[2]Setup!$B$5,""))</f>
        <v/>
      </c>
      <c r="T336" s="88" t="str">
        <f t="shared" si="59"/>
        <v/>
      </c>
      <c r="U336" s="84" t="e">
        <f t="shared" si="62"/>
        <v>#VALUE!</v>
      </c>
      <c r="V336" s="88" t="e">
        <f>IF(U336="",0,MAX(0,T336)+N336+ROUND(J336*[2]Setup!$B$9,0)+IF(O336&gt;[2]Setup!$B$10,ROUND(J336*[2]Setup!$B$11,0),0))</f>
        <v>#VALUE!</v>
      </c>
      <c r="W336" s="85" t="str">
        <f>IF(L336="","Open",IF(OR(P336&lt;[2]Setup!$B$6,Q336&gt;[2]Setup!$B$7,R336&gt;[2]Setup!$B$8,O336&gt;[2]Setup!$B$10),"Review","OK"))</f>
        <v>Open</v>
      </c>
      <c r="X336" s="86"/>
      <c r="Z336" s="81" t="str">
        <f t="shared" si="66"/>
        <v>Bao</v>
      </c>
    </row>
    <row r="337" spans="1:26" x14ac:dyDescent="0.3">
      <c r="A337" s="84">
        <v>46195</v>
      </c>
      <c r="B337" s="100">
        <f t="shared" si="63"/>
        <v>26</v>
      </c>
      <c r="C337" s="84" t="str">
        <f t="shared" si="64"/>
        <v>June</v>
      </c>
      <c r="D337" s="85" t="str">
        <f t="shared" si="65"/>
        <v>Mon</v>
      </c>
      <c r="E337" s="86" t="s">
        <v>220</v>
      </c>
      <c r="F337" s="86" t="s">
        <v>222</v>
      </c>
      <c r="G337" s="86" t="s">
        <v>226</v>
      </c>
      <c r="H337" s="86" t="s">
        <v>227</v>
      </c>
      <c r="I337" s="87" t="str">
        <f>IF(F337=0,"",IF(COUNTIF(F337,"Bao"),[2]Setup!$B$4,IF(COUNTIF(F337,"Soup Dumplings"),[2]Setup!$B$5,F337)))</f>
        <v>Bao Prep</v>
      </c>
      <c r="J337" s="88"/>
      <c r="K337" s="88" t="s">
        <v>409</v>
      </c>
      <c r="L337" s="87"/>
      <c r="M337" s="87"/>
      <c r="N337" s="87"/>
      <c r="O337" s="87"/>
      <c r="P337" s="89"/>
      <c r="Q337" s="89"/>
      <c r="R337" s="89"/>
      <c r="S337" s="88"/>
      <c r="T337" s="88"/>
      <c r="U337" s="84" t="e">
        <f t="shared" si="62"/>
        <v>#VALUE!</v>
      </c>
      <c r="V337" s="88"/>
      <c r="W337" s="85"/>
      <c r="X337" s="86"/>
      <c r="Z337" s="81" t="str">
        <f t="shared" si="66"/>
        <v>Bao</v>
      </c>
    </row>
    <row r="338" spans="1:26" ht="28.8" x14ac:dyDescent="0.3">
      <c r="A338" s="84">
        <v>46195</v>
      </c>
      <c r="B338" s="100">
        <f t="shared" si="63"/>
        <v>26</v>
      </c>
      <c r="C338" s="84" t="str">
        <f t="shared" si="64"/>
        <v>June</v>
      </c>
      <c r="D338" s="85" t="str">
        <f t="shared" si="65"/>
        <v>Mon</v>
      </c>
      <c r="E338" s="86" t="s">
        <v>220</v>
      </c>
      <c r="F338" s="86" t="s">
        <v>237</v>
      </c>
      <c r="G338" s="86" t="s">
        <v>238</v>
      </c>
      <c r="H338" s="86" t="s">
        <v>227</v>
      </c>
      <c r="I338" s="87" t="str">
        <f>IF(F338=0,"",IF(COUNTIF(F338,"Bao"),[2]Setup!$B$4,IF(COUNTIF(F338,"Soup Dumplings"),[2]Setup!$B$5,F338)))</f>
        <v>Soup Dumpling Prep</v>
      </c>
      <c r="J338" s="88">
        <f t="shared" si="61"/>
        <v>0</v>
      </c>
      <c r="K338" s="88" t="s">
        <v>293</v>
      </c>
      <c r="L338" s="87"/>
      <c r="M338" s="87"/>
      <c r="N338" s="87"/>
      <c r="O338" s="87"/>
      <c r="P338" s="89" t="str">
        <f t="shared" si="56"/>
        <v/>
      </c>
      <c r="Q338" s="89" t="str">
        <f t="shared" si="57"/>
        <v/>
      </c>
      <c r="R338" s="89" t="str">
        <f t="shared" si="58"/>
        <v/>
      </c>
      <c r="S338" s="88" t="str">
        <f>IF(F338="Bao",[2]Setup!$B$4,IF(F338="Soup Dumplings",[2]Setup!$B$5,""))</f>
        <v/>
      </c>
      <c r="T338" s="88" t="str">
        <f t="shared" si="59"/>
        <v/>
      </c>
      <c r="U338" s="84" t="e">
        <f t="shared" si="62"/>
        <v>#VALUE!</v>
      </c>
      <c r="V338" s="88" t="e">
        <f>IF(U338="",0,MAX(0,T338)+N338+ROUND(J338*[2]Setup!$B$9,0)+IF(O338&gt;[2]Setup!$B$10,ROUND(J338*[2]Setup!$B$11,0),0))</f>
        <v>#VALUE!</v>
      </c>
      <c r="W338" s="85" t="str">
        <f>IF(L338="","Open",IF(OR(P338&lt;[2]Setup!$B$6,Q338&gt;[2]Setup!$B$7,R338&gt;[2]Setup!$B$8,O338&gt;[2]Setup!$B$10),"Review","OK"))</f>
        <v>Open</v>
      </c>
      <c r="X338" s="86"/>
      <c r="Z338" s="81" t="str">
        <f t="shared" si="66"/>
        <v>Sou</v>
      </c>
    </row>
    <row r="339" spans="1:26" ht="28.8" x14ac:dyDescent="0.3">
      <c r="A339" s="84">
        <v>46196</v>
      </c>
      <c r="B339" s="100">
        <f t="shared" si="63"/>
        <v>26</v>
      </c>
      <c r="C339" s="84" t="str">
        <f t="shared" si="64"/>
        <v>June</v>
      </c>
      <c r="D339" s="85" t="str">
        <f t="shared" si="65"/>
        <v>Tue</v>
      </c>
      <c r="E339" s="86" t="s">
        <v>220</v>
      </c>
      <c r="F339" s="86" t="s">
        <v>237</v>
      </c>
      <c r="G339" s="86" t="s">
        <v>259</v>
      </c>
      <c r="H339" s="86" t="s">
        <v>227</v>
      </c>
      <c r="I339" s="87" t="str">
        <f>IF(F339=0,"",IF(COUNTIF(F339,"Bao"),[2]Setup!$B$4,IF(COUNTIF(F339,"Soup Dumplings"),[2]Setup!$B$5,F339)))</f>
        <v>Soup Dumpling Prep</v>
      </c>
      <c r="J339" s="88">
        <f t="shared" si="61"/>
        <v>0</v>
      </c>
      <c r="K339" s="88" t="s">
        <v>403</v>
      </c>
      <c r="L339" s="87"/>
      <c r="M339" s="87"/>
      <c r="N339" s="87"/>
      <c r="O339" s="87"/>
      <c r="P339" s="89" t="str">
        <f t="shared" ref="P339:P377" si="67">IF(J339="","",IF(J339&gt;0,(L339+M339)/J339,""))</f>
        <v/>
      </c>
      <c r="Q339" s="89" t="str">
        <f t="shared" ref="Q339:Q377" si="68">IF(J339="","",IF(J339&gt;0,MAX(0,(J339-(L339+M339))/J339),""))</f>
        <v/>
      </c>
      <c r="R339" s="89" t="str">
        <f t="shared" ref="R339:R377" si="69">IF(J339="","",IF(J339&gt;0,MAX(0,(L339+M339-J339)/J339),""))</f>
        <v/>
      </c>
      <c r="S339" s="88" t="str">
        <f>IF(F339="Bao",[2]Setup!$B$4,IF(F339="Soup Dumplings",[2]Setup!$B$5,""))</f>
        <v/>
      </c>
      <c r="T339" s="88" t="str">
        <f t="shared" ref="T339:T377" si="70">IF(L339="","",S339-L339)</f>
        <v/>
      </c>
      <c r="U339" s="84" t="e">
        <f t="shared" si="62"/>
        <v>#VALUE!</v>
      </c>
      <c r="V339" s="88" t="e">
        <f>IF(U339="",0,MAX(0,T339)+N339+ROUND(J339*[2]Setup!$B$9,0)+IF(O339&gt;[2]Setup!$B$10,ROUND(J339*[2]Setup!$B$11,0),0))</f>
        <v>#VALUE!</v>
      </c>
      <c r="W339" s="85" t="str">
        <f>IF(L339="","Open",IF(OR(P339&lt;[2]Setup!$B$6,Q339&gt;[2]Setup!$B$7,R339&gt;[2]Setup!$B$8,O339&gt;[2]Setup!$B$10),"Review","OK"))</f>
        <v>Open</v>
      </c>
      <c r="X339" s="86"/>
      <c r="Z339" s="81" t="str">
        <f t="shared" si="66"/>
        <v>Sou</v>
      </c>
    </row>
    <row r="340" spans="1:26" ht="28.8" x14ac:dyDescent="0.3">
      <c r="A340" s="84">
        <v>46196</v>
      </c>
      <c r="B340" s="100">
        <f t="shared" si="63"/>
        <v>26</v>
      </c>
      <c r="C340" s="84" t="str">
        <f t="shared" si="64"/>
        <v>June</v>
      </c>
      <c r="D340" s="85" t="str">
        <f t="shared" si="65"/>
        <v>Tue</v>
      </c>
      <c r="E340" s="86" t="s">
        <v>220</v>
      </c>
      <c r="F340" s="86" t="s">
        <v>237</v>
      </c>
      <c r="G340" s="86" t="s">
        <v>242</v>
      </c>
      <c r="H340" s="86" t="s">
        <v>232</v>
      </c>
      <c r="I340" s="87" t="str">
        <f>IF(F340=0,"",IF(COUNTIF(F340,"Bao"),[2]Setup!$B$4,IF(COUNTIF(F340,"Soup Dumplings"),[2]Setup!$B$5,F340)))</f>
        <v>Soup Dumpling Prep</v>
      </c>
      <c r="J340" s="88">
        <f t="shared" si="61"/>
        <v>0</v>
      </c>
      <c r="K340" s="88"/>
      <c r="L340" s="87"/>
      <c r="M340" s="87"/>
      <c r="N340" s="87"/>
      <c r="O340" s="87"/>
      <c r="P340" s="89" t="str">
        <f t="shared" si="67"/>
        <v/>
      </c>
      <c r="Q340" s="89" t="str">
        <f t="shared" si="68"/>
        <v/>
      </c>
      <c r="R340" s="89" t="str">
        <f t="shared" si="69"/>
        <v/>
      </c>
      <c r="S340" s="88" t="str">
        <f>IF(F340="Bao",[2]Setup!$B$4,IF(F340="Soup Dumplings",[2]Setup!$B$5,""))</f>
        <v/>
      </c>
      <c r="T340" s="88" t="str">
        <f t="shared" si="70"/>
        <v/>
      </c>
      <c r="U340" s="84" t="e">
        <f t="shared" si="62"/>
        <v>#VALUE!</v>
      </c>
      <c r="V340" s="88" t="e">
        <f>IF(U340="",0,MAX(0,T340)+N340+ROUND(J340*[2]Setup!$B$9,0)+IF(O340&gt;[2]Setup!$B$10,ROUND(J340*[2]Setup!$B$11,0),0))</f>
        <v>#VALUE!</v>
      </c>
      <c r="W340" s="85" t="str">
        <f>IF(L340="","Open",IF(OR(P340&lt;[2]Setup!$B$6,Q340&gt;[2]Setup!$B$7,R340&gt;[2]Setup!$B$8,O340&gt;[2]Setup!$B$10),"Review","OK"))</f>
        <v>Open</v>
      </c>
      <c r="X340" s="86"/>
      <c r="Z340" s="81" t="str">
        <f t="shared" si="66"/>
        <v>Sou</v>
      </c>
    </row>
    <row r="341" spans="1:26" ht="28.8" x14ac:dyDescent="0.3">
      <c r="A341" s="84">
        <v>46196</v>
      </c>
      <c r="B341" s="100">
        <f t="shared" si="63"/>
        <v>26</v>
      </c>
      <c r="C341" s="84" t="str">
        <f t="shared" si="64"/>
        <v>June</v>
      </c>
      <c r="D341" s="85" t="str">
        <f t="shared" si="65"/>
        <v>Tue</v>
      </c>
      <c r="E341" s="86" t="s">
        <v>220</v>
      </c>
      <c r="F341" s="86" t="s">
        <v>237</v>
      </c>
      <c r="G341" s="86" t="s">
        <v>238</v>
      </c>
      <c r="H341" s="86" t="s">
        <v>229</v>
      </c>
      <c r="I341" s="87" t="str">
        <f>IF(F341=0,"",IF(COUNTIF(F341,"Bao"),[2]Setup!$B$4,IF(COUNTIF(F341,"Soup Dumplings"),[2]Setup!$B$5,F341)))</f>
        <v>Soup Dumpling Prep</v>
      </c>
      <c r="J341" s="88">
        <f t="shared" si="61"/>
        <v>0</v>
      </c>
      <c r="K341" s="88" t="s">
        <v>404</v>
      </c>
      <c r="L341" s="87"/>
      <c r="M341" s="87"/>
      <c r="N341" s="87"/>
      <c r="O341" s="87"/>
      <c r="P341" s="89" t="str">
        <f t="shared" si="67"/>
        <v/>
      </c>
      <c r="Q341" s="89" t="str">
        <f t="shared" si="68"/>
        <v/>
      </c>
      <c r="R341" s="89" t="str">
        <f t="shared" si="69"/>
        <v/>
      </c>
      <c r="S341" s="88" t="str">
        <f>IF(F341="Bao",[2]Setup!$B$4,IF(F341="Soup Dumplings",[2]Setup!$B$5,""))</f>
        <v/>
      </c>
      <c r="T341" s="88" t="str">
        <f t="shared" si="70"/>
        <v/>
      </c>
      <c r="U341" s="84" t="e">
        <f t="shared" si="62"/>
        <v>#VALUE!</v>
      </c>
      <c r="V341" s="88" t="e">
        <f>IF(U341="",0,MAX(0,T341)+N341+ROUND(J341*[2]Setup!$B$9,0)+IF(O341&gt;[2]Setup!$B$10,ROUND(J341*[2]Setup!$B$11,0),0))</f>
        <v>#VALUE!</v>
      </c>
      <c r="W341" s="85" t="str">
        <f>IF(L341="","Open",IF(OR(P341&lt;[2]Setup!$B$6,Q341&gt;[2]Setup!$B$7,R341&gt;[2]Setup!$B$8,O341&gt;[2]Setup!$B$10),"Review","OK"))</f>
        <v>Open</v>
      </c>
      <c r="X341" s="86"/>
      <c r="Z341" s="81" t="str">
        <f t="shared" si="66"/>
        <v>Sou</v>
      </c>
    </row>
    <row r="342" spans="1:26" x14ac:dyDescent="0.3">
      <c r="A342" s="84">
        <v>46196</v>
      </c>
      <c r="B342" s="100">
        <f t="shared" si="63"/>
        <v>26</v>
      </c>
      <c r="C342" s="84" t="str">
        <f t="shared" si="64"/>
        <v>June</v>
      </c>
      <c r="D342" s="85" t="str">
        <f t="shared" si="65"/>
        <v>Tue</v>
      </c>
      <c r="E342" s="86" t="s">
        <v>220</v>
      </c>
      <c r="F342" s="86" t="s">
        <v>87</v>
      </c>
      <c r="G342" s="86" t="s">
        <v>244</v>
      </c>
      <c r="H342" s="86" t="s">
        <v>245</v>
      </c>
      <c r="I342" s="87">
        <v>80000</v>
      </c>
      <c r="J342" s="88">
        <f t="shared" si="61"/>
        <v>80000</v>
      </c>
      <c r="K342" s="88"/>
      <c r="L342" s="87"/>
      <c r="M342" s="87"/>
      <c r="N342" s="87"/>
      <c r="O342" s="87"/>
      <c r="P342" s="89">
        <f t="shared" si="67"/>
        <v>0</v>
      </c>
      <c r="Q342" s="89">
        <f t="shared" si="68"/>
        <v>1</v>
      </c>
      <c r="R342" s="89">
        <f t="shared" si="69"/>
        <v>0</v>
      </c>
      <c r="S342" s="88">
        <f>IF(F342="Bao",[2]Setup!$B$4,IF(F342="Soup Dumplings",[2]Setup!$B$5,""))</f>
        <v>90000</v>
      </c>
      <c r="T342" s="88" t="str">
        <f t="shared" si="70"/>
        <v/>
      </c>
      <c r="U342" s="84" t="e">
        <f t="shared" si="62"/>
        <v>#VALUE!</v>
      </c>
      <c r="V342" s="88" t="e">
        <f>IF(U342="",0,MAX(0,T342)+N342+ROUND(J342*[2]Setup!$B$9,0)+IF(O342&gt;[2]Setup!$B$10,ROUND(J342*[2]Setup!$B$11,0),0))</f>
        <v>#VALUE!</v>
      </c>
      <c r="W342" s="85" t="str">
        <f>IF(L342="","Open",IF(OR(P342&lt;[2]Setup!$B$6,Q342&gt;[2]Setup!$B$7,R342&gt;[2]Setup!$B$8,O342&gt;[2]Setup!$B$10),"Review","OK"))</f>
        <v>Open</v>
      </c>
      <c r="X342" s="86"/>
      <c r="Z342" s="81" t="str">
        <f t="shared" si="66"/>
        <v>Sou</v>
      </c>
    </row>
    <row r="343" spans="1:26" ht="28.8" x14ac:dyDescent="0.3">
      <c r="A343" s="84">
        <v>46196</v>
      </c>
      <c r="B343" s="100">
        <f t="shared" si="63"/>
        <v>26</v>
      </c>
      <c r="C343" s="84" t="str">
        <f t="shared" si="64"/>
        <v>June</v>
      </c>
      <c r="D343" s="85" t="str">
        <f t="shared" si="65"/>
        <v>Tue</v>
      </c>
      <c r="E343" s="86" t="s">
        <v>220</v>
      </c>
      <c r="F343" s="86" t="s">
        <v>237</v>
      </c>
      <c r="G343" s="86" t="s">
        <v>240</v>
      </c>
      <c r="H343" s="86" t="s">
        <v>224</v>
      </c>
      <c r="I343" s="87" t="str">
        <f>IF(F343=0,"",IF(COUNTIF(F343,"Bao"),[2]Setup!$B$4,IF(COUNTIF(F343,"Soup Dumplings"),[2]Setup!$B$5,F343)))</f>
        <v>Soup Dumpling Prep</v>
      </c>
      <c r="J343" s="88">
        <f t="shared" si="61"/>
        <v>0</v>
      </c>
      <c r="K343" s="88"/>
      <c r="L343" s="87"/>
      <c r="M343" s="87"/>
      <c r="N343" s="87"/>
      <c r="O343" s="87"/>
      <c r="P343" s="89" t="str">
        <f t="shared" si="67"/>
        <v/>
      </c>
      <c r="Q343" s="89" t="str">
        <f t="shared" si="68"/>
        <v/>
      </c>
      <c r="R343" s="89" t="str">
        <f t="shared" si="69"/>
        <v/>
      </c>
      <c r="S343" s="88" t="str">
        <f>IF(F343="Bao",[2]Setup!$B$4,IF(F343="Soup Dumplings",[2]Setup!$B$5,""))</f>
        <v/>
      </c>
      <c r="T343" s="88" t="str">
        <f t="shared" si="70"/>
        <v/>
      </c>
      <c r="U343" s="84" t="e">
        <f t="shared" si="62"/>
        <v>#VALUE!</v>
      </c>
      <c r="V343" s="88" t="e">
        <f>IF(U343="",0,MAX(0,T343)+N343+ROUND(J343*[2]Setup!$B$9,0)+IF(O343&gt;[2]Setup!$B$10,ROUND(J343*[2]Setup!$B$11,0),0))</f>
        <v>#VALUE!</v>
      </c>
      <c r="W343" s="85" t="str">
        <f>IF(L343="","Open",IF(OR(P343&lt;[2]Setup!$B$6,Q343&gt;[2]Setup!$B$7,R343&gt;[2]Setup!$B$8,O343&gt;[2]Setup!$B$10),"Review","OK"))</f>
        <v>Open</v>
      </c>
      <c r="X343" s="86"/>
      <c r="Z343" s="81" t="str">
        <f t="shared" si="66"/>
        <v>Sou</v>
      </c>
    </row>
    <row r="344" spans="1:26" ht="43.2" x14ac:dyDescent="0.3">
      <c r="A344" s="84">
        <v>46196</v>
      </c>
      <c r="B344" s="100">
        <f t="shared" si="63"/>
        <v>26</v>
      </c>
      <c r="C344" s="84" t="str">
        <f t="shared" si="64"/>
        <v>June</v>
      </c>
      <c r="D344" s="85" t="str">
        <f t="shared" si="65"/>
        <v>Tue</v>
      </c>
      <c r="E344" s="86" t="s">
        <v>220</v>
      </c>
      <c r="F344" s="86" t="s">
        <v>248</v>
      </c>
      <c r="G344" s="86" t="s">
        <v>244</v>
      </c>
      <c r="H344" s="86" t="s">
        <v>252</v>
      </c>
      <c r="I344" s="87" t="str">
        <f>IF(F344=0,"",IF(COUNTIF(F344,"Bao"),[2]Setup!$B$4,IF(COUNTIF(F344,"Soup Dumplings"),[2]Setup!$B$5,F344)))</f>
        <v>Pack Soup Dumplings</v>
      </c>
      <c r="J344" s="88">
        <f t="shared" si="61"/>
        <v>0</v>
      </c>
      <c r="K344" s="88" t="s">
        <v>405</v>
      </c>
      <c r="L344" s="87"/>
      <c r="M344" s="87"/>
      <c r="N344" s="87"/>
      <c r="O344" s="87"/>
      <c r="P344" s="89" t="str">
        <f t="shared" si="67"/>
        <v/>
      </c>
      <c r="Q344" s="89" t="str">
        <f t="shared" si="68"/>
        <v/>
      </c>
      <c r="R344" s="89" t="str">
        <f t="shared" si="69"/>
        <v/>
      </c>
      <c r="S344" s="88" t="str">
        <f>IF(F344="Bao",[2]Setup!$B$4,IF(F344="Soup Dumplings",[2]Setup!$B$5,""))</f>
        <v/>
      </c>
      <c r="T344" s="88" t="str">
        <f t="shared" si="70"/>
        <v/>
      </c>
      <c r="U344" s="84" t="e">
        <f t="shared" si="62"/>
        <v>#VALUE!</v>
      </c>
      <c r="V344" s="88" t="e">
        <f>IF(U344="",0,MAX(0,T344)+N344+ROUND(J344*[2]Setup!$B$9,0)+IF(O344&gt;[2]Setup!$B$10,ROUND(J344*[2]Setup!$B$11,0),0))</f>
        <v>#VALUE!</v>
      </c>
      <c r="W344" s="85" t="str">
        <f>IF(L344="","Open",IF(OR(P344&lt;[2]Setup!$B$6,Q344&gt;[2]Setup!$B$7,R344&gt;[2]Setup!$B$8,O344&gt;[2]Setup!$B$10),"Review","OK"))</f>
        <v>Open</v>
      </c>
      <c r="X344" s="86"/>
      <c r="Z344" s="81" t="str">
        <f t="shared" si="66"/>
        <v>Pac</v>
      </c>
    </row>
    <row r="345" spans="1:26" ht="28.8" x14ac:dyDescent="0.3">
      <c r="A345" s="84">
        <v>46196</v>
      </c>
      <c r="B345" s="100">
        <f t="shared" si="63"/>
        <v>26</v>
      </c>
      <c r="C345" s="84" t="str">
        <f t="shared" si="64"/>
        <v>June</v>
      </c>
      <c r="D345" s="85" t="str">
        <f t="shared" si="65"/>
        <v>Tue</v>
      </c>
      <c r="E345" s="86" t="s">
        <v>220</v>
      </c>
      <c r="F345" s="86" t="s">
        <v>222</v>
      </c>
      <c r="G345" s="86" t="s">
        <v>246</v>
      </c>
      <c r="H345" s="86" t="s">
        <v>232</v>
      </c>
      <c r="I345" s="87" t="str">
        <f>IF(F345=0,"",IF(COUNTIF(F345,"Bao"),[2]Setup!$B$4,IF(COUNTIF(F345,"Soup Dumplings"),[2]Setup!$B$5,F345)))</f>
        <v>Bao Prep</v>
      </c>
      <c r="J345" s="88">
        <f t="shared" si="61"/>
        <v>0</v>
      </c>
      <c r="K345" s="88" t="s">
        <v>410</v>
      </c>
      <c r="L345" s="87"/>
      <c r="M345" s="87"/>
      <c r="N345" s="87"/>
      <c r="O345" s="87"/>
      <c r="P345" s="89" t="str">
        <f t="shared" si="67"/>
        <v/>
      </c>
      <c r="Q345" s="89" t="str">
        <f t="shared" si="68"/>
        <v/>
      </c>
      <c r="R345" s="89" t="str">
        <f t="shared" si="69"/>
        <v/>
      </c>
      <c r="S345" s="88" t="str">
        <f>IF(F345="Bao",[2]Setup!$B$4,IF(F345="Soup Dumplings",[2]Setup!$B$5,""))</f>
        <v/>
      </c>
      <c r="T345" s="88" t="str">
        <f t="shared" si="70"/>
        <v/>
      </c>
      <c r="U345" s="84" t="e">
        <f t="shared" si="62"/>
        <v>#VALUE!</v>
      </c>
      <c r="V345" s="88" t="e">
        <f>IF(U345="",0,MAX(0,T345)+N345+ROUND(J345*[2]Setup!$B$9,0)+IF(O345&gt;[2]Setup!$B$10,ROUND(J345*[2]Setup!$B$11,0),0))</f>
        <v>#VALUE!</v>
      </c>
      <c r="W345" s="85" t="str">
        <f>IF(L345="","Open",IF(OR(P345&lt;[2]Setup!$B$6,Q345&gt;[2]Setup!$B$7,R345&gt;[2]Setup!$B$8,O345&gt;[2]Setup!$B$10),"Review","OK"))</f>
        <v>Open</v>
      </c>
      <c r="X345" s="86"/>
      <c r="Z345" s="81" t="str">
        <f t="shared" si="66"/>
        <v>Bao</v>
      </c>
    </row>
    <row r="346" spans="1:26" x14ac:dyDescent="0.3">
      <c r="A346" s="84">
        <v>46196</v>
      </c>
      <c r="B346" s="100">
        <f t="shared" si="63"/>
        <v>26</v>
      </c>
      <c r="C346" s="84" t="str">
        <f t="shared" si="64"/>
        <v>June</v>
      </c>
      <c r="D346" s="85" t="str">
        <f t="shared" si="65"/>
        <v>Tue</v>
      </c>
      <c r="E346" s="86" t="s">
        <v>220</v>
      </c>
      <c r="F346" s="86" t="s">
        <v>52</v>
      </c>
      <c r="G346" s="86" t="s">
        <v>82</v>
      </c>
      <c r="H346" s="86" t="s">
        <v>221</v>
      </c>
      <c r="I346" s="87">
        <v>8000</v>
      </c>
      <c r="J346" s="88">
        <f t="shared" si="61"/>
        <v>8000</v>
      </c>
      <c r="K346" s="88"/>
      <c r="L346" s="87"/>
      <c r="M346" s="87"/>
      <c r="N346" s="87"/>
      <c r="O346" s="87"/>
      <c r="P346" s="89">
        <f t="shared" si="67"/>
        <v>0</v>
      </c>
      <c r="Q346" s="89">
        <f t="shared" si="68"/>
        <v>1</v>
      </c>
      <c r="R346" s="89">
        <f t="shared" si="69"/>
        <v>0</v>
      </c>
      <c r="S346" s="88">
        <f>IF(F346="Bao",[2]Setup!$B$4,IF(F346="Soup Dumplings",[2]Setup!$B$5,""))</f>
        <v>40000</v>
      </c>
      <c r="T346" s="88" t="str">
        <f t="shared" si="70"/>
        <v/>
      </c>
      <c r="U346" s="84" t="e">
        <f t="shared" si="62"/>
        <v>#VALUE!</v>
      </c>
      <c r="V346" s="88" t="e">
        <f>IF(U346="",0,MAX(0,T346)+N346+ROUND(J346*[2]Setup!$B$9,0)+IF(O346&gt;[2]Setup!$B$10,ROUND(J346*[2]Setup!$B$11,0),0))</f>
        <v>#VALUE!</v>
      </c>
      <c r="W346" s="85" t="str">
        <f>IF(L346="","Open",IF(OR(P346&lt;[2]Setup!$B$6,Q346&gt;[2]Setup!$B$7,R346&gt;[2]Setup!$B$8,O346&gt;[2]Setup!$B$10),"Review","OK"))</f>
        <v>Open</v>
      </c>
      <c r="X346" s="86"/>
      <c r="Z346" s="81" t="str">
        <f t="shared" si="66"/>
        <v>Bao</v>
      </c>
    </row>
    <row r="347" spans="1:26" x14ac:dyDescent="0.3">
      <c r="A347" s="84">
        <v>46196</v>
      </c>
      <c r="B347" s="100">
        <f t="shared" si="63"/>
        <v>26</v>
      </c>
      <c r="C347" s="84" t="str">
        <f t="shared" si="64"/>
        <v>June</v>
      </c>
      <c r="D347" s="85" t="str">
        <f t="shared" si="65"/>
        <v>Tue</v>
      </c>
      <c r="E347" s="86" t="s">
        <v>220</v>
      </c>
      <c r="F347" s="86" t="s">
        <v>222</v>
      </c>
      <c r="G347" s="86" t="s">
        <v>223</v>
      </c>
      <c r="H347" s="86" t="s">
        <v>224</v>
      </c>
      <c r="I347" s="87" t="str">
        <f>IF(F347=0,"",IF(COUNTIF(F347,"Bao"),[2]Setup!$B$4,IF(COUNTIF(F347,"Soup Dumplings"),[2]Setup!$B$5,F347)))</f>
        <v>Bao Prep</v>
      </c>
      <c r="J347" s="88">
        <f t="shared" si="61"/>
        <v>0</v>
      </c>
      <c r="K347" s="88"/>
      <c r="L347" s="87"/>
      <c r="M347" s="87"/>
      <c r="N347" s="87"/>
      <c r="O347" s="87"/>
      <c r="P347" s="89" t="str">
        <f t="shared" si="67"/>
        <v/>
      </c>
      <c r="Q347" s="89" t="str">
        <f t="shared" si="68"/>
        <v/>
      </c>
      <c r="R347" s="89" t="str">
        <f t="shared" si="69"/>
        <v/>
      </c>
      <c r="S347" s="88" t="str">
        <f>IF(F347="Bao",[2]Setup!$B$4,IF(F347="Soup Dumplings",[2]Setup!$B$5,""))</f>
        <v/>
      </c>
      <c r="T347" s="88" t="str">
        <f t="shared" si="70"/>
        <v/>
      </c>
      <c r="U347" s="84" t="e">
        <f t="shared" si="62"/>
        <v>#VALUE!</v>
      </c>
      <c r="V347" s="88" t="e">
        <f>IF(U347="",0,MAX(0,T347)+N347+ROUND(J347*[2]Setup!$B$9,0)+IF(O347&gt;[2]Setup!$B$10,ROUND(J347*[2]Setup!$B$11,0),0))</f>
        <v>#VALUE!</v>
      </c>
      <c r="W347" s="85" t="str">
        <f>IF(L347="","Open",IF(OR(P347&lt;[2]Setup!$B$6,Q347&gt;[2]Setup!$B$7,R347&gt;[2]Setup!$B$8,O347&gt;[2]Setup!$B$10),"Review","OK"))</f>
        <v>Open</v>
      </c>
      <c r="X347" s="86"/>
      <c r="Z347" s="81" t="str">
        <f t="shared" si="66"/>
        <v>Bao</v>
      </c>
    </row>
    <row r="348" spans="1:26" ht="28.8" x14ac:dyDescent="0.3">
      <c r="A348" s="84">
        <v>46196</v>
      </c>
      <c r="B348" s="100">
        <f t="shared" si="63"/>
        <v>26</v>
      </c>
      <c r="C348" s="84" t="str">
        <f t="shared" si="64"/>
        <v>June</v>
      </c>
      <c r="D348" s="85" t="str">
        <f t="shared" si="65"/>
        <v>Tue</v>
      </c>
      <c r="E348" s="86" t="s">
        <v>220</v>
      </c>
      <c r="F348" s="86" t="s">
        <v>251</v>
      </c>
      <c r="G348" s="86" t="s">
        <v>82</v>
      </c>
      <c r="H348" s="86" t="s">
        <v>249</v>
      </c>
      <c r="I348" s="87" t="str">
        <f>IF(F348=0,"",IF(COUNTIF(F348,"Bao"),[2]Setup!$B$4,IF(COUNTIF(F348,"Soup Dumplings"),[2]Setup!$B$5,F348)))</f>
        <v>Pack Bao</v>
      </c>
      <c r="J348" s="88">
        <f t="shared" si="61"/>
        <v>0</v>
      </c>
      <c r="K348" s="88" t="s">
        <v>408</v>
      </c>
      <c r="L348" s="87"/>
      <c r="M348" s="87"/>
      <c r="N348" s="87"/>
      <c r="O348" s="87"/>
      <c r="P348" s="89" t="str">
        <f t="shared" si="67"/>
        <v/>
      </c>
      <c r="Q348" s="89" t="str">
        <f t="shared" si="68"/>
        <v/>
      </c>
      <c r="R348" s="89" t="str">
        <f t="shared" si="69"/>
        <v/>
      </c>
      <c r="S348" s="88" t="str">
        <f>IF(F348="Bao",[2]Setup!$B$4,IF(F348="Soup Dumplings",[2]Setup!$B$5,""))</f>
        <v/>
      </c>
      <c r="T348" s="88" t="str">
        <f t="shared" si="70"/>
        <v/>
      </c>
      <c r="U348" s="84" t="e">
        <f t="shared" si="62"/>
        <v>#VALUE!</v>
      </c>
      <c r="V348" s="88" t="e">
        <f>IF(U348="",0,MAX(0,T348)+N348+ROUND(J348*[2]Setup!$B$9,0)+IF(O348&gt;[2]Setup!$B$10,ROUND(J348*[2]Setup!$B$11,0),0))</f>
        <v>#VALUE!</v>
      </c>
      <c r="W348" s="85" t="str">
        <f>IF(L348="","Open",IF(OR(P348&lt;[2]Setup!$B$6,Q348&gt;[2]Setup!$B$7,R348&gt;[2]Setup!$B$8,O348&gt;[2]Setup!$B$10),"Review","OK"))</f>
        <v>Open</v>
      </c>
      <c r="X348" s="86"/>
      <c r="Z348" s="81" t="str">
        <f t="shared" si="66"/>
        <v>Pac</v>
      </c>
    </row>
    <row r="349" spans="1:26" x14ac:dyDescent="0.3">
      <c r="A349" s="84">
        <v>46196</v>
      </c>
      <c r="B349" s="100">
        <f t="shared" si="63"/>
        <v>26</v>
      </c>
      <c r="C349" s="84" t="str">
        <f t="shared" si="64"/>
        <v>June</v>
      </c>
      <c r="D349" s="85" t="str">
        <f t="shared" si="65"/>
        <v>Tue</v>
      </c>
      <c r="E349" s="86" t="s">
        <v>220</v>
      </c>
      <c r="F349" s="86" t="s">
        <v>222</v>
      </c>
      <c r="G349" s="86" t="s">
        <v>235</v>
      </c>
      <c r="H349" s="86" t="s">
        <v>227</v>
      </c>
      <c r="I349" s="87" t="str">
        <f>IF(F349=0,"",IF(COUNTIF(F349,"Bao"),[2]Setup!$B$4,IF(COUNTIF(F349,"Soup Dumplings"),[2]Setup!$B$5,F349)))</f>
        <v>Bao Prep</v>
      </c>
      <c r="J349" s="88">
        <f t="shared" si="61"/>
        <v>0</v>
      </c>
      <c r="K349" s="88" t="s">
        <v>266</v>
      </c>
      <c r="L349" s="87"/>
      <c r="M349" s="87"/>
      <c r="N349" s="87"/>
      <c r="O349" s="87"/>
      <c r="P349" s="89" t="str">
        <f t="shared" si="67"/>
        <v/>
      </c>
      <c r="Q349" s="89" t="str">
        <f t="shared" si="68"/>
        <v/>
      </c>
      <c r="R349" s="89" t="str">
        <f t="shared" si="69"/>
        <v/>
      </c>
      <c r="S349" s="88" t="str">
        <f>IF(F349="Bao",[2]Setup!$B$4,IF(F349="Soup Dumplings",[2]Setup!$B$5,""))</f>
        <v/>
      </c>
      <c r="T349" s="88" t="str">
        <f t="shared" si="70"/>
        <v/>
      </c>
      <c r="U349" s="84" t="e">
        <f t="shared" si="62"/>
        <v>#VALUE!</v>
      </c>
      <c r="V349" s="88" t="e">
        <f>IF(U349="",0,MAX(0,T349)+N349+ROUND(J349*[2]Setup!$B$9,0)+IF(O349&gt;[2]Setup!$B$10,ROUND(J349*[2]Setup!$B$11,0),0))</f>
        <v>#VALUE!</v>
      </c>
      <c r="W349" s="85" t="str">
        <f>IF(L349="","Open",IF(OR(P349&lt;[2]Setup!$B$6,Q349&gt;[2]Setup!$B$7,R349&gt;[2]Setup!$B$8,O349&gt;[2]Setup!$B$10),"Review","OK"))</f>
        <v>Open</v>
      </c>
      <c r="X349" s="86"/>
      <c r="Z349" s="81" t="str">
        <f t="shared" si="66"/>
        <v>Bao</v>
      </c>
    </row>
    <row r="350" spans="1:26" ht="28.8" x14ac:dyDescent="0.3">
      <c r="A350" s="84">
        <v>46196</v>
      </c>
      <c r="B350" s="100">
        <f t="shared" si="63"/>
        <v>26</v>
      </c>
      <c r="C350" s="84" t="str">
        <f t="shared" si="64"/>
        <v>June</v>
      </c>
      <c r="D350" s="85" t="str">
        <f t="shared" si="65"/>
        <v>Tue</v>
      </c>
      <c r="E350" s="86" t="s">
        <v>220</v>
      </c>
      <c r="F350" s="86" t="s">
        <v>237</v>
      </c>
      <c r="G350" s="86" t="s">
        <v>238</v>
      </c>
      <c r="H350" s="86" t="s">
        <v>227</v>
      </c>
      <c r="I350" s="87" t="str">
        <f>IF(F350=0,"",IF(COUNTIF(F350,"Bao"),[2]Setup!$B$4,IF(COUNTIF(F350,"Soup Dumplings"),[2]Setup!$B$5,F350)))</f>
        <v>Soup Dumpling Prep</v>
      </c>
      <c r="J350" s="88">
        <f t="shared" si="61"/>
        <v>0</v>
      </c>
      <c r="K350" s="88" t="s">
        <v>293</v>
      </c>
      <c r="L350" s="87"/>
      <c r="M350" s="87"/>
      <c r="N350" s="87"/>
      <c r="O350" s="87"/>
      <c r="P350" s="89" t="str">
        <f t="shared" si="67"/>
        <v/>
      </c>
      <c r="Q350" s="89" t="str">
        <f t="shared" si="68"/>
        <v/>
      </c>
      <c r="R350" s="89" t="str">
        <f t="shared" si="69"/>
        <v/>
      </c>
      <c r="S350" s="88" t="str">
        <f>IF(F350="Bao",[2]Setup!$B$4,IF(F350="Soup Dumplings",[2]Setup!$B$5,""))</f>
        <v/>
      </c>
      <c r="T350" s="88" t="str">
        <f t="shared" si="70"/>
        <v/>
      </c>
      <c r="U350" s="84" t="e">
        <f t="shared" si="62"/>
        <v>#VALUE!</v>
      </c>
      <c r="V350" s="88" t="e">
        <f>IF(U350="",0,MAX(0,T350)+N350+ROUND(J350*[2]Setup!$B$9,0)+IF(O350&gt;[2]Setup!$B$10,ROUND(J350*[2]Setup!$B$11,0),0))</f>
        <v>#VALUE!</v>
      </c>
      <c r="W350" s="85" t="str">
        <f>IF(L350="","Open",IF(OR(P350&lt;[2]Setup!$B$6,Q350&gt;[2]Setup!$B$7,R350&gt;[2]Setup!$B$8,O350&gt;[2]Setup!$B$10),"Review","OK"))</f>
        <v>Open</v>
      </c>
      <c r="X350" s="86"/>
      <c r="Z350" s="81" t="str">
        <f t="shared" si="66"/>
        <v>Sou</v>
      </c>
    </row>
    <row r="351" spans="1:26" ht="28.8" x14ac:dyDescent="0.3">
      <c r="A351" s="84">
        <v>46196</v>
      </c>
      <c r="B351" s="100">
        <f t="shared" si="63"/>
        <v>26</v>
      </c>
      <c r="C351" s="84" t="str">
        <f t="shared" si="64"/>
        <v>June</v>
      </c>
      <c r="D351" s="85" t="str">
        <f t="shared" si="65"/>
        <v>Tue</v>
      </c>
      <c r="E351" s="86" t="s">
        <v>220</v>
      </c>
      <c r="F351" s="86" t="s">
        <v>222</v>
      </c>
      <c r="G351" s="86" t="s">
        <v>226</v>
      </c>
      <c r="H351" s="86" t="s">
        <v>229</v>
      </c>
      <c r="I351" s="87" t="str">
        <f>IF(F351=0,"",IF(COUNTIF(F351,"Bao"),[2]Setup!$B$4,IF(COUNTIF(F351,"Soup Dumplings"),[2]Setup!$B$5,F351)))</f>
        <v>Bao Prep</v>
      </c>
      <c r="J351" s="88">
        <f t="shared" si="61"/>
        <v>0</v>
      </c>
      <c r="K351" s="88" t="s">
        <v>411</v>
      </c>
      <c r="L351" s="87"/>
      <c r="M351" s="87"/>
      <c r="N351" s="87"/>
      <c r="O351" s="87"/>
      <c r="P351" s="89" t="str">
        <f t="shared" si="67"/>
        <v/>
      </c>
      <c r="Q351" s="89" t="str">
        <f t="shared" si="68"/>
        <v/>
      </c>
      <c r="R351" s="89" t="str">
        <f t="shared" si="69"/>
        <v/>
      </c>
      <c r="S351" s="88" t="str">
        <f>IF(F351="Bao",[2]Setup!$B$4,IF(F351="Soup Dumplings",[2]Setup!$B$5,""))</f>
        <v/>
      </c>
      <c r="T351" s="88" t="str">
        <f t="shared" si="70"/>
        <v/>
      </c>
      <c r="U351" s="84" t="e">
        <f t="shared" si="62"/>
        <v>#VALUE!</v>
      </c>
      <c r="V351" s="88" t="e">
        <f>IF(U351="",0,MAX(0,T351)+N351+ROUND(J351*[2]Setup!$B$9,0)+IF(O351&gt;[2]Setup!$B$10,ROUND(J351*[2]Setup!$B$11,0),0))</f>
        <v>#VALUE!</v>
      </c>
      <c r="W351" s="85" t="str">
        <f>IF(L351="","Open",IF(OR(P351&lt;[2]Setup!$B$6,Q351&gt;[2]Setup!$B$7,R351&gt;[2]Setup!$B$8,O351&gt;[2]Setup!$B$10),"Review","OK"))</f>
        <v>Open</v>
      </c>
      <c r="X351" s="86"/>
      <c r="Z351" s="81" t="str">
        <f t="shared" si="66"/>
        <v>Bao</v>
      </c>
    </row>
    <row r="352" spans="1:26" ht="28.8" x14ac:dyDescent="0.3">
      <c r="A352" s="84">
        <v>46197</v>
      </c>
      <c r="B352" s="100">
        <f t="shared" si="63"/>
        <v>26</v>
      </c>
      <c r="C352" s="84" t="str">
        <f t="shared" si="64"/>
        <v>June</v>
      </c>
      <c r="D352" s="85" t="str">
        <f t="shared" si="65"/>
        <v>Wed</v>
      </c>
      <c r="E352" s="86" t="s">
        <v>220</v>
      </c>
      <c r="F352" s="86" t="s">
        <v>237</v>
      </c>
      <c r="G352" s="86" t="s">
        <v>259</v>
      </c>
      <c r="H352" s="86" t="s">
        <v>227</v>
      </c>
      <c r="I352" s="87" t="str">
        <f>IF(F352=0,"",IF(COUNTIF(F352,"Bao"),[2]Setup!$B$4,IF(COUNTIF(F352,"Soup Dumplings"),[2]Setup!$B$5,F352)))</f>
        <v>Soup Dumpling Prep</v>
      </c>
      <c r="J352" s="88">
        <f t="shared" si="61"/>
        <v>0</v>
      </c>
      <c r="K352" s="88" t="s">
        <v>403</v>
      </c>
      <c r="L352" s="87"/>
      <c r="M352" s="87"/>
      <c r="N352" s="87"/>
      <c r="O352" s="87"/>
      <c r="P352" s="89" t="str">
        <f t="shared" si="67"/>
        <v/>
      </c>
      <c r="Q352" s="89" t="str">
        <f t="shared" si="68"/>
        <v/>
      </c>
      <c r="R352" s="89" t="str">
        <f t="shared" si="69"/>
        <v/>
      </c>
      <c r="S352" s="88" t="str">
        <f>IF(F352="Bao",[2]Setup!$B$4,IF(F352="Soup Dumplings",[2]Setup!$B$5,""))</f>
        <v/>
      </c>
      <c r="T352" s="88" t="str">
        <f t="shared" si="70"/>
        <v/>
      </c>
      <c r="U352" s="84" t="e">
        <f t="shared" si="62"/>
        <v>#VALUE!</v>
      </c>
      <c r="V352" s="88" t="e">
        <f>IF(U352="",0,MAX(0,T352)+N352+ROUND(J352*[2]Setup!$B$9,0)+IF(O352&gt;[2]Setup!$B$10,ROUND(J352*[2]Setup!$B$11,0),0))</f>
        <v>#VALUE!</v>
      </c>
      <c r="W352" s="85" t="str">
        <f>IF(L352="","Open",IF(OR(P352&lt;[2]Setup!$B$6,Q352&gt;[2]Setup!$B$7,R352&gt;[2]Setup!$B$8,O352&gt;[2]Setup!$B$10),"Review","OK"))</f>
        <v>Open</v>
      </c>
      <c r="X352" s="86"/>
      <c r="Z352" s="81" t="str">
        <f t="shared" si="66"/>
        <v>Sou</v>
      </c>
    </row>
    <row r="353" spans="1:26" ht="28.8" x14ac:dyDescent="0.3">
      <c r="A353" s="84">
        <v>46197</v>
      </c>
      <c r="B353" s="100">
        <f t="shared" si="63"/>
        <v>26</v>
      </c>
      <c r="C353" s="84" t="str">
        <f t="shared" si="64"/>
        <v>June</v>
      </c>
      <c r="D353" s="85" t="str">
        <f t="shared" si="65"/>
        <v>Wed</v>
      </c>
      <c r="E353" s="86" t="s">
        <v>220</v>
      </c>
      <c r="F353" s="86" t="s">
        <v>237</v>
      </c>
      <c r="G353" s="86" t="s">
        <v>242</v>
      </c>
      <c r="H353" s="86" t="s">
        <v>232</v>
      </c>
      <c r="I353" s="87" t="str">
        <f>IF(F353=0,"",IF(COUNTIF(F353,"Bao"),[2]Setup!$B$4,IF(COUNTIF(F353,"Soup Dumplings"),[2]Setup!$B$5,F353)))</f>
        <v>Soup Dumpling Prep</v>
      </c>
      <c r="J353" s="88">
        <f t="shared" si="61"/>
        <v>0</v>
      </c>
      <c r="K353" s="88"/>
      <c r="L353" s="87"/>
      <c r="M353" s="87"/>
      <c r="N353" s="87"/>
      <c r="O353" s="87"/>
      <c r="P353" s="89" t="str">
        <f t="shared" si="67"/>
        <v/>
      </c>
      <c r="Q353" s="89" t="str">
        <f t="shared" si="68"/>
        <v/>
      </c>
      <c r="R353" s="89" t="str">
        <f t="shared" si="69"/>
        <v/>
      </c>
      <c r="S353" s="88" t="str">
        <f>IF(F353="Bao",[2]Setup!$B$4,IF(F353="Soup Dumplings",[2]Setup!$B$5,""))</f>
        <v/>
      </c>
      <c r="T353" s="88" t="str">
        <f t="shared" si="70"/>
        <v/>
      </c>
      <c r="U353" s="84" t="e">
        <f t="shared" si="62"/>
        <v>#VALUE!</v>
      </c>
      <c r="V353" s="88" t="e">
        <f>IF(U353="",0,MAX(0,T353)+N353+ROUND(J353*[2]Setup!$B$9,0)+IF(O353&gt;[2]Setup!$B$10,ROUND(J353*[2]Setup!$B$11,0),0))</f>
        <v>#VALUE!</v>
      </c>
      <c r="W353" s="85" t="str">
        <f>IF(L353="","Open",IF(OR(P353&lt;[2]Setup!$B$6,Q353&gt;[2]Setup!$B$7,R353&gt;[2]Setup!$B$8,O353&gt;[2]Setup!$B$10),"Review","OK"))</f>
        <v>Open</v>
      </c>
      <c r="X353" s="86"/>
      <c r="Z353" s="81" t="str">
        <f t="shared" si="66"/>
        <v>Sou</v>
      </c>
    </row>
    <row r="354" spans="1:26" ht="28.8" x14ac:dyDescent="0.3">
      <c r="A354" s="84">
        <v>46197</v>
      </c>
      <c r="B354" s="100">
        <f t="shared" si="63"/>
        <v>26</v>
      </c>
      <c r="C354" s="84" t="str">
        <f t="shared" si="64"/>
        <v>June</v>
      </c>
      <c r="D354" s="85" t="str">
        <f t="shared" si="65"/>
        <v>Wed</v>
      </c>
      <c r="E354" s="86" t="s">
        <v>220</v>
      </c>
      <c r="F354" s="86" t="s">
        <v>237</v>
      </c>
      <c r="G354" s="86" t="s">
        <v>238</v>
      </c>
      <c r="H354" s="86" t="s">
        <v>229</v>
      </c>
      <c r="I354" s="87" t="str">
        <f>IF(F354=0,"",IF(COUNTIF(F354,"Bao"),[2]Setup!$B$4,IF(COUNTIF(F354,"Soup Dumplings"),[2]Setup!$B$5,F354)))</f>
        <v>Soup Dumpling Prep</v>
      </c>
      <c r="J354" s="88">
        <f t="shared" si="61"/>
        <v>0</v>
      </c>
      <c r="K354" s="88" t="s">
        <v>404</v>
      </c>
      <c r="L354" s="87"/>
      <c r="M354" s="87"/>
      <c r="N354" s="87"/>
      <c r="O354" s="87"/>
      <c r="P354" s="89" t="str">
        <f t="shared" si="67"/>
        <v/>
      </c>
      <c r="Q354" s="89" t="str">
        <f t="shared" si="68"/>
        <v/>
      </c>
      <c r="R354" s="89" t="str">
        <f t="shared" si="69"/>
        <v/>
      </c>
      <c r="S354" s="88" t="str">
        <f>IF(F354="Bao",[2]Setup!$B$4,IF(F354="Soup Dumplings",[2]Setup!$B$5,""))</f>
        <v/>
      </c>
      <c r="T354" s="88" t="str">
        <f t="shared" si="70"/>
        <v/>
      </c>
      <c r="U354" s="84" t="e">
        <f t="shared" si="62"/>
        <v>#VALUE!</v>
      </c>
      <c r="V354" s="88" t="e">
        <f>IF(U354="",0,MAX(0,T354)+N354+ROUND(J354*[2]Setup!$B$9,0)+IF(O354&gt;[2]Setup!$B$10,ROUND(J354*[2]Setup!$B$11,0),0))</f>
        <v>#VALUE!</v>
      </c>
      <c r="W354" s="85" t="str">
        <f>IF(L354="","Open",IF(OR(P354&lt;[2]Setup!$B$6,Q354&gt;[2]Setup!$B$7,R354&gt;[2]Setup!$B$8,O354&gt;[2]Setup!$B$10),"Review","OK"))</f>
        <v>Open</v>
      </c>
      <c r="X354" s="86"/>
      <c r="Z354" s="81" t="str">
        <f t="shared" si="66"/>
        <v>Sou</v>
      </c>
    </row>
    <row r="355" spans="1:26" x14ac:dyDescent="0.3">
      <c r="A355" s="84">
        <v>46197</v>
      </c>
      <c r="B355" s="100">
        <f t="shared" si="63"/>
        <v>26</v>
      </c>
      <c r="C355" s="84" t="str">
        <f t="shared" si="64"/>
        <v>June</v>
      </c>
      <c r="D355" s="85" t="str">
        <f t="shared" si="65"/>
        <v>Wed</v>
      </c>
      <c r="E355" s="86" t="s">
        <v>220</v>
      </c>
      <c r="F355" s="86" t="s">
        <v>87</v>
      </c>
      <c r="G355" s="86" t="s">
        <v>244</v>
      </c>
      <c r="H355" s="86" t="s">
        <v>245</v>
      </c>
      <c r="I355" s="87">
        <v>80000</v>
      </c>
      <c r="J355" s="88">
        <f t="shared" si="61"/>
        <v>80000</v>
      </c>
      <c r="K355" s="88"/>
      <c r="L355" s="87"/>
      <c r="M355" s="87"/>
      <c r="N355" s="87"/>
      <c r="O355" s="87"/>
      <c r="P355" s="89">
        <f t="shared" si="67"/>
        <v>0</v>
      </c>
      <c r="Q355" s="89">
        <f t="shared" si="68"/>
        <v>1</v>
      </c>
      <c r="R355" s="89">
        <f t="shared" si="69"/>
        <v>0</v>
      </c>
      <c r="S355" s="88">
        <f>IF(F355="Bao",[2]Setup!$B$4,IF(F355="Soup Dumplings",[2]Setup!$B$5,""))</f>
        <v>90000</v>
      </c>
      <c r="T355" s="88" t="str">
        <f t="shared" si="70"/>
        <v/>
      </c>
      <c r="U355" s="84" t="e">
        <f t="shared" si="62"/>
        <v>#VALUE!</v>
      </c>
      <c r="V355" s="88" t="e">
        <f>IF(U355="",0,MAX(0,T355)+N355+ROUND(J355*[2]Setup!$B$9,0)+IF(O355&gt;[2]Setup!$B$10,ROUND(J355*[2]Setup!$B$11,0),0))</f>
        <v>#VALUE!</v>
      </c>
      <c r="W355" s="85" t="str">
        <f>IF(L355="","Open",IF(OR(P355&lt;[2]Setup!$B$6,Q355&gt;[2]Setup!$B$7,R355&gt;[2]Setup!$B$8,O355&gt;[2]Setup!$B$10),"Review","OK"))</f>
        <v>Open</v>
      </c>
      <c r="X355" s="86"/>
      <c r="Z355" s="81" t="str">
        <f t="shared" si="66"/>
        <v>Sou</v>
      </c>
    </row>
    <row r="356" spans="1:26" ht="28.8" x14ac:dyDescent="0.3">
      <c r="A356" s="84">
        <v>46197</v>
      </c>
      <c r="B356" s="100">
        <f t="shared" si="63"/>
        <v>26</v>
      </c>
      <c r="C356" s="84" t="str">
        <f t="shared" si="64"/>
        <v>June</v>
      </c>
      <c r="D356" s="85" t="str">
        <f t="shared" si="65"/>
        <v>Wed</v>
      </c>
      <c r="E356" s="86" t="s">
        <v>220</v>
      </c>
      <c r="F356" s="86" t="s">
        <v>237</v>
      </c>
      <c r="G356" s="86" t="s">
        <v>240</v>
      </c>
      <c r="H356" s="86" t="s">
        <v>224</v>
      </c>
      <c r="I356" s="87" t="str">
        <f>IF(F356=0,"",IF(COUNTIF(F356,"Bao"),[2]Setup!$B$4,IF(COUNTIF(F356,"Soup Dumplings"),[2]Setup!$B$5,F356)))</f>
        <v>Soup Dumpling Prep</v>
      </c>
      <c r="J356" s="88">
        <f t="shared" si="61"/>
        <v>0</v>
      </c>
      <c r="K356" s="88"/>
      <c r="L356" s="87"/>
      <c r="M356" s="87"/>
      <c r="N356" s="87"/>
      <c r="O356" s="87"/>
      <c r="P356" s="89" t="str">
        <f t="shared" si="67"/>
        <v/>
      </c>
      <c r="Q356" s="89" t="str">
        <f t="shared" si="68"/>
        <v/>
      </c>
      <c r="R356" s="89" t="str">
        <f t="shared" si="69"/>
        <v/>
      </c>
      <c r="S356" s="88" t="str">
        <f>IF(F356="Bao",[2]Setup!$B$4,IF(F356="Soup Dumplings",[2]Setup!$B$5,""))</f>
        <v/>
      </c>
      <c r="T356" s="88" t="str">
        <f t="shared" si="70"/>
        <v/>
      </c>
      <c r="U356" s="84" t="e">
        <f t="shared" si="62"/>
        <v>#VALUE!</v>
      </c>
      <c r="V356" s="88" t="e">
        <f>IF(U356="",0,MAX(0,T356)+N356+ROUND(J356*[2]Setup!$B$9,0)+IF(O356&gt;[2]Setup!$B$10,ROUND(J356*[2]Setup!$B$11,0),0))</f>
        <v>#VALUE!</v>
      </c>
      <c r="W356" s="85" t="str">
        <f>IF(L356="","Open",IF(OR(P356&lt;[2]Setup!$B$6,Q356&gt;[2]Setup!$B$7,R356&gt;[2]Setup!$B$8,O356&gt;[2]Setup!$B$10),"Review","OK"))</f>
        <v>Open</v>
      </c>
      <c r="X356" s="86"/>
      <c r="Z356" s="81" t="str">
        <f t="shared" si="66"/>
        <v>Sou</v>
      </c>
    </row>
    <row r="357" spans="1:26" ht="43.2" x14ac:dyDescent="0.3">
      <c r="A357" s="84">
        <v>46197</v>
      </c>
      <c r="B357" s="100">
        <f t="shared" si="63"/>
        <v>26</v>
      </c>
      <c r="C357" s="84" t="str">
        <f t="shared" si="64"/>
        <v>June</v>
      </c>
      <c r="D357" s="85" t="str">
        <f t="shared" si="65"/>
        <v>Wed</v>
      </c>
      <c r="E357" s="86" t="s">
        <v>220</v>
      </c>
      <c r="F357" s="86" t="s">
        <v>248</v>
      </c>
      <c r="G357" s="86" t="s">
        <v>244</v>
      </c>
      <c r="H357" s="86" t="s">
        <v>252</v>
      </c>
      <c r="I357" s="87" t="str">
        <f>IF(F357=0,"",IF(COUNTIF(F357,"Bao"),[2]Setup!$B$4,IF(COUNTIF(F357,"Soup Dumplings"),[2]Setup!$B$5,F357)))</f>
        <v>Pack Soup Dumplings</v>
      </c>
      <c r="J357" s="88">
        <f t="shared" si="61"/>
        <v>0</v>
      </c>
      <c r="K357" s="88" t="s">
        <v>405</v>
      </c>
      <c r="L357" s="87"/>
      <c r="M357" s="87"/>
      <c r="N357" s="87"/>
      <c r="O357" s="87"/>
      <c r="P357" s="89" t="str">
        <f t="shared" si="67"/>
        <v/>
      </c>
      <c r="Q357" s="89" t="str">
        <f t="shared" si="68"/>
        <v/>
      </c>
      <c r="R357" s="89" t="str">
        <f t="shared" si="69"/>
        <v/>
      </c>
      <c r="S357" s="88" t="str">
        <f>IF(F357="Bao",[2]Setup!$B$4,IF(F357="Soup Dumplings",[2]Setup!$B$5,""))</f>
        <v/>
      </c>
      <c r="T357" s="88" t="str">
        <f t="shared" si="70"/>
        <v/>
      </c>
      <c r="U357" s="84" t="e">
        <f t="shared" si="62"/>
        <v>#VALUE!</v>
      </c>
      <c r="V357" s="88" t="e">
        <f>IF(U357="",0,MAX(0,T357)+N357+ROUND(J357*[2]Setup!$B$9,0)+IF(O357&gt;[2]Setup!$B$10,ROUND(J357*[2]Setup!$B$11,0),0))</f>
        <v>#VALUE!</v>
      </c>
      <c r="W357" s="85" t="str">
        <f>IF(L357="","Open",IF(OR(P357&lt;[2]Setup!$B$6,Q357&gt;[2]Setup!$B$7,R357&gt;[2]Setup!$B$8,O357&gt;[2]Setup!$B$10),"Review","OK"))</f>
        <v>Open</v>
      </c>
      <c r="X357" s="86"/>
      <c r="Z357" s="81" t="str">
        <f t="shared" si="66"/>
        <v>Pac</v>
      </c>
    </row>
    <row r="358" spans="1:26" ht="28.8" x14ac:dyDescent="0.3">
      <c r="A358" s="84">
        <v>46197</v>
      </c>
      <c r="B358" s="100">
        <f t="shared" si="63"/>
        <v>26</v>
      </c>
      <c r="C358" s="84" t="str">
        <f t="shared" si="64"/>
        <v>June</v>
      </c>
      <c r="D358" s="85" t="str">
        <f t="shared" si="65"/>
        <v>Wed</v>
      </c>
      <c r="E358" s="86" t="s">
        <v>220</v>
      </c>
      <c r="F358" s="86" t="s">
        <v>222</v>
      </c>
      <c r="G358" s="86" t="s">
        <v>246</v>
      </c>
      <c r="H358" s="86" t="s">
        <v>232</v>
      </c>
      <c r="I358" s="87" t="str">
        <f>IF(F358=0,"",IF(COUNTIF(F358,"Bao"),[2]Setup!$B$4,IF(COUNTIF(F358,"Soup Dumplings"),[2]Setup!$B$5,F358)))</f>
        <v>Bao Prep</v>
      </c>
      <c r="J358" s="88">
        <f t="shared" si="61"/>
        <v>0</v>
      </c>
      <c r="K358" s="88" t="s">
        <v>410</v>
      </c>
      <c r="L358" s="87"/>
      <c r="M358" s="87"/>
      <c r="N358" s="87"/>
      <c r="O358" s="87"/>
      <c r="P358" s="89" t="str">
        <f t="shared" si="67"/>
        <v/>
      </c>
      <c r="Q358" s="89" t="str">
        <f t="shared" si="68"/>
        <v/>
      </c>
      <c r="R358" s="89" t="str">
        <f t="shared" si="69"/>
        <v/>
      </c>
      <c r="S358" s="88" t="str">
        <f>IF(F358="Bao",[2]Setup!$B$4,IF(F358="Soup Dumplings",[2]Setup!$B$5,""))</f>
        <v/>
      </c>
      <c r="T358" s="88" t="str">
        <f t="shared" si="70"/>
        <v/>
      </c>
      <c r="U358" s="84" t="e">
        <f t="shared" si="62"/>
        <v>#VALUE!</v>
      </c>
      <c r="V358" s="88" t="e">
        <f>IF(U358="",0,MAX(0,T358)+N358+ROUND(J358*[2]Setup!$B$9,0)+IF(O358&gt;[2]Setup!$B$10,ROUND(J358*[2]Setup!$B$11,0),0))</f>
        <v>#VALUE!</v>
      </c>
      <c r="W358" s="85" t="str">
        <f>IF(L358="","Open",IF(OR(P358&lt;[2]Setup!$B$6,Q358&gt;[2]Setup!$B$7,R358&gt;[2]Setup!$B$8,O358&gt;[2]Setup!$B$10),"Review","OK"))</f>
        <v>Open</v>
      </c>
      <c r="X358" s="86"/>
      <c r="Z358" s="81" t="str">
        <f t="shared" si="66"/>
        <v>Bao</v>
      </c>
    </row>
    <row r="359" spans="1:26" x14ac:dyDescent="0.3">
      <c r="A359" s="84">
        <v>46197</v>
      </c>
      <c r="B359" s="100">
        <f t="shared" si="63"/>
        <v>26</v>
      </c>
      <c r="C359" s="84" t="str">
        <f t="shared" si="64"/>
        <v>June</v>
      </c>
      <c r="D359" s="85" t="str">
        <f t="shared" si="65"/>
        <v>Wed</v>
      </c>
      <c r="E359" s="86" t="s">
        <v>220</v>
      </c>
      <c r="F359" s="86" t="s">
        <v>52</v>
      </c>
      <c r="G359" s="86" t="s">
        <v>82</v>
      </c>
      <c r="H359" s="86" t="s">
        <v>221</v>
      </c>
      <c r="I359" s="87">
        <v>8000</v>
      </c>
      <c r="J359" s="88">
        <f t="shared" si="61"/>
        <v>8000</v>
      </c>
      <c r="K359" s="88"/>
      <c r="L359" s="87"/>
      <c r="M359" s="87"/>
      <c r="N359" s="87"/>
      <c r="O359" s="87"/>
      <c r="P359" s="89">
        <f t="shared" si="67"/>
        <v>0</v>
      </c>
      <c r="Q359" s="89">
        <f t="shared" si="68"/>
        <v>1</v>
      </c>
      <c r="R359" s="89">
        <f t="shared" si="69"/>
        <v>0</v>
      </c>
      <c r="S359" s="88">
        <f>IF(F359="Bao",[2]Setup!$B$4,IF(F359="Soup Dumplings",[2]Setup!$B$5,""))</f>
        <v>40000</v>
      </c>
      <c r="T359" s="88" t="str">
        <f t="shared" si="70"/>
        <v/>
      </c>
      <c r="U359" s="84" t="e">
        <f t="shared" si="62"/>
        <v>#VALUE!</v>
      </c>
      <c r="V359" s="88" t="e">
        <f>IF(U359="",0,MAX(0,T359)+N359+ROUND(J359*[2]Setup!$B$9,0)+IF(O359&gt;[2]Setup!$B$10,ROUND(J359*[2]Setup!$B$11,0),0))</f>
        <v>#VALUE!</v>
      </c>
      <c r="W359" s="85" t="str">
        <f>IF(L359="","Open",IF(OR(P359&lt;[2]Setup!$B$6,Q359&gt;[2]Setup!$B$7,R359&gt;[2]Setup!$B$8,O359&gt;[2]Setup!$B$10),"Review","OK"))</f>
        <v>Open</v>
      </c>
      <c r="X359" s="86"/>
      <c r="Z359" s="81" t="str">
        <f t="shared" si="66"/>
        <v>Bao</v>
      </c>
    </row>
    <row r="360" spans="1:26" x14ac:dyDescent="0.3">
      <c r="A360" s="84">
        <v>46197</v>
      </c>
      <c r="B360" s="100">
        <f t="shared" si="63"/>
        <v>26</v>
      </c>
      <c r="C360" s="84" t="str">
        <f t="shared" si="64"/>
        <v>June</v>
      </c>
      <c r="D360" s="85" t="str">
        <f t="shared" si="65"/>
        <v>Wed</v>
      </c>
      <c r="E360" s="86" t="s">
        <v>220</v>
      </c>
      <c r="F360" s="86" t="s">
        <v>222</v>
      </c>
      <c r="G360" s="86" t="s">
        <v>223</v>
      </c>
      <c r="H360" s="86" t="s">
        <v>224</v>
      </c>
      <c r="I360" s="87" t="str">
        <f>IF(F360=0,"",IF(COUNTIF(F360,"Bao"),[2]Setup!$B$4,IF(COUNTIF(F360,"Soup Dumplings"),[2]Setup!$B$5,F360)))</f>
        <v>Bao Prep</v>
      </c>
      <c r="J360" s="88">
        <f t="shared" si="61"/>
        <v>0</v>
      </c>
      <c r="K360" s="88"/>
      <c r="L360" s="87"/>
      <c r="M360" s="87"/>
      <c r="N360" s="87"/>
      <c r="O360" s="87"/>
      <c r="P360" s="89" t="str">
        <f t="shared" si="67"/>
        <v/>
      </c>
      <c r="Q360" s="89" t="str">
        <f t="shared" si="68"/>
        <v/>
      </c>
      <c r="R360" s="89" t="str">
        <f t="shared" si="69"/>
        <v/>
      </c>
      <c r="S360" s="88" t="str">
        <f>IF(F360="Bao",[2]Setup!$B$4,IF(F360="Soup Dumplings",[2]Setup!$B$5,""))</f>
        <v/>
      </c>
      <c r="T360" s="88" t="str">
        <f t="shared" si="70"/>
        <v/>
      </c>
      <c r="U360" s="84" t="e">
        <f t="shared" si="62"/>
        <v>#VALUE!</v>
      </c>
      <c r="V360" s="88" t="e">
        <f>IF(U360="",0,MAX(0,T360)+N360+ROUND(J360*[2]Setup!$B$9,0)+IF(O360&gt;[2]Setup!$B$10,ROUND(J360*[2]Setup!$B$11,0),0))</f>
        <v>#VALUE!</v>
      </c>
      <c r="W360" s="85" t="str">
        <f>IF(L360="","Open",IF(OR(P360&lt;[2]Setup!$B$6,Q360&gt;[2]Setup!$B$7,R360&gt;[2]Setup!$B$8,O360&gt;[2]Setup!$B$10),"Review","OK"))</f>
        <v>Open</v>
      </c>
      <c r="X360" s="86"/>
      <c r="Z360" s="81" t="str">
        <f t="shared" si="66"/>
        <v>Bao</v>
      </c>
    </row>
    <row r="361" spans="1:26" ht="28.8" x14ac:dyDescent="0.3">
      <c r="A361" s="84">
        <v>46197</v>
      </c>
      <c r="B361" s="100">
        <f t="shared" si="63"/>
        <v>26</v>
      </c>
      <c r="C361" s="84" t="str">
        <f t="shared" si="64"/>
        <v>June</v>
      </c>
      <c r="D361" s="85" t="str">
        <f t="shared" si="65"/>
        <v>Wed</v>
      </c>
      <c r="E361" s="86" t="s">
        <v>220</v>
      </c>
      <c r="F361" s="86" t="s">
        <v>251</v>
      </c>
      <c r="G361" s="86" t="s">
        <v>82</v>
      </c>
      <c r="H361" s="86" t="s">
        <v>249</v>
      </c>
      <c r="I361" s="87" t="str">
        <f>IF(F361=0,"",IF(COUNTIF(F361,"Bao"),[2]Setup!$B$4,IF(COUNTIF(F361,"Soup Dumplings"),[2]Setup!$B$5,F361)))</f>
        <v>Pack Bao</v>
      </c>
      <c r="J361" s="88">
        <f t="shared" si="61"/>
        <v>0</v>
      </c>
      <c r="K361" s="88" t="s">
        <v>408</v>
      </c>
      <c r="L361" s="87"/>
      <c r="M361" s="87"/>
      <c r="N361" s="87"/>
      <c r="O361" s="87"/>
      <c r="P361" s="89" t="str">
        <f t="shared" si="67"/>
        <v/>
      </c>
      <c r="Q361" s="89" t="str">
        <f t="shared" si="68"/>
        <v/>
      </c>
      <c r="R361" s="89" t="str">
        <f t="shared" si="69"/>
        <v/>
      </c>
      <c r="S361" s="88" t="str">
        <f>IF(F361="Bao",[2]Setup!$B$4,IF(F361="Soup Dumplings",[2]Setup!$B$5,""))</f>
        <v/>
      </c>
      <c r="T361" s="88" t="str">
        <f t="shared" si="70"/>
        <v/>
      </c>
      <c r="U361" s="84" t="e">
        <f t="shared" si="62"/>
        <v>#VALUE!</v>
      </c>
      <c r="V361" s="88" t="e">
        <f>IF(U361="",0,MAX(0,T361)+N361+ROUND(J361*[2]Setup!$B$9,0)+IF(O361&gt;[2]Setup!$B$10,ROUND(J361*[2]Setup!$B$11,0),0))</f>
        <v>#VALUE!</v>
      </c>
      <c r="W361" s="85" t="str">
        <f>IF(L361="","Open",IF(OR(P361&lt;[2]Setup!$B$6,Q361&gt;[2]Setup!$B$7,R361&gt;[2]Setup!$B$8,O361&gt;[2]Setup!$B$10),"Review","OK"))</f>
        <v>Open</v>
      </c>
      <c r="X361" s="86"/>
      <c r="Z361" s="81" t="str">
        <f t="shared" si="66"/>
        <v>Pac</v>
      </c>
    </row>
    <row r="362" spans="1:26" x14ac:dyDescent="0.3">
      <c r="A362" s="84">
        <v>46197</v>
      </c>
      <c r="B362" s="100">
        <f t="shared" si="63"/>
        <v>26</v>
      </c>
      <c r="C362" s="84" t="str">
        <f t="shared" si="64"/>
        <v>June</v>
      </c>
      <c r="D362" s="85" t="str">
        <f t="shared" si="65"/>
        <v>Wed</v>
      </c>
      <c r="E362" s="86" t="s">
        <v>220</v>
      </c>
      <c r="F362" s="86" t="s">
        <v>222</v>
      </c>
      <c r="G362" s="86" t="s">
        <v>235</v>
      </c>
      <c r="H362" s="86" t="s">
        <v>227</v>
      </c>
      <c r="I362" s="87" t="str">
        <f>IF(F362=0,"",IF(COUNTIF(F362,"Bao"),[2]Setup!$B$4,IF(COUNTIF(F362,"Soup Dumplings"),[2]Setup!$B$5,F362)))</f>
        <v>Bao Prep</v>
      </c>
      <c r="J362" s="88">
        <f t="shared" si="61"/>
        <v>0</v>
      </c>
      <c r="K362" s="88" t="s">
        <v>266</v>
      </c>
      <c r="L362" s="87"/>
      <c r="M362" s="87"/>
      <c r="N362" s="87"/>
      <c r="O362" s="87"/>
      <c r="P362" s="89" t="str">
        <f t="shared" si="67"/>
        <v/>
      </c>
      <c r="Q362" s="89" t="str">
        <f t="shared" si="68"/>
        <v/>
      </c>
      <c r="R362" s="89" t="str">
        <f t="shared" si="69"/>
        <v/>
      </c>
      <c r="S362" s="88" t="str">
        <f>IF(F362="Bao",[2]Setup!$B$4,IF(F362="Soup Dumplings",[2]Setup!$B$5,""))</f>
        <v/>
      </c>
      <c r="T362" s="88" t="str">
        <f t="shared" si="70"/>
        <v/>
      </c>
      <c r="U362" s="84" t="e">
        <f t="shared" si="62"/>
        <v>#VALUE!</v>
      </c>
      <c r="V362" s="88" t="e">
        <f>IF(U362="",0,MAX(0,T362)+N362+ROUND(J362*[2]Setup!$B$9,0)+IF(O362&gt;[2]Setup!$B$10,ROUND(J362*[2]Setup!$B$11,0),0))</f>
        <v>#VALUE!</v>
      </c>
      <c r="W362" s="85" t="str">
        <f>IF(L362="","Open",IF(OR(P362&lt;[2]Setup!$B$6,Q362&gt;[2]Setup!$B$7,R362&gt;[2]Setup!$B$8,O362&gt;[2]Setup!$B$10),"Review","OK"))</f>
        <v>Open</v>
      </c>
      <c r="X362" s="86"/>
      <c r="Z362" s="81" t="str">
        <f t="shared" si="66"/>
        <v>Bao</v>
      </c>
    </row>
    <row r="363" spans="1:26" ht="28.8" x14ac:dyDescent="0.3">
      <c r="A363" s="84">
        <v>46197</v>
      </c>
      <c r="B363" s="100">
        <f t="shared" si="63"/>
        <v>26</v>
      </c>
      <c r="C363" s="84" t="str">
        <f t="shared" si="64"/>
        <v>June</v>
      </c>
      <c r="D363" s="85" t="str">
        <f t="shared" si="65"/>
        <v>Wed</v>
      </c>
      <c r="E363" s="86" t="s">
        <v>220</v>
      </c>
      <c r="F363" s="86" t="s">
        <v>237</v>
      </c>
      <c r="G363" s="86" t="s">
        <v>238</v>
      </c>
      <c r="H363" s="86" t="s">
        <v>227</v>
      </c>
      <c r="I363" s="87" t="str">
        <f>IF(F363=0,"",IF(COUNTIF(F363,"Bao"),[2]Setup!$B$4,IF(COUNTIF(F363,"Soup Dumplings"),[2]Setup!$B$5,F363)))</f>
        <v>Soup Dumpling Prep</v>
      </c>
      <c r="J363" s="88">
        <f t="shared" si="61"/>
        <v>0</v>
      </c>
      <c r="K363" s="88" t="s">
        <v>293</v>
      </c>
      <c r="L363" s="87"/>
      <c r="M363" s="87"/>
      <c r="N363" s="87"/>
      <c r="O363" s="87"/>
      <c r="P363" s="89" t="str">
        <f t="shared" si="67"/>
        <v/>
      </c>
      <c r="Q363" s="89" t="str">
        <f t="shared" si="68"/>
        <v/>
      </c>
      <c r="R363" s="89" t="str">
        <f t="shared" si="69"/>
        <v/>
      </c>
      <c r="S363" s="88" t="str">
        <f>IF(F363="Bao",[2]Setup!$B$4,IF(F363="Soup Dumplings",[2]Setup!$B$5,""))</f>
        <v/>
      </c>
      <c r="T363" s="88" t="str">
        <f t="shared" si="70"/>
        <v/>
      </c>
      <c r="U363" s="84" t="e">
        <f t="shared" si="62"/>
        <v>#VALUE!</v>
      </c>
      <c r="V363" s="88" t="e">
        <f>IF(U363="",0,MAX(0,T363)+N363+ROUND(J363*[2]Setup!$B$9,0)+IF(O363&gt;[2]Setup!$B$10,ROUND(J363*[2]Setup!$B$11,0),0))</f>
        <v>#VALUE!</v>
      </c>
      <c r="W363" s="85" t="str">
        <f>IF(L363="","Open",IF(OR(P363&lt;[2]Setup!$B$6,Q363&gt;[2]Setup!$B$7,R363&gt;[2]Setup!$B$8,O363&gt;[2]Setup!$B$10),"Review","OK"))</f>
        <v>Open</v>
      </c>
      <c r="X363" s="86"/>
      <c r="Z363" s="81" t="str">
        <f t="shared" si="66"/>
        <v>Sou</v>
      </c>
    </row>
    <row r="364" spans="1:26" ht="28.8" x14ac:dyDescent="0.3">
      <c r="A364" s="84">
        <v>46197</v>
      </c>
      <c r="B364" s="100">
        <f t="shared" si="63"/>
        <v>26</v>
      </c>
      <c r="C364" s="84" t="str">
        <f t="shared" si="64"/>
        <v>June</v>
      </c>
      <c r="D364" s="85" t="str">
        <f t="shared" si="65"/>
        <v>Wed</v>
      </c>
      <c r="E364" s="86" t="s">
        <v>220</v>
      </c>
      <c r="F364" s="86" t="s">
        <v>222</v>
      </c>
      <c r="G364" s="86" t="s">
        <v>226</v>
      </c>
      <c r="H364" s="86" t="s">
        <v>229</v>
      </c>
      <c r="I364" s="87" t="str">
        <f>IF(F364=0,"",IF(COUNTIF(F364,"Bao"),[2]Setup!$B$4,IF(COUNTIF(F364,"Soup Dumplings"),[2]Setup!$B$5,F364)))</f>
        <v>Bao Prep</v>
      </c>
      <c r="J364" s="88">
        <f t="shared" si="61"/>
        <v>0</v>
      </c>
      <c r="K364" s="88" t="s">
        <v>411</v>
      </c>
      <c r="L364" s="87"/>
      <c r="M364" s="87"/>
      <c r="N364" s="87"/>
      <c r="O364" s="87"/>
      <c r="P364" s="89" t="str">
        <f t="shared" si="67"/>
        <v/>
      </c>
      <c r="Q364" s="89" t="str">
        <f t="shared" si="68"/>
        <v/>
      </c>
      <c r="R364" s="89" t="str">
        <f t="shared" si="69"/>
        <v/>
      </c>
      <c r="S364" s="88" t="str">
        <f>IF(F364="Bao",[2]Setup!$B$4,IF(F364="Soup Dumplings",[2]Setup!$B$5,""))</f>
        <v/>
      </c>
      <c r="T364" s="88" t="str">
        <f t="shared" si="70"/>
        <v/>
      </c>
      <c r="U364" s="84" t="e">
        <f t="shared" si="62"/>
        <v>#VALUE!</v>
      </c>
      <c r="V364" s="88" t="e">
        <f>IF(U364="",0,MAX(0,T364)+N364+ROUND(J364*[2]Setup!$B$9,0)+IF(O364&gt;[2]Setup!$B$10,ROUND(J364*[2]Setup!$B$11,0),0))</f>
        <v>#VALUE!</v>
      </c>
      <c r="W364" s="85" t="str">
        <f>IF(L364="","Open",IF(OR(P364&lt;[2]Setup!$B$6,Q364&gt;[2]Setup!$B$7,R364&gt;[2]Setup!$B$8,O364&gt;[2]Setup!$B$10),"Review","OK"))</f>
        <v>Open</v>
      </c>
      <c r="X364" s="86"/>
      <c r="Z364" s="81" t="str">
        <f t="shared" si="66"/>
        <v>Bao</v>
      </c>
    </row>
    <row r="365" spans="1:26" ht="28.8" x14ac:dyDescent="0.3">
      <c r="A365" s="84">
        <v>46198</v>
      </c>
      <c r="B365" s="100">
        <f t="shared" si="63"/>
        <v>26</v>
      </c>
      <c r="C365" s="84" t="str">
        <f t="shared" si="64"/>
        <v>June</v>
      </c>
      <c r="D365" s="85" t="str">
        <f t="shared" si="65"/>
        <v>Thu</v>
      </c>
      <c r="E365" s="86" t="s">
        <v>220</v>
      </c>
      <c r="F365" s="86" t="s">
        <v>237</v>
      </c>
      <c r="G365" s="86" t="s">
        <v>259</v>
      </c>
      <c r="H365" s="86" t="s">
        <v>227</v>
      </c>
      <c r="I365" s="87" t="str">
        <f>IF(F365=0,"",IF(COUNTIF(F365,"Bao"),[2]Setup!$B$4,IF(COUNTIF(F365,"Soup Dumplings"),[2]Setup!$B$5,F365)))</f>
        <v>Soup Dumpling Prep</v>
      </c>
      <c r="J365" s="88">
        <f t="shared" si="61"/>
        <v>0</v>
      </c>
      <c r="K365" s="88" t="s">
        <v>403</v>
      </c>
      <c r="L365" s="87"/>
      <c r="M365" s="87"/>
      <c r="N365" s="87"/>
      <c r="O365" s="87"/>
      <c r="P365" s="89" t="str">
        <f t="shared" si="67"/>
        <v/>
      </c>
      <c r="Q365" s="89" t="str">
        <f t="shared" si="68"/>
        <v/>
      </c>
      <c r="R365" s="89" t="str">
        <f t="shared" si="69"/>
        <v/>
      </c>
      <c r="S365" s="88" t="str">
        <f>IF(F365="Bao",[2]Setup!$B$4,IF(F365="Soup Dumplings",[2]Setup!$B$5,""))</f>
        <v/>
      </c>
      <c r="T365" s="88" t="str">
        <f t="shared" si="70"/>
        <v/>
      </c>
      <c r="U365" s="84" t="e">
        <f t="shared" si="62"/>
        <v>#VALUE!</v>
      </c>
      <c r="V365" s="88" t="e">
        <f>IF(U365="",0,MAX(0,T365)+N365+ROUND(J365*[2]Setup!$B$9,0)+IF(O365&gt;[2]Setup!$B$10,ROUND(J365*[2]Setup!$B$11,0),0))</f>
        <v>#VALUE!</v>
      </c>
      <c r="W365" s="85" t="str">
        <f>IF(L365="","Open",IF(OR(P365&lt;[2]Setup!$B$6,Q365&gt;[2]Setup!$B$7,R365&gt;[2]Setup!$B$8,O365&gt;[2]Setup!$B$10),"Review","OK"))</f>
        <v>Open</v>
      </c>
      <c r="X365" s="86"/>
      <c r="Z365" s="81" t="str">
        <f t="shared" si="66"/>
        <v>Sou</v>
      </c>
    </row>
    <row r="366" spans="1:26" ht="28.8" x14ac:dyDescent="0.3">
      <c r="A366" s="84">
        <v>46198</v>
      </c>
      <c r="B366" s="100">
        <f t="shared" si="63"/>
        <v>26</v>
      </c>
      <c r="C366" s="84" t="str">
        <f t="shared" si="64"/>
        <v>June</v>
      </c>
      <c r="D366" s="85" t="str">
        <f t="shared" si="65"/>
        <v>Thu</v>
      </c>
      <c r="E366" s="86" t="s">
        <v>220</v>
      </c>
      <c r="F366" s="86" t="s">
        <v>237</v>
      </c>
      <c r="G366" s="86" t="s">
        <v>242</v>
      </c>
      <c r="H366" s="86" t="s">
        <v>232</v>
      </c>
      <c r="I366" s="87" t="str">
        <f>IF(F366=0,"",IF(COUNTIF(F366,"Bao"),[2]Setup!$B$4,IF(COUNTIF(F366,"Soup Dumplings"),[2]Setup!$B$5,F366)))</f>
        <v>Soup Dumpling Prep</v>
      </c>
      <c r="J366" s="88">
        <f t="shared" si="61"/>
        <v>0</v>
      </c>
      <c r="K366" s="88"/>
      <c r="L366" s="87"/>
      <c r="M366" s="87"/>
      <c r="N366" s="87"/>
      <c r="O366" s="87"/>
      <c r="P366" s="89" t="str">
        <f t="shared" si="67"/>
        <v/>
      </c>
      <c r="Q366" s="89" t="str">
        <f t="shared" si="68"/>
        <v/>
      </c>
      <c r="R366" s="89" t="str">
        <f t="shared" si="69"/>
        <v/>
      </c>
      <c r="S366" s="88" t="str">
        <f>IF(F366="Bao",[2]Setup!$B$4,IF(F366="Soup Dumplings",[2]Setup!$B$5,""))</f>
        <v/>
      </c>
      <c r="T366" s="88" t="str">
        <f t="shared" si="70"/>
        <v/>
      </c>
      <c r="U366" s="84" t="e">
        <f t="shared" si="62"/>
        <v>#VALUE!</v>
      </c>
      <c r="V366" s="88" t="e">
        <f>IF(U366="",0,MAX(0,T366)+N366+ROUND(J366*[2]Setup!$B$9,0)+IF(O366&gt;[2]Setup!$B$10,ROUND(J366*[2]Setup!$B$11,0),0))</f>
        <v>#VALUE!</v>
      </c>
      <c r="W366" s="85" t="str">
        <f>IF(L366="","Open",IF(OR(P366&lt;[2]Setup!$B$6,Q366&gt;[2]Setup!$B$7,R366&gt;[2]Setup!$B$8,O366&gt;[2]Setup!$B$10),"Review","OK"))</f>
        <v>Open</v>
      </c>
      <c r="X366" s="86"/>
      <c r="Z366" s="81" t="str">
        <f t="shared" si="66"/>
        <v>Sou</v>
      </c>
    </row>
    <row r="367" spans="1:26" ht="28.8" x14ac:dyDescent="0.3">
      <c r="A367" s="84">
        <v>46198</v>
      </c>
      <c r="B367" s="100">
        <f t="shared" si="63"/>
        <v>26</v>
      </c>
      <c r="C367" s="84" t="str">
        <f t="shared" si="64"/>
        <v>June</v>
      </c>
      <c r="D367" s="85" t="str">
        <f t="shared" si="65"/>
        <v>Thu</v>
      </c>
      <c r="E367" s="86" t="s">
        <v>220</v>
      </c>
      <c r="F367" s="86" t="s">
        <v>237</v>
      </c>
      <c r="G367" s="86" t="s">
        <v>238</v>
      </c>
      <c r="H367" s="86" t="s">
        <v>229</v>
      </c>
      <c r="I367" s="87" t="str">
        <f>IF(F367=0,"",IF(COUNTIF(F367,"Bao"),[2]Setup!$B$4,IF(COUNTIF(F367,"Soup Dumplings"),[2]Setup!$B$5,F367)))</f>
        <v>Soup Dumpling Prep</v>
      </c>
      <c r="J367" s="88">
        <f t="shared" ref="J367:J377" si="71">IF(C367="","",
   IFERROR(
      N(I367)+SUMIFS($T$4:$T$30,$S$4:$S$30,C367,$E$4:$E$30,G367),
   0)
)</f>
        <v>0</v>
      </c>
      <c r="K367" s="88" t="s">
        <v>404</v>
      </c>
      <c r="L367" s="87"/>
      <c r="M367" s="87"/>
      <c r="N367" s="87"/>
      <c r="O367" s="87"/>
      <c r="P367" s="89" t="str">
        <f t="shared" si="67"/>
        <v/>
      </c>
      <c r="Q367" s="89" t="str">
        <f t="shared" si="68"/>
        <v/>
      </c>
      <c r="R367" s="89" t="str">
        <f t="shared" si="69"/>
        <v/>
      </c>
      <c r="S367" s="88" t="str">
        <f>IF(F367="Bao",[2]Setup!$B$4,IF(F367="Soup Dumplings",[2]Setup!$B$5,""))</f>
        <v/>
      </c>
      <c r="T367" s="88" t="str">
        <f t="shared" si="70"/>
        <v/>
      </c>
      <c r="U367" s="84" t="e">
        <f t="shared" ref="U367:U377" si="72">IF(C367="","",C367+1)</f>
        <v>#VALUE!</v>
      </c>
      <c r="V367" s="88" t="e">
        <f>IF(U367="",0,MAX(0,T367)+N367+ROUND(J367*[2]Setup!$B$9,0)+IF(O367&gt;[2]Setup!$B$10,ROUND(J367*[2]Setup!$B$11,0),0))</f>
        <v>#VALUE!</v>
      </c>
      <c r="W367" s="85" t="str">
        <f>IF(L367="","Open",IF(OR(P367&lt;[2]Setup!$B$6,Q367&gt;[2]Setup!$B$7,R367&gt;[2]Setup!$B$8,O367&gt;[2]Setup!$B$10),"Review","OK"))</f>
        <v>Open</v>
      </c>
      <c r="X367" s="86"/>
      <c r="Z367" s="81" t="str">
        <f t="shared" si="66"/>
        <v>Sou</v>
      </c>
    </row>
    <row r="368" spans="1:26" x14ac:dyDescent="0.3">
      <c r="A368" s="84">
        <v>46198</v>
      </c>
      <c r="B368" s="100">
        <f t="shared" si="63"/>
        <v>26</v>
      </c>
      <c r="C368" s="84" t="str">
        <f t="shared" si="64"/>
        <v>June</v>
      </c>
      <c r="D368" s="85" t="str">
        <f t="shared" si="65"/>
        <v>Thu</v>
      </c>
      <c r="E368" s="86" t="s">
        <v>220</v>
      </c>
      <c r="F368" s="86" t="s">
        <v>87</v>
      </c>
      <c r="G368" s="86" t="s">
        <v>244</v>
      </c>
      <c r="H368" s="86" t="s">
        <v>245</v>
      </c>
      <c r="I368" s="87">
        <v>80000</v>
      </c>
      <c r="J368" s="88">
        <f t="shared" si="71"/>
        <v>80000</v>
      </c>
      <c r="K368" s="88"/>
      <c r="L368" s="87"/>
      <c r="M368" s="87"/>
      <c r="N368" s="87"/>
      <c r="O368" s="87"/>
      <c r="P368" s="89">
        <f t="shared" si="67"/>
        <v>0</v>
      </c>
      <c r="Q368" s="89">
        <f t="shared" si="68"/>
        <v>1</v>
      </c>
      <c r="R368" s="89">
        <f t="shared" si="69"/>
        <v>0</v>
      </c>
      <c r="S368" s="88">
        <f>IF(F368="Bao",[2]Setup!$B$4,IF(F368="Soup Dumplings",[2]Setup!$B$5,""))</f>
        <v>90000</v>
      </c>
      <c r="T368" s="88" t="str">
        <f t="shared" si="70"/>
        <v/>
      </c>
      <c r="U368" s="84" t="e">
        <f t="shared" si="72"/>
        <v>#VALUE!</v>
      </c>
      <c r="V368" s="88" t="e">
        <f>IF(U368="",0,MAX(0,T368)+N368+ROUND(J368*[2]Setup!$B$9,0)+IF(O368&gt;[2]Setup!$B$10,ROUND(J368*[2]Setup!$B$11,0),0))</f>
        <v>#VALUE!</v>
      </c>
      <c r="W368" s="85" t="str">
        <f>IF(L368="","Open",IF(OR(P368&lt;[2]Setup!$B$6,Q368&gt;[2]Setup!$B$7,R368&gt;[2]Setup!$B$8,O368&gt;[2]Setup!$B$10),"Review","OK"))</f>
        <v>Open</v>
      </c>
      <c r="X368" s="86"/>
      <c r="Z368" s="81" t="str">
        <f t="shared" si="66"/>
        <v>Sou</v>
      </c>
    </row>
    <row r="369" spans="1:26" ht="28.8" x14ac:dyDescent="0.3">
      <c r="A369" s="84">
        <v>46198</v>
      </c>
      <c r="B369" s="100">
        <f t="shared" si="63"/>
        <v>26</v>
      </c>
      <c r="C369" s="84" t="str">
        <f t="shared" si="64"/>
        <v>June</v>
      </c>
      <c r="D369" s="85" t="str">
        <f t="shared" si="65"/>
        <v>Thu</v>
      </c>
      <c r="E369" s="86" t="s">
        <v>220</v>
      </c>
      <c r="F369" s="86" t="s">
        <v>237</v>
      </c>
      <c r="G369" s="86" t="s">
        <v>240</v>
      </c>
      <c r="H369" s="86" t="s">
        <v>224</v>
      </c>
      <c r="I369" s="87" t="str">
        <f>IF(F369=0,"",IF(COUNTIF(F369,"Bao"),[2]Setup!$B$4,IF(COUNTIF(F369,"Soup Dumplings"),[2]Setup!$B$5,F369)))</f>
        <v>Soup Dumpling Prep</v>
      </c>
      <c r="J369" s="88">
        <f t="shared" si="71"/>
        <v>0</v>
      </c>
      <c r="K369" s="88"/>
      <c r="L369" s="87"/>
      <c r="M369" s="87"/>
      <c r="N369" s="87"/>
      <c r="O369" s="87"/>
      <c r="P369" s="89" t="str">
        <f t="shared" si="67"/>
        <v/>
      </c>
      <c r="Q369" s="89" t="str">
        <f t="shared" si="68"/>
        <v/>
      </c>
      <c r="R369" s="89" t="str">
        <f t="shared" si="69"/>
        <v/>
      </c>
      <c r="S369" s="88" t="str">
        <f>IF(F369="Bao",[2]Setup!$B$4,IF(F369="Soup Dumplings",[2]Setup!$B$5,""))</f>
        <v/>
      </c>
      <c r="T369" s="88" t="str">
        <f t="shared" si="70"/>
        <v/>
      </c>
      <c r="U369" s="84" t="e">
        <f t="shared" si="72"/>
        <v>#VALUE!</v>
      </c>
      <c r="V369" s="88" t="e">
        <f>IF(U369="",0,MAX(0,T369)+N369+ROUND(J369*[2]Setup!$B$9,0)+IF(O369&gt;[2]Setup!$B$10,ROUND(J369*[2]Setup!$B$11,0),0))</f>
        <v>#VALUE!</v>
      </c>
      <c r="W369" s="85" t="str">
        <f>IF(L369="","Open",IF(OR(P369&lt;[2]Setup!$B$6,Q369&gt;[2]Setup!$B$7,R369&gt;[2]Setup!$B$8,O369&gt;[2]Setup!$B$10),"Review","OK"))</f>
        <v>Open</v>
      </c>
      <c r="X369" s="86"/>
      <c r="Z369" s="81" t="str">
        <f t="shared" si="66"/>
        <v>Sou</v>
      </c>
    </row>
    <row r="370" spans="1:26" ht="43.2" x14ac:dyDescent="0.3">
      <c r="A370" s="84">
        <v>46198</v>
      </c>
      <c r="B370" s="100">
        <f t="shared" si="63"/>
        <v>26</v>
      </c>
      <c r="C370" s="84" t="str">
        <f t="shared" si="64"/>
        <v>June</v>
      </c>
      <c r="D370" s="85" t="str">
        <f t="shared" si="65"/>
        <v>Thu</v>
      </c>
      <c r="E370" s="86" t="s">
        <v>220</v>
      </c>
      <c r="F370" s="86" t="s">
        <v>248</v>
      </c>
      <c r="G370" s="86" t="s">
        <v>244</v>
      </c>
      <c r="H370" s="86" t="s">
        <v>252</v>
      </c>
      <c r="I370" s="87" t="str">
        <f>IF(F370=0,"",IF(COUNTIF(F370,"Bao"),[2]Setup!$B$4,IF(COUNTIF(F370,"Soup Dumplings"),[2]Setup!$B$5,F370)))</f>
        <v>Pack Soup Dumplings</v>
      </c>
      <c r="J370" s="88">
        <f t="shared" si="71"/>
        <v>0</v>
      </c>
      <c r="K370" s="88" t="s">
        <v>405</v>
      </c>
      <c r="L370" s="87"/>
      <c r="M370" s="87"/>
      <c r="N370" s="87"/>
      <c r="O370" s="87"/>
      <c r="P370" s="89" t="str">
        <f t="shared" si="67"/>
        <v/>
      </c>
      <c r="Q370" s="89" t="str">
        <f t="shared" si="68"/>
        <v/>
      </c>
      <c r="R370" s="89" t="str">
        <f t="shared" si="69"/>
        <v/>
      </c>
      <c r="S370" s="88" t="str">
        <f>IF(F370="Bao",[2]Setup!$B$4,IF(F370="Soup Dumplings",[2]Setup!$B$5,""))</f>
        <v/>
      </c>
      <c r="T370" s="88" t="str">
        <f t="shared" si="70"/>
        <v/>
      </c>
      <c r="U370" s="84" t="e">
        <f t="shared" si="72"/>
        <v>#VALUE!</v>
      </c>
      <c r="V370" s="88" t="e">
        <f>IF(U370="",0,MAX(0,T370)+N370+ROUND(J370*[2]Setup!$B$9,0)+IF(O370&gt;[2]Setup!$B$10,ROUND(J370*[2]Setup!$B$11,0),0))</f>
        <v>#VALUE!</v>
      </c>
      <c r="W370" s="85" t="str">
        <f>IF(L370="","Open",IF(OR(P370&lt;[2]Setup!$B$6,Q370&gt;[2]Setup!$B$7,R370&gt;[2]Setup!$B$8,O370&gt;[2]Setup!$B$10),"Review","OK"))</f>
        <v>Open</v>
      </c>
      <c r="X370" s="86"/>
      <c r="Z370" s="81" t="str">
        <f t="shared" si="66"/>
        <v>Pac</v>
      </c>
    </row>
    <row r="371" spans="1:26" ht="28.8" x14ac:dyDescent="0.3">
      <c r="A371" s="84">
        <v>46198</v>
      </c>
      <c r="B371" s="100">
        <f t="shared" si="63"/>
        <v>26</v>
      </c>
      <c r="C371" s="84" t="str">
        <f t="shared" si="64"/>
        <v>June</v>
      </c>
      <c r="D371" s="85" t="str">
        <f t="shared" si="65"/>
        <v>Thu</v>
      </c>
      <c r="E371" s="86" t="s">
        <v>220</v>
      </c>
      <c r="F371" s="86" t="s">
        <v>222</v>
      </c>
      <c r="G371" s="86" t="s">
        <v>246</v>
      </c>
      <c r="H371" s="86" t="s">
        <v>232</v>
      </c>
      <c r="I371" s="87" t="str">
        <f>IF(F371=0,"",IF(COUNTIF(F371,"Bao"),[2]Setup!$B$4,IF(COUNTIF(F371,"Soup Dumplings"),[2]Setup!$B$5,F371)))</f>
        <v>Bao Prep</v>
      </c>
      <c r="J371" s="88">
        <f t="shared" si="71"/>
        <v>0</v>
      </c>
      <c r="K371" s="88" t="s">
        <v>410</v>
      </c>
      <c r="L371" s="87"/>
      <c r="M371" s="87"/>
      <c r="N371" s="87"/>
      <c r="O371" s="87"/>
      <c r="P371" s="89" t="str">
        <f t="shared" si="67"/>
        <v/>
      </c>
      <c r="Q371" s="89" t="str">
        <f t="shared" si="68"/>
        <v/>
      </c>
      <c r="R371" s="89" t="str">
        <f t="shared" si="69"/>
        <v/>
      </c>
      <c r="S371" s="88" t="str">
        <f>IF(F371="Bao",[2]Setup!$B$4,IF(F371="Soup Dumplings",[2]Setup!$B$5,""))</f>
        <v/>
      </c>
      <c r="T371" s="88" t="str">
        <f t="shared" si="70"/>
        <v/>
      </c>
      <c r="U371" s="84" t="e">
        <f t="shared" si="72"/>
        <v>#VALUE!</v>
      </c>
      <c r="V371" s="88" t="e">
        <f>IF(U371="",0,MAX(0,T371)+N371+ROUND(J371*[2]Setup!$B$9,0)+IF(O371&gt;[2]Setup!$B$10,ROUND(J371*[2]Setup!$B$11,0),0))</f>
        <v>#VALUE!</v>
      </c>
      <c r="W371" s="85" t="str">
        <f>IF(L371="","Open",IF(OR(P371&lt;[2]Setup!$B$6,Q371&gt;[2]Setup!$B$7,R371&gt;[2]Setup!$B$8,O371&gt;[2]Setup!$B$10),"Review","OK"))</f>
        <v>Open</v>
      </c>
      <c r="X371" s="86"/>
      <c r="Z371" s="81" t="str">
        <f t="shared" si="66"/>
        <v>Bao</v>
      </c>
    </row>
    <row r="372" spans="1:26" x14ac:dyDescent="0.3">
      <c r="A372" s="84">
        <v>46198</v>
      </c>
      <c r="B372" s="100">
        <f t="shared" si="63"/>
        <v>26</v>
      </c>
      <c r="C372" s="84" t="str">
        <f t="shared" si="64"/>
        <v>June</v>
      </c>
      <c r="D372" s="85" t="str">
        <f t="shared" si="65"/>
        <v>Thu</v>
      </c>
      <c r="E372" s="86" t="s">
        <v>220</v>
      </c>
      <c r="F372" s="86" t="s">
        <v>52</v>
      </c>
      <c r="G372" s="86" t="s">
        <v>82</v>
      </c>
      <c r="H372" s="86" t="s">
        <v>221</v>
      </c>
      <c r="I372" s="87">
        <v>8000</v>
      </c>
      <c r="J372" s="88">
        <f t="shared" si="71"/>
        <v>8000</v>
      </c>
      <c r="K372" s="88"/>
      <c r="L372" s="87"/>
      <c r="M372" s="87"/>
      <c r="N372" s="87"/>
      <c r="O372" s="87"/>
      <c r="P372" s="89">
        <f t="shared" si="67"/>
        <v>0</v>
      </c>
      <c r="Q372" s="89">
        <f t="shared" si="68"/>
        <v>1</v>
      </c>
      <c r="R372" s="89">
        <f t="shared" si="69"/>
        <v>0</v>
      </c>
      <c r="S372" s="88">
        <f>IF(F372="Bao",[2]Setup!$B$4,IF(F372="Soup Dumplings",[2]Setup!$B$5,""))</f>
        <v>40000</v>
      </c>
      <c r="T372" s="88" t="str">
        <f t="shared" si="70"/>
        <v/>
      </c>
      <c r="U372" s="84" t="e">
        <f t="shared" si="72"/>
        <v>#VALUE!</v>
      </c>
      <c r="V372" s="88" t="e">
        <f>IF(U372="",0,MAX(0,T372)+N372+ROUND(J372*[2]Setup!$B$9,0)+IF(O372&gt;[2]Setup!$B$10,ROUND(J372*[2]Setup!$B$11,0),0))</f>
        <v>#VALUE!</v>
      </c>
      <c r="W372" s="85" t="str">
        <f>IF(L372="","Open",IF(OR(P372&lt;[2]Setup!$B$6,Q372&gt;[2]Setup!$B$7,R372&gt;[2]Setup!$B$8,O372&gt;[2]Setup!$B$10),"Review","OK"))</f>
        <v>Open</v>
      </c>
      <c r="X372" s="86"/>
      <c r="Z372" s="81" t="str">
        <f t="shared" si="66"/>
        <v>Bao</v>
      </c>
    </row>
    <row r="373" spans="1:26" x14ac:dyDescent="0.3">
      <c r="A373" s="84">
        <v>46198</v>
      </c>
      <c r="B373" s="100">
        <f t="shared" si="63"/>
        <v>26</v>
      </c>
      <c r="C373" s="84" t="str">
        <f t="shared" si="64"/>
        <v>June</v>
      </c>
      <c r="D373" s="85" t="str">
        <f t="shared" si="65"/>
        <v>Thu</v>
      </c>
      <c r="E373" s="86" t="s">
        <v>220</v>
      </c>
      <c r="F373" s="86" t="s">
        <v>222</v>
      </c>
      <c r="G373" s="86" t="s">
        <v>223</v>
      </c>
      <c r="H373" s="86" t="s">
        <v>224</v>
      </c>
      <c r="I373" s="87" t="str">
        <f>IF(F373=0,"",IF(COUNTIF(F373,"Bao"),[2]Setup!$B$4,IF(COUNTIF(F373,"Soup Dumplings"),[2]Setup!$B$5,F373)))</f>
        <v>Bao Prep</v>
      </c>
      <c r="J373" s="88">
        <f t="shared" si="71"/>
        <v>0</v>
      </c>
      <c r="K373" s="88"/>
      <c r="L373" s="87"/>
      <c r="M373" s="87"/>
      <c r="N373" s="87"/>
      <c r="O373" s="87"/>
      <c r="P373" s="89" t="str">
        <f t="shared" si="67"/>
        <v/>
      </c>
      <c r="Q373" s="89" t="str">
        <f t="shared" si="68"/>
        <v/>
      </c>
      <c r="R373" s="89" t="str">
        <f t="shared" si="69"/>
        <v/>
      </c>
      <c r="S373" s="88" t="str">
        <f>IF(F373="Bao",[2]Setup!$B$4,IF(F373="Soup Dumplings",[2]Setup!$B$5,""))</f>
        <v/>
      </c>
      <c r="T373" s="88" t="str">
        <f t="shared" si="70"/>
        <v/>
      </c>
      <c r="U373" s="84" t="e">
        <f t="shared" si="72"/>
        <v>#VALUE!</v>
      </c>
      <c r="V373" s="88" t="e">
        <f>IF(U373="",0,MAX(0,T373)+N373+ROUND(J373*[2]Setup!$B$9,0)+IF(O373&gt;[2]Setup!$B$10,ROUND(J373*[2]Setup!$B$11,0),0))</f>
        <v>#VALUE!</v>
      </c>
      <c r="W373" s="85" t="str">
        <f>IF(L373="","Open",IF(OR(P373&lt;[2]Setup!$B$6,Q373&gt;[2]Setup!$B$7,R373&gt;[2]Setup!$B$8,O373&gt;[2]Setup!$B$10),"Review","OK"))</f>
        <v>Open</v>
      </c>
      <c r="X373" s="86"/>
      <c r="Z373" s="81" t="str">
        <f t="shared" si="66"/>
        <v>Bao</v>
      </c>
    </row>
    <row r="374" spans="1:26" ht="28.8" x14ac:dyDescent="0.3">
      <c r="A374" s="84">
        <v>46198</v>
      </c>
      <c r="B374" s="100">
        <f t="shared" si="63"/>
        <v>26</v>
      </c>
      <c r="C374" s="84" t="str">
        <f t="shared" si="64"/>
        <v>June</v>
      </c>
      <c r="D374" s="85" t="str">
        <f t="shared" si="65"/>
        <v>Thu</v>
      </c>
      <c r="E374" s="86" t="s">
        <v>220</v>
      </c>
      <c r="F374" s="86" t="s">
        <v>251</v>
      </c>
      <c r="G374" s="86" t="s">
        <v>82</v>
      </c>
      <c r="H374" s="86" t="s">
        <v>249</v>
      </c>
      <c r="I374" s="87" t="str">
        <f>IF(F374=0,"",IF(COUNTIF(F374,"Bao"),[2]Setup!$B$4,IF(COUNTIF(F374,"Soup Dumplings"),[2]Setup!$B$5,F374)))</f>
        <v>Pack Bao</v>
      </c>
      <c r="J374" s="88">
        <f t="shared" si="71"/>
        <v>0</v>
      </c>
      <c r="K374" s="88" t="s">
        <v>408</v>
      </c>
      <c r="L374" s="87"/>
      <c r="M374" s="87"/>
      <c r="N374" s="87"/>
      <c r="O374" s="87"/>
      <c r="P374" s="89" t="str">
        <f t="shared" si="67"/>
        <v/>
      </c>
      <c r="Q374" s="89" t="str">
        <f t="shared" si="68"/>
        <v/>
      </c>
      <c r="R374" s="89" t="str">
        <f t="shared" si="69"/>
        <v/>
      </c>
      <c r="S374" s="88" t="str">
        <f>IF(F374="Bao",[2]Setup!$B$4,IF(F374="Soup Dumplings",[2]Setup!$B$5,""))</f>
        <v/>
      </c>
      <c r="T374" s="88" t="str">
        <f t="shared" si="70"/>
        <v/>
      </c>
      <c r="U374" s="84" t="e">
        <f t="shared" si="72"/>
        <v>#VALUE!</v>
      </c>
      <c r="V374" s="88" t="e">
        <f>IF(U374="",0,MAX(0,T374)+N374+ROUND(J374*[2]Setup!$B$9,0)+IF(O374&gt;[2]Setup!$B$10,ROUND(J374*[2]Setup!$B$11,0),0))</f>
        <v>#VALUE!</v>
      </c>
      <c r="W374" s="85" t="str">
        <f>IF(L374="","Open",IF(OR(P374&lt;[2]Setup!$B$6,Q374&gt;[2]Setup!$B$7,R374&gt;[2]Setup!$B$8,O374&gt;[2]Setup!$B$10),"Review","OK"))</f>
        <v>Open</v>
      </c>
      <c r="X374" s="86"/>
      <c r="Z374" s="81" t="str">
        <f t="shared" si="66"/>
        <v>Pac</v>
      </c>
    </row>
    <row r="375" spans="1:26" x14ac:dyDescent="0.3">
      <c r="A375" s="84">
        <v>46198</v>
      </c>
      <c r="B375" s="100">
        <f t="shared" si="63"/>
        <v>26</v>
      </c>
      <c r="C375" s="84" t="str">
        <f t="shared" si="64"/>
        <v>June</v>
      </c>
      <c r="D375" s="85" t="str">
        <f t="shared" si="65"/>
        <v>Thu</v>
      </c>
      <c r="E375" s="86" t="s">
        <v>220</v>
      </c>
      <c r="F375" s="86" t="s">
        <v>222</v>
      </c>
      <c r="G375" s="86" t="s">
        <v>235</v>
      </c>
      <c r="H375" s="86" t="s">
        <v>227</v>
      </c>
      <c r="I375" s="87" t="str">
        <f>IF(F375=0,"",IF(COUNTIF(F375,"Bao"),[2]Setup!$B$4,IF(COUNTIF(F375,"Soup Dumplings"),[2]Setup!$B$5,F375)))</f>
        <v>Bao Prep</v>
      </c>
      <c r="J375" s="88">
        <f t="shared" si="71"/>
        <v>0</v>
      </c>
      <c r="K375" s="88" t="s">
        <v>266</v>
      </c>
      <c r="L375" s="87"/>
      <c r="M375" s="87"/>
      <c r="N375" s="87"/>
      <c r="O375" s="87"/>
      <c r="P375" s="89" t="str">
        <f t="shared" si="67"/>
        <v/>
      </c>
      <c r="Q375" s="89" t="str">
        <f t="shared" si="68"/>
        <v/>
      </c>
      <c r="R375" s="89" t="str">
        <f t="shared" si="69"/>
        <v/>
      </c>
      <c r="S375" s="88" t="str">
        <f>IF(F375="Bao",[2]Setup!$B$4,IF(F375="Soup Dumplings",[2]Setup!$B$5,""))</f>
        <v/>
      </c>
      <c r="T375" s="88" t="str">
        <f t="shared" si="70"/>
        <v/>
      </c>
      <c r="U375" s="84" t="e">
        <f t="shared" si="72"/>
        <v>#VALUE!</v>
      </c>
      <c r="V375" s="88" t="e">
        <f>IF(U375="",0,MAX(0,T375)+N375+ROUND(J375*[2]Setup!$B$9,0)+IF(O375&gt;[2]Setup!$B$10,ROUND(J375*[2]Setup!$B$11,0),0))</f>
        <v>#VALUE!</v>
      </c>
      <c r="W375" s="85" t="str">
        <f>IF(L375="","Open",IF(OR(P375&lt;[2]Setup!$B$6,Q375&gt;[2]Setup!$B$7,R375&gt;[2]Setup!$B$8,O375&gt;[2]Setup!$B$10),"Review","OK"))</f>
        <v>Open</v>
      </c>
      <c r="X375" s="86"/>
      <c r="Z375" s="81" t="str">
        <f t="shared" si="66"/>
        <v>Bao</v>
      </c>
    </row>
    <row r="376" spans="1:26" ht="28.8" x14ac:dyDescent="0.3">
      <c r="A376" s="84">
        <v>46198</v>
      </c>
      <c r="B376" s="100">
        <f t="shared" si="63"/>
        <v>26</v>
      </c>
      <c r="C376" s="84" t="str">
        <f t="shared" si="64"/>
        <v>June</v>
      </c>
      <c r="D376" s="85" t="str">
        <f t="shared" si="65"/>
        <v>Thu</v>
      </c>
      <c r="E376" s="86" t="s">
        <v>220</v>
      </c>
      <c r="F376" s="86" t="s">
        <v>237</v>
      </c>
      <c r="G376" s="86" t="s">
        <v>238</v>
      </c>
      <c r="H376" s="86" t="s">
        <v>227</v>
      </c>
      <c r="I376" s="87" t="str">
        <f>IF(F376=0,"",IF(COUNTIF(F376,"Bao"),[2]Setup!$B$4,IF(COUNTIF(F376,"Soup Dumplings"),[2]Setup!$B$5,F376)))</f>
        <v>Soup Dumpling Prep</v>
      </c>
      <c r="J376" s="88">
        <f t="shared" si="71"/>
        <v>0</v>
      </c>
      <c r="K376" s="88" t="s">
        <v>293</v>
      </c>
      <c r="L376" s="87"/>
      <c r="M376" s="87"/>
      <c r="N376" s="87"/>
      <c r="O376" s="87"/>
      <c r="P376" s="89" t="str">
        <f t="shared" si="67"/>
        <v/>
      </c>
      <c r="Q376" s="89" t="str">
        <f t="shared" si="68"/>
        <v/>
      </c>
      <c r="R376" s="89" t="str">
        <f t="shared" si="69"/>
        <v/>
      </c>
      <c r="S376" s="88" t="str">
        <f>IF(F376="Bao",[2]Setup!$B$4,IF(F376="Soup Dumplings",[2]Setup!$B$5,""))</f>
        <v/>
      </c>
      <c r="T376" s="88" t="str">
        <f t="shared" si="70"/>
        <v/>
      </c>
      <c r="U376" s="84" t="e">
        <f t="shared" si="72"/>
        <v>#VALUE!</v>
      </c>
      <c r="V376" s="88" t="e">
        <f>IF(U376="",0,MAX(0,T376)+N376+ROUND(J376*[2]Setup!$B$9,0)+IF(O376&gt;[2]Setup!$B$10,ROUND(J376*[2]Setup!$B$11,0),0))</f>
        <v>#VALUE!</v>
      </c>
      <c r="W376" s="85" t="str">
        <f>IF(L376="","Open",IF(OR(P376&lt;[2]Setup!$B$6,Q376&gt;[2]Setup!$B$7,R376&gt;[2]Setup!$B$8,O376&gt;[2]Setup!$B$10),"Review","OK"))</f>
        <v>Open</v>
      </c>
      <c r="X376" s="86"/>
      <c r="Z376" s="81" t="str">
        <f t="shared" si="66"/>
        <v>Sou</v>
      </c>
    </row>
    <row r="377" spans="1:26" ht="28.8" x14ac:dyDescent="0.3">
      <c r="A377" s="84">
        <v>46198</v>
      </c>
      <c r="B377" s="100">
        <f t="shared" si="63"/>
        <v>26</v>
      </c>
      <c r="C377" s="84" t="str">
        <f t="shared" si="64"/>
        <v>June</v>
      </c>
      <c r="D377" s="85" t="str">
        <f t="shared" si="65"/>
        <v>Thu</v>
      </c>
      <c r="E377" s="86" t="s">
        <v>220</v>
      </c>
      <c r="F377" s="86" t="s">
        <v>222</v>
      </c>
      <c r="G377" s="86" t="s">
        <v>226</v>
      </c>
      <c r="H377" s="86" t="s">
        <v>229</v>
      </c>
      <c r="I377" s="87" t="str">
        <f>IF(F377=0,"",IF(COUNTIF(F377,"Bao"),[2]Setup!$B$4,IF(COUNTIF(F377,"Soup Dumplings"),[2]Setup!$B$5,F377)))</f>
        <v>Bao Prep</v>
      </c>
      <c r="J377" s="88">
        <f t="shared" si="71"/>
        <v>0</v>
      </c>
      <c r="K377" s="88" t="s">
        <v>411</v>
      </c>
      <c r="L377" s="87"/>
      <c r="M377" s="87"/>
      <c r="N377" s="87"/>
      <c r="O377" s="87"/>
      <c r="P377" s="89" t="str">
        <f t="shared" si="67"/>
        <v/>
      </c>
      <c r="Q377" s="89" t="str">
        <f t="shared" si="68"/>
        <v/>
      </c>
      <c r="R377" s="89" t="str">
        <f t="shared" si="69"/>
        <v/>
      </c>
      <c r="S377" s="88" t="str">
        <f>IF(F377="Bao",[2]Setup!$B$4,IF(F377="Soup Dumplings",[2]Setup!$B$5,""))</f>
        <v/>
      </c>
      <c r="T377" s="88" t="str">
        <f t="shared" si="70"/>
        <v/>
      </c>
      <c r="U377" s="84" t="e">
        <f t="shared" si="72"/>
        <v>#VALUE!</v>
      </c>
      <c r="V377" s="88" t="e">
        <f>IF(U377="",0,MAX(0,T377)+N377+ROUND(J377*[2]Setup!$B$9,0)+IF(O377&gt;[2]Setup!$B$10,ROUND(J377*[2]Setup!$B$11,0),0))</f>
        <v>#VALUE!</v>
      </c>
      <c r="W377" s="85" t="str">
        <f>IF(L377="","Open",IF(OR(P377&lt;[2]Setup!$B$6,Q377&gt;[2]Setup!$B$7,R377&gt;[2]Setup!$B$8,O377&gt;[2]Setup!$B$10),"Review","OK"))</f>
        <v>Open</v>
      </c>
      <c r="X377" s="86"/>
      <c r="Z377" s="81" t="str">
        <f t="shared" si="66"/>
        <v>Bao</v>
      </c>
    </row>
    <row r="378" spans="1:26" x14ac:dyDescent="0.3">
      <c r="A378" s="84"/>
      <c r="B378" s="100">
        <f t="shared" si="63"/>
        <v>0</v>
      </c>
      <c r="C378" s="84" t="str">
        <f t="shared" si="64"/>
        <v>January</v>
      </c>
      <c r="D378" s="85" t="str">
        <f t="shared" si="65"/>
        <v/>
      </c>
      <c r="E378" s="86"/>
      <c r="F378" s="86"/>
      <c r="G378" s="86"/>
      <c r="H378" s="86"/>
      <c r="I378" s="87" t="str">
        <f>IF(F378=0,"",IF(COUNTIF(F378,"Bao"),[1]Setup!$B$4,IF(COUNTIF(F378,"Soup Dumplings"),[1]Setup!$B$5,F378)))</f>
        <v/>
      </c>
      <c r="J378" s="88" t="str">
        <f t="shared" ref="J378:J430" si="73">IF(A378="","",
   IFERROR(
      N(I378)+SUMIFS($V$4:$V$30,$U$4:$U$30,A378,$G$4:$G$30,G378),
   0)
)</f>
        <v/>
      </c>
      <c r="K378" s="88"/>
      <c r="L378" s="87"/>
      <c r="M378" s="87"/>
      <c r="N378" s="87"/>
      <c r="O378" s="87"/>
      <c r="P378" s="89" t="str">
        <f t="shared" ref="P378:P430" si="74">IF(J378="","",IF(J378&gt;0,(L378+M378)/J378,""))</f>
        <v/>
      </c>
      <c r="Q378" s="89" t="str">
        <f t="shared" ref="Q378:Q430" si="75">IF(J378="","",IF(J378&gt;0,MAX(0,(J378-(L378+M378))/J378),""))</f>
        <v/>
      </c>
      <c r="R378" s="89" t="str">
        <f t="shared" ref="R378:R430" si="76">IF(J378="","",IF(J378&gt;0,MAX(0,(L378+M378-J378)/J378),""))</f>
        <v/>
      </c>
      <c r="S378" s="88" t="str">
        <f>IF(F378="Bao",[1]Setup!$B$4,IF(F378="Soup Dumplings",[1]Setup!$B$5,""))</f>
        <v/>
      </c>
      <c r="T378" s="88" t="str">
        <f t="shared" ref="T378:T430" si="77">IF(L378="","",S378-L378)</f>
        <v/>
      </c>
      <c r="U378" s="84" t="str">
        <f t="shared" ref="U378:U430" si="78">IF(A378="","",A378+1)</f>
        <v/>
      </c>
      <c r="V378" s="88">
        <f>IF(U378="",0,MAX(0,T378)+N378+ROUND(J378*[1]Setup!$B$9,0)+IF(O378&gt;[1]Setup!$B$10,ROUND(J378*[1]Setup!$B$11,0),0))</f>
        <v>0</v>
      </c>
      <c r="W378" s="85" t="str">
        <f>IF(L378="","Open",IF(OR(P378&lt;[1]Setup!$B$6,Q378&gt;[1]Setup!$B$7,R378&gt;[1]Setup!$B$8,O378&gt;[1]Setup!$B$10),"Review","OK"))</f>
        <v>Open</v>
      </c>
      <c r="X378" s="86"/>
      <c r="Z378" s="81" t="str">
        <f t="shared" si="66"/>
        <v/>
      </c>
    </row>
    <row r="379" spans="1:26" x14ac:dyDescent="0.3">
      <c r="A379" s="84"/>
      <c r="B379" s="100">
        <f t="shared" si="63"/>
        <v>0</v>
      </c>
      <c r="C379" s="84" t="str">
        <f t="shared" si="64"/>
        <v>January</v>
      </c>
      <c r="D379" s="85" t="str">
        <f t="shared" si="65"/>
        <v/>
      </c>
      <c r="E379" s="86"/>
      <c r="F379" s="86"/>
      <c r="G379" s="86"/>
      <c r="H379" s="86"/>
      <c r="I379" s="87" t="str">
        <f>IF(F379=0,"",IF(COUNTIF(F379,"Bao"),[1]Setup!$B$4,IF(COUNTIF(F379,"Soup Dumplings"),[1]Setup!$B$5,F379)))</f>
        <v/>
      </c>
      <c r="J379" s="88" t="str">
        <f t="shared" si="73"/>
        <v/>
      </c>
      <c r="K379" s="88"/>
      <c r="L379" s="87"/>
      <c r="M379" s="87"/>
      <c r="N379" s="87"/>
      <c r="O379" s="87"/>
      <c r="P379" s="89" t="str">
        <f t="shared" si="74"/>
        <v/>
      </c>
      <c r="Q379" s="89" t="str">
        <f t="shared" si="75"/>
        <v/>
      </c>
      <c r="R379" s="89" t="str">
        <f t="shared" si="76"/>
        <v/>
      </c>
      <c r="S379" s="88" t="str">
        <f>IF(F379="Bao",[1]Setup!$B$4,IF(F379="Soup Dumplings",[1]Setup!$B$5,""))</f>
        <v/>
      </c>
      <c r="T379" s="88" t="str">
        <f t="shared" si="77"/>
        <v/>
      </c>
      <c r="U379" s="84" t="str">
        <f t="shared" si="78"/>
        <v/>
      </c>
      <c r="V379" s="88">
        <f>IF(U379="",0,MAX(0,T379)+N379+ROUND(J379*[1]Setup!$B$9,0)+IF(O379&gt;[1]Setup!$B$10,ROUND(J379*[1]Setup!$B$11,0),0))</f>
        <v>0</v>
      </c>
      <c r="W379" s="85" t="str">
        <f>IF(L379="","Open",IF(OR(P379&lt;[1]Setup!$B$6,Q379&gt;[1]Setup!$B$7,R379&gt;[1]Setup!$B$8,O379&gt;[1]Setup!$B$10),"Review","OK"))</f>
        <v>Open</v>
      </c>
      <c r="X379" s="86"/>
      <c r="Z379" s="81" t="str">
        <f t="shared" si="66"/>
        <v/>
      </c>
    </row>
    <row r="380" spans="1:26" x14ac:dyDescent="0.3">
      <c r="A380" s="84"/>
      <c r="B380" s="100">
        <f t="shared" si="63"/>
        <v>0</v>
      </c>
      <c r="C380" s="84" t="str">
        <f t="shared" si="64"/>
        <v>January</v>
      </c>
      <c r="D380" s="85" t="str">
        <f t="shared" si="65"/>
        <v/>
      </c>
      <c r="E380" s="86"/>
      <c r="F380" s="86"/>
      <c r="G380" s="86"/>
      <c r="H380" s="86"/>
      <c r="I380" s="87" t="str">
        <f>IF(F380=0,"",IF(COUNTIF(F380,"Bao"),[1]Setup!$B$4,IF(COUNTIF(F380,"Soup Dumplings"),[1]Setup!$B$5,F380)))</f>
        <v/>
      </c>
      <c r="J380" s="88" t="str">
        <f t="shared" si="73"/>
        <v/>
      </c>
      <c r="K380" s="88"/>
      <c r="L380" s="87"/>
      <c r="M380" s="87"/>
      <c r="N380" s="87"/>
      <c r="O380" s="87"/>
      <c r="P380" s="89" t="str">
        <f t="shared" si="74"/>
        <v/>
      </c>
      <c r="Q380" s="89" t="str">
        <f t="shared" si="75"/>
        <v/>
      </c>
      <c r="R380" s="89" t="str">
        <f t="shared" si="76"/>
        <v/>
      </c>
      <c r="S380" s="88" t="str">
        <f>IF(F380="Bao",[1]Setup!$B$4,IF(F380="Soup Dumplings",[1]Setup!$B$5,""))</f>
        <v/>
      </c>
      <c r="T380" s="88" t="str">
        <f t="shared" si="77"/>
        <v/>
      </c>
      <c r="U380" s="84" t="str">
        <f t="shared" si="78"/>
        <v/>
      </c>
      <c r="V380" s="88">
        <f>IF(U380="",0,MAX(0,T380)+N380+ROUND(J380*[1]Setup!$B$9,0)+IF(O380&gt;[1]Setup!$B$10,ROUND(J380*[1]Setup!$B$11,0),0))</f>
        <v>0</v>
      </c>
      <c r="W380" s="85" t="str">
        <f>IF(L380="","Open",IF(OR(P380&lt;[1]Setup!$B$6,Q380&gt;[1]Setup!$B$7,R380&gt;[1]Setup!$B$8,O380&gt;[1]Setup!$B$10),"Review","OK"))</f>
        <v>Open</v>
      </c>
      <c r="X380" s="86"/>
      <c r="Z380" s="81" t="str">
        <f t="shared" si="66"/>
        <v/>
      </c>
    </row>
    <row r="381" spans="1:26" x14ac:dyDescent="0.3">
      <c r="A381" s="84"/>
      <c r="B381" s="100">
        <f t="shared" si="63"/>
        <v>0</v>
      </c>
      <c r="C381" s="84" t="str">
        <f t="shared" si="64"/>
        <v>January</v>
      </c>
      <c r="D381" s="85" t="str">
        <f t="shared" si="65"/>
        <v/>
      </c>
      <c r="E381" s="86"/>
      <c r="F381" s="86"/>
      <c r="G381" s="86"/>
      <c r="H381" s="86"/>
      <c r="I381" s="87" t="str">
        <f>IF(F381=0,"",IF(COUNTIF(F381,"Bao"),[1]Setup!$B$4,IF(COUNTIF(F381,"Soup Dumplings"),[1]Setup!$B$5,F381)))</f>
        <v/>
      </c>
      <c r="J381" s="88" t="str">
        <f t="shared" si="73"/>
        <v/>
      </c>
      <c r="K381" s="88"/>
      <c r="L381" s="87"/>
      <c r="M381" s="87"/>
      <c r="N381" s="87"/>
      <c r="O381" s="87"/>
      <c r="P381" s="89" t="str">
        <f t="shared" si="74"/>
        <v/>
      </c>
      <c r="Q381" s="89" t="str">
        <f t="shared" si="75"/>
        <v/>
      </c>
      <c r="R381" s="89" t="str">
        <f t="shared" si="76"/>
        <v/>
      </c>
      <c r="S381" s="88" t="str">
        <f>IF(F381="Bao",[1]Setup!$B$4,IF(F381="Soup Dumplings",[1]Setup!$B$5,""))</f>
        <v/>
      </c>
      <c r="T381" s="88" t="str">
        <f t="shared" si="77"/>
        <v/>
      </c>
      <c r="U381" s="84" t="str">
        <f t="shared" si="78"/>
        <v/>
      </c>
      <c r="V381" s="88">
        <f>IF(U381="",0,MAX(0,T381)+N381+ROUND(J381*[1]Setup!$B$9,0)+IF(O381&gt;[1]Setup!$B$10,ROUND(J381*[1]Setup!$B$11,0),0))</f>
        <v>0</v>
      </c>
      <c r="W381" s="85" t="str">
        <f>IF(L381="","Open",IF(OR(P381&lt;[1]Setup!$B$6,Q381&gt;[1]Setup!$B$7,R381&gt;[1]Setup!$B$8,O381&gt;[1]Setup!$B$10),"Review","OK"))</f>
        <v>Open</v>
      </c>
      <c r="X381" s="86"/>
      <c r="Z381" s="81" t="str">
        <f t="shared" si="66"/>
        <v/>
      </c>
    </row>
    <row r="382" spans="1:26" x14ac:dyDescent="0.3">
      <c r="A382" s="84"/>
      <c r="B382" s="100">
        <f t="shared" si="63"/>
        <v>0</v>
      </c>
      <c r="C382" s="84" t="str">
        <f t="shared" si="64"/>
        <v>January</v>
      </c>
      <c r="D382" s="85" t="str">
        <f t="shared" si="65"/>
        <v/>
      </c>
      <c r="E382" s="86"/>
      <c r="F382" s="86"/>
      <c r="G382" s="86"/>
      <c r="H382" s="86"/>
      <c r="I382" s="87" t="str">
        <f>IF(F382=0,"",IF(COUNTIF(F382,"Bao"),[1]Setup!$B$4,IF(COUNTIF(F382,"Soup Dumplings"),[1]Setup!$B$5,F382)))</f>
        <v/>
      </c>
      <c r="J382" s="88" t="str">
        <f t="shared" si="73"/>
        <v/>
      </c>
      <c r="K382" s="88"/>
      <c r="L382" s="87"/>
      <c r="M382" s="87"/>
      <c r="N382" s="87"/>
      <c r="O382" s="87"/>
      <c r="P382" s="89" t="str">
        <f t="shared" si="74"/>
        <v/>
      </c>
      <c r="Q382" s="89" t="str">
        <f t="shared" si="75"/>
        <v/>
      </c>
      <c r="R382" s="89" t="str">
        <f t="shared" si="76"/>
        <v/>
      </c>
      <c r="S382" s="88" t="str">
        <f>IF(F382="Bao",[1]Setup!$B$4,IF(F382="Soup Dumplings",[1]Setup!$B$5,""))</f>
        <v/>
      </c>
      <c r="T382" s="88" t="str">
        <f t="shared" si="77"/>
        <v/>
      </c>
      <c r="U382" s="84" t="str">
        <f t="shared" si="78"/>
        <v/>
      </c>
      <c r="V382" s="88">
        <f>IF(U382="",0,MAX(0,T382)+N382+ROUND(J382*[1]Setup!$B$9,0)+IF(O382&gt;[1]Setup!$B$10,ROUND(J382*[1]Setup!$B$11,0),0))</f>
        <v>0</v>
      </c>
      <c r="W382" s="85" t="str">
        <f>IF(L382="","Open",IF(OR(P382&lt;[1]Setup!$B$6,Q382&gt;[1]Setup!$B$7,R382&gt;[1]Setup!$B$8,O382&gt;[1]Setup!$B$10),"Review","OK"))</f>
        <v>Open</v>
      </c>
      <c r="X382" s="86"/>
      <c r="Z382" s="81" t="str">
        <f t="shared" si="66"/>
        <v/>
      </c>
    </row>
    <row r="383" spans="1:26" x14ac:dyDescent="0.3">
      <c r="A383" s="84"/>
      <c r="B383" s="100">
        <f t="shared" si="63"/>
        <v>0</v>
      </c>
      <c r="C383" s="84" t="str">
        <f t="shared" si="64"/>
        <v>January</v>
      </c>
      <c r="D383" s="85" t="str">
        <f t="shared" si="65"/>
        <v/>
      </c>
      <c r="E383" s="86"/>
      <c r="F383" s="86"/>
      <c r="G383" s="86"/>
      <c r="H383" s="86"/>
      <c r="I383" s="87" t="str">
        <f>IF(F383=0,"",IF(COUNTIF(F383,"Bao"),[1]Setup!$B$4,IF(COUNTIF(F383,"Soup Dumplings"),[1]Setup!$B$5,F383)))</f>
        <v/>
      </c>
      <c r="J383" s="88" t="str">
        <f t="shared" si="73"/>
        <v/>
      </c>
      <c r="K383" s="88"/>
      <c r="L383" s="87"/>
      <c r="M383" s="87"/>
      <c r="N383" s="87"/>
      <c r="O383" s="87"/>
      <c r="P383" s="89" t="str">
        <f t="shared" si="74"/>
        <v/>
      </c>
      <c r="Q383" s="89" t="str">
        <f t="shared" si="75"/>
        <v/>
      </c>
      <c r="R383" s="89" t="str">
        <f t="shared" si="76"/>
        <v/>
      </c>
      <c r="S383" s="88" t="str">
        <f>IF(F383="Bao",[1]Setup!$B$4,IF(F383="Soup Dumplings",[1]Setup!$B$5,""))</f>
        <v/>
      </c>
      <c r="T383" s="88" t="str">
        <f t="shared" si="77"/>
        <v/>
      </c>
      <c r="U383" s="84" t="str">
        <f t="shared" si="78"/>
        <v/>
      </c>
      <c r="V383" s="88">
        <f>IF(U383="",0,MAX(0,T383)+N383+ROUND(J383*[1]Setup!$B$9,0)+IF(O383&gt;[1]Setup!$B$10,ROUND(J383*[1]Setup!$B$11,0),0))</f>
        <v>0</v>
      </c>
      <c r="W383" s="85" t="str">
        <f>IF(L383="","Open",IF(OR(P383&lt;[1]Setup!$B$6,Q383&gt;[1]Setup!$B$7,R383&gt;[1]Setup!$B$8,O383&gt;[1]Setup!$B$10),"Review","OK"))</f>
        <v>Open</v>
      </c>
      <c r="X383" s="86"/>
      <c r="Z383" s="81" t="str">
        <f t="shared" si="66"/>
        <v/>
      </c>
    </row>
    <row r="384" spans="1:26" x14ac:dyDescent="0.3">
      <c r="A384" s="84"/>
      <c r="B384" s="100">
        <f t="shared" si="63"/>
        <v>0</v>
      </c>
      <c r="C384" s="84" t="str">
        <f t="shared" si="64"/>
        <v>January</v>
      </c>
      <c r="D384" s="85" t="str">
        <f t="shared" si="65"/>
        <v/>
      </c>
      <c r="E384" s="86"/>
      <c r="F384" s="86"/>
      <c r="G384" s="86"/>
      <c r="H384" s="86"/>
      <c r="I384" s="87" t="str">
        <f>IF(F384=0,"",IF(COUNTIF(F384,"Bao"),[1]Setup!$B$4,IF(COUNTIF(F384,"Soup Dumplings"),[1]Setup!$B$5,F384)))</f>
        <v/>
      </c>
      <c r="J384" s="88" t="str">
        <f t="shared" si="73"/>
        <v/>
      </c>
      <c r="K384" s="88"/>
      <c r="L384" s="87"/>
      <c r="M384" s="87"/>
      <c r="N384" s="87"/>
      <c r="O384" s="87"/>
      <c r="P384" s="89" t="str">
        <f t="shared" si="74"/>
        <v/>
      </c>
      <c r="Q384" s="89" t="str">
        <f t="shared" si="75"/>
        <v/>
      </c>
      <c r="R384" s="89" t="str">
        <f t="shared" si="76"/>
        <v/>
      </c>
      <c r="S384" s="88" t="str">
        <f>IF(F384="Bao",[1]Setup!$B$4,IF(F384="Soup Dumplings",[1]Setup!$B$5,""))</f>
        <v/>
      </c>
      <c r="T384" s="88" t="str">
        <f t="shared" si="77"/>
        <v/>
      </c>
      <c r="U384" s="84" t="str">
        <f t="shared" si="78"/>
        <v/>
      </c>
      <c r="V384" s="88">
        <f>IF(U384="",0,MAX(0,T384)+N384+ROUND(J384*[1]Setup!$B$9,0)+IF(O384&gt;[1]Setup!$B$10,ROUND(J384*[1]Setup!$B$11,0),0))</f>
        <v>0</v>
      </c>
      <c r="W384" s="85" t="str">
        <f>IF(L384="","Open",IF(OR(P384&lt;[1]Setup!$B$6,Q384&gt;[1]Setup!$B$7,R384&gt;[1]Setup!$B$8,O384&gt;[1]Setup!$B$10),"Review","OK"))</f>
        <v>Open</v>
      </c>
      <c r="X384" s="86"/>
      <c r="Z384" s="81" t="str">
        <f t="shared" si="66"/>
        <v/>
      </c>
    </row>
    <row r="385" spans="1:26" x14ac:dyDescent="0.3">
      <c r="A385" s="84"/>
      <c r="B385" s="100">
        <f t="shared" si="63"/>
        <v>0</v>
      </c>
      <c r="C385" s="84" t="str">
        <f t="shared" si="64"/>
        <v>January</v>
      </c>
      <c r="D385" s="85" t="str">
        <f t="shared" si="65"/>
        <v/>
      </c>
      <c r="E385" s="86"/>
      <c r="F385" s="86"/>
      <c r="G385" s="86"/>
      <c r="H385" s="86"/>
      <c r="I385" s="87" t="str">
        <f>IF(F385=0,"",IF(COUNTIF(F385,"Bao"),[1]Setup!$B$4,IF(COUNTIF(F385,"Soup Dumplings"),[1]Setup!$B$5,F385)))</f>
        <v/>
      </c>
      <c r="J385" s="88" t="str">
        <f t="shared" si="73"/>
        <v/>
      </c>
      <c r="K385" s="88"/>
      <c r="L385" s="87"/>
      <c r="M385" s="87"/>
      <c r="N385" s="87"/>
      <c r="O385" s="87"/>
      <c r="P385" s="89" t="str">
        <f t="shared" si="74"/>
        <v/>
      </c>
      <c r="Q385" s="89" t="str">
        <f t="shared" si="75"/>
        <v/>
      </c>
      <c r="R385" s="89" t="str">
        <f t="shared" si="76"/>
        <v/>
      </c>
      <c r="S385" s="88" t="str">
        <f>IF(F385="Bao",[1]Setup!$B$4,IF(F385="Soup Dumplings",[1]Setup!$B$5,""))</f>
        <v/>
      </c>
      <c r="T385" s="88" t="str">
        <f t="shared" si="77"/>
        <v/>
      </c>
      <c r="U385" s="84" t="str">
        <f t="shared" si="78"/>
        <v/>
      </c>
      <c r="V385" s="88">
        <f>IF(U385="",0,MAX(0,T385)+N385+ROUND(J385*[1]Setup!$B$9,0)+IF(O385&gt;[1]Setup!$B$10,ROUND(J385*[1]Setup!$B$11,0),0))</f>
        <v>0</v>
      </c>
      <c r="W385" s="85" t="str">
        <f>IF(L385="","Open",IF(OR(P385&lt;[1]Setup!$B$6,Q385&gt;[1]Setup!$B$7,R385&gt;[1]Setup!$B$8,O385&gt;[1]Setup!$B$10),"Review","OK"))</f>
        <v>Open</v>
      </c>
      <c r="X385" s="86"/>
      <c r="Z385" s="81" t="str">
        <f t="shared" si="66"/>
        <v/>
      </c>
    </row>
    <row r="386" spans="1:26" x14ac:dyDescent="0.3">
      <c r="A386" s="84"/>
      <c r="B386" s="100">
        <f t="shared" si="63"/>
        <v>0</v>
      </c>
      <c r="C386" s="84" t="str">
        <f t="shared" si="64"/>
        <v>January</v>
      </c>
      <c r="D386" s="85" t="str">
        <f t="shared" si="65"/>
        <v/>
      </c>
      <c r="E386" s="86"/>
      <c r="F386" s="86"/>
      <c r="G386" s="86"/>
      <c r="H386" s="86"/>
      <c r="I386" s="87" t="str">
        <f>IF(F386=0,"",IF(COUNTIF(F386,"Bao"),[1]Setup!$B$4,IF(COUNTIF(F386,"Soup Dumplings"),[1]Setup!$B$5,F386)))</f>
        <v/>
      </c>
      <c r="J386" s="88" t="str">
        <f t="shared" si="73"/>
        <v/>
      </c>
      <c r="K386" s="88"/>
      <c r="L386" s="87"/>
      <c r="M386" s="87"/>
      <c r="N386" s="87"/>
      <c r="O386" s="87"/>
      <c r="P386" s="89" t="str">
        <f t="shared" si="74"/>
        <v/>
      </c>
      <c r="Q386" s="89" t="str">
        <f t="shared" si="75"/>
        <v/>
      </c>
      <c r="R386" s="89" t="str">
        <f t="shared" si="76"/>
        <v/>
      </c>
      <c r="S386" s="88" t="str">
        <f>IF(F386="Bao",[1]Setup!$B$4,IF(F386="Soup Dumplings",[1]Setup!$B$5,""))</f>
        <v/>
      </c>
      <c r="T386" s="88" t="str">
        <f t="shared" si="77"/>
        <v/>
      </c>
      <c r="U386" s="84" t="str">
        <f t="shared" si="78"/>
        <v/>
      </c>
      <c r="V386" s="88">
        <f>IF(U386="",0,MAX(0,T386)+N386+ROUND(J386*[1]Setup!$B$9,0)+IF(O386&gt;[1]Setup!$B$10,ROUND(J386*[1]Setup!$B$11,0),0))</f>
        <v>0</v>
      </c>
      <c r="W386" s="85" t="str">
        <f>IF(L386="","Open",IF(OR(P386&lt;[1]Setup!$B$6,Q386&gt;[1]Setup!$B$7,R386&gt;[1]Setup!$B$8,O386&gt;[1]Setup!$B$10),"Review","OK"))</f>
        <v>Open</v>
      </c>
      <c r="X386" s="86"/>
      <c r="Z386" s="81" t="str">
        <f t="shared" si="66"/>
        <v/>
      </c>
    </row>
    <row r="387" spans="1:26" x14ac:dyDescent="0.3">
      <c r="A387" s="84"/>
      <c r="B387" s="100">
        <f t="shared" si="63"/>
        <v>0</v>
      </c>
      <c r="C387" s="84" t="str">
        <f t="shared" si="64"/>
        <v>January</v>
      </c>
      <c r="D387" s="85" t="str">
        <f t="shared" si="65"/>
        <v/>
      </c>
      <c r="E387" s="86"/>
      <c r="F387" s="86"/>
      <c r="G387" s="86"/>
      <c r="H387" s="86"/>
      <c r="I387" s="87" t="str">
        <f>IF(F387=0,"",IF(COUNTIF(F387,"Bao"),[1]Setup!$B$4,IF(COUNTIF(F387,"Soup Dumplings"),[1]Setup!$B$5,F387)))</f>
        <v/>
      </c>
      <c r="J387" s="88" t="str">
        <f t="shared" si="73"/>
        <v/>
      </c>
      <c r="K387" s="88"/>
      <c r="L387" s="87"/>
      <c r="M387" s="87"/>
      <c r="N387" s="87"/>
      <c r="O387" s="87"/>
      <c r="P387" s="89" t="str">
        <f t="shared" si="74"/>
        <v/>
      </c>
      <c r="Q387" s="89" t="str">
        <f t="shared" si="75"/>
        <v/>
      </c>
      <c r="R387" s="89" t="str">
        <f t="shared" si="76"/>
        <v/>
      </c>
      <c r="S387" s="88" t="str">
        <f>IF(F387="Bao",[1]Setup!$B$4,IF(F387="Soup Dumplings",[1]Setup!$B$5,""))</f>
        <v/>
      </c>
      <c r="T387" s="88" t="str">
        <f t="shared" si="77"/>
        <v/>
      </c>
      <c r="U387" s="84" t="str">
        <f t="shared" si="78"/>
        <v/>
      </c>
      <c r="V387" s="88">
        <f>IF(U387="",0,MAX(0,T387)+N387+ROUND(J387*[1]Setup!$B$9,0)+IF(O387&gt;[1]Setup!$B$10,ROUND(J387*[1]Setup!$B$11,0),0))</f>
        <v>0</v>
      </c>
      <c r="W387" s="85" t="str">
        <f>IF(L387="","Open",IF(OR(P387&lt;[1]Setup!$B$6,Q387&gt;[1]Setup!$B$7,R387&gt;[1]Setup!$B$8,O387&gt;[1]Setup!$B$10),"Review","OK"))</f>
        <v>Open</v>
      </c>
      <c r="X387" s="86"/>
      <c r="Z387" s="81" t="str">
        <f t="shared" si="66"/>
        <v/>
      </c>
    </row>
    <row r="388" spans="1:26" x14ac:dyDescent="0.3">
      <c r="A388" s="84"/>
      <c r="B388" s="100">
        <f t="shared" si="63"/>
        <v>0</v>
      </c>
      <c r="C388" s="84" t="str">
        <f t="shared" si="64"/>
        <v>January</v>
      </c>
      <c r="D388" s="85" t="str">
        <f t="shared" ref="D388:D451" si="79">IF(A388="","",TEXT(A388,"ddd"))</f>
        <v/>
      </c>
      <c r="E388" s="86"/>
      <c r="F388" s="86"/>
      <c r="G388" s="86"/>
      <c r="H388" s="86"/>
      <c r="I388" s="87" t="str">
        <f>IF(F388=0,"",IF(COUNTIF(F388,"Bao"),[1]Setup!$B$4,IF(COUNTIF(F388,"Soup Dumplings"),[1]Setup!$B$5,F388)))</f>
        <v/>
      </c>
      <c r="J388" s="88" t="str">
        <f t="shared" si="73"/>
        <v/>
      </c>
      <c r="K388" s="88"/>
      <c r="L388" s="87"/>
      <c r="M388" s="87"/>
      <c r="N388" s="87"/>
      <c r="O388" s="87"/>
      <c r="P388" s="89" t="str">
        <f t="shared" si="74"/>
        <v/>
      </c>
      <c r="Q388" s="89" t="str">
        <f t="shared" si="75"/>
        <v/>
      </c>
      <c r="R388" s="89" t="str">
        <f t="shared" si="76"/>
        <v/>
      </c>
      <c r="S388" s="88" t="str">
        <f>IF(F388="Bao",[1]Setup!$B$4,IF(F388="Soup Dumplings",[1]Setup!$B$5,""))</f>
        <v/>
      </c>
      <c r="T388" s="88" t="str">
        <f t="shared" si="77"/>
        <v/>
      </c>
      <c r="U388" s="84" t="str">
        <f t="shared" si="78"/>
        <v/>
      </c>
      <c r="V388" s="88">
        <f>IF(U388="",0,MAX(0,T388)+N388+ROUND(J388*[1]Setup!$B$9,0)+IF(O388&gt;[1]Setup!$B$10,ROUND(J388*[1]Setup!$B$11,0),0))</f>
        <v>0</v>
      </c>
      <c r="W388" s="85" t="str">
        <f>IF(L388="","Open",IF(OR(P388&lt;[1]Setup!$B$6,Q388&gt;[1]Setup!$B$7,R388&gt;[1]Setup!$B$8,O388&gt;[1]Setup!$B$10),"Review","OK"))</f>
        <v>Open</v>
      </c>
      <c r="X388" s="86"/>
      <c r="Z388" s="81" t="str">
        <f t="shared" si="66"/>
        <v/>
      </c>
    </row>
    <row r="389" spans="1:26" x14ac:dyDescent="0.3">
      <c r="A389" s="84"/>
      <c r="B389" s="100">
        <f t="shared" ref="B389:B452" si="80">+WEEKNUM(A389)</f>
        <v>0</v>
      </c>
      <c r="C389" s="84" t="str">
        <f t="shared" ref="C389:C452" si="81">+TEXT(A389,"mmmm")</f>
        <v>January</v>
      </c>
      <c r="D389" s="85" t="str">
        <f t="shared" si="79"/>
        <v/>
      </c>
      <c r="E389" s="86"/>
      <c r="F389" s="86"/>
      <c r="G389" s="86"/>
      <c r="H389" s="86"/>
      <c r="I389" s="87" t="str">
        <f>IF(F389=0,"",IF(COUNTIF(F389,"Bao"),[1]Setup!$B$4,IF(COUNTIF(F389,"Soup Dumplings"),[1]Setup!$B$5,F389)))</f>
        <v/>
      </c>
      <c r="J389" s="88" t="str">
        <f t="shared" si="73"/>
        <v/>
      </c>
      <c r="K389" s="88"/>
      <c r="L389" s="87"/>
      <c r="M389" s="87"/>
      <c r="N389" s="87"/>
      <c r="O389" s="87"/>
      <c r="P389" s="89" t="str">
        <f t="shared" si="74"/>
        <v/>
      </c>
      <c r="Q389" s="89" t="str">
        <f t="shared" si="75"/>
        <v/>
      </c>
      <c r="R389" s="89" t="str">
        <f t="shared" si="76"/>
        <v/>
      </c>
      <c r="S389" s="88" t="str">
        <f>IF(F389="Bao",[1]Setup!$B$4,IF(F389="Soup Dumplings",[1]Setup!$B$5,""))</f>
        <v/>
      </c>
      <c r="T389" s="88" t="str">
        <f t="shared" si="77"/>
        <v/>
      </c>
      <c r="U389" s="84" t="str">
        <f t="shared" si="78"/>
        <v/>
      </c>
      <c r="V389" s="88">
        <f>IF(U389="",0,MAX(0,T389)+N389+ROUND(J389*[1]Setup!$B$9,0)+IF(O389&gt;[1]Setup!$B$10,ROUND(J389*[1]Setup!$B$11,0),0))</f>
        <v>0</v>
      </c>
      <c r="W389" s="85" t="str">
        <f>IF(L389="","Open",IF(OR(P389&lt;[1]Setup!$B$6,Q389&gt;[1]Setup!$B$7,R389&gt;[1]Setup!$B$8,O389&gt;[1]Setup!$B$10),"Review","OK"))</f>
        <v>Open</v>
      </c>
      <c r="X389" s="86"/>
      <c r="Z389" s="81" t="str">
        <f t="shared" ref="Z389:Z452" si="82">+LEFT(F389,3)</f>
        <v/>
      </c>
    </row>
    <row r="390" spans="1:26" x14ac:dyDescent="0.3">
      <c r="A390" s="84"/>
      <c r="B390" s="100">
        <f t="shared" si="80"/>
        <v>0</v>
      </c>
      <c r="C390" s="84" t="str">
        <f t="shared" si="81"/>
        <v>January</v>
      </c>
      <c r="D390" s="85" t="str">
        <f t="shared" si="79"/>
        <v/>
      </c>
      <c r="E390" s="86"/>
      <c r="F390" s="86"/>
      <c r="G390" s="86"/>
      <c r="H390" s="86"/>
      <c r="I390" s="87" t="str">
        <f>IF(F390=0,"",IF(COUNTIF(F390,"Bao"),[1]Setup!$B$4,IF(COUNTIF(F390,"Soup Dumplings"),[1]Setup!$B$5,F390)))</f>
        <v/>
      </c>
      <c r="J390" s="88" t="str">
        <f t="shared" si="73"/>
        <v/>
      </c>
      <c r="K390" s="88"/>
      <c r="L390" s="87"/>
      <c r="M390" s="87"/>
      <c r="N390" s="87"/>
      <c r="O390" s="87"/>
      <c r="P390" s="89" t="str">
        <f t="shared" si="74"/>
        <v/>
      </c>
      <c r="Q390" s="89" t="str">
        <f t="shared" si="75"/>
        <v/>
      </c>
      <c r="R390" s="89" t="str">
        <f t="shared" si="76"/>
        <v/>
      </c>
      <c r="S390" s="88" t="str">
        <f>IF(F390="Bao",[1]Setup!$B$4,IF(F390="Soup Dumplings",[1]Setup!$B$5,""))</f>
        <v/>
      </c>
      <c r="T390" s="88" t="str">
        <f t="shared" si="77"/>
        <v/>
      </c>
      <c r="U390" s="84" t="str">
        <f t="shared" si="78"/>
        <v/>
      </c>
      <c r="V390" s="88">
        <f>IF(U390="",0,MAX(0,T390)+N390+ROUND(J390*[1]Setup!$B$9,0)+IF(O390&gt;[1]Setup!$B$10,ROUND(J390*[1]Setup!$B$11,0),0))</f>
        <v>0</v>
      </c>
      <c r="W390" s="85" t="str">
        <f>IF(L390="","Open",IF(OR(P390&lt;[1]Setup!$B$6,Q390&gt;[1]Setup!$B$7,R390&gt;[1]Setup!$B$8,O390&gt;[1]Setup!$B$10),"Review","OK"))</f>
        <v>Open</v>
      </c>
      <c r="X390" s="86"/>
      <c r="Z390" s="81" t="str">
        <f t="shared" si="82"/>
        <v/>
      </c>
    </row>
    <row r="391" spans="1:26" x14ac:dyDescent="0.3">
      <c r="A391" s="84"/>
      <c r="B391" s="100">
        <f t="shared" si="80"/>
        <v>0</v>
      </c>
      <c r="C391" s="84" t="str">
        <f t="shared" si="81"/>
        <v>January</v>
      </c>
      <c r="D391" s="85" t="str">
        <f t="shared" si="79"/>
        <v/>
      </c>
      <c r="E391" s="86"/>
      <c r="F391" s="86"/>
      <c r="G391" s="86"/>
      <c r="H391" s="86"/>
      <c r="I391" s="87" t="str">
        <f>IF(F391=0,"",IF(COUNTIF(F391,"Bao"),[1]Setup!$B$4,IF(COUNTIF(F391,"Soup Dumplings"),[1]Setup!$B$5,F391)))</f>
        <v/>
      </c>
      <c r="J391" s="88" t="str">
        <f t="shared" si="73"/>
        <v/>
      </c>
      <c r="K391" s="88"/>
      <c r="L391" s="87"/>
      <c r="M391" s="87"/>
      <c r="N391" s="87"/>
      <c r="O391" s="87"/>
      <c r="P391" s="89" t="str">
        <f t="shared" si="74"/>
        <v/>
      </c>
      <c r="Q391" s="89" t="str">
        <f t="shared" si="75"/>
        <v/>
      </c>
      <c r="R391" s="89" t="str">
        <f t="shared" si="76"/>
        <v/>
      </c>
      <c r="S391" s="88" t="str">
        <f>IF(F391="Bao",[1]Setup!$B$4,IF(F391="Soup Dumplings",[1]Setup!$B$5,""))</f>
        <v/>
      </c>
      <c r="T391" s="88" t="str">
        <f t="shared" si="77"/>
        <v/>
      </c>
      <c r="U391" s="84" t="str">
        <f t="shared" si="78"/>
        <v/>
      </c>
      <c r="V391" s="88">
        <f>IF(U391="",0,MAX(0,T391)+N391+ROUND(J391*[1]Setup!$B$9,0)+IF(O391&gt;[1]Setup!$B$10,ROUND(J391*[1]Setup!$B$11,0),0))</f>
        <v>0</v>
      </c>
      <c r="W391" s="85" t="str">
        <f>IF(L391="","Open",IF(OR(P391&lt;[1]Setup!$B$6,Q391&gt;[1]Setup!$B$7,R391&gt;[1]Setup!$B$8,O391&gt;[1]Setup!$B$10),"Review","OK"))</f>
        <v>Open</v>
      </c>
      <c r="X391" s="86"/>
      <c r="Z391" s="81" t="str">
        <f t="shared" si="82"/>
        <v/>
      </c>
    </row>
    <row r="392" spans="1:26" x14ac:dyDescent="0.3">
      <c r="A392" s="84"/>
      <c r="B392" s="100">
        <f t="shared" si="80"/>
        <v>0</v>
      </c>
      <c r="C392" s="84" t="str">
        <f t="shared" si="81"/>
        <v>January</v>
      </c>
      <c r="D392" s="85" t="str">
        <f t="shared" si="79"/>
        <v/>
      </c>
      <c r="E392" s="86"/>
      <c r="F392" s="86"/>
      <c r="G392" s="86"/>
      <c r="H392" s="86"/>
      <c r="I392" s="87" t="str">
        <f>IF(F392=0,"",IF(COUNTIF(F392,"Bao"),[1]Setup!$B$4,IF(COUNTIF(F392,"Soup Dumplings"),[1]Setup!$B$5,F392)))</f>
        <v/>
      </c>
      <c r="J392" s="88" t="str">
        <f t="shared" si="73"/>
        <v/>
      </c>
      <c r="K392" s="88"/>
      <c r="L392" s="87"/>
      <c r="M392" s="87"/>
      <c r="N392" s="87"/>
      <c r="O392" s="87"/>
      <c r="P392" s="89" t="str">
        <f t="shared" si="74"/>
        <v/>
      </c>
      <c r="Q392" s="89" t="str">
        <f t="shared" si="75"/>
        <v/>
      </c>
      <c r="R392" s="89" t="str">
        <f t="shared" si="76"/>
        <v/>
      </c>
      <c r="S392" s="88" t="str">
        <f>IF(F392="Bao",[1]Setup!$B$4,IF(F392="Soup Dumplings",[1]Setup!$B$5,""))</f>
        <v/>
      </c>
      <c r="T392" s="88" t="str">
        <f t="shared" si="77"/>
        <v/>
      </c>
      <c r="U392" s="84" t="str">
        <f t="shared" si="78"/>
        <v/>
      </c>
      <c r="V392" s="88">
        <f>IF(U392="",0,MAX(0,T392)+N392+ROUND(J392*[1]Setup!$B$9,0)+IF(O392&gt;[1]Setup!$B$10,ROUND(J392*[1]Setup!$B$11,0),0))</f>
        <v>0</v>
      </c>
      <c r="W392" s="85" t="str">
        <f>IF(L392="","Open",IF(OR(P392&lt;[1]Setup!$B$6,Q392&gt;[1]Setup!$B$7,R392&gt;[1]Setup!$B$8,O392&gt;[1]Setup!$B$10),"Review","OK"))</f>
        <v>Open</v>
      </c>
      <c r="X392" s="86"/>
      <c r="Z392" s="81" t="str">
        <f t="shared" si="82"/>
        <v/>
      </c>
    </row>
    <row r="393" spans="1:26" x14ac:dyDescent="0.3">
      <c r="A393" s="84"/>
      <c r="B393" s="100">
        <f t="shared" si="80"/>
        <v>0</v>
      </c>
      <c r="C393" s="84" t="str">
        <f t="shared" si="81"/>
        <v>January</v>
      </c>
      <c r="D393" s="85" t="str">
        <f t="shared" si="79"/>
        <v/>
      </c>
      <c r="E393" s="86"/>
      <c r="F393" s="86"/>
      <c r="G393" s="86"/>
      <c r="H393" s="86"/>
      <c r="I393" s="87" t="str">
        <f>IF(F393=0,"",IF(COUNTIF(F393,"Bao"),[1]Setup!$B$4,IF(COUNTIF(F393,"Soup Dumplings"),[1]Setup!$B$5,F393)))</f>
        <v/>
      </c>
      <c r="J393" s="88" t="str">
        <f t="shared" si="73"/>
        <v/>
      </c>
      <c r="K393" s="88"/>
      <c r="L393" s="87"/>
      <c r="M393" s="87"/>
      <c r="N393" s="87"/>
      <c r="O393" s="87"/>
      <c r="P393" s="89" t="str">
        <f t="shared" si="74"/>
        <v/>
      </c>
      <c r="Q393" s="89" t="str">
        <f t="shared" si="75"/>
        <v/>
      </c>
      <c r="R393" s="89" t="str">
        <f t="shared" si="76"/>
        <v/>
      </c>
      <c r="S393" s="88" t="str">
        <f>IF(F393="Bao",[1]Setup!$B$4,IF(F393="Soup Dumplings",[1]Setup!$B$5,""))</f>
        <v/>
      </c>
      <c r="T393" s="88" t="str">
        <f t="shared" si="77"/>
        <v/>
      </c>
      <c r="U393" s="84" t="str">
        <f t="shared" si="78"/>
        <v/>
      </c>
      <c r="V393" s="88">
        <f>IF(U393="",0,MAX(0,T393)+N393+ROUND(J393*[1]Setup!$B$9,0)+IF(O393&gt;[1]Setup!$B$10,ROUND(J393*[1]Setup!$B$11,0),0))</f>
        <v>0</v>
      </c>
      <c r="W393" s="85" t="str">
        <f>IF(L393="","Open",IF(OR(P393&lt;[1]Setup!$B$6,Q393&gt;[1]Setup!$B$7,R393&gt;[1]Setup!$B$8,O393&gt;[1]Setup!$B$10),"Review","OK"))</f>
        <v>Open</v>
      </c>
      <c r="X393" s="86"/>
      <c r="Z393" s="81" t="str">
        <f t="shared" si="82"/>
        <v/>
      </c>
    </row>
    <row r="394" spans="1:26" x14ac:dyDescent="0.3">
      <c r="A394" s="84"/>
      <c r="B394" s="100">
        <f t="shared" si="80"/>
        <v>0</v>
      </c>
      <c r="C394" s="84" t="str">
        <f t="shared" si="81"/>
        <v>January</v>
      </c>
      <c r="D394" s="85" t="str">
        <f t="shared" si="79"/>
        <v/>
      </c>
      <c r="E394" s="86"/>
      <c r="F394" s="86"/>
      <c r="G394" s="86"/>
      <c r="H394" s="86"/>
      <c r="I394" s="87" t="str">
        <f>IF(F394=0,"",IF(COUNTIF(F394,"Bao"),[1]Setup!$B$4,IF(COUNTIF(F394,"Soup Dumplings"),[1]Setup!$B$5,F394)))</f>
        <v/>
      </c>
      <c r="J394" s="88" t="str">
        <f t="shared" si="73"/>
        <v/>
      </c>
      <c r="K394" s="88"/>
      <c r="L394" s="87"/>
      <c r="M394" s="87"/>
      <c r="N394" s="87"/>
      <c r="O394" s="87"/>
      <c r="P394" s="89" t="str">
        <f t="shared" si="74"/>
        <v/>
      </c>
      <c r="Q394" s="89" t="str">
        <f t="shared" si="75"/>
        <v/>
      </c>
      <c r="R394" s="89" t="str">
        <f t="shared" si="76"/>
        <v/>
      </c>
      <c r="S394" s="88" t="str">
        <f>IF(F394="Bao",[1]Setup!$B$4,IF(F394="Soup Dumplings",[1]Setup!$B$5,""))</f>
        <v/>
      </c>
      <c r="T394" s="88" t="str">
        <f t="shared" si="77"/>
        <v/>
      </c>
      <c r="U394" s="84" t="str">
        <f t="shared" si="78"/>
        <v/>
      </c>
      <c r="V394" s="88">
        <f>IF(U394="",0,MAX(0,T394)+N394+ROUND(J394*[1]Setup!$B$9,0)+IF(O394&gt;[1]Setup!$B$10,ROUND(J394*[1]Setup!$B$11,0),0))</f>
        <v>0</v>
      </c>
      <c r="W394" s="85" t="str">
        <f>IF(L394="","Open",IF(OR(P394&lt;[1]Setup!$B$6,Q394&gt;[1]Setup!$B$7,R394&gt;[1]Setup!$B$8,O394&gt;[1]Setup!$B$10),"Review","OK"))</f>
        <v>Open</v>
      </c>
      <c r="X394" s="86"/>
      <c r="Z394" s="81" t="str">
        <f t="shared" si="82"/>
        <v/>
      </c>
    </row>
    <row r="395" spans="1:26" x14ac:dyDescent="0.3">
      <c r="A395" s="84"/>
      <c r="B395" s="100">
        <f t="shared" si="80"/>
        <v>0</v>
      </c>
      <c r="C395" s="84" t="str">
        <f t="shared" si="81"/>
        <v>January</v>
      </c>
      <c r="D395" s="85" t="str">
        <f t="shared" si="79"/>
        <v/>
      </c>
      <c r="E395" s="86"/>
      <c r="F395" s="86"/>
      <c r="G395" s="86"/>
      <c r="H395" s="86"/>
      <c r="I395" s="87" t="str">
        <f>IF(F395=0,"",IF(COUNTIF(F395,"Bao"),[1]Setup!$B$4,IF(COUNTIF(F395,"Soup Dumplings"),[1]Setup!$B$5,F395)))</f>
        <v/>
      </c>
      <c r="J395" s="88" t="str">
        <f t="shared" si="73"/>
        <v/>
      </c>
      <c r="K395" s="88"/>
      <c r="L395" s="87"/>
      <c r="M395" s="87"/>
      <c r="N395" s="87"/>
      <c r="O395" s="87"/>
      <c r="P395" s="89" t="str">
        <f t="shared" si="74"/>
        <v/>
      </c>
      <c r="Q395" s="89" t="str">
        <f t="shared" si="75"/>
        <v/>
      </c>
      <c r="R395" s="89" t="str">
        <f t="shared" si="76"/>
        <v/>
      </c>
      <c r="S395" s="88" t="str">
        <f>IF(F395="Bao",[1]Setup!$B$4,IF(F395="Soup Dumplings",[1]Setup!$B$5,""))</f>
        <v/>
      </c>
      <c r="T395" s="88" t="str">
        <f t="shared" si="77"/>
        <v/>
      </c>
      <c r="U395" s="84" t="str">
        <f t="shared" si="78"/>
        <v/>
      </c>
      <c r="V395" s="88">
        <f>IF(U395="",0,MAX(0,T395)+N395+ROUND(J395*[1]Setup!$B$9,0)+IF(O395&gt;[1]Setup!$B$10,ROUND(J395*[1]Setup!$B$11,0),0))</f>
        <v>0</v>
      </c>
      <c r="W395" s="85" t="str">
        <f>IF(L395="","Open",IF(OR(P395&lt;[1]Setup!$B$6,Q395&gt;[1]Setup!$B$7,R395&gt;[1]Setup!$B$8,O395&gt;[1]Setup!$B$10),"Review","OK"))</f>
        <v>Open</v>
      </c>
      <c r="X395" s="86"/>
      <c r="Z395" s="81" t="str">
        <f t="shared" si="82"/>
        <v/>
      </c>
    </row>
    <row r="396" spans="1:26" x14ac:dyDescent="0.3">
      <c r="A396" s="84"/>
      <c r="B396" s="100">
        <f t="shared" si="80"/>
        <v>0</v>
      </c>
      <c r="C396" s="84" t="str">
        <f t="shared" si="81"/>
        <v>January</v>
      </c>
      <c r="D396" s="85" t="str">
        <f t="shared" si="79"/>
        <v/>
      </c>
      <c r="E396" s="86"/>
      <c r="F396" s="86"/>
      <c r="G396" s="86"/>
      <c r="H396" s="86"/>
      <c r="I396" s="87" t="str">
        <f>IF(F396=0,"",IF(COUNTIF(F396,"Bao"),[1]Setup!$B$4,IF(COUNTIF(F396,"Soup Dumplings"),[1]Setup!$B$5,F396)))</f>
        <v/>
      </c>
      <c r="J396" s="88" t="str">
        <f t="shared" si="73"/>
        <v/>
      </c>
      <c r="K396" s="88"/>
      <c r="L396" s="87"/>
      <c r="M396" s="87"/>
      <c r="N396" s="87"/>
      <c r="O396" s="87"/>
      <c r="P396" s="89" t="str">
        <f t="shared" si="74"/>
        <v/>
      </c>
      <c r="Q396" s="89" t="str">
        <f t="shared" si="75"/>
        <v/>
      </c>
      <c r="R396" s="89" t="str">
        <f t="shared" si="76"/>
        <v/>
      </c>
      <c r="S396" s="88" t="str">
        <f>IF(F396="Bao",[1]Setup!$B$4,IF(F396="Soup Dumplings",[1]Setup!$B$5,""))</f>
        <v/>
      </c>
      <c r="T396" s="88" t="str">
        <f t="shared" si="77"/>
        <v/>
      </c>
      <c r="U396" s="84" t="str">
        <f t="shared" si="78"/>
        <v/>
      </c>
      <c r="V396" s="88">
        <f>IF(U396="",0,MAX(0,T396)+N396+ROUND(J396*[1]Setup!$B$9,0)+IF(O396&gt;[1]Setup!$B$10,ROUND(J396*[1]Setup!$B$11,0),0))</f>
        <v>0</v>
      </c>
      <c r="W396" s="85" t="str">
        <f>IF(L396="","Open",IF(OR(P396&lt;[1]Setup!$B$6,Q396&gt;[1]Setup!$B$7,R396&gt;[1]Setup!$B$8,O396&gt;[1]Setup!$B$10),"Review","OK"))</f>
        <v>Open</v>
      </c>
      <c r="X396" s="86"/>
      <c r="Z396" s="81" t="str">
        <f t="shared" si="82"/>
        <v/>
      </c>
    </row>
    <row r="397" spans="1:26" x14ac:dyDescent="0.3">
      <c r="A397" s="84"/>
      <c r="B397" s="100">
        <f t="shared" si="80"/>
        <v>0</v>
      </c>
      <c r="C397" s="84" t="str">
        <f t="shared" si="81"/>
        <v>January</v>
      </c>
      <c r="D397" s="85" t="str">
        <f t="shared" si="79"/>
        <v/>
      </c>
      <c r="E397" s="86"/>
      <c r="F397" s="86"/>
      <c r="G397" s="86"/>
      <c r="H397" s="86"/>
      <c r="I397" s="87" t="str">
        <f>IF(F397=0,"",IF(COUNTIF(F397,"Bao"),[1]Setup!$B$4,IF(COUNTIF(F397,"Soup Dumplings"),[1]Setup!$B$5,F397)))</f>
        <v/>
      </c>
      <c r="J397" s="88" t="str">
        <f t="shared" si="73"/>
        <v/>
      </c>
      <c r="K397" s="88"/>
      <c r="L397" s="87"/>
      <c r="M397" s="87"/>
      <c r="N397" s="87"/>
      <c r="O397" s="87"/>
      <c r="P397" s="89" t="str">
        <f t="shared" si="74"/>
        <v/>
      </c>
      <c r="Q397" s="89" t="str">
        <f t="shared" si="75"/>
        <v/>
      </c>
      <c r="R397" s="89" t="str">
        <f t="shared" si="76"/>
        <v/>
      </c>
      <c r="S397" s="88" t="str">
        <f>IF(F397="Bao",[1]Setup!$B$4,IF(F397="Soup Dumplings",[1]Setup!$B$5,""))</f>
        <v/>
      </c>
      <c r="T397" s="88" t="str">
        <f t="shared" si="77"/>
        <v/>
      </c>
      <c r="U397" s="84" t="str">
        <f t="shared" si="78"/>
        <v/>
      </c>
      <c r="V397" s="88">
        <f>IF(U397="",0,MAX(0,T397)+N397+ROUND(J397*[1]Setup!$B$9,0)+IF(O397&gt;[1]Setup!$B$10,ROUND(J397*[1]Setup!$B$11,0),0))</f>
        <v>0</v>
      </c>
      <c r="W397" s="85" t="str">
        <f>IF(L397="","Open",IF(OR(P397&lt;[1]Setup!$B$6,Q397&gt;[1]Setup!$B$7,R397&gt;[1]Setup!$B$8,O397&gt;[1]Setup!$B$10),"Review","OK"))</f>
        <v>Open</v>
      </c>
      <c r="X397" s="86"/>
      <c r="Z397" s="81" t="str">
        <f t="shared" si="82"/>
        <v/>
      </c>
    </row>
    <row r="398" spans="1:26" x14ac:dyDescent="0.3">
      <c r="A398" s="84"/>
      <c r="B398" s="100">
        <f t="shared" si="80"/>
        <v>0</v>
      </c>
      <c r="C398" s="84" t="str">
        <f t="shared" si="81"/>
        <v>January</v>
      </c>
      <c r="D398" s="85" t="str">
        <f t="shared" si="79"/>
        <v/>
      </c>
      <c r="E398" s="86"/>
      <c r="F398" s="86"/>
      <c r="G398" s="86"/>
      <c r="H398" s="86"/>
      <c r="I398" s="87" t="str">
        <f>IF(F398=0,"",IF(COUNTIF(F398,"Bao"),[1]Setup!$B$4,IF(COUNTIF(F398,"Soup Dumplings"),[1]Setup!$B$5,F398)))</f>
        <v/>
      </c>
      <c r="J398" s="88" t="str">
        <f t="shared" si="73"/>
        <v/>
      </c>
      <c r="K398" s="88"/>
      <c r="L398" s="87"/>
      <c r="M398" s="87"/>
      <c r="N398" s="87"/>
      <c r="O398" s="87"/>
      <c r="P398" s="89" t="str">
        <f t="shared" si="74"/>
        <v/>
      </c>
      <c r="Q398" s="89" t="str">
        <f t="shared" si="75"/>
        <v/>
      </c>
      <c r="R398" s="89" t="str">
        <f t="shared" si="76"/>
        <v/>
      </c>
      <c r="S398" s="88" t="str">
        <f>IF(F398="Bao",[1]Setup!$B$4,IF(F398="Soup Dumplings",[1]Setup!$B$5,""))</f>
        <v/>
      </c>
      <c r="T398" s="88" t="str">
        <f t="shared" si="77"/>
        <v/>
      </c>
      <c r="U398" s="84" t="str">
        <f t="shared" si="78"/>
        <v/>
      </c>
      <c r="V398" s="88">
        <f>IF(U398="",0,MAX(0,T398)+N398+ROUND(J398*[1]Setup!$B$9,0)+IF(O398&gt;[1]Setup!$B$10,ROUND(J398*[1]Setup!$B$11,0),0))</f>
        <v>0</v>
      </c>
      <c r="W398" s="85" t="str">
        <f>IF(L398="","Open",IF(OR(P398&lt;[1]Setup!$B$6,Q398&gt;[1]Setup!$B$7,R398&gt;[1]Setup!$B$8,O398&gt;[1]Setup!$B$10),"Review","OK"))</f>
        <v>Open</v>
      </c>
      <c r="X398" s="86"/>
      <c r="Z398" s="81" t="str">
        <f t="shared" si="82"/>
        <v/>
      </c>
    </row>
    <row r="399" spans="1:26" x14ac:dyDescent="0.3">
      <c r="A399" s="84"/>
      <c r="B399" s="100">
        <f t="shared" si="80"/>
        <v>0</v>
      </c>
      <c r="C399" s="84" t="str">
        <f t="shared" si="81"/>
        <v>January</v>
      </c>
      <c r="D399" s="85" t="str">
        <f t="shared" si="79"/>
        <v/>
      </c>
      <c r="E399" s="86"/>
      <c r="F399" s="86"/>
      <c r="G399" s="86"/>
      <c r="H399" s="86"/>
      <c r="I399" s="87" t="str">
        <f>IF(F399=0,"",IF(COUNTIF(F399,"Bao"),[1]Setup!$B$4,IF(COUNTIF(F399,"Soup Dumplings"),[1]Setup!$B$5,F399)))</f>
        <v/>
      </c>
      <c r="J399" s="88" t="str">
        <f t="shared" si="73"/>
        <v/>
      </c>
      <c r="K399" s="88"/>
      <c r="L399" s="87"/>
      <c r="M399" s="87"/>
      <c r="N399" s="87"/>
      <c r="O399" s="87"/>
      <c r="P399" s="89" t="str">
        <f t="shared" si="74"/>
        <v/>
      </c>
      <c r="Q399" s="89" t="str">
        <f t="shared" si="75"/>
        <v/>
      </c>
      <c r="R399" s="89" t="str">
        <f t="shared" si="76"/>
        <v/>
      </c>
      <c r="S399" s="88" t="str">
        <f>IF(F399="Bao",[1]Setup!$B$4,IF(F399="Soup Dumplings",[1]Setup!$B$5,""))</f>
        <v/>
      </c>
      <c r="T399" s="88" t="str">
        <f t="shared" si="77"/>
        <v/>
      </c>
      <c r="U399" s="84" t="str">
        <f t="shared" si="78"/>
        <v/>
      </c>
      <c r="V399" s="88">
        <f>IF(U399="",0,MAX(0,T399)+N399+ROUND(J399*[1]Setup!$B$9,0)+IF(O399&gt;[1]Setup!$B$10,ROUND(J399*[1]Setup!$B$11,0),0))</f>
        <v>0</v>
      </c>
      <c r="W399" s="85" t="str">
        <f>IF(L399="","Open",IF(OR(P399&lt;[1]Setup!$B$6,Q399&gt;[1]Setup!$B$7,R399&gt;[1]Setup!$B$8,O399&gt;[1]Setup!$B$10),"Review","OK"))</f>
        <v>Open</v>
      </c>
      <c r="X399" s="86"/>
      <c r="Z399" s="81" t="str">
        <f t="shared" si="82"/>
        <v/>
      </c>
    </row>
    <row r="400" spans="1:26" x14ac:dyDescent="0.3">
      <c r="A400" s="84"/>
      <c r="B400" s="100">
        <f t="shared" si="80"/>
        <v>0</v>
      </c>
      <c r="C400" s="84" t="str">
        <f t="shared" si="81"/>
        <v>January</v>
      </c>
      <c r="D400" s="85" t="str">
        <f t="shared" si="79"/>
        <v/>
      </c>
      <c r="E400" s="86"/>
      <c r="F400" s="86"/>
      <c r="G400" s="86"/>
      <c r="H400" s="86"/>
      <c r="I400" s="87" t="str">
        <f>IF(F400=0,"",IF(COUNTIF(F400,"Bao"),[1]Setup!$B$4,IF(COUNTIF(F400,"Soup Dumplings"),[1]Setup!$B$5,F400)))</f>
        <v/>
      </c>
      <c r="J400" s="88" t="str">
        <f t="shared" si="73"/>
        <v/>
      </c>
      <c r="K400" s="88"/>
      <c r="L400" s="87"/>
      <c r="M400" s="87"/>
      <c r="N400" s="87"/>
      <c r="O400" s="87"/>
      <c r="P400" s="89" t="str">
        <f t="shared" si="74"/>
        <v/>
      </c>
      <c r="Q400" s="89" t="str">
        <f t="shared" si="75"/>
        <v/>
      </c>
      <c r="R400" s="89" t="str">
        <f t="shared" si="76"/>
        <v/>
      </c>
      <c r="S400" s="88" t="str">
        <f>IF(F400="Bao",[1]Setup!$B$4,IF(F400="Soup Dumplings",[1]Setup!$B$5,""))</f>
        <v/>
      </c>
      <c r="T400" s="88" t="str">
        <f t="shared" si="77"/>
        <v/>
      </c>
      <c r="U400" s="84" t="str">
        <f t="shared" si="78"/>
        <v/>
      </c>
      <c r="V400" s="88">
        <f>IF(U400="",0,MAX(0,T400)+N400+ROUND(J400*[1]Setup!$B$9,0)+IF(O400&gt;[1]Setup!$B$10,ROUND(J400*[1]Setup!$B$11,0),0))</f>
        <v>0</v>
      </c>
      <c r="W400" s="85" t="str">
        <f>IF(L400="","Open",IF(OR(P400&lt;[1]Setup!$B$6,Q400&gt;[1]Setup!$B$7,R400&gt;[1]Setup!$B$8,O400&gt;[1]Setup!$B$10),"Review","OK"))</f>
        <v>Open</v>
      </c>
      <c r="X400" s="86"/>
      <c r="Z400" s="81" t="str">
        <f t="shared" si="82"/>
        <v/>
      </c>
    </row>
    <row r="401" spans="1:26" x14ac:dyDescent="0.3">
      <c r="A401" s="84"/>
      <c r="B401" s="100">
        <f t="shared" si="80"/>
        <v>0</v>
      </c>
      <c r="C401" s="84" t="str">
        <f t="shared" si="81"/>
        <v>January</v>
      </c>
      <c r="D401" s="85" t="str">
        <f t="shared" si="79"/>
        <v/>
      </c>
      <c r="E401" s="86"/>
      <c r="F401" s="86"/>
      <c r="G401" s="86"/>
      <c r="H401" s="86"/>
      <c r="I401" s="87" t="str">
        <f>IF(F401=0,"",IF(COUNTIF(F401,"Bao"),[1]Setup!$B$4,IF(COUNTIF(F401,"Soup Dumplings"),[1]Setup!$B$5,F401)))</f>
        <v/>
      </c>
      <c r="J401" s="88" t="str">
        <f t="shared" si="73"/>
        <v/>
      </c>
      <c r="K401" s="88"/>
      <c r="L401" s="87"/>
      <c r="M401" s="87"/>
      <c r="N401" s="87"/>
      <c r="O401" s="87"/>
      <c r="P401" s="89" t="str">
        <f t="shared" si="74"/>
        <v/>
      </c>
      <c r="Q401" s="89" t="str">
        <f t="shared" si="75"/>
        <v/>
      </c>
      <c r="R401" s="89" t="str">
        <f t="shared" si="76"/>
        <v/>
      </c>
      <c r="S401" s="88" t="str">
        <f>IF(F401="Bao",[1]Setup!$B$4,IF(F401="Soup Dumplings",[1]Setup!$B$5,""))</f>
        <v/>
      </c>
      <c r="T401" s="88" t="str">
        <f t="shared" si="77"/>
        <v/>
      </c>
      <c r="U401" s="84" t="str">
        <f t="shared" si="78"/>
        <v/>
      </c>
      <c r="V401" s="88">
        <f>IF(U401="",0,MAX(0,T401)+N401+ROUND(J401*[1]Setup!$B$9,0)+IF(O401&gt;[1]Setup!$B$10,ROUND(J401*[1]Setup!$B$11,0),0))</f>
        <v>0</v>
      </c>
      <c r="W401" s="85" t="str">
        <f>IF(L401="","Open",IF(OR(P401&lt;[1]Setup!$B$6,Q401&gt;[1]Setup!$B$7,R401&gt;[1]Setup!$B$8,O401&gt;[1]Setup!$B$10),"Review","OK"))</f>
        <v>Open</v>
      </c>
      <c r="X401" s="86"/>
      <c r="Z401" s="81" t="str">
        <f t="shared" si="82"/>
        <v/>
      </c>
    </row>
    <row r="402" spans="1:26" x14ac:dyDescent="0.3">
      <c r="A402" s="84"/>
      <c r="B402" s="100">
        <f t="shared" si="80"/>
        <v>0</v>
      </c>
      <c r="C402" s="84" t="str">
        <f t="shared" si="81"/>
        <v>January</v>
      </c>
      <c r="D402" s="85" t="str">
        <f t="shared" si="79"/>
        <v/>
      </c>
      <c r="E402" s="86"/>
      <c r="F402" s="86"/>
      <c r="G402" s="86"/>
      <c r="H402" s="86"/>
      <c r="I402" s="87" t="str">
        <f>IF(F402=0,"",IF(COUNTIF(F402,"Bao"),[1]Setup!$B$4,IF(COUNTIF(F402,"Soup Dumplings"),[1]Setup!$B$5,F402)))</f>
        <v/>
      </c>
      <c r="J402" s="88" t="str">
        <f t="shared" si="73"/>
        <v/>
      </c>
      <c r="K402" s="88"/>
      <c r="L402" s="87"/>
      <c r="M402" s="87"/>
      <c r="N402" s="87"/>
      <c r="O402" s="87"/>
      <c r="P402" s="89" t="str">
        <f t="shared" si="74"/>
        <v/>
      </c>
      <c r="Q402" s="89" t="str">
        <f t="shared" si="75"/>
        <v/>
      </c>
      <c r="R402" s="89" t="str">
        <f t="shared" si="76"/>
        <v/>
      </c>
      <c r="S402" s="88" t="str">
        <f>IF(F402="Bao",[1]Setup!$B$4,IF(F402="Soup Dumplings",[1]Setup!$B$5,""))</f>
        <v/>
      </c>
      <c r="T402" s="88" t="str">
        <f t="shared" si="77"/>
        <v/>
      </c>
      <c r="U402" s="84" t="str">
        <f t="shared" si="78"/>
        <v/>
      </c>
      <c r="V402" s="88">
        <f>IF(U402="",0,MAX(0,T402)+N402+ROUND(J402*[1]Setup!$B$9,0)+IF(O402&gt;[1]Setup!$B$10,ROUND(J402*[1]Setup!$B$11,0),0))</f>
        <v>0</v>
      </c>
      <c r="W402" s="85" t="str">
        <f>IF(L402="","Open",IF(OR(P402&lt;[1]Setup!$B$6,Q402&gt;[1]Setup!$B$7,R402&gt;[1]Setup!$B$8,O402&gt;[1]Setup!$B$10),"Review","OK"))</f>
        <v>Open</v>
      </c>
      <c r="X402" s="86"/>
      <c r="Z402" s="81" t="str">
        <f t="shared" si="82"/>
        <v/>
      </c>
    </row>
    <row r="403" spans="1:26" x14ac:dyDescent="0.3">
      <c r="A403" s="84"/>
      <c r="B403" s="100">
        <f t="shared" si="80"/>
        <v>0</v>
      </c>
      <c r="C403" s="84" t="str">
        <f t="shared" si="81"/>
        <v>January</v>
      </c>
      <c r="D403" s="85" t="str">
        <f t="shared" si="79"/>
        <v/>
      </c>
      <c r="E403" s="86"/>
      <c r="F403" s="86"/>
      <c r="G403" s="86"/>
      <c r="H403" s="86"/>
      <c r="I403" s="87" t="str">
        <f>IF(F403=0,"",IF(COUNTIF(F403,"Bao"),[1]Setup!$B$4,IF(COUNTIF(F403,"Soup Dumplings"),[1]Setup!$B$5,F403)))</f>
        <v/>
      </c>
      <c r="J403" s="88" t="str">
        <f t="shared" si="73"/>
        <v/>
      </c>
      <c r="K403" s="88"/>
      <c r="L403" s="87"/>
      <c r="M403" s="87"/>
      <c r="N403" s="87"/>
      <c r="O403" s="87"/>
      <c r="P403" s="89" t="str">
        <f t="shared" si="74"/>
        <v/>
      </c>
      <c r="Q403" s="89" t="str">
        <f t="shared" si="75"/>
        <v/>
      </c>
      <c r="R403" s="89" t="str">
        <f t="shared" si="76"/>
        <v/>
      </c>
      <c r="S403" s="88" t="str">
        <f>IF(F403="Bao",[1]Setup!$B$4,IF(F403="Soup Dumplings",[1]Setup!$B$5,""))</f>
        <v/>
      </c>
      <c r="T403" s="88" t="str">
        <f t="shared" si="77"/>
        <v/>
      </c>
      <c r="U403" s="84" t="str">
        <f t="shared" si="78"/>
        <v/>
      </c>
      <c r="V403" s="88">
        <f>IF(U403="",0,MAX(0,T403)+N403+ROUND(J403*[1]Setup!$B$9,0)+IF(O403&gt;[1]Setup!$B$10,ROUND(J403*[1]Setup!$B$11,0),0))</f>
        <v>0</v>
      </c>
      <c r="W403" s="85" t="str">
        <f>IF(L403="","Open",IF(OR(P403&lt;[1]Setup!$B$6,Q403&gt;[1]Setup!$B$7,R403&gt;[1]Setup!$B$8,O403&gt;[1]Setup!$B$10),"Review","OK"))</f>
        <v>Open</v>
      </c>
      <c r="X403" s="86"/>
      <c r="Z403" s="81" t="str">
        <f t="shared" si="82"/>
        <v/>
      </c>
    </row>
    <row r="404" spans="1:26" x14ac:dyDescent="0.3">
      <c r="A404" s="84"/>
      <c r="B404" s="100">
        <f t="shared" si="80"/>
        <v>0</v>
      </c>
      <c r="C404" s="84" t="str">
        <f t="shared" si="81"/>
        <v>January</v>
      </c>
      <c r="D404" s="85" t="str">
        <f t="shared" si="79"/>
        <v/>
      </c>
      <c r="E404" s="86"/>
      <c r="F404" s="86"/>
      <c r="G404" s="86"/>
      <c r="H404" s="86"/>
      <c r="I404" s="87" t="str">
        <f>IF(F404=0,"",IF(COUNTIF(F404,"Bao"),[1]Setup!$B$4,IF(COUNTIF(F404,"Soup Dumplings"),[1]Setup!$B$5,F404)))</f>
        <v/>
      </c>
      <c r="J404" s="88" t="str">
        <f t="shared" si="73"/>
        <v/>
      </c>
      <c r="K404" s="88"/>
      <c r="L404" s="87"/>
      <c r="M404" s="87"/>
      <c r="N404" s="87"/>
      <c r="O404" s="87"/>
      <c r="P404" s="89" t="str">
        <f t="shared" si="74"/>
        <v/>
      </c>
      <c r="Q404" s="89" t="str">
        <f t="shared" si="75"/>
        <v/>
      </c>
      <c r="R404" s="89" t="str">
        <f t="shared" si="76"/>
        <v/>
      </c>
      <c r="S404" s="88" t="str">
        <f>IF(F404="Bao",[1]Setup!$B$4,IF(F404="Soup Dumplings",[1]Setup!$B$5,""))</f>
        <v/>
      </c>
      <c r="T404" s="88" t="str">
        <f t="shared" si="77"/>
        <v/>
      </c>
      <c r="U404" s="84" t="str">
        <f t="shared" si="78"/>
        <v/>
      </c>
      <c r="V404" s="88">
        <f>IF(U404="",0,MAX(0,T404)+N404+ROUND(J404*[1]Setup!$B$9,0)+IF(O404&gt;[1]Setup!$B$10,ROUND(J404*[1]Setup!$B$11,0),0))</f>
        <v>0</v>
      </c>
      <c r="W404" s="85" t="str">
        <f>IF(L404="","Open",IF(OR(P404&lt;[1]Setup!$B$6,Q404&gt;[1]Setup!$B$7,R404&gt;[1]Setup!$B$8,O404&gt;[1]Setup!$B$10),"Review","OK"))</f>
        <v>Open</v>
      </c>
      <c r="X404" s="86"/>
      <c r="Z404" s="81" t="str">
        <f t="shared" si="82"/>
        <v/>
      </c>
    </row>
    <row r="405" spans="1:26" x14ac:dyDescent="0.3">
      <c r="A405" s="84"/>
      <c r="B405" s="100">
        <f t="shared" si="80"/>
        <v>0</v>
      </c>
      <c r="C405" s="84" t="str">
        <f t="shared" si="81"/>
        <v>January</v>
      </c>
      <c r="D405" s="85" t="str">
        <f t="shared" si="79"/>
        <v/>
      </c>
      <c r="E405" s="86"/>
      <c r="F405" s="86"/>
      <c r="G405" s="86"/>
      <c r="H405" s="86"/>
      <c r="I405" s="87" t="str">
        <f>IF(F405=0,"",IF(COUNTIF(F405,"Bao"),[1]Setup!$B$4,IF(COUNTIF(F405,"Soup Dumplings"),[1]Setup!$B$5,F405)))</f>
        <v/>
      </c>
      <c r="J405" s="88" t="str">
        <f t="shared" si="73"/>
        <v/>
      </c>
      <c r="K405" s="88"/>
      <c r="L405" s="87"/>
      <c r="M405" s="87"/>
      <c r="N405" s="87"/>
      <c r="O405" s="87"/>
      <c r="P405" s="89" t="str">
        <f t="shared" si="74"/>
        <v/>
      </c>
      <c r="Q405" s="89" t="str">
        <f t="shared" si="75"/>
        <v/>
      </c>
      <c r="R405" s="89" t="str">
        <f t="shared" si="76"/>
        <v/>
      </c>
      <c r="S405" s="88" t="str">
        <f>IF(F405="Bao",[1]Setup!$B$4,IF(F405="Soup Dumplings",[1]Setup!$B$5,""))</f>
        <v/>
      </c>
      <c r="T405" s="88" t="str">
        <f t="shared" si="77"/>
        <v/>
      </c>
      <c r="U405" s="84" t="str">
        <f t="shared" si="78"/>
        <v/>
      </c>
      <c r="V405" s="88">
        <f>IF(U405="",0,MAX(0,T405)+N405+ROUND(J405*[1]Setup!$B$9,0)+IF(O405&gt;[1]Setup!$B$10,ROUND(J405*[1]Setup!$B$11,0),0))</f>
        <v>0</v>
      </c>
      <c r="W405" s="85" t="str">
        <f>IF(L405="","Open",IF(OR(P405&lt;[1]Setup!$B$6,Q405&gt;[1]Setup!$B$7,R405&gt;[1]Setup!$B$8,O405&gt;[1]Setup!$B$10),"Review","OK"))</f>
        <v>Open</v>
      </c>
      <c r="X405" s="86"/>
      <c r="Z405" s="81" t="str">
        <f t="shared" si="82"/>
        <v/>
      </c>
    </row>
    <row r="406" spans="1:26" x14ac:dyDescent="0.3">
      <c r="A406" s="84"/>
      <c r="B406" s="100">
        <f t="shared" si="80"/>
        <v>0</v>
      </c>
      <c r="C406" s="84" t="str">
        <f t="shared" si="81"/>
        <v>January</v>
      </c>
      <c r="D406" s="85" t="str">
        <f t="shared" si="79"/>
        <v/>
      </c>
      <c r="E406" s="86"/>
      <c r="F406" s="86"/>
      <c r="G406" s="86"/>
      <c r="H406" s="86"/>
      <c r="I406" s="87" t="str">
        <f>IF(F406=0,"",IF(COUNTIF(F406,"Bao"),[1]Setup!$B$4,IF(COUNTIF(F406,"Soup Dumplings"),[1]Setup!$B$5,F406)))</f>
        <v/>
      </c>
      <c r="J406" s="88" t="str">
        <f t="shared" si="73"/>
        <v/>
      </c>
      <c r="K406" s="88"/>
      <c r="L406" s="87"/>
      <c r="M406" s="87"/>
      <c r="N406" s="87"/>
      <c r="O406" s="87"/>
      <c r="P406" s="89" t="str">
        <f t="shared" si="74"/>
        <v/>
      </c>
      <c r="Q406" s="89" t="str">
        <f t="shared" si="75"/>
        <v/>
      </c>
      <c r="R406" s="89" t="str">
        <f t="shared" si="76"/>
        <v/>
      </c>
      <c r="S406" s="88" t="str">
        <f>IF(F406="Bao",[1]Setup!$B$4,IF(F406="Soup Dumplings",[1]Setup!$B$5,""))</f>
        <v/>
      </c>
      <c r="T406" s="88" t="str">
        <f t="shared" si="77"/>
        <v/>
      </c>
      <c r="U406" s="84" t="str">
        <f t="shared" si="78"/>
        <v/>
      </c>
      <c r="V406" s="88">
        <f>IF(U406="",0,MAX(0,T406)+N406+ROUND(J406*[1]Setup!$B$9,0)+IF(O406&gt;[1]Setup!$B$10,ROUND(J406*[1]Setup!$B$11,0),0))</f>
        <v>0</v>
      </c>
      <c r="W406" s="85" t="str">
        <f>IF(L406="","Open",IF(OR(P406&lt;[1]Setup!$B$6,Q406&gt;[1]Setup!$B$7,R406&gt;[1]Setup!$B$8,O406&gt;[1]Setup!$B$10),"Review","OK"))</f>
        <v>Open</v>
      </c>
      <c r="X406" s="86"/>
      <c r="Z406" s="81" t="str">
        <f t="shared" si="82"/>
        <v/>
      </c>
    </row>
    <row r="407" spans="1:26" x14ac:dyDescent="0.3">
      <c r="A407" s="84"/>
      <c r="B407" s="100">
        <f t="shared" si="80"/>
        <v>0</v>
      </c>
      <c r="C407" s="84" t="str">
        <f t="shared" si="81"/>
        <v>January</v>
      </c>
      <c r="D407" s="85" t="str">
        <f t="shared" si="79"/>
        <v/>
      </c>
      <c r="E407" s="86"/>
      <c r="F407" s="86"/>
      <c r="G407" s="86"/>
      <c r="H407" s="86"/>
      <c r="I407" s="87" t="str">
        <f>IF(F407=0,"",IF(COUNTIF(F407,"Bao"),[1]Setup!$B$4,IF(COUNTIF(F407,"Soup Dumplings"),[1]Setup!$B$5,F407)))</f>
        <v/>
      </c>
      <c r="J407" s="88" t="str">
        <f t="shared" si="73"/>
        <v/>
      </c>
      <c r="K407" s="88"/>
      <c r="L407" s="87"/>
      <c r="M407" s="87"/>
      <c r="N407" s="87"/>
      <c r="O407" s="87"/>
      <c r="P407" s="89" t="str">
        <f t="shared" si="74"/>
        <v/>
      </c>
      <c r="Q407" s="89" t="str">
        <f t="shared" si="75"/>
        <v/>
      </c>
      <c r="R407" s="89" t="str">
        <f t="shared" si="76"/>
        <v/>
      </c>
      <c r="S407" s="88" t="str">
        <f>IF(F407="Bao",[1]Setup!$B$4,IF(F407="Soup Dumplings",[1]Setup!$B$5,""))</f>
        <v/>
      </c>
      <c r="T407" s="88" t="str">
        <f t="shared" si="77"/>
        <v/>
      </c>
      <c r="U407" s="84" t="str">
        <f t="shared" si="78"/>
        <v/>
      </c>
      <c r="V407" s="88">
        <f>IF(U407="",0,MAX(0,T407)+N407+ROUND(J407*[1]Setup!$B$9,0)+IF(O407&gt;[1]Setup!$B$10,ROUND(J407*[1]Setup!$B$11,0),0))</f>
        <v>0</v>
      </c>
      <c r="W407" s="85" t="str">
        <f>IF(L407="","Open",IF(OR(P407&lt;[1]Setup!$B$6,Q407&gt;[1]Setup!$B$7,R407&gt;[1]Setup!$B$8,O407&gt;[1]Setup!$B$10),"Review","OK"))</f>
        <v>Open</v>
      </c>
      <c r="X407" s="86"/>
      <c r="Z407" s="81" t="str">
        <f t="shared" si="82"/>
        <v/>
      </c>
    </row>
    <row r="408" spans="1:26" x14ac:dyDescent="0.3">
      <c r="A408" s="84"/>
      <c r="B408" s="100">
        <f t="shared" si="80"/>
        <v>0</v>
      </c>
      <c r="C408" s="84" t="str">
        <f t="shared" si="81"/>
        <v>January</v>
      </c>
      <c r="D408" s="85" t="str">
        <f t="shared" si="79"/>
        <v/>
      </c>
      <c r="E408" s="86"/>
      <c r="F408" s="86"/>
      <c r="G408" s="86"/>
      <c r="H408" s="86"/>
      <c r="I408" s="87" t="str">
        <f>IF(F408=0,"",IF(COUNTIF(F408,"Bao"),[1]Setup!$B$4,IF(COUNTIF(F408,"Soup Dumplings"),[1]Setup!$B$5,F408)))</f>
        <v/>
      </c>
      <c r="J408" s="88" t="str">
        <f t="shared" si="73"/>
        <v/>
      </c>
      <c r="K408" s="88"/>
      <c r="L408" s="87"/>
      <c r="M408" s="87"/>
      <c r="N408" s="87"/>
      <c r="O408" s="87"/>
      <c r="P408" s="89" t="str">
        <f t="shared" si="74"/>
        <v/>
      </c>
      <c r="Q408" s="89" t="str">
        <f t="shared" si="75"/>
        <v/>
      </c>
      <c r="R408" s="89" t="str">
        <f t="shared" si="76"/>
        <v/>
      </c>
      <c r="S408" s="88" t="str">
        <f>IF(F408="Bao",[1]Setup!$B$4,IF(F408="Soup Dumplings",[1]Setup!$B$5,""))</f>
        <v/>
      </c>
      <c r="T408" s="88" t="str">
        <f t="shared" si="77"/>
        <v/>
      </c>
      <c r="U408" s="84" t="str">
        <f t="shared" si="78"/>
        <v/>
      </c>
      <c r="V408" s="88">
        <f>IF(U408="",0,MAX(0,T408)+N408+ROUND(J408*[1]Setup!$B$9,0)+IF(O408&gt;[1]Setup!$B$10,ROUND(J408*[1]Setup!$B$11,0),0))</f>
        <v>0</v>
      </c>
      <c r="W408" s="85" t="str">
        <f>IF(L408="","Open",IF(OR(P408&lt;[1]Setup!$B$6,Q408&gt;[1]Setup!$B$7,R408&gt;[1]Setup!$B$8,O408&gt;[1]Setup!$B$10),"Review","OK"))</f>
        <v>Open</v>
      </c>
      <c r="X408" s="86"/>
      <c r="Z408" s="81" t="str">
        <f t="shared" si="82"/>
        <v/>
      </c>
    </row>
    <row r="409" spans="1:26" x14ac:dyDescent="0.3">
      <c r="A409" s="84"/>
      <c r="B409" s="100">
        <f t="shared" si="80"/>
        <v>0</v>
      </c>
      <c r="C409" s="84" t="str">
        <f t="shared" si="81"/>
        <v>January</v>
      </c>
      <c r="D409" s="85" t="str">
        <f t="shared" si="79"/>
        <v/>
      </c>
      <c r="E409" s="86"/>
      <c r="F409" s="86"/>
      <c r="G409" s="86"/>
      <c r="H409" s="86"/>
      <c r="I409" s="87" t="str">
        <f>IF(F409=0,"",IF(COUNTIF(F409,"Bao"),[1]Setup!$B$4,IF(COUNTIF(F409,"Soup Dumplings"),[1]Setup!$B$5,F409)))</f>
        <v/>
      </c>
      <c r="J409" s="88" t="str">
        <f t="shared" si="73"/>
        <v/>
      </c>
      <c r="K409" s="88"/>
      <c r="L409" s="87"/>
      <c r="M409" s="87"/>
      <c r="N409" s="87"/>
      <c r="O409" s="87"/>
      <c r="P409" s="89" t="str">
        <f t="shared" si="74"/>
        <v/>
      </c>
      <c r="Q409" s="89" t="str">
        <f t="shared" si="75"/>
        <v/>
      </c>
      <c r="R409" s="89" t="str">
        <f t="shared" si="76"/>
        <v/>
      </c>
      <c r="S409" s="88" t="str">
        <f>IF(F409="Bao",[1]Setup!$B$4,IF(F409="Soup Dumplings",[1]Setup!$B$5,""))</f>
        <v/>
      </c>
      <c r="T409" s="88" t="str">
        <f t="shared" si="77"/>
        <v/>
      </c>
      <c r="U409" s="84" t="str">
        <f t="shared" si="78"/>
        <v/>
      </c>
      <c r="V409" s="88">
        <f>IF(U409="",0,MAX(0,T409)+N409+ROUND(J409*[1]Setup!$B$9,0)+IF(O409&gt;[1]Setup!$B$10,ROUND(J409*[1]Setup!$B$11,0),0))</f>
        <v>0</v>
      </c>
      <c r="W409" s="85" t="str">
        <f>IF(L409="","Open",IF(OR(P409&lt;[1]Setup!$B$6,Q409&gt;[1]Setup!$B$7,R409&gt;[1]Setup!$B$8,O409&gt;[1]Setup!$B$10),"Review","OK"))</f>
        <v>Open</v>
      </c>
      <c r="X409" s="86"/>
      <c r="Z409" s="81" t="str">
        <f t="shared" si="82"/>
        <v/>
      </c>
    </row>
    <row r="410" spans="1:26" x14ac:dyDescent="0.3">
      <c r="A410" s="84"/>
      <c r="B410" s="100">
        <f t="shared" si="80"/>
        <v>0</v>
      </c>
      <c r="C410" s="84" t="str">
        <f t="shared" si="81"/>
        <v>January</v>
      </c>
      <c r="D410" s="85" t="str">
        <f t="shared" si="79"/>
        <v/>
      </c>
      <c r="E410" s="86"/>
      <c r="F410" s="86"/>
      <c r="G410" s="86"/>
      <c r="H410" s="86"/>
      <c r="I410" s="87" t="str">
        <f>IF(F410=0,"",IF(COUNTIF(F410,"Bao"),[1]Setup!$B$4,IF(COUNTIF(F410,"Soup Dumplings"),[1]Setup!$B$5,F410)))</f>
        <v/>
      </c>
      <c r="J410" s="88" t="str">
        <f t="shared" si="73"/>
        <v/>
      </c>
      <c r="K410" s="88"/>
      <c r="L410" s="87"/>
      <c r="M410" s="87"/>
      <c r="N410" s="87"/>
      <c r="O410" s="87"/>
      <c r="P410" s="89" t="str">
        <f t="shared" si="74"/>
        <v/>
      </c>
      <c r="Q410" s="89" t="str">
        <f t="shared" si="75"/>
        <v/>
      </c>
      <c r="R410" s="89" t="str">
        <f t="shared" si="76"/>
        <v/>
      </c>
      <c r="S410" s="88" t="str">
        <f>IF(F410="Bao",[1]Setup!$B$4,IF(F410="Soup Dumplings",[1]Setup!$B$5,""))</f>
        <v/>
      </c>
      <c r="T410" s="88" t="str">
        <f t="shared" si="77"/>
        <v/>
      </c>
      <c r="U410" s="84" t="str">
        <f t="shared" si="78"/>
        <v/>
      </c>
      <c r="V410" s="88">
        <f>IF(U410="",0,MAX(0,T410)+N410+ROUND(J410*[1]Setup!$B$9,0)+IF(O410&gt;[1]Setup!$B$10,ROUND(J410*[1]Setup!$B$11,0),0))</f>
        <v>0</v>
      </c>
      <c r="W410" s="85" t="str">
        <f>IF(L410="","Open",IF(OR(P410&lt;[1]Setup!$B$6,Q410&gt;[1]Setup!$B$7,R410&gt;[1]Setup!$B$8,O410&gt;[1]Setup!$B$10),"Review","OK"))</f>
        <v>Open</v>
      </c>
      <c r="X410" s="86"/>
      <c r="Z410" s="81" t="str">
        <f t="shared" si="82"/>
        <v/>
      </c>
    </row>
    <row r="411" spans="1:26" x14ac:dyDescent="0.3">
      <c r="A411" s="84"/>
      <c r="B411" s="100">
        <f t="shared" si="80"/>
        <v>0</v>
      </c>
      <c r="C411" s="84" t="str">
        <f t="shared" si="81"/>
        <v>January</v>
      </c>
      <c r="D411" s="85" t="str">
        <f t="shared" si="79"/>
        <v/>
      </c>
      <c r="E411" s="86"/>
      <c r="F411" s="86"/>
      <c r="G411" s="86"/>
      <c r="H411" s="86"/>
      <c r="I411" s="87" t="str">
        <f>IF(F411=0,"",IF(COUNTIF(F411,"Bao"),[1]Setup!$B$4,IF(COUNTIF(F411,"Soup Dumplings"),[1]Setup!$B$5,F411)))</f>
        <v/>
      </c>
      <c r="J411" s="88" t="str">
        <f t="shared" si="73"/>
        <v/>
      </c>
      <c r="K411" s="88"/>
      <c r="L411" s="87"/>
      <c r="M411" s="87"/>
      <c r="N411" s="87"/>
      <c r="O411" s="87"/>
      <c r="P411" s="89" t="str">
        <f t="shared" si="74"/>
        <v/>
      </c>
      <c r="Q411" s="89" t="str">
        <f t="shared" si="75"/>
        <v/>
      </c>
      <c r="R411" s="89" t="str">
        <f t="shared" si="76"/>
        <v/>
      </c>
      <c r="S411" s="88" t="str">
        <f>IF(F411="Bao",[1]Setup!$B$4,IF(F411="Soup Dumplings",[1]Setup!$B$5,""))</f>
        <v/>
      </c>
      <c r="T411" s="88" t="str">
        <f t="shared" si="77"/>
        <v/>
      </c>
      <c r="U411" s="84" t="str">
        <f t="shared" si="78"/>
        <v/>
      </c>
      <c r="V411" s="88">
        <f>IF(U411="",0,MAX(0,T411)+N411+ROUND(J411*[1]Setup!$B$9,0)+IF(O411&gt;[1]Setup!$B$10,ROUND(J411*[1]Setup!$B$11,0),0))</f>
        <v>0</v>
      </c>
      <c r="W411" s="85" t="str">
        <f>IF(L411="","Open",IF(OR(P411&lt;[1]Setup!$B$6,Q411&gt;[1]Setup!$B$7,R411&gt;[1]Setup!$B$8,O411&gt;[1]Setup!$B$10),"Review","OK"))</f>
        <v>Open</v>
      </c>
      <c r="X411" s="86"/>
      <c r="Z411" s="81" t="str">
        <f t="shared" si="82"/>
        <v/>
      </c>
    </row>
    <row r="412" spans="1:26" x14ac:dyDescent="0.3">
      <c r="A412" s="84"/>
      <c r="B412" s="100">
        <f t="shared" si="80"/>
        <v>0</v>
      </c>
      <c r="C412" s="84" t="str">
        <f t="shared" si="81"/>
        <v>January</v>
      </c>
      <c r="D412" s="85" t="str">
        <f t="shared" si="79"/>
        <v/>
      </c>
      <c r="E412" s="86"/>
      <c r="F412" s="86"/>
      <c r="G412" s="86"/>
      <c r="H412" s="86"/>
      <c r="I412" s="87" t="str">
        <f>IF(F412=0,"",IF(COUNTIF(F412,"Bao"),[1]Setup!$B$4,IF(COUNTIF(F412,"Soup Dumplings"),[1]Setup!$B$5,F412)))</f>
        <v/>
      </c>
      <c r="J412" s="88" t="str">
        <f t="shared" si="73"/>
        <v/>
      </c>
      <c r="K412" s="88"/>
      <c r="L412" s="87"/>
      <c r="M412" s="87"/>
      <c r="N412" s="87"/>
      <c r="O412" s="87"/>
      <c r="P412" s="89" t="str">
        <f t="shared" si="74"/>
        <v/>
      </c>
      <c r="Q412" s="89" t="str">
        <f t="shared" si="75"/>
        <v/>
      </c>
      <c r="R412" s="89" t="str">
        <f t="shared" si="76"/>
        <v/>
      </c>
      <c r="S412" s="88" t="str">
        <f>IF(F412="Bao",[1]Setup!$B$4,IF(F412="Soup Dumplings",[1]Setup!$B$5,""))</f>
        <v/>
      </c>
      <c r="T412" s="88" t="str">
        <f t="shared" si="77"/>
        <v/>
      </c>
      <c r="U412" s="84" t="str">
        <f t="shared" si="78"/>
        <v/>
      </c>
      <c r="V412" s="88">
        <f>IF(U412="",0,MAX(0,T412)+N412+ROUND(J412*[1]Setup!$B$9,0)+IF(O412&gt;[1]Setup!$B$10,ROUND(J412*[1]Setup!$B$11,0),0))</f>
        <v>0</v>
      </c>
      <c r="W412" s="85" t="str">
        <f>IF(L412="","Open",IF(OR(P412&lt;[1]Setup!$B$6,Q412&gt;[1]Setup!$B$7,R412&gt;[1]Setup!$B$8,O412&gt;[1]Setup!$B$10),"Review","OK"))</f>
        <v>Open</v>
      </c>
      <c r="X412" s="86"/>
      <c r="Z412" s="81" t="str">
        <f t="shared" si="82"/>
        <v/>
      </c>
    </row>
    <row r="413" spans="1:26" x14ac:dyDescent="0.3">
      <c r="A413" s="84"/>
      <c r="B413" s="100">
        <f t="shared" si="80"/>
        <v>0</v>
      </c>
      <c r="C413" s="84" t="str">
        <f t="shared" si="81"/>
        <v>January</v>
      </c>
      <c r="D413" s="85" t="str">
        <f t="shared" si="79"/>
        <v/>
      </c>
      <c r="E413" s="86"/>
      <c r="F413" s="86"/>
      <c r="G413" s="86"/>
      <c r="H413" s="86"/>
      <c r="I413" s="87" t="str">
        <f>IF(F413=0,"",IF(COUNTIF(F413,"Bao"),[1]Setup!$B$4,IF(COUNTIF(F413,"Soup Dumplings"),[1]Setup!$B$5,F413)))</f>
        <v/>
      </c>
      <c r="J413" s="88" t="str">
        <f t="shared" si="73"/>
        <v/>
      </c>
      <c r="K413" s="88"/>
      <c r="L413" s="87"/>
      <c r="M413" s="87"/>
      <c r="N413" s="87"/>
      <c r="O413" s="87"/>
      <c r="P413" s="89" t="str">
        <f t="shared" si="74"/>
        <v/>
      </c>
      <c r="Q413" s="89" t="str">
        <f t="shared" si="75"/>
        <v/>
      </c>
      <c r="R413" s="89" t="str">
        <f t="shared" si="76"/>
        <v/>
      </c>
      <c r="S413" s="88" t="str">
        <f>IF(F413="Bao",[1]Setup!$B$4,IF(F413="Soup Dumplings",[1]Setup!$B$5,""))</f>
        <v/>
      </c>
      <c r="T413" s="88" t="str">
        <f t="shared" si="77"/>
        <v/>
      </c>
      <c r="U413" s="84" t="str">
        <f t="shared" si="78"/>
        <v/>
      </c>
      <c r="V413" s="88">
        <f>IF(U413="",0,MAX(0,T413)+N413+ROUND(J413*[1]Setup!$B$9,0)+IF(O413&gt;[1]Setup!$B$10,ROUND(J413*[1]Setup!$B$11,0),0))</f>
        <v>0</v>
      </c>
      <c r="W413" s="85" t="str">
        <f>IF(L413="","Open",IF(OR(P413&lt;[1]Setup!$B$6,Q413&gt;[1]Setup!$B$7,R413&gt;[1]Setup!$B$8,O413&gt;[1]Setup!$B$10),"Review","OK"))</f>
        <v>Open</v>
      </c>
      <c r="X413" s="86"/>
      <c r="Z413" s="81" t="str">
        <f t="shared" si="82"/>
        <v/>
      </c>
    </row>
    <row r="414" spans="1:26" x14ac:dyDescent="0.3">
      <c r="A414" s="84"/>
      <c r="B414" s="100">
        <f t="shared" si="80"/>
        <v>0</v>
      </c>
      <c r="C414" s="84" t="str">
        <f t="shared" si="81"/>
        <v>January</v>
      </c>
      <c r="D414" s="85" t="str">
        <f t="shared" si="79"/>
        <v/>
      </c>
      <c r="E414" s="86"/>
      <c r="F414" s="86"/>
      <c r="G414" s="86"/>
      <c r="H414" s="86"/>
      <c r="I414" s="87" t="str">
        <f>IF(F414=0,"",IF(COUNTIF(F414,"Bao"),[1]Setup!$B$4,IF(COUNTIF(F414,"Soup Dumplings"),[1]Setup!$B$5,F414)))</f>
        <v/>
      </c>
      <c r="J414" s="88" t="str">
        <f t="shared" si="73"/>
        <v/>
      </c>
      <c r="K414" s="88"/>
      <c r="L414" s="87"/>
      <c r="M414" s="87"/>
      <c r="N414" s="87"/>
      <c r="O414" s="87"/>
      <c r="P414" s="89" t="str">
        <f t="shared" si="74"/>
        <v/>
      </c>
      <c r="Q414" s="89" t="str">
        <f t="shared" si="75"/>
        <v/>
      </c>
      <c r="R414" s="89" t="str">
        <f t="shared" si="76"/>
        <v/>
      </c>
      <c r="S414" s="88" t="str">
        <f>IF(F414="Bao",[1]Setup!$B$4,IF(F414="Soup Dumplings",[1]Setup!$B$5,""))</f>
        <v/>
      </c>
      <c r="T414" s="88" t="str">
        <f t="shared" si="77"/>
        <v/>
      </c>
      <c r="U414" s="84" t="str">
        <f t="shared" si="78"/>
        <v/>
      </c>
      <c r="V414" s="88">
        <f>IF(U414="",0,MAX(0,T414)+N414+ROUND(J414*[1]Setup!$B$9,0)+IF(O414&gt;[1]Setup!$B$10,ROUND(J414*[1]Setup!$B$11,0),0))</f>
        <v>0</v>
      </c>
      <c r="W414" s="85" t="str">
        <f>IF(L414="","Open",IF(OR(P414&lt;[1]Setup!$B$6,Q414&gt;[1]Setup!$B$7,R414&gt;[1]Setup!$B$8,O414&gt;[1]Setup!$B$10),"Review","OK"))</f>
        <v>Open</v>
      </c>
      <c r="X414" s="86"/>
      <c r="Z414" s="81" t="str">
        <f t="shared" si="82"/>
        <v/>
      </c>
    </row>
    <row r="415" spans="1:26" x14ac:dyDescent="0.3">
      <c r="A415" s="84"/>
      <c r="B415" s="100">
        <f t="shared" si="80"/>
        <v>0</v>
      </c>
      <c r="C415" s="84" t="str">
        <f t="shared" si="81"/>
        <v>January</v>
      </c>
      <c r="D415" s="85" t="str">
        <f t="shared" si="79"/>
        <v/>
      </c>
      <c r="E415" s="86"/>
      <c r="F415" s="86"/>
      <c r="G415" s="86"/>
      <c r="H415" s="86"/>
      <c r="I415" s="87" t="str">
        <f>IF(F415=0,"",IF(COUNTIF(F415,"Bao"),[1]Setup!$B$4,IF(COUNTIF(F415,"Soup Dumplings"),[1]Setup!$B$5,F415)))</f>
        <v/>
      </c>
      <c r="J415" s="88" t="str">
        <f t="shared" si="73"/>
        <v/>
      </c>
      <c r="K415" s="88"/>
      <c r="L415" s="87"/>
      <c r="M415" s="87"/>
      <c r="N415" s="87"/>
      <c r="O415" s="87"/>
      <c r="P415" s="89" t="str">
        <f t="shared" si="74"/>
        <v/>
      </c>
      <c r="Q415" s="89" t="str">
        <f t="shared" si="75"/>
        <v/>
      </c>
      <c r="R415" s="89" t="str">
        <f t="shared" si="76"/>
        <v/>
      </c>
      <c r="S415" s="88" t="str">
        <f>IF(F415="Bao",[1]Setup!$B$4,IF(F415="Soup Dumplings",[1]Setup!$B$5,""))</f>
        <v/>
      </c>
      <c r="T415" s="88" t="str">
        <f t="shared" si="77"/>
        <v/>
      </c>
      <c r="U415" s="84" t="str">
        <f t="shared" si="78"/>
        <v/>
      </c>
      <c r="V415" s="88">
        <f>IF(U415="",0,MAX(0,T415)+N415+ROUND(J415*[1]Setup!$B$9,0)+IF(O415&gt;[1]Setup!$B$10,ROUND(J415*[1]Setup!$B$11,0),0))</f>
        <v>0</v>
      </c>
      <c r="W415" s="85" t="str">
        <f>IF(L415="","Open",IF(OR(P415&lt;[1]Setup!$B$6,Q415&gt;[1]Setup!$B$7,R415&gt;[1]Setup!$B$8,O415&gt;[1]Setup!$B$10),"Review","OK"))</f>
        <v>Open</v>
      </c>
      <c r="X415" s="86"/>
      <c r="Z415" s="81" t="str">
        <f t="shared" si="82"/>
        <v/>
      </c>
    </row>
    <row r="416" spans="1:26" x14ac:dyDescent="0.3">
      <c r="A416" s="84"/>
      <c r="B416" s="100">
        <f t="shared" si="80"/>
        <v>0</v>
      </c>
      <c r="C416" s="84" t="str">
        <f t="shared" si="81"/>
        <v>January</v>
      </c>
      <c r="D416" s="85" t="str">
        <f t="shared" si="79"/>
        <v/>
      </c>
      <c r="E416" s="86"/>
      <c r="F416" s="86"/>
      <c r="G416" s="86"/>
      <c r="H416" s="86"/>
      <c r="I416" s="87" t="str">
        <f>IF(F416=0,"",IF(COUNTIF(F416,"Bao"),[1]Setup!$B$4,IF(COUNTIF(F416,"Soup Dumplings"),[1]Setup!$B$5,F416)))</f>
        <v/>
      </c>
      <c r="J416" s="88" t="str">
        <f t="shared" si="73"/>
        <v/>
      </c>
      <c r="K416" s="88"/>
      <c r="L416" s="87"/>
      <c r="M416" s="87"/>
      <c r="N416" s="87"/>
      <c r="O416" s="87"/>
      <c r="P416" s="89" t="str">
        <f t="shared" si="74"/>
        <v/>
      </c>
      <c r="Q416" s="89" t="str">
        <f t="shared" si="75"/>
        <v/>
      </c>
      <c r="R416" s="89" t="str">
        <f t="shared" si="76"/>
        <v/>
      </c>
      <c r="S416" s="88" t="str">
        <f>IF(F416="Bao",[1]Setup!$B$4,IF(F416="Soup Dumplings",[1]Setup!$B$5,""))</f>
        <v/>
      </c>
      <c r="T416" s="88" t="str">
        <f t="shared" si="77"/>
        <v/>
      </c>
      <c r="U416" s="84" t="str">
        <f t="shared" si="78"/>
        <v/>
      </c>
      <c r="V416" s="88">
        <f>IF(U416="",0,MAX(0,T416)+N416+ROUND(J416*[1]Setup!$B$9,0)+IF(O416&gt;[1]Setup!$B$10,ROUND(J416*[1]Setup!$B$11,0),0))</f>
        <v>0</v>
      </c>
      <c r="W416" s="85" t="str">
        <f>IF(L416="","Open",IF(OR(P416&lt;[1]Setup!$B$6,Q416&gt;[1]Setup!$B$7,R416&gt;[1]Setup!$B$8,O416&gt;[1]Setup!$B$10),"Review","OK"))</f>
        <v>Open</v>
      </c>
      <c r="X416" s="86"/>
      <c r="Z416" s="81" t="str">
        <f t="shared" si="82"/>
        <v/>
      </c>
    </row>
    <row r="417" spans="1:26" x14ac:dyDescent="0.3">
      <c r="A417" s="84"/>
      <c r="B417" s="100">
        <f t="shared" si="80"/>
        <v>0</v>
      </c>
      <c r="C417" s="84" t="str">
        <f t="shared" si="81"/>
        <v>January</v>
      </c>
      <c r="D417" s="85" t="str">
        <f t="shared" si="79"/>
        <v/>
      </c>
      <c r="E417" s="86"/>
      <c r="F417" s="86"/>
      <c r="G417" s="86"/>
      <c r="H417" s="86"/>
      <c r="I417" s="87" t="str">
        <f>IF(F417=0,"",IF(COUNTIF(F417,"Bao"),[1]Setup!$B$4,IF(COUNTIF(F417,"Soup Dumplings"),[1]Setup!$B$5,F417)))</f>
        <v/>
      </c>
      <c r="J417" s="88" t="str">
        <f t="shared" si="73"/>
        <v/>
      </c>
      <c r="K417" s="88"/>
      <c r="L417" s="87"/>
      <c r="M417" s="87"/>
      <c r="N417" s="87"/>
      <c r="O417" s="87"/>
      <c r="P417" s="89" t="str">
        <f t="shared" si="74"/>
        <v/>
      </c>
      <c r="Q417" s="89" t="str">
        <f t="shared" si="75"/>
        <v/>
      </c>
      <c r="R417" s="89" t="str">
        <f t="shared" si="76"/>
        <v/>
      </c>
      <c r="S417" s="88" t="str">
        <f>IF(F417="Bao",[1]Setup!$B$4,IF(F417="Soup Dumplings",[1]Setup!$B$5,""))</f>
        <v/>
      </c>
      <c r="T417" s="88" t="str">
        <f t="shared" si="77"/>
        <v/>
      </c>
      <c r="U417" s="84" t="str">
        <f t="shared" si="78"/>
        <v/>
      </c>
      <c r="V417" s="88">
        <f>IF(U417="",0,MAX(0,T417)+N417+ROUND(J417*[1]Setup!$B$9,0)+IF(O417&gt;[1]Setup!$B$10,ROUND(J417*[1]Setup!$B$11,0),0))</f>
        <v>0</v>
      </c>
      <c r="W417" s="85" t="str">
        <f>IF(L417="","Open",IF(OR(P417&lt;[1]Setup!$B$6,Q417&gt;[1]Setup!$B$7,R417&gt;[1]Setup!$B$8,O417&gt;[1]Setup!$B$10),"Review","OK"))</f>
        <v>Open</v>
      </c>
      <c r="X417" s="86"/>
      <c r="Z417" s="81" t="str">
        <f t="shared" si="82"/>
        <v/>
      </c>
    </row>
    <row r="418" spans="1:26" x14ac:dyDescent="0.3">
      <c r="A418" s="84"/>
      <c r="B418" s="100">
        <f t="shared" si="80"/>
        <v>0</v>
      </c>
      <c r="C418" s="84" t="str">
        <f t="shared" si="81"/>
        <v>January</v>
      </c>
      <c r="D418" s="85" t="str">
        <f t="shared" si="79"/>
        <v/>
      </c>
      <c r="E418" s="86"/>
      <c r="F418" s="86"/>
      <c r="G418" s="86"/>
      <c r="H418" s="86"/>
      <c r="I418" s="87" t="str">
        <f>IF(F418=0,"",IF(COUNTIF(F418,"Bao"),[1]Setup!$B$4,IF(COUNTIF(F418,"Soup Dumplings"),[1]Setup!$B$5,F418)))</f>
        <v/>
      </c>
      <c r="J418" s="88" t="str">
        <f t="shared" si="73"/>
        <v/>
      </c>
      <c r="K418" s="88"/>
      <c r="L418" s="87"/>
      <c r="M418" s="87"/>
      <c r="N418" s="87"/>
      <c r="O418" s="87"/>
      <c r="P418" s="89" t="str">
        <f t="shared" si="74"/>
        <v/>
      </c>
      <c r="Q418" s="89" t="str">
        <f t="shared" si="75"/>
        <v/>
      </c>
      <c r="R418" s="89" t="str">
        <f t="shared" si="76"/>
        <v/>
      </c>
      <c r="S418" s="88" t="str">
        <f>IF(F418="Bao",[1]Setup!$B$4,IF(F418="Soup Dumplings",[1]Setup!$B$5,""))</f>
        <v/>
      </c>
      <c r="T418" s="88" t="str">
        <f t="shared" si="77"/>
        <v/>
      </c>
      <c r="U418" s="84" t="str">
        <f t="shared" si="78"/>
        <v/>
      </c>
      <c r="V418" s="88">
        <f>IF(U418="",0,MAX(0,T418)+N418+ROUND(J418*[1]Setup!$B$9,0)+IF(O418&gt;[1]Setup!$B$10,ROUND(J418*[1]Setup!$B$11,0),0))</f>
        <v>0</v>
      </c>
      <c r="W418" s="85" t="str">
        <f>IF(L418="","Open",IF(OR(P418&lt;[1]Setup!$B$6,Q418&gt;[1]Setup!$B$7,R418&gt;[1]Setup!$B$8,O418&gt;[1]Setup!$B$10),"Review","OK"))</f>
        <v>Open</v>
      </c>
      <c r="X418" s="86"/>
      <c r="Z418" s="81" t="str">
        <f t="shared" si="82"/>
        <v/>
      </c>
    </row>
    <row r="419" spans="1:26" x14ac:dyDescent="0.3">
      <c r="A419" s="84"/>
      <c r="B419" s="100">
        <f t="shared" si="80"/>
        <v>0</v>
      </c>
      <c r="C419" s="84" t="str">
        <f t="shared" si="81"/>
        <v>January</v>
      </c>
      <c r="D419" s="85" t="str">
        <f t="shared" si="79"/>
        <v/>
      </c>
      <c r="E419" s="86"/>
      <c r="F419" s="86"/>
      <c r="G419" s="86"/>
      <c r="H419" s="86"/>
      <c r="I419" s="87" t="str">
        <f>IF(F419=0,"",IF(COUNTIF(F419,"Bao"),[1]Setup!$B$4,IF(COUNTIF(F419,"Soup Dumplings"),[1]Setup!$B$5,F419)))</f>
        <v/>
      </c>
      <c r="J419" s="88" t="str">
        <f t="shared" si="73"/>
        <v/>
      </c>
      <c r="K419" s="88"/>
      <c r="L419" s="87"/>
      <c r="M419" s="87"/>
      <c r="N419" s="87"/>
      <c r="O419" s="87"/>
      <c r="P419" s="89" t="str">
        <f t="shared" si="74"/>
        <v/>
      </c>
      <c r="Q419" s="89" t="str">
        <f t="shared" si="75"/>
        <v/>
      </c>
      <c r="R419" s="89" t="str">
        <f t="shared" si="76"/>
        <v/>
      </c>
      <c r="S419" s="88" t="str">
        <f>IF(F419="Bao",[1]Setup!$B$4,IF(F419="Soup Dumplings",[1]Setup!$B$5,""))</f>
        <v/>
      </c>
      <c r="T419" s="88" t="str">
        <f t="shared" si="77"/>
        <v/>
      </c>
      <c r="U419" s="84" t="str">
        <f t="shared" si="78"/>
        <v/>
      </c>
      <c r="V419" s="88">
        <f>IF(U419="",0,MAX(0,T419)+N419+ROUND(J419*[1]Setup!$B$9,0)+IF(O419&gt;[1]Setup!$B$10,ROUND(J419*[1]Setup!$B$11,0),0))</f>
        <v>0</v>
      </c>
      <c r="W419" s="85" t="str">
        <f>IF(L419="","Open",IF(OR(P419&lt;[1]Setup!$B$6,Q419&gt;[1]Setup!$B$7,R419&gt;[1]Setup!$B$8,O419&gt;[1]Setup!$B$10),"Review","OK"))</f>
        <v>Open</v>
      </c>
      <c r="X419" s="86"/>
      <c r="Z419" s="81" t="str">
        <f t="shared" si="82"/>
        <v/>
      </c>
    </row>
    <row r="420" spans="1:26" x14ac:dyDescent="0.3">
      <c r="A420" s="84"/>
      <c r="B420" s="100">
        <f t="shared" si="80"/>
        <v>0</v>
      </c>
      <c r="C420" s="84" t="str">
        <f t="shared" si="81"/>
        <v>January</v>
      </c>
      <c r="D420" s="85" t="str">
        <f t="shared" si="79"/>
        <v/>
      </c>
      <c r="E420" s="86"/>
      <c r="F420" s="86"/>
      <c r="G420" s="86"/>
      <c r="H420" s="86"/>
      <c r="I420" s="87" t="str">
        <f>IF(F420=0,"",IF(COUNTIF(F420,"Bao"),[1]Setup!$B$4,IF(COUNTIF(F420,"Soup Dumplings"),[1]Setup!$B$5,F420)))</f>
        <v/>
      </c>
      <c r="J420" s="88" t="str">
        <f t="shared" si="73"/>
        <v/>
      </c>
      <c r="K420" s="88"/>
      <c r="L420" s="87"/>
      <c r="M420" s="87"/>
      <c r="N420" s="87"/>
      <c r="O420" s="87"/>
      <c r="P420" s="89" t="str">
        <f t="shared" si="74"/>
        <v/>
      </c>
      <c r="Q420" s="89" t="str">
        <f t="shared" si="75"/>
        <v/>
      </c>
      <c r="R420" s="89" t="str">
        <f t="shared" si="76"/>
        <v/>
      </c>
      <c r="S420" s="88" t="str">
        <f>IF(F420="Bao",[1]Setup!$B$4,IF(F420="Soup Dumplings",[1]Setup!$B$5,""))</f>
        <v/>
      </c>
      <c r="T420" s="88" t="str">
        <f t="shared" si="77"/>
        <v/>
      </c>
      <c r="U420" s="84" t="str">
        <f t="shared" si="78"/>
        <v/>
      </c>
      <c r="V420" s="88">
        <f>IF(U420="",0,MAX(0,T420)+N420+ROUND(J420*[1]Setup!$B$9,0)+IF(O420&gt;[1]Setup!$B$10,ROUND(J420*[1]Setup!$B$11,0),0))</f>
        <v>0</v>
      </c>
      <c r="W420" s="85" t="str">
        <f>IF(L420="","Open",IF(OR(P420&lt;[1]Setup!$B$6,Q420&gt;[1]Setup!$B$7,R420&gt;[1]Setup!$B$8,O420&gt;[1]Setup!$B$10),"Review","OK"))</f>
        <v>Open</v>
      </c>
      <c r="X420" s="86"/>
      <c r="Z420" s="81" t="str">
        <f t="shared" si="82"/>
        <v/>
      </c>
    </row>
    <row r="421" spans="1:26" x14ac:dyDescent="0.3">
      <c r="A421" s="84"/>
      <c r="B421" s="100">
        <f t="shared" si="80"/>
        <v>0</v>
      </c>
      <c r="C421" s="84" t="str">
        <f t="shared" si="81"/>
        <v>January</v>
      </c>
      <c r="D421" s="85" t="str">
        <f t="shared" si="79"/>
        <v/>
      </c>
      <c r="E421" s="86"/>
      <c r="F421" s="86"/>
      <c r="G421" s="86"/>
      <c r="H421" s="86"/>
      <c r="I421" s="87" t="str">
        <f>IF(F421=0,"",IF(COUNTIF(F421,"Bao"),[1]Setup!$B$4,IF(COUNTIF(F421,"Soup Dumplings"),[1]Setup!$B$5,F421)))</f>
        <v/>
      </c>
      <c r="J421" s="88" t="str">
        <f t="shared" si="73"/>
        <v/>
      </c>
      <c r="K421" s="88"/>
      <c r="L421" s="87"/>
      <c r="M421" s="87"/>
      <c r="N421" s="87"/>
      <c r="O421" s="87"/>
      <c r="P421" s="89" t="str">
        <f t="shared" si="74"/>
        <v/>
      </c>
      <c r="Q421" s="89" t="str">
        <f t="shared" si="75"/>
        <v/>
      </c>
      <c r="R421" s="89" t="str">
        <f t="shared" si="76"/>
        <v/>
      </c>
      <c r="S421" s="88" t="str">
        <f>IF(F421="Bao",[1]Setup!$B$4,IF(F421="Soup Dumplings",[1]Setup!$B$5,""))</f>
        <v/>
      </c>
      <c r="T421" s="88" t="str">
        <f t="shared" si="77"/>
        <v/>
      </c>
      <c r="U421" s="84" t="str">
        <f t="shared" si="78"/>
        <v/>
      </c>
      <c r="V421" s="88">
        <f>IF(U421="",0,MAX(0,T421)+N421+ROUND(J421*[1]Setup!$B$9,0)+IF(O421&gt;[1]Setup!$B$10,ROUND(J421*[1]Setup!$B$11,0),0))</f>
        <v>0</v>
      </c>
      <c r="W421" s="85" t="str">
        <f>IF(L421="","Open",IF(OR(P421&lt;[1]Setup!$B$6,Q421&gt;[1]Setup!$B$7,R421&gt;[1]Setup!$B$8,O421&gt;[1]Setup!$B$10),"Review","OK"))</f>
        <v>Open</v>
      </c>
      <c r="X421" s="86"/>
      <c r="Z421" s="81" t="str">
        <f t="shared" si="82"/>
        <v/>
      </c>
    </row>
    <row r="422" spans="1:26" x14ac:dyDescent="0.3">
      <c r="A422" s="84"/>
      <c r="B422" s="100">
        <f t="shared" si="80"/>
        <v>0</v>
      </c>
      <c r="C422" s="84" t="str">
        <f t="shared" si="81"/>
        <v>January</v>
      </c>
      <c r="D422" s="85" t="str">
        <f t="shared" si="79"/>
        <v/>
      </c>
      <c r="E422" s="86"/>
      <c r="F422" s="86"/>
      <c r="G422" s="86"/>
      <c r="H422" s="86"/>
      <c r="I422" s="87" t="str">
        <f>IF(F422=0,"",IF(COUNTIF(F422,"Bao"),[1]Setup!$B$4,IF(COUNTIF(F422,"Soup Dumplings"),[1]Setup!$B$5,F422)))</f>
        <v/>
      </c>
      <c r="J422" s="88" t="str">
        <f t="shared" si="73"/>
        <v/>
      </c>
      <c r="K422" s="88"/>
      <c r="L422" s="87"/>
      <c r="M422" s="87"/>
      <c r="N422" s="87"/>
      <c r="O422" s="87"/>
      <c r="P422" s="89" t="str">
        <f t="shared" si="74"/>
        <v/>
      </c>
      <c r="Q422" s="89" t="str">
        <f t="shared" si="75"/>
        <v/>
      </c>
      <c r="R422" s="89" t="str">
        <f t="shared" si="76"/>
        <v/>
      </c>
      <c r="S422" s="88" t="str">
        <f>IF(F422="Bao",[1]Setup!$B$4,IF(F422="Soup Dumplings",[1]Setup!$B$5,""))</f>
        <v/>
      </c>
      <c r="T422" s="88" t="str">
        <f t="shared" si="77"/>
        <v/>
      </c>
      <c r="U422" s="84" t="str">
        <f t="shared" si="78"/>
        <v/>
      </c>
      <c r="V422" s="88">
        <f>IF(U422="",0,MAX(0,T422)+N422+ROUND(J422*[1]Setup!$B$9,0)+IF(O422&gt;[1]Setup!$B$10,ROUND(J422*[1]Setup!$B$11,0),0))</f>
        <v>0</v>
      </c>
      <c r="W422" s="85" t="str">
        <f>IF(L422="","Open",IF(OR(P422&lt;[1]Setup!$B$6,Q422&gt;[1]Setup!$B$7,R422&gt;[1]Setup!$B$8,O422&gt;[1]Setup!$B$10),"Review","OK"))</f>
        <v>Open</v>
      </c>
      <c r="X422" s="86"/>
      <c r="Z422" s="81" t="str">
        <f t="shared" si="82"/>
        <v/>
      </c>
    </row>
    <row r="423" spans="1:26" x14ac:dyDescent="0.3">
      <c r="A423" s="84"/>
      <c r="B423" s="100">
        <f t="shared" si="80"/>
        <v>0</v>
      </c>
      <c r="C423" s="84" t="str">
        <f t="shared" si="81"/>
        <v>January</v>
      </c>
      <c r="D423" s="85" t="str">
        <f t="shared" si="79"/>
        <v/>
      </c>
      <c r="E423" s="86"/>
      <c r="F423" s="86"/>
      <c r="G423" s="86"/>
      <c r="H423" s="86"/>
      <c r="I423" s="87" t="str">
        <f>IF(F423=0,"",IF(COUNTIF(F423,"Bao"),[1]Setup!$B$4,IF(COUNTIF(F423,"Soup Dumplings"),[1]Setup!$B$5,F423)))</f>
        <v/>
      </c>
      <c r="J423" s="88" t="str">
        <f t="shared" si="73"/>
        <v/>
      </c>
      <c r="K423" s="88"/>
      <c r="L423" s="87"/>
      <c r="M423" s="87"/>
      <c r="N423" s="87"/>
      <c r="O423" s="87"/>
      <c r="P423" s="89" t="str">
        <f t="shared" si="74"/>
        <v/>
      </c>
      <c r="Q423" s="89" t="str">
        <f t="shared" si="75"/>
        <v/>
      </c>
      <c r="R423" s="89" t="str">
        <f t="shared" si="76"/>
        <v/>
      </c>
      <c r="S423" s="88" t="str">
        <f>IF(F423="Bao",[1]Setup!$B$4,IF(F423="Soup Dumplings",[1]Setup!$B$5,""))</f>
        <v/>
      </c>
      <c r="T423" s="88" t="str">
        <f t="shared" si="77"/>
        <v/>
      </c>
      <c r="U423" s="84" t="str">
        <f t="shared" si="78"/>
        <v/>
      </c>
      <c r="V423" s="88">
        <f>IF(U423="",0,MAX(0,T423)+N423+ROUND(J423*[1]Setup!$B$9,0)+IF(O423&gt;[1]Setup!$B$10,ROUND(J423*[1]Setup!$B$11,0),0))</f>
        <v>0</v>
      </c>
      <c r="W423" s="85" t="str">
        <f>IF(L423="","Open",IF(OR(P423&lt;[1]Setup!$B$6,Q423&gt;[1]Setup!$B$7,R423&gt;[1]Setup!$B$8,O423&gt;[1]Setup!$B$10),"Review","OK"))</f>
        <v>Open</v>
      </c>
      <c r="X423" s="86"/>
      <c r="Z423" s="81" t="str">
        <f t="shared" si="82"/>
        <v/>
      </c>
    </row>
    <row r="424" spans="1:26" x14ac:dyDescent="0.3">
      <c r="A424" s="84"/>
      <c r="B424" s="100">
        <f t="shared" si="80"/>
        <v>0</v>
      </c>
      <c r="C424" s="84" t="str">
        <f t="shared" si="81"/>
        <v>January</v>
      </c>
      <c r="D424" s="85" t="str">
        <f t="shared" si="79"/>
        <v/>
      </c>
      <c r="E424" s="86"/>
      <c r="F424" s="86"/>
      <c r="G424" s="86"/>
      <c r="H424" s="86"/>
      <c r="I424" s="87" t="str">
        <f>IF(F424=0,"",IF(COUNTIF(F424,"Bao"),[1]Setup!$B$4,IF(COUNTIF(F424,"Soup Dumplings"),[1]Setup!$B$5,F424)))</f>
        <v/>
      </c>
      <c r="J424" s="88" t="str">
        <f t="shared" si="73"/>
        <v/>
      </c>
      <c r="K424" s="88"/>
      <c r="L424" s="87"/>
      <c r="M424" s="87"/>
      <c r="N424" s="87"/>
      <c r="O424" s="87"/>
      <c r="P424" s="89" t="str">
        <f t="shared" si="74"/>
        <v/>
      </c>
      <c r="Q424" s="89" t="str">
        <f t="shared" si="75"/>
        <v/>
      </c>
      <c r="R424" s="89" t="str">
        <f t="shared" si="76"/>
        <v/>
      </c>
      <c r="S424" s="88" t="str">
        <f>IF(F424="Bao",[1]Setup!$B$4,IF(F424="Soup Dumplings",[1]Setup!$B$5,""))</f>
        <v/>
      </c>
      <c r="T424" s="88" t="str">
        <f t="shared" si="77"/>
        <v/>
      </c>
      <c r="U424" s="84" t="str">
        <f t="shared" si="78"/>
        <v/>
      </c>
      <c r="V424" s="88">
        <f>IF(U424="",0,MAX(0,T424)+N424+ROUND(J424*[1]Setup!$B$9,0)+IF(O424&gt;[1]Setup!$B$10,ROUND(J424*[1]Setup!$B$11,0),0))</f>
        <v>0</v>
      </c>
      <c r="W424" s="85" t="str">
        <f>IF(L424="","Open",IF(OR(P424&lt;[1]Setup!$B$6,Q424&gt;[1]Setup!$B$7,R424&gt;[1]Setup!$B$8,O424&gt;[1]Setup!$B$10),"Review","OK"))</f>
        <v>Open</v>
      </c>
      <c r="X424" s="86"/>
      <c r="Z424" s="81" t="str">
        <f t="shared" si="82"/>
        <v/>
      </c>
    </row>
    <row r="425" spans="1:26" x14ac:dyDescent="0.3">
      <c r="A425" s="84"/>
      <c r="B425" s="100">
        <f t="shared" si="80"/>
        <v>0</v>
      </c>
      <c r="C425" s="84" t="str">
        <f t="shared" si="81"/>
        <v>January</v>
      </c>
      <c r="D425" s="85" t="str">
        <f t="shared" si="79"/>
        <v/>
      </c>
      <c r="E425" s="86"/>
      <c r="F425" s="86"/>
      <c r="G425" s="86"/>
      <c r="H425" s="86"/>
      <c r="I425" s="87" t="str">
        <f>IF(F425=0,"",IF(COUNTIF(F425,"Bao"),[1]Setup!$B$4,IF(COUNTIF(F425,"Soup Dumplings"),[1]Setup!$B$5,F425)))</f>
        <v/>
      </c>
      <c r="J425" s="88" t="str">
        <f t="shared" si="73"/>
        <v/>
      </c>
      <c r="K425" s="88"/>
      <c r="L425" s="87"/>
      <c r="M425" s="87"/>
      <c r="N425" s="87"/>
      <c r="O425" s="87"/>
      <c r="P425" s="89" t="str">
        <f t="shared" si="74"/>
        <v/>
      </c>
      <c r="Q425" s="89" t="str">
        <f t="shared" si="75"/>
        <v/>
      </c>
      <c r="R425" s="89" t="str">
        <f t="shared" si="76"/>
        <v/>
      </c>
      <c r="S425" s="88" t="str">
        <f>IF(F425="Bao",[1]Setup!$B$4,IF(F425="Soup Dumplings",[1]Setup!$B$5,""))</f>
        <v/>
      </c>
      <c r="T425" s="88" t="str">
        <f t="shared" si="77"/>
        <v/>
      </c>
      <c r="U425" s="84" t="str">
        <f t="shared" si="78"/>
        <v/>
      </c>
      <c r="V425" s="88">
        <f>IF(U425="",0,MAX(0,T425)+N425+ROUND(J425*[1]Setup!$B$9,0)+IF(O425&gt;[1]Setup!$B$10,ROUND(J425*[1]Setup!$B$11,0),0))</f>
        <v>0</v>
      </c>
      <c r="W425" s="85" t="str">
        <f>IF(L425="","Open",IF(OR(P425&lt;[1]Setup!$B$6,Q425&gt;[1]Setup!$B$7,R425&gt;[1]Setup!$B$8,O425&gt;[1]Setup!$B$10),"Review","OK"))</f>
        <v>Open</v>
      </c>
      <c r="X425" s="86"/>
      <c r="Z425" s="81" t="str">
        <f t="shared" si="82"/>
        <v/>
      </c>
    </row>
    <row r="426" spans="1:26" x14ac:dyDescent="0.3">
      <c r="A426" s="84"/>
      <c r="B426" s="100">
        <f t="shared" si="80"/>
        <v>0</v>
      </c>
      <c r="C426" s="84" t="str">
        <f t="shared" si="81"/>
        <v>January</v>
      </c>
      <c r="D426" s="85" t="str">
        <f t="shared" si="79"/>
        <v/>
      </c>
      <c r="E426" s="86"/>
      <c r="F426" s="86"/>
      <c r="G426" s="86"/>
      <c r="H426" s="86"/>
      <c r="I426" s="87" t="str">
        <f>IF(F426=0,"",IF(COUNTIF(F426,"Bao"),[1]Setup!$B$4,IF(COUNTIF(F426,"Soup Dumplings"),[1]Setup!$B$5,F426)))</f>
        <v/>
      </c>
      <c r="J426" s="88" t="str">
        <f t="shared" si="73"/>
        <v/>
      </c>
      <c r="K426" s="88"/>
      <c r="L426" s="87"/>
      <c r="M426" s="87"/>
      <c r="N426" s="87"/>
      <c r="O426" s="87"/>
      <c r="P426" s="89" t="str">
        <f t="shared" si="74"/>
        <v/>
      </c>
      <c r="Q426" s="89" t="str">
        <f t="shared" si="75"/>
        <v/>
      </c>
      <c r="R426" s="89" t="str">
        <f t="shared" si="76"/>
        <v/>
      </c>
      <c r="S426" s="88" t="str">
        <f>IF(F426="Bao",[1]Setup!$B$4,IF(F426="Soup Dumplings",[1]Setup!$B$5,""))</f>
        <v/>
      </c>
      <c r="T426" s="88" t="str">
        <f t="shared" si="77"/>
        <v/>
      </c>
      <c r="U426" s="84" t="str">
        <f t="shared" si="78"/>
        <v/>
      </c>
      <c r="V426" s="88">
        <f>IF(U426="",0,MAX(0,T426)+N426+ROUND(J426*[1]Setup!$B$9,0)+IF(O426&gt;[1]Setup!$B$10,ROUND(J426*[1]Setup!$B$11,0),0))</f>
        <v>0</v>
      </c>
      <c r="W426" s="85" t="str">
        <f>IF(L426="","Open",IF(OR(P426&lt;[1]Setup!$B$6,Q426&gt;[1]Setup!$B$7,R426&gt;[1]Setup!$B$8,O426&gt;[1]Setup!$B$10),"Review","OK"))</f>
        <v>Open</v>
      </c>
      <c r="X426" s="86"/>
      <c r="Z426" s="81" t="str">
        <f t="shared" si="82"/>
        <v/>
      </c>
    </row>
    <row r="427" spans="1:26" x14ac:dyDescent="0.3">
      <c r="A427" s="84"/>
      <c r="B427" s="100">
        <f t="shared" si="80"/>
        <v>0</v>
      </c>
      <c r="C427" s="84" t="str">
        <f t="shared" si="81"/>
        <v>January</v>
      </c>
      <c r="D427" s="85" t="str">
        <f t="shared" si="79"/>
        <v/>
      </c>
      <c r="E427" s="86"/>
      <c r="F427" s="86"/>
      <c r="G427" s="86"/>
      <c r="H427" s="86"/>
      <c r="I427" s="87" t="str">
        <f>IF(F427=0,"",IF(COUNTIF(F427,"Bao"),[1]Setup!$B$4,IF(COUNTIF(F427,"Soup Dumplings"),[1]Setup!$B$5,F427)))</f>
        <v/>
      </c>
      <c r="J427" s="88" t="str">
        <f t="shared" si="73"/>
        <v/>
      </c>
      <c r="K427" s="88"/>
      <c r="L427" s="87"/>
      <c r="M427" s="87"/>
      <c r="N427" s="87"/>
      <c r="O427" s="87"/>
      <c r="P427" s="89" t="str">
        <f t="shared" si="74"/>
        <v/>
      </c>
      <c r="Q427" s="89" t="str">
        <f t="shared" si="75"/>
        <v/>
      </c>
      <c r="R427" s="89" t="str">
        <f t="shared" si="76"/>
        <v/>
      </c>
      <c r="S427" s="88" t="str">
        <f>IF(F427="Bao",[1]Setup!$B$4,IF(F427="Soup Dumplings",[1]Setup!$B$5,""))</f>
        <v/>
      </c>
      <c r="T427" s="88" t="str">
        <f t="shared" si="77"/>
        <v/>
      </c>
      <c r="U427" s="84" t="str">
        <f t="shared" si="78"/>
        <v/>
      </c>
      <c r="V427" s="88">
        <f>IF(U427="",0,MAX(0,T427)+N427+ROUND(J427*[1]Setup!$B$9,0)+IF(O427&gt;[1]Setup!$B$10,ROUND(J427*[1]Setup!$B$11,0),0))</f>
        <v>0</v>
      </c>
      <c r="W427" s="85" t="str">
        <f>IF(L427="","Open",IF(OR(P427&lt;[1]Setup!$B$6,Q427&gt;[1]Setup!$B$7,R427&gt;[1]Setup!$B$8,O427&gt;[1]Setup!$B$10),"Review","OK"))</f>
        <v>Open</v>
      </c>
      <c r="X427" s="86"/>
      <c r="Z427" s="81" t="str">
        <f t="shared" si="82"/>
        <v/>
      </c>
    </row>
    <row r="428" spans="1:26" x14ac:dyDescent="0.3">
      <c r="A428" s="84"/>
      <c r="B428" s="100">
        <f t="shared" si="80"/>
        <v>0</v>
      </c>
      <c r="C428" s="84" t="str">
        <f t="shared" si="81"/>
        <v>January</v>
      </c>
      <c r="D428" s="85" t="str">
        <f t="shared" si="79"/>
        <v/>
      </c>
      <c r="E428" s="86"/>
      <c r="F428" s="86"/>
      <c r="G428" s="86"/>
      <c r="H428" s="86"/>
      <c r="I428" s="87" t="str">
        <f>IF(F428=0,"",IF(COUNTIF(F428,"Bao"),[1]Setup!$B$4,IF(COUNTIF(F428,"Soup Dumplings"),[1]Setup!$B$5,F428)))</f>
        <v/>
      </c>
      <c r="J428" s="88" t="str">
        <f t="shared" si="73"/>
        <v/>
      </c>
      <c r="K428" s="88"/>
      <c r="L428" s="87"/>
      <c r="M428" s="87"/>
      <c r="N428" s="87"/>
      <c r="O428" s="87"/>
      <c r="P428" s="89" t="str">
        <f t="shared" si="74"/>
        <v/>
      </c>
      <c r="Q428" s="89" t="str">
        <f t="shared" si="75"/>
        <v/>
      </c>
      <c r="R428" s="89" t="str">
        <f t="shared" si="76"/>
        <v/>
      </c>
      <c r="S428" s="88" t="str">
        <f>IF(F428="Bao",[1]Setup!$B$4,IF(F428="Soup Dumplings",[1]Setup!$B$5,""))</f>
        <v/>
      </c>
      <c r="T428" s="88" t="str">
        <f t="shared" si="77"/>
        <v/>
      </c>
      <c r="U428" s="84" t="str">
        <f t="shared" si="78"/>
        <v/>
      </c>
      <c r="V428" s="88">
        <f>IF(U428="",0,MAX(0,T428)+N428+ROUND(J428*[1]Setup!$B$9,0)+IF(O428&gt;[1]Setup!$B$10,ROUND(J428*[1]Setup!$B$11,0),0))</f>
        <v>0</v>
      </c>
      <c r="W428" s="85" t="str">
        <f>IF(L428="","Open",IF(OR(P428&lt;[1]Setup!$B$6,Q428&gt;[1]Setup!$B$7,R428&gt;[1]Setup!$B$8,O428&gt;[1]Setup!$B$10),"Review","OK"))</f>
        <v>Open</v>
      </c>
      <c r="X428" s="86"/>
      <c r="Z428" s="81" t="str">
        <f t="shared" si="82"/>
        <v/>
      </c>
    </row>
    <row r="429" spans="1:26" x14ac:dyDescent="0.3">
      <c r="A429" s="84"/>
      <c r="B429" s="100">
        <f t="shared" si="80"/>
        <v>0</v>
      </c>
      <c r="C429" s="84" t="str">
        <f t="shared" si="81"/>
        <v>January</v>
      </c>
      <c r="D429" s="85" t="str">
        <f t="shared" si="79"/>
        <v/>
      </c>
      <c r="E429" s="86"/>
      <c r="F429" s="86"/>
      <c r="G429" s="86"/>
      <c r="H429" s="86"/>
      <c r="I429" s="87" t="str">
        <f>IF(F429=0,"",IF(COUNTIF(F429,"Bao"),[1]Setup!$B$4,IF(COUNTIF(F429,"Soup Dumplings"),[1]Setup!$B$5,F429)))</f>
        <v/>
      </c>
      <c r="J429" s="88" t="str">
        <f t="shared" si="73"/>
        <v/>
      </c>
      <c r="K429" s="88"/>
      <c r="L429" s="87"/>
      <c r="M429" s="87"/>
      <c r="N429" s="87"/>
      <c r="O429" s="87"/>
      <c r="P429" s="89" t="str">
        <f t="shared" si="74"/>
        <v/>
      </c>
      <c r="Q429" s="89" t="str">
        <f t="shared" si="75"/>
        <v/>
      </c>
      <c r="R429" s="89" t="str">
        <f t="shared" si="76"/>
        <v/>
      </c>
      <c r="S429" s="88" t="str">
        <f>IF(F429="Bao",[1]Setup!$B$4,IF(F429="Soup Dumplings",[1]Setup!$B$5,""))</f>
        <v/>
      </c>
      <c r="T429" s="88" t="str">
        <f t="shared" si="77"/>
        <v/>
      </c>
      <c r="U429" s="84" t="str">
        <f t="shared" si="78"/>
        <v/>
      </c>
      <c r="V429" s="88">
        <f>IF(U429="",0,MAX(0,T429)+N429+ROUND(J429*[1]Setup!$B$9,0)+IF(O429&gt;[1]Setup!$B$10,ROUND(J429*[1]Setup!$B$11,0),0))</f>
        <v>0</v>
      </c>
      <c r="W429" s="85" t="str">
        <f>IF(L429="","Open",IF(OR(P429&lt;[1]Setup!$B$6,Q429&gt;[1]Setup!$B$7,R429&gt;[1]Setup!$B$8,O429&gt;[1]Setup!$B$10),"Review","OK"))</f>
        <v>Open</v>
      </c>
      <c r="X429" s="86"/>
      <c r="Z429" s="81" t="str">
        <f t="shared" si="82"/>
        <v/>
      </c>
    </row>
    <row r="430" spans="1:26" x14ac:dyDescent="0.3">
      <c r="A430" s="84"/>
      <c r="B430" s="100">
        <f t="shared" si="80"/>
        <v>0</v>
      </c>
      <c r="C430" s="84" t="str">
        <f t="shared" si="81"/>
        <v>January</v>
      </c>
      <c r="D430" s="85" t="str">
        <f t="shared" si="79"/>
        <v/>
      </c>
      <c r="E430" s="86"/>
      <c r="F430" s="86"/>
      <c r="G430" s="86"/>
      <c r="H430" s="86"/>
      <c r="I430" s="87" t="str">
        <f>IF(F430=0,"",IF(COUNTIF(F430,"Bao"),[1]Setup!$B$4,IF(COUNTIF(F430,"Soup Dumplings"),[1]Setup!$B$5,F430)))</f>
        <v/>
      </c>
      <c r="J430" s="88" t="str">
        <f t="shared" si="73"/>
        <v/>
      </c>
      <c r="K430" s="88"/>
      <c r="L430" s="87"/>
      <c r="M430" s="87"/>
      <c r="N430" s="87"/>
      <c r="O430" s="87"/>
      <c r="P430" s="89" t="str">
        <f t="shared" si="74"/>
        <v/>
      </c>
      <c r="Q430" s="89" t="str">
        <f t="shared" si="75"/>
        <v/>
      </c>
      <c r="R430" s="89" t="str">
        <f t="shared" si="76"/>
        <v/>
      </c>
      <c r="S430" s="88" t="str">
        <f>IF(F430="Bao",[1]Setup!$B$4,IF(F430="Soup Dumplings",[1]Setup!$B$5,""))</f>
        <v/>
      </c>
      <c r="T430" s="88" t="str">
        <f t="shared" si="77"/>
        <v/>
      </c>
      <c r="U430" s="84" t="str">
        <f t="shared" si="78"/>
        <v/>
      </c>
      <c r="V430" s="88">
        <f>IF(U430="",0,MAX(0,T430)+N430+ROUND(J430*[1]Setup!$B$9,0)+IF(O430&gt;[1]Setup!$B$10,ROUND(J430*[1]Setup!$B$11,0),0))</f>
        <v>0</v>
      </c>
      <c r="W430" s="85" t="str">
        <f>IF(L430="","Open",IF(OR(P430&lt;[1]Setup!$B$6,Q430&gt;[1]Setup!$B$7,R430&gt;[1]Setup!$B$8,O430&gt;[1]Setup!$B$10),"Review","OK"))</f>
        <v>Open</v>
      </c>
      <c r="X430" s="86"/>
      <c r="Z430" s="81" t="str">
        <f t="shared" si="82"/>
        <v/>
      </c>
    </row>
    <row r="431" spans="1:26" x14ac:dyDescent="0.3">
      <c r="A431" s="84"/>
      <c r="B431" s="100">
        <f t="shared" si="80"/>
        <v>0</v>
      </c>
      <c r="C431" s="84" t="str">
        <f t="shared" si="81"/>
        <v>January</v>
      </c>
      <c r="D431" s="85" t="str">
        <f t="shared" si="79"/>
        <v/>
      </c>
      <c r="E431" s="86"/>
      <c r="F431" s="86"/>
      <c r="G431" s="86"/>
      <c r="H431" s="86"/>
      <c r="I431" s="87" t="str">
        <f>IF(F431=0,"",IF(COUNTIF(F431,"Bao"),[1]Setup!$B$4,IF(COUNTIF(F431,"Soup Dumplings"),[1]Setup!$B$5,F431)))</f>
        <v/>
      </c>
      <c r="J431" s="88" t="str">
        <f t="shared" ref="J431:J494" si="83">IF(A431="","",
   IFERROR(
      N(I431)+SUMIFS($V$4:$V$30,$U$4:$U$30,A431,$G$4:$G$30,G431),
   0)
)</f>
        <v/>
      </c>
      <c r="K431" s="88"/>
      <c r="L431" s="87"/>
      <c r="M431" s="87"/>
      <c r="N431" s="87"/>
      <c r="O431" s="87"/>
      <c r="P431" s="89" t="str">
        <f t="shared" ref="P431:P494" si="84">IF(J431="","",IF(J431&gt;0,(L431+M431)/J431,""))</f>
        <v/>
      </c>
      <c r="Q431" s="89" t="str">
        <f t="shared" ref="Q431:Q494" si="85">IF(J431="","",IF(J431&gt;0,MAX(0,(J431-(L431+M431))/J431),""))</f>
        <v/>
      </c>
      <c r="R431" s="89" t="str">
        <f t="shared" ref="R431:R494" si="86">IF(J431="","",IF(J431&gt;0,MAX(0,(L431+M431-J431)/J431),""))</f>
        <v/>
      </c>
      <c r="S431" s="88" t="str">
        <f>IF(F431="Bao",[1]Setup!$B$4,IF(F431="Soup Dumplings",[1]Setup!$B$5,""))</f>
        <v/>
      </c>
      <c r="T431" s="88" t="str">
        <f t="shared" ref="T431:T494" si="87">IF(L431="","",S431-L431)</f>
        <v/>
      </c>
      <c r="U431" s="84" t="str">
        <f t="shared" ref="U431:U494" si="88">IF(A431="","",A431+1)</f>
        <v/>
      </c>
      <c r="V431" s="88">
        <f>IF(U431="",0,MAX(0,T431)+N431+ROUND(J431*[1]Setup!$B$9,0)+IF(O431&gt;[1]Setup!$B$10,ROUND(J431*[1]Setup!$B$11,0),0))</f>
        <v>0</v>
      </c>
      <c r="W431" s="85" t="str">
        <f>IF(L431="","Open",IF(OR(P431&lt;[1]Setup!$B$6,Q431&gt;[1]Setup!$B$7,R431&gt;[1]Setup!$B$8,O431&gt;[1]Setup!$B$10),"Review","OK"))</f>
        <v>Open</v>
      </c>
      <c r="X431" s="86"/>
      <c r="Z431" s="81" t="str">
        <f t="shared" si="82"/>
        <v/>
      </c>
    </row>
    <row r="432" spans="1:26" x14ac:dyDescent="0.3">
      <c r="A432" s="84"/>
      <c r="B432" s="100">
        <f t="shared" si="80"/>
        <v>0</v>
      </c>
      <c r="C432" s="84" t="str">
        <f t="shared" si="81"/>
        <v>January</v>
      </c>
      <c r="D432" s="85" t="str">
        <f t="shared" si="79"/>
        <v/>
      </c>
      <c r="E432" s="86"/>
      <c r="F432" s="86"/>
      <c r="G432" s="86"/>
      <c r="H432" s="86"/>
      <c r="I432" s="87" t="str">
        <f>IF(F432=0,"",IF(COUNTIF(F432,"Bao"),[1]Setup!$B$4,IF(COUNTIF(F432,"Soup Dumplings"),[1]Setup!$B$5,F432)))</f>
        <v/>
      </c>
      <c r="J432" s="88" t="str">
        <f t="shared" si="83"/>
        <v/>
      </c>
      <c r="K432" s="88"/>
      <c r="L432" s="87"/>
      <c r="M432" s="87"/>
      <c r="N432" s="87"/>
      <c r="O432" s="87"/>
      <c r="P432" s="89" t="str">
        <f t="shared" si="84"/>
        <v/>
      </c>
      <c r="Q432" s="89" t="str">
        <f t="shared" si="85"/>
        <v/>
      </c>
      <c r="R432" s="89" t="str">
        <f t="shared" si="86"/>
        <v/>
      </c>
      <c r="S432" s="88" t="str">
        <f>IF(F432="Bao",[1]Setup!$B$4,IF(F432="Soup Dumplings",[1]Setup!$B$5,""))</f>
        <v/>
      </c>
      <c r="T432" s="88" t="str">
        <f t="shared" si="87"/>
        <v/>
      </c>
      <c r="U432" s="84" t="str">
        <f t="shared" si="88"/>
        <v/>
      </c>
      <c r="V432" s="88">
        <f>IF(U432="",0,MAX(0,T432)+N432+ROUND(J432*[1]Setup!$B$9,0)+IF(O432&gt;[1]Setup!$B$10,ROUND(J432*[1]Setup!$B$11,0),0))</f>
        <v>0</v>
      </c>
      <c r="W432" s="85" t="str">
        <f>IF(L432="","Open",IF(OR(P432&lt;[1]Setup!$B$6,Q432&gt;[1]Setup!$B$7,R432&gt;[1]Setup!$B$8,O432&gt;[1]Setup!$B$10),"Review","OK"))</f>
        <v>Open</v>
      </c>
      <c r="X432" s="86"/>
      <c r="Z432" s="81" t="str">
        <f t="shared" si="82"/>
        <v/>
      </c>
    </row>
    <row r="433" spans="1:26" x14ac:dyDescent="0.3">
      <c r="A433" s="84"/>
      <c r="B433" s="100">
        <f t="shared" si="80"/>
        <v>0</v>
      </c>
      <c r="C433" s="84" t="str">
        <f t="shared" si="81"/>
        <v>January</v>
      </c>
      <c r="D433" s="85" t="str">
        <f t="shared" si="79"/>
        <v/>
      </c>
      <c r="E433" s="86"/>
      <c r="F433" s="86"/>
      <c r="G433" s="86"/>
      <c r="H433" s="86"/>
      <c r="I433" s="87" t="str">
        <f>IF(F433=0,"",IF(COUNTIF(F433,"Bao"),[1]Setup!$B$4,IF(COUNTIF(F433,"Soup Dumplings"),[1]Setup!$B$5,F433)))</f>
        <v/>
      </c>
      <c r="J433" s="88" t="str">
        <f t="shared" si="83"/>
        <v/>
      </c>
      <c r="K433" s="88"/>
      <c r="L433" s="87"/>
      <c r="M433" s="87"/>
      <c r="N433" s="87"/>
      <c r="O433" s="87"/>
      <c r="P433" s="89" t="str">
        <f t="shared" si="84"/>
        <v/>
      </c>
      <c r="Q433" s="89" t="str">
        <f t="shared" si="85"/>
        <v/>
      </c>
      <c r="R433" s="89" t="str">
        <f t="shared" si="86"/>
        <v/>
      </c>
      <c r="S433" s="88" t="str">
        <f>IF(F433="Bao",[1]Setup!$B$4,IF(F433="Soup Dumplings",[1]Setup!$B$5,""))</f>
        <v/>
      </c>
      <c r="T433" s="88" t="str">
        <f t="shared" si="87"/>
        <v/>
      </c>
      <c r="U433" s="84" t="str">
        <f t="shared" si="88"/>
        <v/>
      </c>
      <c r="V433" s="88">
        <f>IF(U433="",0,MAX(0,T433)+N433+ROUND(J433*[1]Setup!$B$9,0)+IF(O433&gt;[1]Setup!$B$10,ROUND(J433*[1]Setup!$B$11,0),0))</f>
        <v>0</v>
      </c>
      <c r="W433" s="85" t="str">
        <f>IF(L433="","Open",IF(OR(P433&lt;[1]Setup!$B$6,Q433&gt;[1]Setup!$B$7,R433&gt;[1]Setup!$B$8,O433&gt;[1]Setup!$B$10),"Review","OK"))</f>
        <v>Open</v>
      </c>
      <c r="X433" s="86"/>
      <c r="Z433" s="81" t="str">
        <f t="shared" si="82"/>
        <v/>
      </c>
    </row>
    <row r="434" spans="1:26" x14ac:dyDescent="0.3">
      <c r="A434" s="84"/>
      <c r="B434" s="100">
        <f t="shared" si="80"/>
        <v>0</v>
      </c>
      <c r="C434" s="84" t="str">
        <f t="shared" si="81"/>
        <v>January</v>
      </c>
      <c r="D434" s="85" t="str">
        <f t="shared" si="79"/>
        <v/>
      </c>
      <c r="E434" s="86"/>
      <c r="F434" s="86"/>
      <c r="G434" s="86"/>
      <c r="H434" s="86"/>
      <c r="I434" s="87" t="str">
        <f>IF(F434=0,"",IF(COUNTIF(F434,"Bao"),[1]Setup!$B$4,IF(COUNTIF(F434,"Soup Dumplings"),[1]Setup!$B$5,F434)))</f>
        <v/>
      </c>
      <c r="J434" s="88" t="str">
        <f t="shared" si="83"/>
        <v/>
      </c>
      <c r="K434" s="88"/>
      <c r="L434" s="87"/>
      <c r="M434" s="87"/>
      <c r="N434" s="87"/>
      <c r="O434" s="87"/>
      <c r="P434" s="89" t="str">
        <f t="shared" si="84"/>
        <v/>
      </c>
      <c r="Q434" s="89" t="str">
        <f t="shared" si="85"/>
        <v/>
      </c>
      <c r="R434" s="89" t="str">
        <f t="shared" si="86"/>
        <v/>
      </c>
      <c r="S434" s="88" t="str">
        <f>IF(F434="Bao",[1]Setup!$B$4,IF(F434="Soup Dumplings",[1]Setup!$B$5,""))</f>
        <v/>
      </c>
      <c r="T434" s="88" t="str">
        <f t="shared" si="87"/>
        <v/>
      </c>
      <c r="U434" s="84" t="str">
        <f t="shared" si="88"/>
        <v/>
      </c>
      <c r="V434" s="88">
        <f>IF(U434="",0,MAX(0,T434)+N434+ROUND(J434*[1]Setup!$B$9,0)+IF(O434&gt;[1]Setup!$B$10,ROUND(J434*[1]Setup!$B$11,0),0))</f>
        <v>0</v>
      </c>
      <c r="W434" s="85" t="str">
        <f>IF(L434="","Open",IF(OR(P434&lt;[1]Setup!$B$6,Q434&gt;[1]Setup!$B$7,R434&gt;[1]Setup!$B$8,O434&gt;[1]Setup!$B$10),"Review","OK"))</f>
        <v>Open</v>
      </c>
      <c r="X434" s="86"/>
      <c r="Z434" s="81" t="str">
        <f t="shared" si="82"/>
        <v/>
      </c>
    </row>
    <row r="435" spans="1:26" x14ac:dyDescent="0.3">
      <c r="A435" s="84"/>
      <c r="B435" s="100">
        <f t="shared" si="80"/>
        <v>0</v>
      </c>
      <c r="C435" s="84" t="str">
        <f t="shared" si="81"/>
        <v>January</v>
      </c>
      <c r="D435" s="85" t="str">
        <f t="shared" si="79"/>
        <v/>
      </c>
      <c r="E435" s="86"/>
      <c r="F435" s="86"/>
      <c r="G435" s="86"/>
      <c r="H435" s="86"/>
      <c r="I435" s="87" t="str">
        <f>IF(F435=0,"",IF(COUNTIF(F435,"Bao"),[1]Setup!$B$4,IF(COUNTIF(F435,"Soup Dumplings"),[1]Setup!$B$5,F435)))</f>
        <v/>
      </c>
      <c r="J435" s="88" t="str">
        <f t="shared" si="83"/>
        <v/>
      </c>
      <c r="K435" s="88"/>
      <c r="L435" s="87"/>
      <c r="M435" s="87"/>
      <c r="N435" s="87"/>
      <c r="O435" s="87"/>
      <c r="P435" s="89" t="str">
        <f t="shared" si="84"/>
        <v/>
      </c>
      <c r="Q435" s="89" t="str">
        <f t="shared" si="85"/>
        <v/>
      </c>
      <c r="R435" s="89" t="str">
        <f t="shared" si="86"/>
        <v/>
      </c>
      <c r="S435" s="88" t="str">
        <f>IF(F435="Bao",[1]Setup!$B$4,IF(F435="Soup Dumplings",[1]Setup!$B$5,""))</f>
        <v/>
      </c>
      <c r="T435" s="88" t="str">
        <f t="shared" si="87"/>
        <v/>
      </c>
      <c r="U435" s="84" t="str">
        <f t="shared" si="88"/>
        <v/>
      </c>
      <c r="V435" s="88">
        <f>IF(U435="",0,MAX(0,T435)+N435+ROUND(J435*[1]Setup!$B$9,0)+IF(O435&gt;[1]Setup!$B$10,ROUND(J435*[1]Setup!$B$11,0),0))</f>
        <v>0</v>
      </c>
      <c r="W435" s="85" t="str">
        <f>IF(L435="","Open",IF(OR(P435&lt;[1]Setup!$B$6,Q435&gt;[1]Setup!$B$7,R435&gt;[1]Setup!$B$8,O435&gt;[1]Setup!$B$10),"Review","OK"))</f>
        <v>Open</v>
      </c>
      <c r="X435" s="86"/>
      <c r="Z435" s="81" t="str">
        <f t="shared" si="82"/>
        <v/>
      </c>
    </row>
    <row r="436" spans="1:26" x14ac:dyDescent="0.3">
      <c r="A436" s="84"/>
      <c r="B436" s="100">
        <f t="shared" si="80"/>
        <v>0</v>
      </c>
      <c r="C436" s="84" t="str">
        <f t="shared" si="81"/>
        <v>January</v>
      </c>
      <c r="D436" s="85" t="str">
        <f t="shared" si="79"/>
        <v/>
      </c>
      <c r="E436" s="86"/>
      <c r="F436" s="86"/>
      <c r="G436" s="86"/>
      <c r="H436" s="86"/>
      <c r="I436" s="87" t="str">
        <f>IF(F436=0,"",IF(COUNTIF(F436,"Bao"),[1]Setup!$B$4,IF(COUNTIF(F436,"Soup Dumplings"),[1]Setup!$B$5,F436)))</f>
        <v/>
      </c>
      <c r="J436" s="88" t="str">
        <f t="shared" si="83"/>
        <v/>
      </c>
      <c r="K436" s="88"/>
      <c r="L436" s="87"/>
      <c r="M436" s="87"/>
      <c r="N436" s="87"/>
      <c r="O436" s="87"/>
      <c r="P436" s="89" t="str">
        <f t="shared" si="84"/>
        <v/>
      </c>
      <c r="Q436" s="89" t="str">
        <f t="shared" si="85"/>
        <v/>
      </c>
      <c r="R436" s="89" t="str">
        <f t="shared" si="86"/>
        <v/>
      </c>
      <c r="S436" s="88" t="str">
        <f>IF(F436="Bao",[1]Setup!$B$4,IF(F436="Soup Dumplings",[1]Setup!$B$5,""))</f>
        <v/>
      </c>
      <c r="T436" s="88" t="str">
        <f t="shared" si="87"/>
        <v/>
      </c>
      <c r="U436" s="84" t="str">
        <f t="shared" si="88"/>
        <v/>
      </c>
      <c r="V436" s="88">
        <f>IF(U436="",0,MAX(0,T436)+N436+ROUND(J436*[1]Setup!$B$9,0)+IF(O436&gt;[1]Setup!$B$10,ROUND(J436*[1]Setup!$B$11,0),0))</f>
        <v>0</v>
      </c>
      <c r="W436" s="85" t="str">
        <f>IF(L436="","Open",IF(OR(P436&lt;[1]Setup!$B$6,Q436&gt;[1]Setup!$B$7,R436&gt;[1]Setup!$B$8,O436&gt;[1]Setup!$B$10),"Review","OK"))</f>
        <v>Open</v>
      </c>
      <c r="X436" s="86"/>
      <c r="Z436" s="81" t="str">
        <f t="shared" si="82"/>
        <v/>
      </c>
    </row>
    <row r="437" spans="1:26" x14ac:dyDescent="0.3">
      <c r="A437" s="84"/>
      <c r="B437" s="100">
        <f t="shared" si="80"/>
        <v>0</v>
      </c>
      <c r="C437" s="84" t="str">
        <f t="shared" si="81"/>
        <v>January</v>
      </c>
      <c r="D437" s="85" t="str">
        <f t="shared" si="79"/>
        <v/>
      </c>
      <c r="E437" s="86"/>
      <c r="F437" s="86"/>
      <c r="G437" s="86"/>
      <c r="H437" s="86"/>
      <c r="I437" s="87" t="str">
        <f>IF(F437=0,"",IF(COUNTIF(F437,"Bao"),[1]Setup!$B$4,IF(COUNTIF(F437,"Soup Dumplings"),[1]Setup!$B$5,F437)))</f>
        <v/>
      </c>
      <c r="J437" s="88" t="str">
        <f t="shared" si="83"/>
        <v/>
      </c>
      <c r="K437" s="88"/>
      <c r="L437" s="87"/>
      <c r="M437" s="87"/>
      <c r="N437" s="87"/>
      <c r="O437" s="87"/>
      <c r="P437" s="89" t="str">
        <f t="shared" si="84"/>
        <v/>
      </c>
      <c r="Q437" s="89" t="str">
        <f t="shared" si="85"/>
        <v/>
      </c>
      <c r="R437" s="89" t="str">
        <f t="shared" si="86"/>
        <v/>
      </c>
      <c r="S437" s="88" t="str">
        <f>IF(F437="Bao",[1]Setup!$B$4,IF(F437="Soup Dumplings",[1]Setup!$B$5,""))</f>
        <v/>
      </c>
      <c r="T437" s="88" t="str">
        <f t="shared" si="87"/>
        <v/>
      </c>
      <c r="U437" s="84" t="str">
        <f t="shared" si="88"/>
        <v/>
      </c>
      <c r="V437" s="88">
        <f>IF(U437="",0,MAX(0,T437)+N437+ROUND(J437*[1]Setup!$B$9,0)+IF(O437&gt;[1]Setup!$B$10,ROUND(J437*[1]Setup!$B$11,0),0))</f>
        <v>0</v>
      </c>
      <c r="W437" s="85" t="str">
        <f>IF(L437="","Open",IF(OR(P437&lt;[1]Setup!$B$6,Q437&gt;[1]Setup!$B$7,R437&gt;[1]Setup!$B$8,O437&gt;[1]Setup!$B$10),"Review","OK"))</f>
        <v>Open</v>
      </c>
      <c r="X437" s="86"/>
      <c r="Z437" s="81" t="str">
        <f t="shared" si="82"/>
        <v/>
      </c>
    </row>
    <row r="438" spans="1:26" x14ac:dyDescent="0.3">
      <c r="A438" s="84"/>
      <c r="B438" s="100">
        <f t="shared" si="80"/>
        <v>0</v>
      </c>
      <c r="C438" s="84" t="str">
        <f t="shared" si="81"/>
        <v>January</v>
      </c>
      <c r="D438" s="85" t="str">
        <f t="shared" si="79"/>
        <v/>
      </c>
      <c r="E438" s="86"/>
      <c r="F438" s="86"/>
      <c r="G438" s="86"/>
      <c r="H438" s="86"/>
      <c r="I438" s="87" t="str">
        <f>IF(F438=0,"",IF(COUNTIF(F438,"Bao"),[1]Setup!$B$4,IF(COUNTIF(F438,"Soup Dumplings"),[1]Setup!$B$5,F438)))</f>
        <v/>
      </c>
      <c r="J438" s="88" t="str">
        <f t="shared" si="83"/>
        <v/>
      </c>
      <c r="K438" s="88"/>
      <c r="L438" s="87"/>
      <c r="M438" s="87"/>
      <c r="N438" s="87"/>
      <c r="O438" s="87"/>
      <c r="P438" s="89" t="str">
        <f t="shared" si="84"/>
        <v/>
      </c>
      <c r="Q438" s="89" t="str">
        <f t="shared" si="85"/>
        <v/>
      </c>
      <c r="R438" s="89" t="str">
        <f t="shared" si="86"/>
        <v/>
      </c>
      <c r="S438" s="88" t="str">
        <f>IF(F438="Bao",[1]Setup!$B$4,IF(F438="Soup Dumplings",[1]Setup!$B$5,""))</f>
        <v/>
      </c>
      <c r="T438" s="88" t="str">
        <f t="shared" si="87"/>
        <v/>
      </c>
      <c r="U438" s="84" t="str">
        <f t="shared" si="88"/>
        <v/>
      </c>
      <c r="V438" s="88">
        <f>IF(U438="",0,MAX(0,T438)+N438+ROUND(J438*[1]Setup!$B$9,0)+IF(O438&gt;[1]Setup!$B$10,ROUND(J438*[1]Setup!$B$11,0),0))</f>
        <v>0</v>
      </c>
      <c r="W438" s="85" t="str">
        <f>IF(L438="","Open",IF(OR(P438&lt;[1]Setup!$B$6,Q438&gt;[1]Setup!$B$7,R438&gt;[1]Setup!$B$8,O438&gt;[1]Setup!$B$10),"Review","OK"))</f>
        <v>Open</v>
      </c>
      <c r="X438" s="86"/>
      <c r="Z438" s="81" t="str">
        <f t="shared" si="82"/>
        <v/>
      </c>
    </row>
    <row r="439" spans="1:26" x14ac:dyDescent="0.3">
      <c r="A439" s="84"/>
      <c r="B439" s="100">
        <f t="shared" si="80"/>
        <v>0</v>
      </c>
      <c r="C439" s="84" t="str">
        <f t="shared" si="81"/>
        <v>January</v>
      </c>
      <c r="D439" s="85" t="str">
        <f t="shared" si="79"/>
        <v/>
      </c>
      <c r="E439" s="86"/>
      <c r="F439" s="86"/>
      <c r="G439" s="86"/>
      <c r="H439" s="86"/>
      <c r="I439" s="87" t="str">
        <f>IF(F439=0,"",IF(COUNTIF(F439,"Bao"),[1]Setup!$B$4,IF(COUNTIF(F439,"Soup Dumplings"),[1]Setup!$B$5,F439)))</f>
        <v/>
      </c>
      <c r="J439" s="88" t="str">
        <f t="shared" si="83"/>
        <v/>
      </c>
      <c r="K439" s="88"/>
      <c r="L439" s="87"/>
      <c r="M439" s="87"/>
      <c r="N439" s="87"/>
      <c r="O439" s="87"/>
      <c r="P439" s="89" t="str">
        <f t="shared" si="84"/>
        <v/>
      </c>
      <c r="Q439" s="89" t="str">
        <f t="shared" si="85"/>
        <v/>
      </c>
      <c r="R439" s="89" t="str">
        <f t="shared" si="86"/>
        <v/>
      </c>
      <c r="S439" s="88" t="str">
        <f>IF(F439="Bao",[1]Setup!$B$4,IF(F439="Soup Dumplings",[1]Setup!$B$5,""))</f>
        <v/>
      </c>
      <c r="T439" s="88" t="str">
        <f t="shared" si="87"/>
        <v/>
      </c>
      <c r="U439" s="84" t="str">
        <f t="shared" si="88"/>
        <v/>
      </c>
      <c r="V439" s="88">
        <f>IF(U439="",0,MAX(0,T439)+N439+ROUND(J439*[1]Setup!$B$9,0)+IF(O439&gt;[1]Setup!$B$10,ROUND(J439*[1]Setup!$B$11,0),0))</f>
        <v>0</v>
      </c>
      <c r="W439" s="85" t="str">
        <f>IF(L439="","Open",IF(OR(P439&lt;[1]Setup!$B$6,Q439&gt;[1]Setup!$B$7,R439&gt;[1]Setup!$B$8,O439&gt;[1]Setup!$B$10),"Review","OK"))</f>
        <v>Open</v>
      </c>
      <c r="X439" s="86"/>
      <c r="Z439" s="81" t="str">
        <f t="shared" si="82"/>
        <v/>
      </c>
    </row>
    <row r="440" spans="1:26" x14ac:dyDescent="0.3">
      <c r="A440" s="84"/>
      <c r="B440" s="100">
        <f t="shared" si="80"/>
        <v>0</v>
      </c>
      <c r="C440" s="84" t="str">
        <f t="shared" si="81"/>
        <v>January</v>
      </c>
      <c r="D440" s="85" t="str">
        <f t="shared" si="79"/>
        <v/>
      </c>
      <c r="E440" s="86"/>
      <c r="F440" s="86"/>
      <c r="G440" s="86"/>
      <c r="H440" s="86"/>
      <c r="I440" s="87" t="str">
        <f>IF(F440=0,"",IF(COUNTIF(F440,"Bao"),[1]Setup!$B$4,IF(COUNTIF(F440,"Soup Dumplings"),[1]Setup!$B$5,F440)))</f>
        <v/>
      </c>
      <c r="J440" s="88" t="str">
        <f t="shared" si="83"/>
        <v/>
      </c>
      <c r="K440" s="88"/>
      <c r="L440" s="87"/>
      <c r="M440" s="87"/>
      <c r="N440" s="87"/>
      <c r="O440" s="87"/>
      <c r="P440" s="89" t="str">
        <f t="shared" si="84"/>
        <v/>
      </c>
      <c r="Q440" s="89" t="str">
        <f t="shared" si="85"/>
        <v/>
      </c>
      <c r="R440" s="89" t="str">
        <f t="shared" si="86"/>
        <v/>
      </c>
      <c r="S440" s="88" t="str">
        <f>IF(F440="Bao",[1]Setup!$B$4,IF(F440="Soup Dumplings",[1]Setup!$B$5,""))</f>
        <v/>
      </c>
      <c r="T440" s="88" t="str">
        <f t="shared" si="87"/>
        <v/>
      </c>
      <c r="U440" s="84" t="str">
        <f t="shared" si="88"/>
        <v/>
      </c>
      <c r="V440" s="88">
        <f>IF(U440="",0,MAX(0,T440)+N440+ROUND(J440*[1]Setup!$B$9,0)+IF(O440&gt;[1]Setup!$B$10,ROUND(J440*[1]Setup!$B$11,0),0))</f>
        <v>0</v>
      </c>
      <c r="W440" s="85" t="str">
        <f>IF(L440="","Open",IF(OR(P440&lt;[1]Setup!$B$6,Q440&gt;[1]Setup!$B$7,R440&gt;[1]Setup!$B$8,O440&gt;[1]Setup!$B$10),"Review","OK"))</f>
        <v>Open</v>
      </c>
      <c r="X440" s="86"/>
      <c r="Z440" s="81" t="str">
        <f t="shared" si="82"/>
        <v/>
      </c>
    </row>
    <row r="441" spans="1:26" x14ac:dyDescent="0.3">
      <c r="A441" s="84"/>
      <c r="B441" s="100">
        <f t="shared" si="80"/>
        <v>0</v>
      </c>
      <c r="C441" s="84" t="str">
        <f t="shared" si="81"/>
        <v>January</v>
      </c>
      <c r="D441" s="85" t="str">
        <f t="shared" si="79"/>
        <v/>
      </c>
      <c r="E441" s="86"/>
      <c r="F441" s="86"/>
      <c r="G441" s="86"/>
      <c r="H441" s="86"/>
      <c r="I441" s="87" t="str">
        <f>IF(F441=0,"",IF(COUNTIF(F441,"Bao"),[1]Setup!$B$4,IF(COUNTIF(F441,"Soup Dumplings"),[1]Setup!$B$5,F441)))</f>
        <v/>
      </c>
      <c r="J441" s="88" t="str">
        <f t="shared" si="83"/>
        <v/>
      </c>
      <c r="K441" s="88"/>
      <c r="L441" s="87"/>
      <c r="M441" s="87"/>
      <c r="N441" s="87"/>
      <c r="O441" s="87"/>
      <c r="P441" s="89" t="str">
        <f t="shared" si="84"/>
        <v/>
      </c>
      <c r="Q441" s="89" t="str">
        <f t="shared" si="85"/>
        <v/>
      </c>
      <c r="R441" s="89" t="str">
        <f t="shared" si="86"/>
        <v/>
      </c>
      <c r="S441" s="88" t="str">
        <f>IF(F441="Bao",[1]Setup!$B$4,IF(F441="Soup Dumplings",[1]Setup!$B$5,""))</f>
        <v/>
      </c>
      <c r="T441" s="88" t="str">
        <f t="shared" si="87"/>
        <v/>
      </c>
      <c r="U441" s="84" t="str">
        <f t="shared" si="88"/>
        <v/>
      </c>
      <c r="V441" s="88">
        <f>IF(U441="",0,MAX(0,T441)+N441+ROUND(J441*[1]Setup!$B$9,0)+IF(O441&gt;[1]Setup!$B$10,ROUND(J441*[1]Setup!$B$11,0),0))</f>
        <v>0</v>
      </c>
      <c r="W441" s="85" t="str">
        <f>IF(L441="","Open",IF(OR(P441&lt;[1]Setup!$B$6,Q441&gt;[1]Setup!$B$7,R441&gt;[1]Setup!$B$8,O441&gt;[1]Setup!$B$10),"Review","OK"))</f>
        <v>Open</v>
      </c>
      <c r="X441" s="86"/>
      <c r="Z441" s="81" t="str">
        <f t="shared" si="82"/>
        <v/>
      </c>
    </row>
    <row r="442" spans="1:26" x14ac:dyDescent="0.3">
      <c r="A442" s="84"/>
      <c r="B442" s="100">
        <f t="shared" si="80"/>
        <v>0</v>
      </c>
      <c r="C442" s="84" t="str">
        <f t="shared" si="81"/>
        <v>January</v>
      </c>
      <c r="D442" s="85" t="str">
        <f t="shared" si="79"/>
        <v/>
      </c>
      <c r="E442" s="86"/>
      <c r="F442" s="86"/>
      <c r="G442" s="86"/>
      <c r="H442" s="86"/>
      <c r="I442" s="87" t="str">
        <f>IF(F442=0,"",IF(COUNTIF(F442,"Bao"),[1]Setup!$B$4,IF(COUNTIF(F442,"Soup Dumplings"),[1]Setup!$B$5,F442)))</f>
        <v/>
      </c>
      <c r="J442" s="88" t="str">
        <f t="shared" si="83"/>
        <v/>
      </c>
      <c r="K442" s="88"/>
      <c r="L442" s="87"/>
      <c r="M442" s="87"/>
      <c r="N442" s="87"/>
      <c r="O442" s="87"/>
      <c r="P442" s="89" t="str">
        <f t="shared" si="84"/>
        <v/>
      </c>
      <c r="Q442" s="89" t="str">
        <f t="shared" si="85"/>
        <v/>
      </c>
      <c r="R442" s="89" t="str">
        <f t="shared" si="86"/>
        <v/>
      </c>
      <c r="S442" s="88" t="str">
        <f>IF(F442="Bao",[1]Setup!$B$4,IF(F442="Soup Dumplings",[1]Setup!$B$5,""))</f>
        <v/>
      </c>
      <c r="T442" s="88" t="str">
        <f t="shared" si="87"/>
        <v/>
      </c>
      <c r="U442" s="84" t="str">
        <f t="shared" si="88"/>
        <v/>
      </c>
      <c r="V442" s="88">
        <f>IF(U442="",0,MAX(0,T442)+N442+ROUND(J442*[1]Setup!$B$9,0)+IF(O442&gt;[1]Setup!$B$10,ROUND(J442*[1]Setup!$B$11,0),0))</f>
        <v>0</v>
      </c>
      <c r="W442" s="85" t="str">
        <f>IF(L442="","Open",IF(OR(P442&lt;[1]Setup!$B$6,Q442&gt;[1]Setup!$B$7,R442&gt;[1]Setup!$B$8,O442&gt;[1]Setup!$B$10),"Review","OK"))</f>
        <v>Open</v>
      </c>
      <c r="X442" s="86"/>
      <c r="Z442" s="81" t="str">
        <f t="shared" si="82"/>
        <v/>
      </c>
    </row>
    <row r="443" spans="1:26" x14ac:dyDescent="0.3">
      <c r="A443" s="84"/>
      <c r="B443" s="100">
        <f t="shared" si="80"/>
        <v>0</v>
      </c>
      <c r="C443" s="84" t="str">
        <f t="shared" si="81"/>
        <v>January</v>
      </c>
      <c r="D443" s="85" t="str">
        <f t="shared" si="79"/>
        <v/>
      </c>
      <c r="E443" s="86"/>
      <c r="F443" s="86"/>
      <c r="G443" s="86"/>
      <c r="H443" s="86"/>
      <c r="I443" s="87" t="str">
        <f>IF(F443=0,"",IF(COUNTIF(F443,"Bao"),[1]Setup!$B$4,IF(COUNTIF(F443,"Soup Dumplings"),[1]Setup!$B$5,F443)))</f>
        <v/>
      </c>
      <c r="J443" s="88" t="str">
        <f t="shared" si="83"/>
        <v/>
      </c>
      <c r="K443" s="88"/>
      <c r="L443" s="87"/>
      <c r="M443" s="87"/>
      <c r="N443" s="87"/>
      <c r="O443" s="87"/>
      <c r="P443" s="89" t="str">
        <f t="shared" si="84"/>
        <v/>
      </c>
      <c r="Q443" s="89" t="str">
        <f t="shared" si="85"/>
        <v/>
      </c>
      <c r="R443" s="89" t="str">
        <f t="shared" si="86"/>
        <v/>
      </c>
      <c r="S443" s="88" t="str">
        <f>IF(F443="Bao",[1]Setup!$B$4,IF(F443="Soup Dumplings",[1]Setup!$B$5,""))</f>
        <v/>
      </c>
      <c r="T443" s="88" t="str">
        <f t="shared" si="87"/>
        <v/>
      </c>
      <c r="U443" s="84" t="str">
        <f t="shared" si="88"/>
        <v/>
      </c>
      <c r="V443" s="88">
        <f>IF(U443="",0,MAX(0,T443)+N443+ROUND(J443*[1]Setup!$B$9,0)+IF(O443&gt;[1]Setup!$B$10,ROUND(J443*[1]Setup!$B$11,0),0))</f>
        <v>0</v>
      </c>
      <c r="W443" s="85" t="str">
        <f>IF(L443="","Open",IF(OR(P443&lt;[1]Setup!$B$6,Q443&gt;[1]Setup!$B$7,R443&gt;[1]Setup!$B$8,O443&gt;[1]Setup!$B$10),"Review","OK"))</f>
        <v>Open</v>
      </c>
      <c r="X443" s="86"/>
      <c r="Z443" s="81" t="str">
        <f t="shared" si="82"/>
        <v/>
      </c>
    </row>
    <row r="444" spans="1:26" x14ac:dyDescent="0.3">
      <c r="A444" s="84"/>
      <c r="B444" s="100">
        <f t="shared" si="80"/>
        <v>0</v>
      </c>
      <c r="C444" s="84" t="str">
        <f t="shared" si="81"/>
        <v>January</v>
      </c>
      <c r="D444" s="85" t="str">
        <f t="shared" si="79"/>
        <v/>
      </c>
      <c r="E444" s="86"/>
      <c r="F444" s="86"/>
      <c r="G444" s="86"/>
      <c r="H444" s="86"/>
      <c r="I444" s="87" t="str">
        <f>IF(F444=0,"",IF(COUNTIF(F444,"Bao"),[1]Setup!$B$4,IF(COUNTIF(F444,"Soup Dumplings"),[1]Setup!$B$5,F444)))</f>
        <v/>
      </c>
      <c r="J444" s="88" t="str">
        <f t="shared" si="83"/>
        <v/>
      </c>
      <c r="K444" s="88"/>
      <c r="L444" s="87"/>
      <c r="M444" s="87"/>
      <c r="N444" s="87"/>
      <c r="O444" s="87"/>
      <c r="P444" s="89" t="str">
        <f t="shared" si="84"/>
        <v/>
      </c>
      <c r="Q444" s="89" t="str">
        <f t="shared" si="85"/>
        <v/>
      </c>
      <c r="R444" s="89" t="str">
        <f t="shared" si="86"/>
        <v/>
      </c>
      <c r="S444" s="88" t="str">
        <f>IF(F444="Bao",[1]Setup!$B$4,IF(F444="Soup Dumplings",[1]Setup!$B$5,""))</f>
        <v/>
      </c>
      <c r="T444" s="88" t="str">
        <f t="shared" si="87"/>
        <v/>
      </c>
      <c r="U444" s="84" t="str">
        <f t="shared" si="88"/>
        <v/>
      </c>
      <c r="V444" s="88">
        <f>IF(U444="",0,MAX(0,T444)+N444+ROUND(J444*[1]Setup!$B$9,0)+IF(O444&gt;[1]Setup!$B$10,ROUND(J444*[1]Setup!$B$11,0),0))</f>
        <v>0</v>
      </c>
      <c r="W444" s="85" t="str">
        <f>IF(L444="","Open",IF(OR(P444&lt;[1]Setup!$B$6,Q444&gt;[1]Setup!$B$7,R444&gt;[1]Setup!$B$8,O444&gt;[1]Setup!$B$10),"Review","OK"))</f>
        <v>Open</v>
      </c>
      <c r="X444" s="86"/>
      <c r="Z444" s="81" t="str">
        <f t="shared" si="82"/>
        <v/>
      </c>
    </row>
    <row r="445" spans="1:26" x14ac:dyDescent="0.3">
      <c r="A445" s="84"/>
      <c r="B445" s="100">
        <f t="shared" si="80"/>
        <v>0</v>
      </c>
      <c r="C445" s="84" t="str">
        <f t="shared" si="81"/>
        <v>January</v>
      </c>
      <c r="D445" s="85" t="str">
        <f t="shared" si="79"/>
        <v/>
      </c>
      <c r="E445" s="86"/>
      <c r="F445" s="86"/>
      <c r="G445" s="86"/>
      <c r="H445" s="86"/>
      <c r="I445" s="87" t="str">
        <f>IF(F445=0,"",IF(COUNTIF(F445,"Bao"),[1]Setup!$B$4,IF(COUNTIF(F445,"Soup Dumplings"),[1]Setup!$B$5,F445)))</f>
        <v/>
      </c>
      <c r="J445" s="88" t="str">
        <f t="shared" si="83"/>
        <v/>
      </c>
      <c r="K445" s="88"/>
      <c r="L445" s="87"/>
      <c r="M445" s="87"/>
      <c r="N445" s="87"/>
      <c r="O445" s="87"/>
      <c r="P445" s="89" t="str">
        <f t="shared" si="84"/>
        <v/>
      </c>
      <c r="Q445" s="89" t="str">
        <f t="shared" si="85"/>
        <v/>
      </c>
      <c r="R445" s="89" t="str">
        <f t="shared" si="86"/>
        <v/>
      </c>
      <c r="S445" s="88" t="str">
        <f>IF(F445="Bao",[1]Setup!$B$4,IF(F445="Soup Dumplings",[1]Setup!$B$5,""))</f>
        <v/>
      </c>
      <c r="T445" s="88" t="str">
        <f t="shared" si="87"/>
        <v/>
      </c>
      <c r="U445" s="84" t="str">
        <f t="shared" si="88"/>
        <v/>
      </c>
      <c r="V445" s="88">
        <f>IF(U445="",0,MAX(0,T445)+N445+ROUND(J445*[1]Setup!$B$9,0)+IF(O445&gt;[1]Setup!$B$10,ROUND(J445*[1]Setup!$B$11,0),0))</f>
        <v>0</v>
      </c>
      <c r="W445" s="85" t="str">
        <f>IF(L445="","Open",IF(OR(P445&lt;[1]Setup!$B$6,Q445&gt;[1]Setup!$B$7,R445&gt;[1]Setup!$B$8,O445&gt;[1]Setup!$B$10),"Review","OK"))</f>
        <v>Open</v>
      </c>
      <c r="X445" s="86"/>
      <c r="Z445" s="81" t="str">
        <f t="shared" si="82"/>
        <v/>
      </c>
    </row>
    <row r="446" spans="1:26" x14ac:dyDescent="0.3">
      <c r="A446" s="84"/>
      <c r="B446" s="100">
        <f t="shared" si="80"/>
        <v>0</v>
      </c>
      <c r="C446" s="84" t="str">
        <f t="shared" si="81"/>
        <v>January</v>
      </c>
      <c r="D446" s="85" t="str">
        <f t="shared" si="79"/>
        <v/>
      </c>
      <c r="E446" s="86"/>
      <c r="F446" s="86"/>
      <c r="G446" s="86"/>
      <c r="H446" s="86"/>
      <c r="I446" s="87" t="str">
        <f>IF(F446=0,"",IF(COUNTIF(F446,"Bao"),[1]Setup!$B$4,IF(COUNTIF(F446,"Soup Dumplings"),[1]Setup!$B$5,F446)))</f>
        <v/>
      </c>
      <c r="J446" s="88" t="str">
        <f t="shared" si="83"/>
        <v/>
      </c>
      <c r="K446" s="88"/>
      <c r="L446" s="87"/>
      <c r="M446" s="87"/>
      <c r="N446" s="87"/>
      <c r="O446" s="87"/>
      <c r="P446" s="89" t="str">
        <f t="shared" si="84"/>
        <v/>
      </c>
      <c r="Q446" s="89" t="str">
        <f t="shared" si="85"/>
        <v/>
      </c>
      <c r="R446" s="89" t="str">
        <f t="shared" si="86"/>
        <v/>
      </c>
      <c r="S446" s="88" t="str">
        <f>IF(F446="Bao",[1]Setup!$B$4,IF(F446="Soup Dumplings",[1]Setup!$B$5,""))</f>
        <v/>
      </c>
      <c r="T446" s="88" t="str">
        <f t="shared" si="87"/>
        <v/>
      </c>
      <c r="U446" s="84" t="str">
        <f t="shared" si="88"/>
        <v/>
      </c>
      <c r="V446" s="88">
        <f>IF(U446="",0,MAX(0,T446)+N446+ROUND(J446*[1]Setup!$B$9,0)+IF(O446&gt;[1]Setup!$B$10,ROUND(J446*[1]Setup!$B$11,0),0))</f>
        <v>0</v>
      </c>
      <c r="W446" s="85" t="str">
        <f>IF(L446="","Open",IF(OR(P446&lt;[1]Setup!$B$6,Q446&gt;[1]Setup!$B$7,R446&gt;[1]Setup!$B$8,O446&gt;[1]Setup!$B$10),"Review","OK"))</f>
        <v>Open</v>
      </c>
      <c r="X446" s="86"/>
      <c r="Z446" s="81" t="str">
        <f t="shared" si="82"/>
        <v/>
      </c>
    </row>
    <row r="447" spans="1:26" x14ac:dyDescent="0.3">
      <c r="A447" s="84"/>
      <c r="B447" s="100">
        <f t="shared" si="80"/>
        <v>0</v>
      </c>
      <c r="C447" s="84" t="str">
        <f t="shared" si="81"/>
        <v>January</v>
      </c>
      <c r="D447" s="85" t="str">
        <f t="shared" si="79"/>
        <v/>
      </c>
      <c r="E447" s="86"/>
      <c r="F447" s="86"/>
      <c r="G447" s="86"/>
      <c r="H447" s="86"/>
      <c r="I447" s="87" t="str">
        <f>IF(F447=0,"",IF(COUNTIF(F447,"Bao"),[1]Setup!$B$4,IF(COUNTIF(F447,"Soup Dumplings"),[1]Setup!$B$5,F447)))</f>
        <v/>
      </c>
      <c r="J447" s="88" t="str">
        <f t="shared" si="83"/>
        <v/>
      </c>
      <c r="K447" s="88"/>
      <c r="L447" s="87"/>
      <c r="M447" s="87"/>
      <c r="N447" s="87"/>
      <c r="O447" s="87"/>
      <c r="P447" s="89" t="str">
        <f t="shared" si="84"/>
        <v/>
      </c>
      <c r="Q447" s="89" t="str">
        <f t="shared" si="85"/>
        <v/>
      </c>
      <c r="R447" s="89" t="str">
        <f t="shared" si="86"/>
        <v/>
      </c>
      <c r="S447" s="88" t="str">
        <f>IF(F447="Bao",[1]Setup!$B$4,IF(F447="Soup Dumplings",[1]Setup!$B$5,""))</f>
        <v/>
      </c>
      <c r="T447" s="88" t="str">
        <f t="shared" si="87"/>
        <v/>
      </c>
      <c r="U447" s="84" t="str">
        <f t="shared" si="88"/>
        <v/>
      </c>
      <c r="V447" s="88">
        <f>IF(U447="",0,MAX(0,T447)+N447+ROUND(J447*[1]Setup!$B$9,0)+IF(O447&gt;[1]Setup!$B$10,ROUND(J447*[1]Setup!$B$11,0),0))</f>
        <v>0</v>
      </c>
      <c r="W447" s="85" t="str">
        <f>IF(L447="","Open",IF(OR(P447&lt;[1]Setup!$B$6,Q447&gt;[1]Setup!$B$7,R447&gt;[1]Setup!$B$8,O447&gt;[1]Setup!$B$10),"Review","OK"))</f>
        <v>Open</v>
      </c>
      <c r="X447" s="86"/>
      <c r="Z447" s="81" t="str">
        <f t="shared" si="82"/>
        <v/>
      </c>
    </row>
    <row r="448" spans="1:26" x14ac:dyDescent="0.3">
      <c r="A448" s="84"/>
      <c r="B448" s="100">
        <f t="shared" si="80"/>
        <v>0</v>
      </c>
      <c r="C448" s="84" t="str">
        <f t="shared" si="81"/>
        <v>January</v>
      </c>
      <c r="D448" s="85" t="str">
        <f t="shared" si="79"/>
        <v/>
      </c>
      <c r="E448" s="86"/>
      <c r="F448" s="86"/>
      <c r="G448" s="86"/>
      <c r="H448" s="86"/>
      <c r="I448" s="87" t="str">
        <f>IF(F448=0,"",IF(COUNTIF(F448,"Bao"),[1]Setup!$B$4,IF(COUNTIF(F448,"Soup Dumplings"),[1]Setup!$B$5,F448)))</f>
        <v/>
      </c>
      <c r="J448" s="88" t="str">
        <f t="shared" si="83"/>
        <v/>
      </c>
      <c r="K448" s="88"/>
      <c r="L448" s="87"/>
      <c r="M448" s="87"/>
      <c r="N448" s="87"/>
      <c r="O448" s="87"/>
      <c r="P448" s="89" t="str">
        <f t="shared" si="84"/>
        <v/>
      </c>
      <c r="Q448" s="89" t="str">
        <f t="shared" si="85"/>
        <v/>
      </c>
      <c r="R448" s="89" t="str">
        <f t="shared" si="86"/>
        <v/>
      </c>
      <c r="S448" s="88" t="str">
        <f>IF(F448="Bao",[1]Setup!$B$4,IF(F448="Soup Dumplings",[1]Setup!$B$5,""))</f>
        <v/>
      </c>
      <c r="T448" s="88" t="str">
        <f t="shared" si="87"/>
        <v/>
      </c>
      <c r="U448" s="84" t="str">
        <f t="shared" si="88"/>
        <v/>
      </c>
      <c r="V448" s="88">
        <f>IF(U448="",0,MAX(0,T448)+N448+ROUND(J448*[1]Setup!$B$9,0)+IF(O448&gt;[1]Setup!$B$10,ROUND(J448*[1]Setup!$B$11,0),0))</f>
        <v>0</v>
      </c>
      <c r="W448" s="85" t="str">
        <f>IF(L448="","Open",IF(OR(P448&lt;[1]Setup!$B$6,Q448&gt;[1]Setup!$B$7,R448&gt;[1]Setup!$B$8,O448&gt;[1]Setup!$B$10),"Review","OK"))</f>
        <v>Open</v>
      </c>
      <c r="X448" s="86"/>
      <c r="Z448" s="81" t="str">
        <f t="shared" si="82"/>
        <v/>
      </c>
    </row>
    <row r="449" spans="1:26" x14ac:dyDescent="0.3">
      <c r="A449" s="84"/>
      <c r="B449" s="100">
        <f t="shared" si="80"/>
        <v>0</v>
      </c>
      <c r="C449" s="84" t="str">
        <f t="shared" si="81"/>
        <v>January</v>
      </c>
      <c r="D449" s="85" t="str">
        <f t="shared" si="79"/>
        <v/>
      </c>
      <c r="E449" s="86"/>
      <c r="F449" s="86"/>
      <c r="G449" s="86"/>
      <c r="H449" s="86"/>
      <c r="I449" s="87" t="str">
        <f>IF(F449=0,"",IF(COUNTIF(F449,"Bao"),[1]Setup!$B$4,IF(COUNTIF(F449,"Soup Dumplings"),[1]Setup!$B$5,F449)))</f>
        <v/>
      </c>
      <c r="J449" s="88" t="str">
        <f t="shared" si="83"/>
        <v/>
      </c>
      <c r="K449" s="88"/>
      <c r="L449" s="87"/>
      <c r="M449" s="87"/>
      <c r="N449" s="87"/>
      <c r="O449" s="87"/>
      <c r="P449" s="89" t="str">
        <f t="shared" si="84"/>
        <v/>
      </c>
      <c r="Q449" s="89" t="str">
        <f t="shared" si="85"/>
        <v/>
      </c>
      <c r="R449" s="89" t="str">
        <f t="shared" si="86"/>
        <v/>
      </c>
      <c r="S449" s="88" t="str">
        <f>IF(F449="Bao",[1]Setup!$B$4,IF(F449="Soup Dumplings",[1]Setup!$B$5,""))</f>
        <v/>
      </c>
      <c r="T449" s="88" t="str">
        <f t="shared" si="87"/>
        <v/>
      </c>
      <c r="U449" s="84" t="str">
        <f t="shared" si="88"/>
        <v/>
      </c>
      <c r="V449" s="88">
        <f>IF(U449="",0,MAX(0,T449)+N449+ROUND(J449*[1]Setup!$B$9,0)+IF(O449&gt;[1]Setup!$B$10,ROUND(J449*[1]Setup!$B$11,0),0))</f>
        <v>0</v>
      </c>
      <c r="W449" s="85" t="str">
        <f>IF(L449="","Open",IF(OR(P449&lt;[1]Setup!$B$6,Q449&gt;[1]Setup!$B$7,R449&gt;[1]Setup!$B$8,O449&gt;[1]Setup!$B$10),"Review","OK"))</f>
        <v>Open</v>
      </c>
      <c r="X449" s="86"/>
      <c r="Z449" s="81" t="str">
        <f t="shared" si="82"/>
        <v/>
      </c>
    </row>
    <row r="450" spans="1:26" x14ac:dyDescent="0.3">
      <c r="A450" s="84"/>
      <c r="B450" s="100">
        <f t="shared" si="80"/>
        <v>0</v>
      </c>
      <c r="C450" s="84" t="str">
        <f t="shared" si="81"/>
        <v>January</v>
      </c>
      <c r="D450" s="85" t="str">
        <f t="shared" si="79"/>
        <v/>
      </c>
      <c r="E450" s="86"/>
      <c r="F450" s="86"/>
      <c r="G450" s="86"/>
      <c r="H450" s="86"/>
      <c r="I450" s="87" t="str">
        <f>IF(F450=0,"",IF(COUNTIF(F450,"Bao"),[1]Setup!$B$4,IF(COUNTIF(F450,"Soup Dumplings"),[1]Setup!$B$5,F450)))</f>
        <v/>
      </c>
      <c r="J450" s="88" t="str">
        <f t="shared" si="83"/>
        <v/>
      </c>
      <c r="K450" s="88"/>
      <c r="L450" s="87"/>
      <c r="M450" s="87"/>
      <c r="N450" s="87"/>
      <c r="O450" s="87"/>
      <c r="P450" s="89" t="str">
        <f t="shared" si="84"/>
        <v/>
      </c>
      <c r="Q450" s="89" t="str">
        <f t="shared" si="85"/>
        <v/>
      </c>
      <c r="R450" s="89" t="str">
        <f t="shared" si="86"/>
        <v/>
      </c>
      <c r="S450" s="88" t="str">
        <f>IF(F450="Bao",[1]Setup!$B$4,IF(F450="Soup Dumplings",[1]Setup!$B$5,""))</f>
        <v/>
      </c>
      <c r="T450" s="88" t="str">
        <f t="shared" si="87"/>
        <v/>
      </c>
      <c r="U450" s="84" t="str">
        <f t="shared" si="88"/>
        <v/>
      </c>
      <c r="V450" s="88">
        <f>IF(U450="",0,MAX(0,T450)+N450+ROUND(J450*[1]Setup!$B$9,0)+IF(O450&gt;[1]Setup!$B$10,ROUND(J450*[1]Setup!$B$11,0),0))</f>
        <v>0</v>
      </c>
      <c r="W450" s="85" t="str">
        <f>IF(L450="","Open",IF(OR(P450&lt;[1]Setup!$B$6,Q450&gt;[1]Setup!$B$7,R450&gt;[1]Setup!$B$8,O450&gt;[1]Setup!$B$10),"Review","OK"))</f>
        <v>Open</v>
      </c>
      <c r="X450" s="86"/>
      <c r="Z450" s="81" t="str">
        <f t="shared" si="82"/>
        <v/>
      </c>
    </row>
    <row r="451" spans="1:26" x14ac:dyDescent="0.3">
      <c r="A451" s="84"/>
      <c r="B451" s="100">
        <f t="shared" si="80"/>
        <v>0</v>
      </c>
      <c r="C451" s="84" t="str">
        <f t="shared" si="81"/>
        <v>January</v>
      </c>
      <c r="D451" s="85" t="str">
        <f t="shared" si="79"/>
        <v/>
      </c>
      <c r="E451" s="86"/>
      <c r="F451" s="86"/>
      <c r="G451" s="86"/>
      <c r="H451" s="86"/>
      <c r="I451" s="87" t="str">
        <f>IF(F451=0,"",IF(COUNTIF(F451,"Bao"),[1]Setup!$B$4,IF(COUNTIF(F451,"Soup Dumplings"),[1]Setup!$B$5,F451)))</f>
        <v/>
      </c>
      <c r="J451" s="88" t="str">
        <f t="shared" si="83"/>
        <v/>
      </c>
      <c r="K451" s="88"/>
      <c r="L451" s="87"/>
      <c r="M451" s="87"/>
      <c r="N451" s="87"/>
      <c r="O451" s="87"/>
      <c r="P451" s="89" t="str">
        <f t="shared" si="84"/>
        <v/>
      </c>
      <c r="Q451" s="89" t="str">
        <f t="shared" si="85"/>
        <v/>
      </c>
      <c r="R451" s="89" t="str">
        <f t="shared" si="86"/>
        <v/>
      </c>
      <c r="S451" s="88" t="str">
        <f>IF(F451="Bao",[1]Setup!$B$4,IF(F451="Soup Dumplings",[1]Setup!$B$5,""))</f>
        <v/>
      </c>
      <c r="T451" s="88" t="str">
        <f t="shared" si="87"/>
        <v/>
      </c>
      <c r="U451" s="84" t="str">
        <f t="shared" si="88"/>
        <v/>
      </c>
      <c r="V451" s="88">
        <f>IF(U451="",0,MAX(0,T451)+N451+ROUND(J451*[1]Setup!$B$9,0)+IF(O451&gt;[1]Setup!$B$10,ROUND(J451*[1]Setup!$B$11,0),0))</f>
        <v>0</v>
      </c>
      <c r="W451" s="85" t="str">
        <f>IF(L451="","Open",IF(OR(P451&lt;[1]Setup!$B$6,Q451&gt;[1]Setup!$B$7,R451&gt;[1]Setup!$B$8,O451&gt;[1]Setup!$B$10),"Review","OK"))</f>
        <v>Open</v>
      </c>
      <c r="X451" s="86"/>
      <c r="Z451" s="81" t="str">
        <f t="shared" si="82"/>
        <v/>
      </c>
    </row>
    <row r="452" spans="1:26" x14ac:dyDescent="0.3">
      <c r="A452" s="84"/>
      <c r="B452" s="100">
        <f t="shared" si="80"/>
        <v>0</v>
      </c>
      <c r="C452" s="84" t="str">
        <f t="shared" si="81"/>
        <v>January</v>
      </c>
      <c r="D452" s="85" t="str">
        <f t="shared" ref="D452:D515" si="89">IF(A452="","",TEXT(A452,"ddd"))</f>
        <v/>
      </c>
      <c r="E452" s="86"/>
      <c r="F452" s="86"/>
      <c r="G452" s="86"/>
      <c r="H452" s="86"/>
      <c r="I452" s="87" t="str">
        <f>IF(F452=0,"",IF(COUNTIF(F452,"Bao"),[1]Setup!$B$4,IF(COUNTIF(F452,"Soup Dumplings"),[1]Setup!$B$5,F452)))</f>
        <v/>
      </c>
      <c r="J452" s="88" t="str">
        <f t="shared" si="83"/>
        <v/>
      </c>
      <c r="K452" s="88"/>
      <c r="L452" s="87"/>
      <c r="M452" s="87"/>
      <c r="N452" s="87"/>
      <c r="O452" s="87"/>
      <c r="P452" s="89" t="str">
        <f t="shared" si="84"/>
        <v/>
      </c>
      <c r="Q452" s="89" t="str">
        <f t="shared" si="85"/>
        <v/>
      </c>
      <c r="R452" s="89" t="str">
        <f t="shared" si="86"/>
        <v/>
      </c>
      <c r="S452" s="88" t="str">
        <f>IF(F452="Bao",[1]Setup!$B$4,IF(F452="Soup Dumplings",[1]Setup!$B$5,""))</f>
        <v/>
      </c>
      <c r="T452" s="88" t="str">
        <f t="shared" si="87"/>
        <v/>
      </c>
      <c r="U452" s="84" t="str">
        <f t="shared" si="88"/>
        <v/>
      </c>
      <c r="V452" s="88">
        <f>IF(U452="",0,MAX(0,T452)+N452+ROUND(J452*[1]Setup!$B$9,0)+IF(O452&gt;[1]Setup!$B$10,ROUND(J452*[1]Setup!$B$11,0),0))</f>
        <v>0</v>
      </c>
      <c r="W452" s="85" t="str">
        <f>IF(L452="","Open",IF(OR(P452&lt;[1]Setup!$B$6,Q452&gt;[1]Setup!$B$7,R452&gt;[1]Setup!$B$8,O452&gt;[1]Setup!$B$10),"Review","OK"))</f>
        <v>Open</v>
      </c>
      <c r="X452" s="86"/>
      <c r="Z452" s="81" t="str">
        <f t="shared" si="82"/>
        <v/>
      </c>
    </row>
    <row r="453" spans="1:26" x14ac:dyDescent="0.3">
      <c r="A453" s="84"/>
      <c r="B453" s="100">
        <f t="shared" ref="B453:B516" si="90">+WEEKNUM(A453)</f>
        <v>0</v>
      </c>
      <c r="C453" s="84" t="str">
        <f t="shared" ref="C453:C516" si="91">+TEXT(A453,"mmmm")</f>
        <v>January</v>
      </c>
      <c r="D453" s="85" t="str">
        <f t="shared" si="89"/>
        <v/>
      </c>
      <c r="E453" s="86"/>
      <c r="F453" s="86"/>
      <c r="G453" s="86"/>
      <c r="H453" s="86"/>
      <c r="I453" s="87" t="str">
        <f>IF(F453=0,"",IF(COUNTIF(F453,"Bao"),[1]Setup!$B$4,IF(COUNTIF(F453,"Soup Dumplings"),[1]Setup!$B$5,F453)))</f>
        <v/>
      </c>
      <c r="J453" s="88" t="str">
        <f t="shared" si="83"/>
        <v/>
      </c>
      <c r="K453" s="88"/>
      <c r="L453" s="87"/>
      <c r="M453" s="87"/>
      <c r="N453" s="87"/>
      <c r="O453" s="87"/>
      <c r="P453" s="89" t="str">
        <f t="shared" si="84"/>
        <v/>
      </c>
      <c r="Q453" s="89" t="str">
        <f t="shared" si="85"/>
        <v/>
      </c>
      <c r="R453" s="89" t="str">
        <f t="shared" si="86"/>
        <v/>
      </c>
      <c r="S453" s="88" t="str">
        <f>IF(F453="Bao",[1]Setup!$B$4,IF(F453="Soup Dumplings",[1]Setup!$B$5,""))</f>
        <v/>
      </c>
      <c r="T453" s="88" t="str">
        <f t="shared" si="87"/>
        <v/>
      </c>
      <c r="U453" s="84" t="str">
        <f t="shared" si="88"/>
        <v/>
      </c>
      <c r="V453" s="88">
        <f>IF(U453="",0,MAX(0,T453)+N453+ROUND(J453*[1]Setup!$B$9,0)+IF(O453&gt;[1]Setup!$B$10,ROUND(J453*[1]Setup!$B$11,0),0))</f>
        <v>0</v>
      </c>
      <c r="W453" s="85" t="str">
        <f>IF(L453="","Open",IF(OR(P453&lt;[1]Setup!$B$6,Q453&gt;[1]Setup!$B$7,R453&gt;[1]Setup!$B$8,O453&gt;[1]Setup!$B$10),"Review","OK"))</f>
        <v>Open</v>
      </c>
      <c r="X453" s="86"/>
      <c r="Z453" s="81" t="str">
        <f t="shared" ref="Z453:Z516" si="92">+LEFT(F453,3)</f>
        <v/>
      </c>
    </row>
    <row r="454" spans="1:26" x14ac:dyDescent="0.3">
      <c r="A454" s="84"/>
      <c r="B454" s="100">
        <f t="shared" si="90"/>
        <v>0</v>
      </c>
      <c r="C454" s="84" t="str">
        <f t="shared" si="91"/>
        <v>January</v>
      </c>
      <c r="D454" s="85" t="str">
        <f t="shared" si="89"/>
        <v/>
      </c>
      <c r="E454" s="86"/>
      <c r="F454" s="86"/>
      <c r="G454" s="86"/>
      <c r="H454" s="86"/>
      <c r="I454" s="87" t="str">
        <f>IF(F454=0,"",IF(COUNTIF(F454,"Bao"),[1]Setup!$B$4,IF(COUNTIF(F454,"Soup Dumplings"),[1]Setup!$B$5,F454)))</f>
        <v/>
      </c>
      <c r="J454" s="88" t="str">
        <f t="shared" si="83"/>
        <v/>
      </c>
      <c r="K454" s="88"/>
      <c r="L454" s="87"/>
      <c r="M454" s="87"/>
      <c r="N454" s="87"/>
      <c r="O454" s="87"/>
      <c r="P454" s="89" t="str">
        <f t="shared" si="84"/>
        <v/>
      </c>
      <c r="Q454" s="89" t="str">
        <f t="shared" si="85"/>
        <v/>
      </c>
      <c r="R454" s="89" t="str">
        <f t="shared" si="86"/>
        <v/>
      </c>
      <c r="S454" s="88" t="str">
        <f>IF(F454="Bao",[1]Setup!$B$4,IF(F454="Soup Dumplings",[1]Setup!$B$5,""))</f>
        <v/>
      </c>
      <c r="T454" s="88" t="str">
        <f t="shared" si="87"/>
        <v/>
      </c>
      <c r="U454" s="84" t="str">
        <f t="shared" si="88"/>
        <v/>
      </c>
      <c r="V454" s="88">
        <f>IF(U454="",0,MAX(0,T454)+N454+ROUND(J454*[1]Setup!$B$9,0)+IF(O454&gt;[1]Setup!$B$10,ROUND(J454*[1]Setup!$B$11,0),0))</f>
        <v>0</v>
      </c>
      <c r="W454" s="85" t="str">
        <f>IF(L454="","Open",IF(OR(P454&lt;[1]Setup!$B$6,Q454&gt;[1]Setup!$B$7,R454&gt;[1]Setup!$B$8,O454&gt;[1]Setup!$B$10),"Review","OK"))</f>
        <v>Open</v>
      </c>
      <c r="X454" s="86"/>
      <c r="Z454" s="81" t="str">
        <f t="shared" si="92"/>
        <v/>
      </c>
    </row>
    <row r="455" spans="1:26" x14ac:dyDescent="0.3">
      <c r="A455" s="84"/>
      <c r="B455" s="100">
        <f t="shared" si="90"/>
        <v>0</v>
      </c>
      <c r="C455" s="84" t="str">
        <f t="shared" si="91"/>
        <v>January</v>
      </c>
      <c r="D455" s="85" t="str">
        <f t="shared" si="89"/>
        <v/>
      </c>
      <c r="E455" s="86"/>
      <c r="F455" s="86"/>
      <c r="G455" s="86"/>
      <c r="H455" s="86"/>
      <c r="I455" s="87" t="str">
        <f>IF(F455=0,"",IF(COUNTIF(F455,"Bao"),[1]Setup!$B$4,IF(COUNTIF(F455,"Soup Dumplings"),[1]Setup!$B$5,F455)))</f>
        <v/>
      </c>
      <c r="J455" s="88" t="str">
        <f t="shared" si="83"/>
        <v/>
      </c>
      <c r="K455" s="88"/>
      <c r="L455" s="87"/>
      <c r="M455" s="87"/>
      <c r="N455" s="87"/>
      <c r="O455" s="87"/>
      <c r="P455" s="89" t="str">
        <f t="shared" si="84"/>
        <v/>
      </c>
      <c r="Q455" s="89" t="str">
        <f t="shared" si="85"/>
        <v/>
      </c>
      <c r="R455" s="89" t="str">
        <f t="shared" si="86"/>
        <v/>
      </c>
      <c r="S455" s="88" t="str">
        <f>IF(F455="Bao",[1]Setup!$B$4,IF(F455="Soup Dumplings",[1]Setup!$B$5,""))</f>
        <v/>
      </c>
      <c r="T455" s="88" t="str">
        <f t="shared" si="87"/>
        <v/>
      </c>
      <c r="U455" s="84" t="str">
        <f t="shared" si="88"/>
        <v/>
      </c>
      <c r="V455" s="88">
        <f>IF(U455="",0,MAX(0,T455)+N455+ROUND(J455*[1]Setup!$B$9,0)+IF(O455&gt;[1]Setup!$B$10,ROUND(J455*[1]Setup!$B$11,0),0))</f>
        <v>0</v>
      </c>
      <c r="W455" s="85" t="str">
        <f>IF(L455="","Open",IF(OR(P455&lt;[1]Setup!$B$6,Q455&gt;[1]Setup!$B$7,R455&gt;[1]Setup!$B$8,O455&gt;[1]Setup!$B$10),"Review","OK"))</f>
        <v>Open</v>
      </c>
      <c r="X455" s="86"/>
      <c r="Z455" s="81" t="str">
        <f t="shared" si="92"/>
        <v/>
      </c>
    </row>
    <row r="456" spans="1:26" x14ac:dyDescent="0.3">
      <c r="A456" s="84"/>
      <c r="B456" s="100">
        <f t="shared" si="90"/>
        <v>0</v>
      </c>
      <c r="C456" s="84" t="str">
        <f t="shared" si="91"/>
        <v>January</v>
      </c>
      <c r="D456" s="85" t="str">
        <f t="shared" si="89"/>
        <v/>
      </c>
      <c r="E456" s="86"/>
      <c r="F456" s="86"/>
      <c r="G456" s="86"/>
      <c r="H456" s="86"/>
      <c r="I456" s="87" t="str">
        <f>IF(F456=0,"",IF(COUNTIF(F456,"Bao"),[1]Setup!$B$4,IF(COUNTIF(F456,"Soup Dumplings"),[1]Setup!$B$5,F456)))</f>
        <v/>
      </c>
      <c r="J456" s="88" t="str">
        <f t="shared" si="83"/>
        <v/>
      </c>
      <c r="K456" s="88"/>
      <c r="L456" s="87"/>
      <c r="M456" s="87"/>
      <c r="N456" s="87"/>
      <c r="O456" s="87"/>
      <c r="P456" s="89" t="str">
        <f t="shared" si="84"/>
        <v/>
      </c>
      <c r="Q456" s="89" t="str">
        <f t="shared" si="85"/>
        <v/>
      </c>
      <c r="R456" s="89" t="str">
        <f t="shared" si="86"/>
        <v/>
      </c>
      <c r="S456" s="88" t="str">
        <f>IF(F456="Bao",[1]Setup!$B$4,IF(F456="Soup Dumplings",[1]Setup!$B$5,""))</f>
        <v/>
      </c>
      <c r="T456" s="88" t="str">
        <f t="shared" si="87"/>
        <v/>
      </c>
      <c r="U456" s="84" t="str">
        <f t="shared" si="88"/>
        <v/>
      </c>
      <c r="V456" s="88">
        <f>IF(U456="",0,MAX(0,T456)+N456+ROUND(J456*[1]Setup!$B$9,0)+IF(O456&gt;[1]Setup!$B$10,ROUND(J456*[1]Setup!$B$11,0),0))</f>
        <v>0</v>
      </c>
      <c r="W456" s="85" t="str">
        <f>IF(L456="","Open",IF(OR(P456&lt;[1]Setup!$B$6,Q456&gt;[1]Setup!$B$7,R456&gt;[1]Setup!$B$8,O456&gt;[1]Setup!$B$10),"Review","OK"))</f>
        <v>Open</v>
      </c>
      <c r="X456" s="86"/>
      <c r="Z456" s="81" t="str">
        <f t="shared" si="92"/>
        <v/>
      </c>
    </row>
    <row r="457" spans="1:26" x14ac:dyDescent="0.3">
      <c r="A457" s="84"/>
      <c r="B457" s="100">
        <f t="shared" si="90"/>
        <v>0</v>
      </c>
      <c r="C457" s="84" t="str">
        <f t="shared" si="91"/>
        <v>January</v>
      </c>
      <c r="D457" s="85" t="str">
        <f t="shared" si="89"/>
        <v/>
      </c>
      <c r="E457" s="86"/>
      <c r="F457" s="86"/>
      <c r="G457" s="86"/>
      <c r="H457" s="86"/>
      <c r="I457" s="87" t="str">
        <f>IF(F457=0,"",IF(COUNTIF(F457,"Bao"),[1]Setup!$B$4,IF(COUNTIF(F457,"Soup Dumplings"),[1]Setup!$B$5,F457)))</f>
        <v/>
      </c>
      <c r="J457" s="88" t="str">
        <f t="shared" si="83"/>
        <v/>
      </c>
      <c r="K457" s="88"/>
      <c r="L457" s="87"/>
      <c r="M457" s="87"/>
      <c r="N457" s="87"/>
      <c r="O457" s="87"/>
      <c r="P457" s="89" t="str">
        <f t="shared" si="84"/>
        <v/>
      </c>
      <c r="Q457" s="89" t="str">
        <f t="shared" si="85"/>
        <v/>
      </c>
      <c r="R457" s="89" t="str">
        <f t="shared" si="86"/>
        <v/>
      </c>
      <c r="S457" s="88" t="str">
        <f>IF(F457="Bao",[1]Setup!$B$4,IF(F457="Soup Dumplings",[1]Setup!$B$5,""))</f>
        <v/>
      </c>
      <c r="T457" s="88" t="str">
        <f t="shared" si="87"/>
        <v/>
      </c>
      <c r="U457" s="84" t="str">
        <f t="shared" si="88"/>
        <v/>
      </c>
      <c r="V457" s="88">
        <f>IF(U457="",0,MAX(0,T457)+N457+ROUND(J457*[1]Setup!$B$9,0)+IF(O457&gt;[1]Setup!$B$10,ROUND(J457*[1]Setup!$B$11,0),0))</f>
        <v>0</v>
      </c>
      <c r="W457" s="85" t="str">
        <f>IF(L457="","Open",IF(OR(P457&lt;[1]Setup!$B$6,Q457&gt;[1]Setup!$B$7,R457&gt;[1]Setup!$B$8,O457&gt;[1]Setup!$B$10),"Review","OK"))</f>
        <v>Open</v>
      </c>
      <c r="X457" s="86"/>
      <c r="Z457" s="81" t="str">
        <f t="shared" si="92"/>
        <v/>
      </c>
    </row>
    <row r="458" spans="1:26" x14ac:dyDescent="0.3">
      <c r="A458" s="84"/>
      <c r="B458" s="100">
        <f t="shared" si="90"/>
        <v>0</v>
      </c>
      <c r="C458" s="84" t="str">
        <f t="shared" si="91"/>
        <v>January</v>
      </c>
      <c r="D458" s="85" t="str">
        <f t="shared" si="89"/>
        <v/>
      </c>
      <c r="E458" s="86"/>
      <c r="F458" s="86"/>
      <c r="G458" s="86"/>
      <c r="H458" s="86"/>
      <c r="I458" s="87" t="str">
        <f>IF(F458=0,"",IF(COUNTIF(F458,"Bao"),[1]Setup!$B$4,IF(COUNTIF(F458,"Soup Dumplings"),[1]Setup!$B$5,F458)))</f>
        <v/>
      </c>
      <c r="J458" s="88" t="str">
        <f t="shared" si="83"/>
        <v/>
      </c>
      <c r="K458" s="88"/>
      <c r="L458" s="87"/>
      <c r="M458" s="87"/>
      <c r="N458" s="87"/>
      <c r="O458" s="87"/>
      <c r="P458" s="89" t="str">
        <f t="shared" si="84"/>
        <v/>
      </c>
      <c r="Q458" s="89" t="str">
        <f t="shared" si="85"/>
        <v/>
      </c>
      <c r="R458" s="89" t="str">
        <f t="shared" si="86"/>
        <v/>
      </c>
      <c r="S458" s="88" t="str">
        <f>IF(F458="Bao",[1]Setup!$B$4,IF(F458="Soup Dumplings",[1]Setup!$B$5,""))</f>
        <v/>
      </c>
      <c r="T458" s="88" t="str">
        <f t="shared" si="87"/>
        <v/>
      </c>
      <c r="U458" s="84" t="str">
        <f t="shared" si="88"/>
        <v/>
      </c>
      <c r="V458" s="88">
        <f>IF(U458="",0,MAX(0,T458)+N458+ROUND(J458*[1]Setup!$B$9,0)+IF(O458&gt;[1]Setup!$B$10,ROUND(J458*[1]Setup!$B$11,0),0))</f>
        <v>0</v>
      </c>
      <c r="W458" s="85" t="str">
        <f>IF(L458="","Open",IF(OR(P458&lt;[1]Setup!$B$6,Q458&gt;[1]Setup!$B$7,R458&gt;[1]Setup!$B$8,O458&gt;[1]Setup!$B$10),"Review","OK"))</f>
        <v>Open</v>
      </c>
      <c r="X458" s="86"/>
      <c r="Z458" s="81" t="str">
        <f t="shared" si="92"/>
        <v/>
      </c>
    </row>
    <row r="459" spans="1:26" x14ac:dyDescent="0.3">
      <c r="A459" s="84"/>
      <c r="B459" s="100">
        <f t="shared" si="90"/>
        <v>0</v>
      </c>
      <c r="C459" s="84" t="str">
        <f t="shared" si="91"/>
        <v>January</v>
      </c>
      <c r="D459" s="85" t="str">
        <f t="shared" si="89"/>
        <v/>
      </c>
      <c r="E459" s="86"/>
      <c r="F459" s="86"/>
      <c r="G459" s="86"/>
      <c r="H459" s="86"/>
      <c r="I459" s="87" t="str">
        <f>IF(F459=0,"",IF(COUNTIF(F459,"Bao"),[1]Setup!$B$4,IF(COUNTIF(F459,"Soup Dumplings"),[1]Setup!$B$5,F459)))</f>
        <v/>
      </c>
      <c r="J459" s="88" t="str">
        <f t="shared" si="83"/>
        <v/>
      </c>
      <c r="K459" s="88"/>
      <c r="L459" s="87"/>
      <c r="M459" s="87"/>
      <c r="N459" s="87"/>
      <c r="O459" s="87"/>
      <c r="P459" s="89" t="str">
        <f t="shared" si="84"/>
        <v/>
      </c>
      <c r="Q459" s="89" t="str">
        <f t="shared" si="85"/>
        <v/>
      </c>
      <c r="R459" s="89" t="str">
        <f t="shared" si="86"/>
        <v/>
      </c>
      <c r="S459" s="88" t="str">
        <f>IF(F459="Bao",[1]Setup!$B$4,IF(F459="Soup Dumplings",[1]Setup!$B$5,""))</f>
        <v/>
      </c>
      <c r="T459" s="88" t="str">
        <f t="shared" si="87"/>
        <v/>
      </c>
      <c r="U459" s="84" t="str">
        <f t="shared" si="88"/>
        <v/>
      </c>
      <c r="V459" s="88">
        <f>IF(U459="",0,MAX(0,T459)+N459+ROUND(J459*[1]Setup!$B$9,0)+IF(O459&gt;[1]Setup!$B$10,ROUND(J459*[1]Setup!$B$11,0),0))</f>
        <v>0</v>
      </c>
      <c r="W459" s="85" t="str">
        <f>IF(L459="","Open",IF(OR(P459&lt;[1]Setup!$B$6,Q459&gt;[1]Setup!$B$7,R459&gt;[1]Setup!$B$8,O459&gt;[1]Setup!$B$10),"Review","OK"))</f>
        <v>Open</v>
      </c>
      <c r="X459" s="86"/>
      <c r="Z459" s="81" t="str">
        <f t="shared" si="92"/>
        <v/>
      </c>
    </row>
    <row r="460" spans="1:26" x14ac:dyDescent="0.3">
      <c r="A460" s="84"/>
      <c r="B460" s="100">
        <f t="shared" si="90"/>
        <v>0</v>
      </c>
      <c r="C460" s="84" t="str">
        <f t="shared" si="91"/>
        <v>January</v>
      </c>
      <c r="D460" s="85" t="str">
        <f t="shared" si="89"/>
        <v/>
      </c>
      <c r="E460" s="86"/>
      <c r="F460" s="86"/>
      <c r="G460" s="86"/>
      <c r="H460" s="86"/>
      <c r="I460" s="87" t="str">
        <f>IF(F460=0,"",IF(COUNTIF(F460,"Bao"),[1]Setup!$B$4,IF(COUNTIF(F460,"Soup Dumplings"),[1]Setup!$B$5,F460)))</f>
        <v/>
      </c>
      <c r="J460" s="88" t="str">
        <f t="shared" si="83"/>
        <v/>
      </c>
      <c r="K460" s="88"/>
      <c r="L460" s="87"/>
      <c r="M460" s="87"/>
      <c r="N460" s="87"/>
      <c r="O460" s="87"/>
      <c r="P460" s="89" t="str">
        <f t="shared" si="84"/>
        <v/>
      </c>
      <c r="Q460" s="89" t="str">
        <f t="shared" si="85"/>
        <v/>
      </c>
      <c r="R460" s="89" t="str">
        <f t="shared" si="86"/>
        <v/>
      </c>
      <c r="S460" s="88" t="str">
        <f>IF(F460="Bao",[1]Setup!$B$4,IF(F460="Soup Dumplings",[1]Setup!$B$5,""))</f>
        <v/>
      </c>
      <c r="T460" s="88" t="str">
        <f t="shared" si="87"/>
        <v/>
      </c>
      <c r="U460" s="84" t="str">
        <f t="shared" si="88"/>
        <v/>
      </c>
      <c r="V460" s="88">
        <f>IF(U460="",0,MAX(0,T460)+N460+ROUND(J460*[1]Setup!$B$9,0)+IF(O460&gt;[1]Setup!$B$10,ROUND(J460*[1]Setup!$B$11,0),0))</f>
        <v>0</v>
      </c>
      <c r="W460" s="85" t="str">
        <f>IF(L460="","Open",IF(OR(P460&lt;[1]Setup!$B$6,Q460&gt;[1]Setup!$B$7,R460&gt;[1]Setup!$B$8,O460&gt;[1]Setup!$B$10),"Review","OK"))</f>
        <v>Open</v>
      </c>
      <c r="X460" s="86"/>
      <c r="Z460" s="81" t="str">
        <f t="shared" si="92"/>
        <v/>
      </c>
    </row>
    <row r="461" spans="1:26" x14ac:dyDescent="0.3">
      <c r="A461" s="84"/>
      <c r="B461" s="100">
        <f t="shared" si="90"/>
        <v>0</v>
      </c>
      <c r="C461" s="84" t="str">
        <f t="shared" si="91"/>
        <v>January</v>
      </c>
      <c r="D461" s="85" t="str">
        <f t="shared" si="89"/>
        <v/>
      </c>
      <c r="E461" s="86"/>
      <c r="F461" s="86"/>
      <c r="G461" s="86"/>
      <c r="H461" s="86"/>
      <c r="I461" s="87" t="str">
        <f>IF(F461=0,"",IF(COUNTIF(F461,"Bao"),[1]Setup!$B$4,IF(COUNTIF(F461,"Soup Dumplings"),[1]Setup!$B$5,F461)))</f>
        <v/>
      </c>
      <c r="J461" s="88" t="str">
        <f t="shared" si="83"/>
        <v/>
      </c>
      <c r="K461" s="88"/>
      <c r="L461" s="87"/>
      <c r="M461" s="87"/>
      <c r="N461" s="87"/>
      <c r="O461" s="87"/>
      <c r="P461" s="89" t="str">
        <f t="shared" si="84"/>
        <v/>
      </c>
      <c r="Q461" s="89" t="str">
        <f t="shared" si="85"/>
        <v/>
      </c>
      <c r="R461" s="89" t="str">
        <f t="shared" si="86"/>
        <v/>
      </c>
      <c r="S461" s="88" t="str">
        <f>IF(F461="Bao",[1]Setup!$B$4,IF(F461="Soup Dumplings",[1]Setup!$B$5,""))</f>
        <v/>
      </c>
      <c r="T461" s="88" t="str">
        <f t="shared" si="87"/>
        <v/>
      </c>
      <c r="U461" s="84" t="str">
        <f t="shared" si="88"/>
        <v/>
      </c>
      <c r="V461" s="88">
        <f>IF(U461="",0,MAX(0,T461)+N461+ROUND(J461*[1]Setup!$B$9,0)+IF(O461&gt;[1]Setup!$B$10,ROUND(J461*[1]Setup!$B$11,0),0))</f>
        <v>0</v>
      </c>
      <c r="W461" s="85" t="str">
        <f>IF(L461="","Open",IF(OR(P461&lt;[1]Setup!$B$6,Q461&gt;[1]Setup!$B$7,R461&gt;[1]Setup!$B$8,O461&gt;[1]Setup!$B$10),"Review","OK"))</f>
        <v>Open</v>
      </c>
      <c r="X461" s="86"/>
      <c r="Z461" s="81" t="str">
        <f t="shared" si="92"/>
        <v/>
      </c>
    </row>
    <row r="462" spans="1:26" x14ac:dyDescent="0.3">
      <c r="A462" s="84"/>
      <c r="B462" s="100">
        <f t="shared" si="90"/>
        <v>0</v>
      </c>
      <c r="C462" s="84" t="str">
        <f t="shared" si="91"/>
        <v>January</v>
      </c>
      <c r="D462" s="85" t="str">
        <f t="shared" si="89"/>
        <v/>
      </c>
      <c r="E462" s="86"/>
      <c r="F462" s="86"/>
      <c r="G462" s="86"/>
      <c r="H462" s="86"/>
      <c r="I462" s="87" t="str">
        <f>IF(F462=0,"",IF(COUNTIF(F462,"Bao"),[1]Setup!$B$4,IF(COUNTIF(F462,"Soup Dumplings"),[1]Setup!$B$5,F462)))</f>
        <v/>
      </c>
      <c r="J462" s="88" t="str">
        <f t="shared" si="83"/>
        <v/>
      </c>
      <c r="K462" s="88"/>
      <c r="L462" s="87"/>
      <c r="M462" s="87"/>
      <c r="N462" s="87"/>
      <c r="O462" s="87"/>
      <c r="P462" s="89" t="str">
        <f t="shared" si="84"/>
        <v/>
      </c>
      <c r="Q462" s="89" t="str">
        <f t="shared" si="85"/>
        <v/>
      </c>
      <c r="R462" s="89" t="str">
        <f t="shared" si="86"/>
        <v/>
      </c>
      <c r="S462" s="88" t="str">
        <f>IF(F462="Bao",[1]Setup!$B$4,IF(F462="Soup Dumplings",[1]Setup!$B$5,""))</f>
        <v/>
      </c>
      <c r="T462" s="88" t="str">
        <f t="shared" si="87"/>
        <v/>
      </c>
      <c r="U462" s="84" t="str">
        <f t="shared" si="88"/>
        <v/>
      </c>
      <c r="V462" s="88">
        <f>IF(U462="",0,MAX(0,T462)+N462+ROUND(J462*[1]Setup!$B$9,0)+IF(O462&gt;[1]Setup!$B$10,ROUND(J462*[1]Setup!$B$11,0),0))</f>
        <v>0</v>
      </c>
      <c r="W462" s="85" t="str">
        <f>IF(L462="","Open",IF(OR(P462&lt;[1]Setup!$B$6,Q462&gt;[1]Setup!$B$7,R462&gt;[1]Setup!$B$8,O462&gt;[1]Setup!$B$10),"Review","OK"))</f>
        <v>Open</v>
      </c>
      <c r="X462" s="86"/>
      <c r="Z462" s="81" t="str">
        <f t="shared" si="92"/>
        <v/>
      </c>
    </row>
    <row r="463" spans="1:26" x14ac:dyDescent="0.3">
      <c r="A463" s="84"/>
      <c r="B463" s="100">
        <f t="shared" si="90"/>
        <v>0</v>
      </c>
      <c r="C463" s="84" t="str">
        <f t="shared" si="91"/>
        <v>January</v>
      </c>
      <c r="D463" s="85" t="str">
        <f t="shared" si="89"/>
        <v/>
      </c>
      <c r="E463" s="86"/>
      <c r="F463" s="86"/>
      <c r="G463" s="86"/>
      <c r="H463" s="86"/>
      <c r="I463" s="87" t="str">
        <f>IF(F463=0,"",IF(COUNTIF(F463,"Bao"),[1]Setup!$B$4,IF(COUNTIF(F463,"Soup Dumplings"),[1]Setup!$B$5,F463)))</f>
        <v/>
      </c>
      <c r="J463" s="88" t="str">
        <f t="shared" si="83"/>
        <v/>
      </c>
      <c r="K463" s="88"/>
      <c r="L463" s="87"/>
      <c r="M463" s="87"/>
      <c r="N463" s="87"/>
      <c r="O463" s="87"/>
      <c r="P463" s="89" t="str">
        <f t="shared" si="84"/>
        <v/>
      </c>
      <c r="Q463" s="89" t="str">
        <f t="shared" si="85"/>
        <v/>
      </c>
      <c r="R463" s="89" t="str">
        <f t="shared" si="86"/>
        <v/>
      </c>
      <c r="S463" s="88" t="str">
        <f>IF(F463="Bao",[1]Setup!$B$4,IF(F463="Soup Dumplings",[1]Setup!$B$5,""))</f>
        <v/>
      </c>
      <c r="T463" s="88" t="str">
        <f t="shared" si="87"/>
        <v/>
      </c>
      <c r="U463" s="84" t="str">
        <f t="shared" si="88"/>
        <v/>
      </c>
      <c r="V463" s="88">
        <f>IF(U463="",0,MAX(0,T463)+N463+ROUND(J463*[1]Setup!$B$9,0)+IF(O463&gt;[1]Setup!$B$10,ROUND(J463*[1]Setup!$B$11,0),0))</f>
        <v>0</v>
      </c>
      <c r="W463" s="85" t="str">
        <f>IF(L463="","Open",IF(OR(P463&lt;[1]Setup!$B$6,Q463&gt;[1]Setup!$B$7,R463&gt;[1]Setup!$B$8,O463&gt;[1]Setup!$B$10),"Review","OK"))</f>
        <v>Open</v>
      </c>
      <c r="X463" s="86"/>
      <c r="Z463" s="81" t="str">
        <f t="shared" si="92"/>
        <v/>
      </c>
    </row>
    <row r="464" spans="1:26" x14ac:dyDescent="0.3">
      <c r="A464" s="84"/>
      <c r="B464" s="100">
        <f t="shared" si="90"/>
        <v>0</v>
      </c>
      <c r="C464" s="84" t="str">
        <f t="shared" si="91"/>
        <v>January</v>
      </c>
      <c r="D464" s="85" t="str">
        <f t="shared" si="89"/>
        <v/>
      </c>
      <c r="E464" s="86"/>
      <c r="F464" s="86"/>
      <c r="G464" s="86"/>
      <c r="H464" s="86"/>
      <c r="I464" s="87" t="str">
        <f>IF(F464=0,"",IF(COUNTIF(F464,"Bao"),[1]Setup!$B$4,IF(COUNTIF(F464,"Soup Dumplings"),[1]Setup!$B$5,F464)))</f>
        <v/>
      </c>
      <c r="J464" s="88" t="str">
        <f t="shared" si="83"/>
        <v/>
      </c>
      <c r="K464" s="88"/>
      <c r="L464" s="87"/>
      <c r="M464" s="87"/>
      <c r="N464" s="87"/>
      <c r="O464" s="87"/>
      <c r="P464" s="89" t="str">
        <f t="shared" si="84"/>
        <v/>
      </c>
      <c r="Q464" s="89" t="str">
        <f t="shared" si="85"/>
        <v/>
      </c>
      <c r="R464" s="89" t="str">
        <f t="shared" si="86"/>
        <v/>
      </c>
      <c r="S464" s="88" t="str">
        <f>IF(F464="Bao",[1]Setup!$B$4,IF(F464="Soup Dumplings",[1]Setup!$B$5,""))</f>
        <v/>
      </c>
      <c r="T464" s="88" t="str">
        <f t="shared" si="87"/>
        <v/>
      </c>
      <c r="U464" s="84" t="str">
        <f t="shared" si="88"/>
        <v/>
      </c>
      <c r="V464" s="88">
        <f>IF(U464="",0,MAX(0,T464)+N464+ROUND(J464*[1]Setup!$B$9,0)+IF(O464&gt;[1]Setup!$B$10,ROUND(J464*[1]Setup!$B$11,0),0))</f>
        <v>0</v>
      </c>
      <c r="W464" s="85" t="str">
        <f>IF(L464="","Open",IF(OR(P464&lt;[1]Setup!$B$6,Q464&gt;[1]Setup!$B$7,R464&gt;[1]Setup!$B$8,O464&gt;[1]Setup!$B$10),"Review","OK"))</f>
        <v>Open</v>
      </c>
      <c r="X464" s="86"/>
      <c r="Z464" s="81" t="str">
        <f t="shared" si="92"/>
        <v/>
      </c>
    </row>
    <row r="465" spans="1:26" x14ac:dyDescent="0.3">
      <c r="A465" s="84"/>
      <c r="B465" s="100">
        <f t="shared" si="90"/>
        <v>0</v>
      </c>
      <c r="C465" s="84" t="str">
        <f t="shared" si="91"/>
        <v>January</v>
      </c>
      <c r="D465" s="85" t="str">
        <f t="shared" si="89"/>
        <v/>
      </c>
      <c r="E465" s="86"/>
      <c r="F465" s="86"/>
      <c r="G465" s="86"/>
      <c r="H465" s="86"/>
      <c r="I465" s="87" t="str">
        <f>IF(F465=0,"",IF(COUNTIF(F465,"Bao"),[1]Setup!$B$4,IF(COUNTIF(F465,"Soup Dumplings"),[1]Setup!$B$5,F465)))</f>
        <v/>
      </c>
      <c r="J465" s="88" t="str">
        <f t="shared" si="83"/>
        <v/>
      </c>
      <c r="K465" s="88"/>
      <c r="L465" s="87"/>
      <c r="M465" s="87"/>
      <c r="N465" s="87"/>
      <c r="O465" s="87"/>
      <c r="P465" s="89" t="str">
        <f t="shared" si="84"/>
        <v/>
      </c>
      <c r="Q465" s="89" t="str">
        <f t="shared" si="85"/>
        <v/>
      </c>
      <c r="R465" s="89" t="str">
        <f t="shared" si="86"/>
        <v/>
      </c>
      <c r="S465" s="88" t="str">
        <f>IF(F465="Bao",[1]Setup!$B$4,IF(F465="Soup Dumplings",[1]Setup!$B$5,""))</f>
        <v/>
      </c>
      <c r="T465" s="88" t="str">
        <f t="shared" si="87"/>
        <v/>
      </c>
      <c r="U465" s="84" t="str">
        <f t="shared" si="88"/>
        <v/>
      </c>
      <c r="V465" s="88">
        <f>IF(U465="",0,MAX(0,T465)+N465+ROUND(J465*[1]Setup!$B$9,0)+IF(O465&gt;[1]Setup!$B$10,ROUND(J465*[1]Setup!$B$11,0),0))</f>
        <v>0</v>
      </c>
      <c r="W465" s="85" t="str">
        <f>IF(L465="","Open",IF(OR(P465&lt;[1]Setup!$B$6,Q465&gt;[1]Setup!$B$7,R465&gt;[1]Setup!$B$8,O465&gt;[1]Setup!$B$10),"Review","OK"))</f>
        <v>Open</v>
      </c>
      <c r="X465" s="86"/>
      <c r="Z465" s="81" t="str">
        <f t="shared" si="92"/>
        <v/>
      </c>
    </row>
    <row r="466" spans="1:26" x14ac:dyDescent="0.3">
      <c r="A466" s="84"/>
      <c r="B466" s="100">
        <f t="shared" si="90"/>
        <v>0</v>
      </c>
      <c r="C466" s="84" t="str">
        <f t="shared" si="91"/>
        <v>January</v>
      </c>
      <c r="D466" s="85" t="str">
        <f t="shared" si="89"/>
        <v/>
      </c>
      <c r="E466" s="86"/>
      <c r="F466" s="86"/>
      <c r="G466" s="86"/>
      <c r="H466" s="86"/>
      <c r="I466" s="87" t="str">
        <f>IF(F466=0,"",IF(COUNTIF(F466,"Bao"),[1]Setup!$B$4,IF(COUNTIF(F466,"Soup Dumplings"),[1]Setup!$B$5,F466)))</f>
        <v/>
      </c>
      <c r="J466" s="88" t="str">
        <f t="shared" si="83"/>
        <v/>
      </c>
      <c r="K466" s="88"/>
      <c r="L466" s="87"/>
      <c r="M466" s="87"/>
      <c r="N466" s="87"/>
      <c r="O466" s="87"/>
      <c r="P466" s="89" t="str">
        <f t="shared" si="84"/>
        <v/>
      </c>
      <c r="Q466" s="89" t="str">
        <f t="shared" si="85"/>
        <v/>
      </c>
      <c r="R466" s="89" t="str">
        <f t="shared" si="86"/>
        <v/>
      </c>
      <c r="S466" s="88" t="str">
        <f>IF(F466="Bao",[1]Setup!$B$4,IF(F466="Soup Dumplings",[1]Setup!$B$5,""))</f>
        <v/>
      </c>
      <c r="T466" s="88" t="str">
        <f t="shared" si="87"/>
        <v/>
      </c>
      <c r="U466" s="84" t="str">
        <f t="shared" si="88"/>
        <v/>
      </c>
      <c r="V466" s="88">
        <f>IF(U466="",0,MAX(0,T466)+N466+ROUND(J466*[1]Setup!$B$9,0)+IF(O466&gt;[1]Setup!$B$10,ROUND(J466*[1]Setup!$B$11,0),0))</f>
        <v>0</v>
      </c>
      <c r="W466" s="85" t="str">
        <f>IF(L466="","Open",IF(OR(P466&lt;[1]Setup!$B$6,Q466&gt;[1]Setup!$B$7,R466&gt;[1]Setup!$B$8,O466&gt;[1]Setup!$B$10),"Review","OK"))</f>
        <v>Open</v>
      </c>
      <c r="X466" s="86"/>
      <c r="Z466" s="81" t="str">
        <f t="shared" si="92"/>
        <v/>
      </c>
    </row>
    <row r="467" spans="1:26" x14ac:dyDescent="0.3">
      <c r="A467" s="84"/>
      <c r="B467" s="100">
        <f t="shared" si="90"/>
        <v>0</v>
      </c>
      <c r="C467" s="84" t="str">
        <f t="shared" si="91"/>
        <v>January</v>
      </c>
      <c r="D467" s="85" t="str">
        <f t="shared" si="89"/>
        <v/>
      </c>
      <c r="E467" s="86"/>
      <c r="F467" s="86"/>
      <c r="G467" s="86"/>
      <c r="H467" s="86"/>
      <c r="I467" s="87" t="str">
        <f>IF(F467=0,"",IF(COUNTIF(F467,"Bao"),[1]Setup!$B$4,IF(COUNTIF(F467,"Soup Dumplings"),[1]Setup!$B$5,F467)))</f>
        <v/>
      </c>
      <c r="J467" s="88" t="str">
        <f t="shared" si="83"/>
        <v/>
      </c>
      <c r="K467" s="88"/>
      <c r="L467" s="87"/>
      <c r="M467" s="87"/>
      <c r="N467" s="87"/>
      <c r="O467" s="87"/>
      <c r="P467" s="89" t="str">
        <f t="shared" si="84"/>
        <v/>
      </c>
      <c r="Q467" s="89" t="str">
        <f t="shared" si="85"/>
        <v/>
      </c>
      <c r="R467" s="89" t="str">
        <f t="shared" si="86"/>
        <v/>
      </c>
      <c r="S467" s="88" t="str">
        <f>IF(F467="Bao",[1]Setup!$B$4,IF(F467="Soup Dumplings",[1]Setup!$B$5,""))</f>
        <v/>
      </c>
      <c r="T467" s="88" t="str">
        <f t="shared" si="87"/>
        <v/>
      </c>
      <c r="U467" s="84" t="str">
        <f t="shared" si="88"/>
        <v/>
      </c>
      <c r="V467" s="88">
        <f>IF(U467="",0,MAX(0,T467)+N467+ROUND(J467*[1]Setup!$B$9,0)+IF(O467&gt;[1]Setup!$B$10,ROUND(J467*[1]Setup!$B$11,0),0))</f>
        <v>0</v>
      </c>
      <c r="W467" s="85" t="str">
        <f>IF(L467="","Open",IF(OR(P467&lt;[1]Setup!$B$6,Q467&gt;[1]Setup!$B$7,R467&gt;[1]Setup!$B$8,O467&gt;[1]Setup!$B$10),"Review","OK"))</f>
        <v>Open</v>
      </c>
      <c r="X467" s="86"/>
      <c r="Z467" s="81" t="str">
        <f t="shared" si="92"/>
        <v/>
      </c>
    </row>
    <row r="468" spans="1:26" x14ac:dyDescent="0.3">
      <c r="A468" s="84"/>
      <c r="B468" s="100">
        <f t="shared" si="90"/>
        <v>0</v>
      </c>
      <c r="C468" s="84" t="str">
        <f t="shared" si="91"/>
        <v>January</v>
      </c>
      <c r="D468" s="85" t="str">
        <f t="shared" si="89"/>
        <v/>
      </c>
      <c r="E468" s="86"/>
      <c r="F468" s="86"/>
      <c r="G468" s="86"/>
      <c r="H468" s="86"/>
      <c r="I468" s="87" t="str">
        <f>IF(F468=0,"",IF(COUNTIF(F468,"Bao"),[1]Setup!$B$4,IF(COUNTIF(F468,"Soup Dumplings"),[1]Setup!$B$5,F468)))</f>
        <v/>
      </c>
      <c r="J468" s="88" t="str">
        <f t="shared" si="83"/>
        <v/>
      </c>
      <c r="K468" s="88"/>
      <c r="L468" s="87"/>
      <c r="M468" s="87"/>
      <c r="N468" s="87"/>
      <c r="O468" s="87"/>
      <c r="P468" s="89" t="str">
        <f t="shared" si="84"/>
        <v/>
      </c>
      <c r="Q468" s="89" t="str">
        <f t="shared" si="85"/>
        <v/>
      </c>
      <c r="R468" s="89" t="str">
        <f t="shared" si="86"/>
        <v/>
      </c>
      <c r="S468" s="88" t="str">
        <f>IF(F468="Bao",[1]Setup!$B$4,IF(F468="Soup Dumplings",[1]Setup!$B$5,""))</f>
        <v/>
      </c>
      <c r="T468" s="88" t="str">
        <f t="shared" si="87"/>
        <v/>
      </c>
      <c r="U468" s="84" t="str">
        <f t="shared" si="88"/>
        <v/>
      </c>
      <c r="V468" s="88">
        <f>IF(U468="",0,MAX(0,T468)+N468+ROUND(J468*[1]Setup!$B$9,0)+IF(O468&gt;[1]Setup!$B$10,ROUND(J468*[1]Setup!$B$11,0),0))</f>
        <v>0</v>
      </c>
      <c r="W468" s="85" t="str">
        <f>IF(L468="","Open",IF(OR(P468&lt;[1]Setup!$B$6,Q468&gt;[1]Setup!$B$7,R468&gt;[1]Setup!$B$8,O468&gt;[1]Setup!$B$10),"Review","OK"))</f>
        <v>Open</v>
      </c>
      <c r="X468" s="86"/>
      <c r="Z468" s="81" t="str">
        <f t="shared" si="92"/>
        <v/>
      </c>
    </row>
    <row r="469" spans="1:26" x14ac:dyDescent="0.3">
      <c r="A469" s="84"/>
      <c r="B469" s="100">
        <f t="shared" si="90"/>
        <v>0</v>
      </c>
      <c r="C469" s="84" t="str">
        <f t="shared" si="91"/>
        <v>January</v>
      </c>
      <c r="D469" s="85" t="str">
        <f t="shared" si="89"/>
        <v/>
      </c>
      <c r="E469" s="86"/>
      <c r="F469" s="86"/>
      <c r="G469" s="86"/>
      <c r="H469" s="86"/>
      <c r="I469" s="87" t="str">
        <f>IF(F469=0,"",IF(COUNTIF(F469,"Bao"),[1]Setup!$B$4,IF(COUNTIF(F469,"Soup Dumplings"),[1]Setup!$B$5,F469)))</f>
        <v/>
      </c>
      <c r="J469" s="88" t="str">
        <f t="shared" si="83"/>
        <v/>
      </c>
      <c r="K469" s="88"/>
      <c r="L469" s="87"/>
      <c r="M469" s="87"/>
      <c r="N469" s="87"/>
      <c r="O469" s="87"/>
      <c r="P469" s="89" t="str">
        <f t="shared" si="84"/>
        <v/>
      </c>
      <c r="Q469" s="89" t="str">
        <f t="shared" si="85"/>
        <v/>
      </c>
      <c r="R469" s="89" t="str">
        <f t="shared" si="86"/>
        <v/>
      </c>
      <c r="S469" s="88" t="str">
        <f>IF(F469="Bao",[1]Setup!$B$4,IF(F469="Soup Dumplings",[1]Setup!$B$5,""))</f>
        <v/>
      </c>
      <c r="T469" s="88" t="str">
        <f t="shared" si="87"/>
        <v/>
      </c>
      <c r="U469" s="84" t="str">
        <f t="shared" si="88"/>
        <v/>
      </c>
      <c r="V469" s="88">
        <f>IF(U469="",0,MAX(0,T469)+N469+ROUND(J469*[1]Setup!$B$9,0)+IF(O469&gt;[1]Setup!$B$10,ROUND(J469*[1]Setup!$B$11,0),0))</f>
        <v>0</v>
      </c>
      <c r="W469" s="85" t="str">
        <f>IF(L469="","Open",IF(OR(P469&lt;[1]Setup!$B$6,Q469&gt;[1]Setup!$B$7,R469&gt;[1]Setup!$B$8,O469&gt;[1]Setup!$B$10),"Review","OK"))</f>
        <v>Open</v>
      </c>
      <c r="X469" s="86"/>
      <c r="Z469" s="81" t="str">
        <f t="shared" si="92"/>
        <v/>
      </c>
    </row>
    <row r="470" spans="1:26" x14ac:dyDescent="0.3">
      <c r="A470" s="84"/>
      <c r="B470" s="100">
        <f t="shared" si="90"/>
        <v>0</v>
      </c>
      <c r="C470" s="84" t="str">
        <f t="shared" si="91"/>
        <v>January</v>
      </c>
      <c r="D470" s="85" t="str">
        <f t="shared" si="89"/>
        <v/>
      </c>
      <c r="E470" s="86"/>
      <c r="F470" s="86"/>
      <c r="G470" s="86"/>
      <c r="H470" s="86"/>
      <c r="I470" s="87" t="str">
        <f>IF(F470=0,"",IF(COUNTIF(F470,"Bao"),[1]Setup!$B$4,IF(COUNTIF(F470,"Soup Dumplings"),[1]Setup!$B$5,F470)))</f>
        <v/>
      </c>
      <c r="J470" s="88" t="str">
        <f t="shared" si="83"/>
        <v/>
      </c>
      <c r="K470" s="88"/>
      <c r="L470" s="87"/>
      <c r="M470" s="87"/>
      <c r="N470" s="87"/>
      <c r="O470" s="87"/>
      <c r="P470" s="89" t="str">
        <f t="shared" si="84"/>
        <v/>
      </c>
      <c r="Q470" s="89" t="str">
        <f t="shared" si="85"/>
        <v/>
      </c>
      <c r="R470" s="89" t="str">
        <f t="shared" si="86"/>
        <v/>
      </c>
      <c r="S470" s="88" t="str">
        <f>IF(F470="Bao",[1]Setup!$B$4,IF(F470="Soup Dumplings",[1]Setup!$B$5,""))</f>
        <v/>
      </c>
      <c r="T470" s="88" t="str">
        <f t="shared" si="87"/>
        <v/>
      </c>
      <c r="U470" s="84" t="str">
        <f t="shared" si="88"/>
        <v/>
      </c>
      <c r="V470" s="88">
        <f>IF(U470="",0,MAX(0,T470)+N470+ROUND(J470*[1]Setup!$B$9,0)+IF(O470&gt;[1]Setup!$B$10,ROUND(J470*[1]Setup!$B$11,0),0))</f>
        <v>0</v>
      </c>
      <c r="W470" s="85" t="str">
        <f>IF(L470="","Open",IF(OR(P470&lt;[1]Setup!$B$6,Q470&gt;[1]Setup!$B$7,R470&gt;[1]Setup!$B$8,O470&gt;[1]Setup!$B$10),"Review","OK"))</f>
        <v>Open</v>
      </c>
      <c r="X470" s="86"/>
      <c r="Z470" s="81" t="str">
        <f t="shared" si="92"/>
        <v/>
      </c>
    </row>
    <row r="471" spans="1:26" x14ac:dyDescent="0.3">
      <c r="A471" s="84"/>
      <c r="B471" s="100">
        <f t="shared" si="90"/>
        <v>0</v>
      </c>
      <c r="C471" s="84" t="str">
        <f t="shared" si="91"/>
        <v>January</v>
      </c>
      <c r="D471" s="85" t="str">
        <f t="shared" si="89"/>
        <v/>
      </c>
      <c r="E471" s="86"/>
      <c r="F471" s="86"/>
      <c r="G471" s="86"/>
      <c r="H471" s="86"/>
      <c r="I471" s="87" t="str">
        <f>IF(F471=0,"",IF(COUNTIF(F471,"Bao"),[1]Setup!$B$4,IF(COUNTIF(F471,"Soup Dumplings"),[1]Setup!$B$5,F471)))</f>
        <v/>
      </c>
      <c r="J471" s="88" t="str">
        <f t="shared" si="83"/>
        <v/>
      </c>
      <c r="K471" s="88"/>
      <c r="L471" s="87"/>
      <c r="M471" s="87"/>
      <c r="N471" s="87"/>
      <c r="O471" s="87"/>
      <c r="P471" s="89" t="str">
        <f t="shared" si="84"/>
        <v/>
      </c>
      <c r="Q471" s="89" t="str">
        <f t="shared" si="85"/>
        <v/>
      </c>
      <c r="R471" s="89" t="str">
        <f t="shared" si="86"/>
        <v/>
      </c>
      <c r="S471" s="88" t="str">
        <f>IF(F471="Bao",[1]Setup!$B$4,IF(F471="Soup Dumplings",[1]Setup!$B$5,""))</f>
        <v/>
      </c>
      <c r="T471" s="88" t="str">
        <f t="shared" si="87"/>
        <v/>
      </c>
      <c r="U471" s="84" t="str">
        <f t="shared" si="88"/>
        <v/>
      </c>
      <c r="V471" s="88">
        <f>IF(U471="",0,MAX(0,T471)+N471+ROUND(J471*[1]Setup!$B$9,0)+IF(O471&gt;[1]Setup!$B$10,ROUND(J471*[1]Setup!$B$11,0),0))</f>
        <v>0</v>
      </c>
      <c r="W471" s="85" t="str">
        <f>IF(L471="","Open",IF(OR(P471&lt;[1]Setup!$B$6,Q471&gt;[1]Setup!$B$7,R471&gt;[1]Setup!$B$8,O471&gt;[1]Setup!$B$10),"Review","OK"))</f>
        <v>Open</v>
      </c>
      <c r="X471" s="86"/>
      <c r="Z471" s="81" t="str">
        <f t="shared" si="92"/>
        <v/>
      </c>
    </row>
    <row r="472" spans="1:26" x14ac:dyDescent="0.3">
      <c r="A472" s="84"/>
      <c r="B472" s="100">
        <f t="shared" si="90"/>
        <v>0</v>
      </c>
      <c r="C472" s="84" t="str">
        <f t="shared" si="91"/>
        <v>January</v>
      </c>
      <c r="D472" s="85" t="str">
        <f t="shared" si="89"/>
        <v/>
      </c>
      <c r="E472" s="86"/>
      <c r="F472" s="86"/>
      <c r="G472" s="86"/>
      <c r="H472" s="86"/>
      <c r="I472" s="87" t="str">
        <f>IF(F472=0,"",IF(COUNTIF(F472,"Bao"),[1]Setup!$B$4,IF(COUNTIF(F472,"Soup Dumplings"),[1]Setup!$B$5,F472)))</f>
        <v/>
      </c>
      <c r="J472" s="88" t="str">
        <f t="shared" si="83"/>
        <v/>
      </c>
      <c r="K472" s="88"/>
      <c r="L472" s="87"/>
      <c r="M472" s="87"/>
      <c r="N472" s="87"/>
      <c r="O472" s="87"/>
      <c r="P472" s="89" t="str">
        <f t="shared" si="84"/>
        <v/>
      </c>
      <c r="Q472" s="89" t="str">
        <f t="shared" si="85"/>
        <v/>
      </c>
      <c r="R472" s="89" t="str">
        <f t="shared" si="86"/>
        <v/>
      </c>
      <c r="S472" s="88" t="str">
        <f>IF(F472="Bao",[1]Setup!$B$4,IF(F472="Soup Dumplings",[1]Setup!$B$5,""))</f>
        <v/>
      </c>
      <c r="T472" s="88" t="str">
        <f t="shared" si="87"/>
        <v/>
      </c>
      <c r="U472" s="84" t="str">
        <f t="shared" si="88"/>
        <v/>
      </c>
      <c r="V472" s="88">
        <f>IF(U472="",0,MAX(0,T472)+N472+ROUND(J472*[1]Setup!$B$9,0)+IF(O472&gt;[1]Setup!$B$10,ROUND(J472*[1]Setup!$B$11,0),0))</f>
        <v>0</v>
      </c>
      <c r="W472" s="85" t="str">
        <f>IF(L472="","Open",IF(OR(P472&lt;[1]Setup!$B$6,Q472&gt;[1]Setup!$B$7,R472&gt;[1]Setup!$B$8,O472&gt;[1]Setup!$B$10),"Review","OK"))</f>
        <v>Open</v>
      </c>
      <c r="X472" s="86"/>
      <c r="Z472" s="81" t="str">
        <f t="shared" si="92"/>
        <v/>
      </c>
    </row>
    <row r="473" spans="1:26" x14ac:dyDescent="0.3">
      <c r="A473" s="84"/>
      <c r="B473" s="100">
        <f t="shared" si="90"/>
        <v>0</v>
      </c>
      <c r="C473" s="84" t="str">
        <f t="shared" si="91"/>
        <v>January</v>
      </c>
      <c r="D473" s="85" t="str">
        <f t="shared" si="89"/>
        <v/>
      </c>
      <c r="E473" s="86"/>
      <c r="F473" s="86"/>
      <c r="G473" s="86"/>
      <c r="H473" s="86"/>
      <c r="I473" s="87" t="str">
        <f>IF(F473=0,"",IF(COUNTIF(F473,"Bao"),[1]Setup!$B$4,IF(COUNTIF(F473,"Soup Dumplings"),[1]Setup!$B$5,F473)))</f>
        <v/>
      </c>
      <c r="J473" s="88" t="str">
        <f t="shared" si="83"/>
        <v/>
      </c>
      <c r="K473" s="88"/>
      <c r="L473" s="87"/>
      <c r="M473" s="87"/>
      <c r="N473" s="87"/>
      <c r="O473" s="87"/>
      <c r="P473" s="89" t="str">
        <f t="shared" si="84"/>
        <v/>
      </c>
      <c r="Q473" s="89" t="str">
        <f t="shared" si="85"/>
        <v/>
      </c>
      <c r="R473" s="89" t="str">
        <f t="shared" si="86"/>
        <v/>
      </c>
      <c r="S473" s="88" t="str">
        <f>IF(F473="Bao",[1]Setup!$B$4,IF(F473="Soup Dumplings",[1]Setup!$B$5,""))</f>
        <v/>
      </c>
      <c r="T473" s="88" t="str">
        <f t="shared" si="87"/>
        <v/>
      </c>
      <c r="U473" s="84" t="str">
        <f t="shared" si="88"/>
        <v/>
      </c>
      <c r="V473" s="88">
        <f>IF(U473="",0,MAX(0,T473)+N473+ROUND(J473*[1]Setup!$B$9,0)+IF(O473&gt;[1]Setup!$B$10,ROUND(J473*[1]Setup!$B$11,0),0))</f>
        <v>0</v>
      </c>
      <c r="W473" s="85" t="str">
        <f>IF(L473="","Open",IF(OR(P473&lt;[1]Setup!$B$6,Q473&gt;[1]Setup!$B$7,R473&gt;[1]Setup!$B$8,O473&gt;[1]Setup!$B$10),"Review","OK"))</f>
        <v>Open</v>
      </c>
      <c r="X473" s="86"/>
      <c r="Z473" s="81" t="str">
        <f t="shared" si="92"/>
        <v/>
      </c>
    </row>
    <row r="474" spans="1:26" x14ac:dyDescent="0.3">
      <c r="A474" s="84"/>
      <c r="B474" s="100">
        <f t="shared" si="90"/>
        <v>0</v>
      </c>
      <c r="C474" s="84" t="str">
        <f t="shared" si="91"/>
        <v>January</v>
      </c>
      <c r="D474" s="85" t="str">
        <f t="shared" si="89"/>
        <v/>
      </c>
      <c r="E474" s="86"/>
      <c r="F474" s="86"/>
      <c r="G474" s="86"/>
      <c r="H474" s="86"/>
      <c r="I474" s="87" t="str">
        <f>IF(F474=0,"",IF(COUNTIF(F474,"Bao"),[1]Setup!$B$4,IF(COUNTIF(F474,"Soup Dumplings"),[1]Setup!$B$5,F474)))</f>
        <v/>
      </c>
      <c r="J474" s="88" t="str">
        <f t="shared" si="83"/>
        <v/>
      </c>
      <c r="K474" s="88"/>
      <c r="L474" s="87"/>
      <c r="M474" s="87"/>
      <c r="N474" s="87"/>
      <c r="O474" s="87"/>
      <c r="P474" s="89" t="str">
        <f t="shared" si="84"/>
        <v/>
      </c>
      <c r="Q474" s="89" t="str">
        <f t="shared" si="85"/>
        <v/>
      </c>
      <c r="R474" s="89" t="str">
        <f t="shared" si="86"/>
        <v/>
      </c>
      <c r="S474" s="88" t="str">
        <f>IF(F474="Bao",[1]Setup!$B$4,IF(F474="Soup Dumplings",[1]Setup!$B$5,""))</f>
        <v/>
      </c>
      <c r="T474" s="88" t="str">
        <f t="shared" si="87"/>
        <v/>
      </c>
      <c r="U474" s="84" t="str">
        <f t="shared" si="88"/>
        <v/>
      </c>
      <c r="V474" s="88">
        <f>IF(U474="",0,MAX(0,T474)+N474+ROUND(J474*[1]Setup!$B$9,0)+IF(O474&gt;[1]Setup!$B$10,ROUND(J474*[1]Setup!$B$11,0),0))</f>
        <v>0</v>
      </c>
      <c r="W474" s="85" t="str">
        <f>IF(L474="","Open",IF(OR(P474&lt;[1]Setup!$B$6,Q474&gt;[1]Setup!$B$7,R474&gt;[1]Setup!$B$8,O474&gt;[1]Setup!$B$10),"Review","OK"))</f>
        <v>Open</v>
      </c>
      <c r="X474" s="86"/>
      <c r="Z474" s="81" t="str">
        <f t="shared" si="92"/>
        <v/>
      </c>
    </row>
    <row r="475" spans="1:26" x14ac:dyDescent="0.3">
      <c r="A475" s="84"/>
      <c r="B475" s="100">
        <f t="shared" si="90"/>
        <v>0</v>
      </c>
      <c r="C475" s="84" t="str">
        <f t="shared" si="91"/>
        <v>January</v>
      </c>
      <c r="D475" s="85" t="str">
        <f t="shared" si="89"/>
        <v/>
      </c>
      <c r="E475" s="86"/>
      <c r="F475" s="86"/>
      <c r="G475" s="86"/>
      <c r="H475" s="86"/>
      <c r="I475" s="87" t="str">
        <f>IF(F475=0,"",IF(COUNTIF(F475,"Bao"),[1]Setup!$B$4,IF(COUNTIF(F475,"Soup Dumplings"),[1]Setup!$B$5,F475)))</f>
        <v/>
      </c>
      <c r="J475" s="88" t="str">
        <f t="shared" si="83"/>
        <v/>
      </c>
      <c r="K475" s="88"/>
      <c r="L475" s="87"/>
      <c r="M475" s="87"/>
      <c r="N475" s="87"/>
      <c r="O475" s="87"/>
      <c r="P475" s="89" t="str">
        <f t="shared" si="84"/>
        <v/>
      </c>
      <c r="Q475" s="89" t="str">
        <f t="shared" si="85"/>
        <v/>
      </c>
      <c r="R475" s="89" t="str">
        <f t="shared" si="86"/>
        <v/>
      </c>
      <c r="S475" s="88" t="str">
        <f>IF(F475="Bao",[1]Setup!$B$4,IF(F475="Soup Dumplings",[1]Setup!$B$5,""))</f>
        <v/>
      </c>
      <c r="T475" s="88" t="str">
        <f t="shared" si="87"/>
        <v/>
      </c>
      <c r="U475" s="84" t="str">
        <f t="shared" si="88"/>
        <v/>
      </c>
      <c r="V475" s="88">
        <f>IF(U475="",0,MAX(0,T475)+N475+ROUND(J475*[1]Setup!$B$9,0)+IF(O475&gt;[1]Setup!$B$10,ROUND(J475*[1]Setup!$B$11,0),0))</f>
        <v>0</v>
      </c>
      <c r="W475" s="85" t="str">
        <f>IF(L475="","Open",IF(OR(P475&lt;[1]Setup!$B$6,Q475&gt;[1]Setup!$B$7,R475&gt;[1]Setup!$B$8,O475&gt;[1]Setup!$B$10),"Review","OK"))</f>
        <v>Open</v>
      </c>
      <c r="X475" s="86"/>
      <c r="Z475" s="81" t="str">
        <f t="shared" si="92"/>
        <v/>
      </c>
    </row>
    <row r="476" spans="1:26" x14ac:dyDescent="0.3">
      <c r="A476" s="84"/>
      <c r="B476" s="100">
        <f t="shared" si="90"/>
        <v>0</v>
      </c>
      <c r="C476" s="84" t="str">
        <f t="shared" si="91"/>
        <v>January</v>
      </c>
      <c r="D476" s="85" t="str">
        <f t="shared" si="89"/>
        <v/>
      </c>
      <c r="E476" s="86"/>
      <c r="F476" s="86"/>
      <c r="G476" s="86"/>
      <c r="H476" s="86"/>
      <c r="I476" s="87" t="str">
        <f>IF(F476=0,"",IF(COUNTIF(F476,"Bao"),[1]Setup!$B$4,IF(COUNTIF(F476,"Soup Dumplings"),[1]Setup!$B$5,F476)))</f>
        <v/>
      </c>
      <c r="J476" s="88" t="str">
        <f t="shared" si="83"/>
        <v/>
      </c>
      <c r="K476" s="88"/>
      <c r="L476" s="87"/>
      <c r="M476" s="87"/>
      <c r="N476" s="87"/>
      <c r="O476" s="87"/>
      <c r="P476" s="89" t="str">
        <f t="shared" si="84"/>
        <v/>
      </c>
      <c r="Q476" s="89" t="str">
        <f t="shared" si="85"/>
        <v/>
      </c>
      <c r="R476" s="89" t="str">
        <f t="shared" si="86"/>
        <v/>
      </c>
      <c r="S476" s="88" t="str">
        <f>IF(F476="Bao",[1]Setup!$B$4,IF(F476="Soup Dumplings",[1]Setup!$B$5,""))</f>
        <v/>
      </c>
      <c r="T476" s="88" t="str">
        <f t="shared" si="87"/>
        <v/>
      </c>
      <c r="U476" s="84" t="str">
        <f t="shared" si="88"/>
        <v/>
      </c>
      <c r="V476" s="88">
        <f>IF(U476="",0,MAX(0,T476)+N476+ROUND(J476*[1]Setup!$B$9,0)+IF(O476&gt;[1]Setup!$B$10,ROUND(J476*[1]Setup!$B$11,0),0))</f>
        <v>0</v>
      </c>
      <c r="W476" s="85" t="str">
        <f>IF(L476="","Open",IF(OR(P476&lt;[1]Setup!$B$6,Q476&gt;[1]Setup!$B$7,R476&gt;[1]Setup!$B$8,O476&gt;[1]Setup!$B$10),"Review","OK"))</f>
        <v>Open</v>
      </c>
      <c r="X476" s="86"/>
      <c r="Z476" s="81" t="str">
        <f t="shared" si="92"/>
        <v/>
      </c>
    </row>
    <row r="477" spans="1:26" x14ac:dyDescent="0.3">
      <c r="A477" s="84"/>
      <c r="B477" s="100">
        <f t="shared" si="90"/>
        <v>0</v>
      </c>
      <c r="C477" s="84" t="str">
        <f t="shared" si="91"/>
        <v>January</v>
      </c>
      <c r="D477" s="85" t="str">
        <f t="shared" si="89"/>
        <v/>
      </c>
      <c r="E477" s="86"/>
      <c r="F477" s="86"/>
      <c r="G477" s="86"/>
      <c r="H477" s="86"/>
      <c r="I477" s="87" t="str">
        <f>IF(F477=0,"",IF(COUNTIF(F477,"Bao"),[1]Setup!$B$4,IF(COUNTIF(F477,"Soup Dumplings"),[1]Setup!$B$5,F477)))</f>
        <v/>
      </c>
      <c r="J477" s="88" t="str">
        <f t="shared" si="83"/>
        <v/>
      </c>
      <c r="K477" s="88"/>
      <c r="L477" s="87"/>
      <c r="M477" s="87"/>
      <c r="N477" s="87"/>
      <c r="O477" s="87"/>
      <c r="P477" s="89" t="str">
        <f t="shared" si="84"/>
        <v/>
      </c>
      <c r="Q477" s="89" t="str">
        <f t="shared" si="85"/>
        <v/>
      </c>
      <c r="R477" s="89" t="str">
        <f t="shared" si="86"/>
        <v/>
      </c>
      <c r="S477" s="88" t="str">
        <f>IF(F477="Bao",[1]Setup!$B$4,IF(F477="Soup Dumplings",[1]Setup!$B$5,""))</f>
        <v/>
      </c>
      <c r="T477" s="88" t="str">
        <f t="shared" si="87"/>
        <v/>
      </c>
      <c r="U477" s="84" t="str">
        <f t="shared" si="88"/>
        <v/>
      </c>
      <c r="V477" s="88">
        <f>IF(U477="",0,MAX(0,T477)+N477+ROUND(J477*[1]Setup!$B$9,0)+IF(O477&gt;[1]Setup!$B$10,ROUND(J477*[1]Setup!$B$11,0),0))</f>
        <v>0</v>
      </c>
      <c r="W477" s="85" t="str">
        <f>IF(L477="","Open",IF(OR(P477&lt;[1]Setup!$B$6,Q477&gt;[1]Setup!$B$7,R477&gt;[1]Setup!$B$8,O477&gt;[1]Setup!$B$10),"Review","OK"))</f>
        <v>Open</v>
      </c>
      <c r="X477" s="86"/>
      <c r="Z477" s="81" t="str">
        <f t="shared" si="92"/>
        <v/>
      </c>
    </row>
    <row r="478" spans="1:26" x14ac:dyDescent="0.3">
      <c r="A478" s="84"/>
      <c r="B478" s="100">
        <f t="shared" si="90"/>
        <v>0</v>
      </c>
      <c r="C478" s="84" t="str">
        <f t="shared" si="91"/>
        <v>January</v>
      </c>
      <c r="D478" s="85" t="str">
        <f t="shared" si="89"/>
        <v/>
      </c>
      <c r="E478" s="86"/>
      <c r="F478" s="86"/>
      <c r="G478" s="86"/>
      <c r="H478" s="86"/>
      <c r="I478" s="87" t="str">
        <f>IF(F478=0,"",IF(COUNTIF(F478,"Bao"),[1]Setup!$B$4,IF(COUNTIF(F478,"Soup Dumplings"),[1]Setup!$B$5,F478)))</f>
        <v/>
      </c>
      <c r="J478" s="88" t="str">
        <f t="shared" si="83"/>
        <v/>
      </c>
      <c r="K478" s="88"/>
      <c r="L478" s="87"/>
      <c r="M478" s="87"/>
      <c r="N478" s="87"/>
      <c r="O478" s="87"/>
      <c r="P478" s="89" t="str">
        <f t="shared" si="84"/>
        <v/>
      </c>
      <c r="Q478" s="89" t="str">
        <f t="shared" si="85"/>
        <v/>
      </c>
      <c r="R478" s="89" t="str">
        <f t="shared" si="86"/>
        <v/>
      </c>
      <c r="S478" s="88" t="str">
        <f>IF(F478="Bao",[1]Setup!$B$4,IF(F478="Soup Dumplings",[1]Setup!$B$5,""))</f>
        <v/>
      </c>
      <c r="T478" s="88" t="str">
        <f t="shared" si="87"/>
        <v/>
      </c>
      <c r="U478" s="84" t="str">
        <f t="shared" si="88"/>
        <v/>
      </c>
      <c r="V478" s="88">
        <f>IF(U478="",0,MAX(0,T478)+N478+ROUND(J478*[1]Setup!$B$9,0)+IF(O478&gt;[1]Setup!$B$10,ROUND(J478*[1]Setup!$B$11,0),0))</f>
        <v>0</v>
      </c>
      <c r="W478" s="85" t="str">
        <f>IF(L478="","Open",IF(OR(P478&lt;[1]Setup!$B$6,Q478&gt;[1]Setup!$B$7,R478&gt;[1]Setup!$B$8,O478&gt;[1]Setup!$B$10),"Review","OK"))</f>
        <v>Open</v>
      </c>
      <c r="X478" s="86"/>
      <c r="Z478" s="81" t="str">
        <f t="shared" si="92"/>
        <v/>
      </c>
    </row>
    <row r="479" spans="1:26" x14ac:dyDescent="0.3">
      <c r="A479" s="84"/>
      <c r="B479" s="100">
        <f t="shared" si="90"/>
        <v>0</v>
      </c>
      <c r="C479" s="84" t="str">
        <f t="shared" si="91"/>
        <v>January</v>
      </c>
      <c r="D479" s="85" t="str">
        <f t="shared" si="89"/>
        <v/>
      </c>
      <c r="E479" s="86"/>
      <c r="F479" s="86"/>
      <c r="G479" s="86"/>
      <c r="H479" s="86"/>
      <c r="I479" s="87" t="str">
        <f>IF(F479=0,"",IF(COUNTIF(F479,"Bao"),[1]Setup!$B$4,IF(COUNTIF(F479,"Soup Dumplings"),[1]Setup!$B$5,F479)))</f>
        <v/>
      </c>
      <c r="J479" s="88" t="str">
        <f t="shared" si="83"/>
        <v/>
      </c>
      <c r="K479" s="88"/>
      <c r="L479" s="87"/>
      <c r="M479" s="87"/>
      <c r="N479" s="87"/>
      <c r="O479" s="87"/>
      <c r="P479" s="89" t="str">
        <f t="shared" si="84"/>
        <v/>
      </c>
      <c r="Q479" s="89" t="str">
        <f t="shared" si="85"/>
        <v/>
      </c>
      <c r="R479" s="89" t="str">
        <f t="shared" si="86"/>
        <v/>
      </c>
      <c r="S479" s="88" t="str">
        <f>IF(F479="Bao",[1]Setup!$B$4,IF(F479="Soup Dumplings",[1]Setup!$B$5,""))</f>
        <v/>
      </c>
      <c r="T479" s="88" t="str">
        <f t="shared" si="87"/>
        <v/>
      </c>
      <c r="U479" s="84" t="str">
        <f t="shared" si="88"/>
        <v/>
      </c>
      <c r="V479" s="88">
        <f>IF(U479="",0,MAX(0,T479)+N479+ROUND(J479*[1]Setup!$B$9,0)+IF(O479&gt;[1]Setup!$B$10,ROUND(J479*[1]Setup!$B$11,0),0))</f>
        <v>0</v>
      </c>
      <c r="W479" s="85" t="str">
        <f>IF(L479="","Open",IF(OR(P479&lt;[1]Setup!$B$6,Q479&gt;[1]Setup!$B$7,R479&gt;[1]Setup!$B$8,O479&gt;[1]Setup!$B$10),"Review","OK"))</f>
        <v>Open</v>
      </c>
      <c r="X479" s="86"/>
      <c r="Z479" s="81" t="str">
        <f t="shared" si="92"/>
        <v/>
      </c>
    </row>
    <row r="480" spans="1:26" x14ac:dyDescent="0.3">
      <c r="A480" s="84"/>
      <c r="B480" s="100">
        <f t="shared" si="90"/>
        <v>0</v>
      </c>
      <c r="C480" s="84" t="str">
        <f t="shared" si="91"/>
        <v>January</v>
      </c>
      <c r="D480" s="85" t="str">
        <f t="shared" si="89"/>
        <v/>
      </c>
      <c r="E480" s="86"/>
      <c r="F480" s="86"/>
      <c r="G480" s="86"/>
      <c r="H480" s="86"/>
      <c r="I480" s="87" t="str">
        <f>IF(F480=0,"",IF(COUNTIF(F480,"Bao"),[1]Setup!$B$4,IF(COUNTIF(F480,"Soup Dumplings"),[1]Setup!$B$5,F480)))</f>
        <v/>
      </c>
      <c r="J480" s="88" t="str">
        <f t="shared" si="83"/>
        <v/>
      </c>
      <c r="K480" s="88"/>
      <c r="L480" s="87"/>
      <c r="M480" s="87"/>
      <c r="N480" s="87"/>
      <c r="O480" s="87"/>
      <c r="P480" s="89" t="str">
        <f t="shared" si="84"/>
        <v/>
      </c>
      <c r="Q480" s="89" t="str">
        <f t="shared" si="85"/>
        <v/>
      </c>
      <c r="R480" s="89" t="str">
        <f t="shared" si="86"/>
        <v/>
      </c>
      <c r="S480" s="88" t="str">
        <f>IF(F480="Bao",[1]Setup!$B$4,IF(F480="Soup Dumplings",[1]Setup!$B$5,""))</f>
        <v/>
      </c>
      <c r="T480" s="88" t="str">
        <f t="shared" si="87"/>
        <v/>
      </c>
      <c r="U480" s="84" t="str">
        <f t="shared" si="88"/>
        <v/>
      </c>
      <c r="V480" s="88">
        <f>IF(U480="",0,MAX(0,T480)+N480+ROUND(J480*[1]Setup!$B$9,0)+IF(O480&gt;[1]Setup!$B$10,ROUND(J480*[1]Setup!$B$11,0),0))</f>
        <v>0</v>
      </c>
      <c r="W480" s="85" t="str">
        <f>IF(L480="","Open",IF(OR(P480&lt;[1]Setup!$B$6,Q480&gt;[1]Setup!$B$7,R480&gt;[1]Setup!$B$8,O480&gt;[1]Setup!$B$10),"Review","OK"))</f>
        <v>Open</v>
      </c>
      <c r="X480" s="86"/>
      <c r="Z480" s="81" t="str">
        <f t="shared" si="92"/>
        <v/>
      </c>
    </row>
    <row r="481" spans="1:26" x14ac:dyDescent="0.3">
      <c r="A481" s="84"/>
      <c r="B481" s="100">
        <f t="shared" si="90"/>
        <v>0</v>
      </c>
      <c r="C481" s="84" t="str">
        <f t="shared" si="91"/>
        <v>January</v>
      </c>
      <c r="D481" s="85" t="str">
        <f t="shared" si="89"/>
        <v/>
      </c>
      <c r="E481" s="86"/>
      <c r="F481" s="86"/>
      <c r="G481" s="86"/>
      <c r="H481" s="86"/>
      <c r="I481" s="87" t="str">
        <f>IF(F481=0,"",IF(COUNTIF(F481,"Bao"),[1]Setup!$B$4,IF(COUNTIF(F481,"Soup Dumplings"),[1]Setup!$B$5,F481)))</f>
        <v/>
      </c>
      <c r="J481" s="88" t="str">
        <f t="shared" si="83"/>
        <v/>
      </c>
      <c r="K481" s="88"/>
      <c r="L481" s="87"/>
      <c r="M481" s="87"/>
      <c r="N481" s="87"/>
      <c r="O481" s="87"/>
      <c r="P481" s="89" t="str">
        <f t="shared" si="84"/>
        <v/>
      </c>
      <c r="Q481" s="89" t="str">
        <f t="shared" si="85"/>
        <v/>
      </c>
      <c r="R481" s="89" t="str">
        <f t="shared" si="86"/>
        <v/>
      </c>
      <c r="S481" s="88" t="str">
        <f>IF(F481="Bao",[1]Setup!$B$4,IF(F481="Soup Dumplings",[1]Setup!$B$5,""))</f>
        <v/>
      </c>
      <c r="T481" s="88" t="str">
        <f t="shared" si="87"/>
        <v/>
      </c>
      <c r="U481" s="84" t="str">
        <f t="shared" si="88"/>
        <v/>
      </c>
      <c r="V481" s="88">
        <f>IF(U481="",0,MAX(0,T481)+N481+ROUND(J481*[1]Setup!$B$9,0)+IF(O481&gt;[1]Setup!$B$10,ROUND(J481*[1]Setup!$B$11,0),0))</f>
        <v>0</v>
      </c>
      <c r="W481" s="85" t="str">
        <f>IF(L481="","Open",IF(OR(P481&lt;[1]Setup!$B$6,Q481&gt;[1]Setup!$B$7,R481&gt;[1]Setup!$B$8,O481&gt;[1]Setup!$B$10),"Review","OK"))</f>
        <v>Open</v>
      </c>
      <c r="X481" s="86"/>
      <c r="Z481" s="81" t="str">
        <f t="shared" si="92"/>
        <v/>
      </c>
    </row>
    <row r="482" spans="1:26" x14ac:dyDescent="0.3">
      <c r="A482" s="84"/>
      <c r="B482" s="100">
        <f t="shared" si="90"/>
        <v>0</v>
      </c>
      <c r="C482" s="84" t="str">
        <f t="shared" si="91"/>
        <v>January</v>
      </c>
      <c r="D482" s="85" t="str">
        <f t="shared" si="89"/>
        <v/>
      </c>
      <c r="E482" s="86"/>
      <c r="F482" s="86"/>
      <c r="G482" s="86"/>
      <c r="H482" s="86"/>
      <c r="I482" s="87" t="str">
        <f>IF(F482=0,"",IF(COUNTIF(F482,"Bao"),[1]Setup!$B$4,IF(COUNTIF(F482,"Soup Dumplings"),[1]Setup!$B$5,F482)))</f>
        <v/>
      </c>
      <c r="J482" s="88" t="str">
        <f t="shared" si="83"/>
        <v/>
      </c>
      <c r="K482" s="88"/>
      <c r="L482" s="87"/>
      <c r="M482" s="87"/>
      <c r="N482" s="87"/>
      <c r="O482" s="87"/>
      <c r="P482" s="89" t="str">
        <f t="shared" si="84"/>
        <v/>
      </c>
      <c r="Q482" s="89" t="str">
        <f t="shared" si="85"/>
        <v/>
      </c>
      <c r="R482" s="89" t="str">
        <f t="shared" si="86"/>
        <v/>
      </c>
      <c r="S482" s="88" t="str">
        <f>IF(F482="Bao",[1]Setup!$B$4,IF(F482="Soup Dumplings",[1]Setup!$B$5,""))</f>
        <v/>
      </c>
      <c r="T482" s="88" t="str">
        <f t="shared" si="87"/>
        <v/>
      </c>
      <c r="U482" s="84" t="str">
        <f t="shared" si="88"/>
        <v/>
      </c>
      <c r="V482" s="88">
        <f>IF(U482="",0,MAX(0,T482)+N482+ROUND(J482*[1]Setup!$B$9,0)+IF(O482&gt;[1]Setup!$B$10,ROUND(J482*[1]Setup!$B$11,0),0))</f>
        <v>0</v>
      </c>
      <c r="W482" s="85" t="str">
        <f>IF(L482="","Open",IF(OR(P482&lt;[1]Setup!$B$6,Q482&gt;[1]Setup!$B$7,R482&gt;[1]Setup!$B$8,O482&gt;[1]Setup!$B$10),"Review","OK"))</f>
        <v>Open</v>
      </c>
      <c r="X482" s="86"/>
      <c r="Z482" s="81" t="str">
        <f t="shared" si="92"/>
        <v/>
      </c>
    </row>
    <row r="483" spans="1:26" x14ac:dyDescent="0.3">
      <c r="A483" s="84"/>
      <c r="B483" s="100">
        <f t="shared" si="90"/>
        <v>0</v>
      </c>
      <c r="C483" s="84" t="str">
        <f t="shared" si="91"/>
        <v>January</v>
      </c>
      <c r="D483" s="85" t="str">
        <f t="shared" si="89"/>
        <v/>
      </c>
      <c r="E483" s="86"/>
      <c r="F483" s="86"/>
      <c r="G483" s="86"/>
      <c r="H483" s="86"/>
      <c r="I483" s="87" t="str">
        <f>IF(F483=0,"",IF(COUNTIF(F483,"Bao"),[1]Setup!$B$4,IF(COUNTIF(F483,"Soup Dumplings"),[1]Setup!$B$5,F483)))</f>
        <v/>
      </c>
      <c r="J483" s="88" t="str">
        <f t="shared" si="83"/>
        <v/>
      </c>
      <c r="K483" s="88"/>
      <c r="L483" s="87"/>
      <c r="M483" s="87"/>
      <c r="N483" s="87"/>
      <c r="O483" s="87"/>
      <c r="P483" s="89" t="str">
        <f t="shared" si="84"/>
        <v/>
      </c>
      <c r="Q483" s="89" t="str">
        <f t="shared" si="85"/>
        <v/>
      </c>
      <c r="R483" s="89" t="str">
        <f t="shared" si="86"/>
        <v/>
      </c>
      <c r="S483" s="88" t="str">
        <f>IF(F483="Bao",[1]Setup!$B$4,IF(F483="Soup Dumplings",[1]Setup!$B$5,""))</f>
        <v/>
      </c>
      <c r="T483" s="88" t="str">
        <f t="shared" si="87"/>
        <v/>
      </c>
      <c r="U483" s="84" t="str">
        <f t="shared" si="88"/>
        <v/>
      </c>
      <c r="V483" s="88">
        <f>IF(U483="",0,MAX(0,T483)+N483+ROUND(J483*[1]Setup!$B$9,0)+IF(O483&gt;[1]Setup!$B$10,ROUND(J483*[1]Setup!$B$11,0),0))</f>
        <v>0</v>
      </c>
      <c r="W483" s="85" t="str">
        <f>IF(L483="","Open",IF(OR(P483&lt;[1]Setup!$B$6,Q483&gt;[1]Setup!$B$7,R483&gt;[1]Setup!$B$8,O483&gt;[1]Setup!$B$10),"Review","OK"))</f>
        <v>Open</v>
      </c>
      <c r="X483" s="86"/>
      <c r="Z483" s="81" t="str">
        <f t="shared" si="92"/>
        <v/>
      </c>
    </row>
    <row r="484" spans="1:26" x14ac:dyDescent="0.3">
      <c r="A484" s="84"/>
      <c r="B484" s="100">
        <f t="shared" si="90"/>
        <v>0</v>
      </c>
      <c r="C484" s="84" t="str">
        <f t="shared" si="91"/>
        <v>January</v>
      </c>
      <c r="D484" s="85" t="str">
        <f t="shared" si="89"/>
        <v/>
      </c>
      <c r="E484" s="86"/>
      <c r="F484" s="86"/>
      <c r="G484" s="86"/>
      <c r="H484" s="86"/>
      <c r="I484" s="87" t="str">
        <f>IF(F484=0,"",IF(COUNTIF(F484,"Bao"),[1]Setup!$B$4,IF(COUNTIF(F484,"Soup Dumplings"),[1]Setup!$B$5,F484)))</f>
        <v/>
      </c>
      <c r="J484" s="88" t="str">
        <f t="shared" si="83"/>
        <v/>
      </c>
      <c r="K484" s="88"/>
      <c r="L484" s="87"/>
      <c r="M484" s="87"/>
      <c r="N484" s="87"/>
      <c r="O484" s="87"/>
      <c r="P484" s="89" t="str">
        <f t="shared" si="84"/>
        <v/>
      </c>
      <c r="Q484" s="89" t="str">
        <f t="shared" si="85"/>
        <v/>
      </c>
      <c r="R484" s="89" t="str">
        <f t="shared" si="86"/>
        <v/>
      </c>
      <c r="S484" s="88" t="str">
        <f>IF(F484="Bao",[1]Setup!$B$4,IF(F484="Soup Dumplings",[1]Setup!$B$5,""))</f>
        <v/>
      </c>
      <c r="T484" s="88" t="str">
        <f t="shared" si="87"/>
        <v/>
      </c>
      <c r="U484" s="84" t="str">
        <f t="shared" si="88"/>
        <v/>
      </c>
      <c r="V484" s="88">
        <f>IF(U484="",0,MAX(0,T484)+N484+ROUND(J484*[1]Setup!$B$9,0)+IF(O484&gt;[1]Setup!$B$10,ROUND(J484*[1]Setup!$B$11,0),0))</f>
        <v>0</v>
      </c>
      <c r="W484" s="85" t="str">
        <f>IF(L484="","Open",IF(OR(P484&lt;[1]Setup!$B$6,Q484&gt;[1]Setup!$B$7,R484&gt;[1]Setup!$B$8,O484&gt;[1]Setup!$B$10),"Review","OK"))</f>
        <v>Open</v>
      </c>
      <c r="X484" s="86"/>
      <c r="Z484" s="81" t="str">
        <f t="shared" si="92"/>
        <v/>
      </c>
    </row>
    <row r="485" spans="1:26" x14ac:dyDescent="0.3">
      <c r="A485" s="84"/>
      <c r="B485" s="100">
        <f t="shared" si="90"/>
        <v>0</v>
      </c>
      <c r="C485" s="84" t="str">
        <f t="shared" si="91"/>
        <v>January</v>
      </c>
      <c r="D485" s="85" t="str">
        <f t="shared" si="89"/>
        <v/>
      </c>
      <c r="E485" s="86"/>
      <c r="F485" s="86"/>
      <c r="G485" s="86"/>
      <c r="H485" s="86"/>
      <c r="I485" s="87" t="str">
        <f>IF(F485=0,"",IF(COUNTIF(F485,"Bao"),[1]Setup!$B$4,IF(COUNTIF(F485,"Soup Dumplings"),[1]Setup!$B$5,F485)))</f>
        <v/>
      </c>
      <c r="J485" s="88" t="str">
        <f t="shared" si="83"/>
        <v/>
      </c>
      <c r="K485" s="88"/>
      <c r="L485" s="87"/>
      <c r="M485" s="87"/>
      <c r="N485" s="87"/>
      <c r="O485" s="87"/>
      <c r="P485" s="89" t="str">
        <f t="shared" si="84"/>
        <v/>
      </c>
      <c r="Q485" s="89" t="str">
        <f t="shared" si="85"/>
        <v/>
      </c>
      <c r="R485" s="89" t="str">
        <f t="shared" si="86"/>
        <v/>
      </c>
      <c r="S485" s="88" t="str">
        <f>IF(F485="Bao",[1]Setup!$B$4,IF(F485="Soup Dumplings",[1]Setup!$B$5,""))</f>
        <v/>
      </c>
      <c r="T485" s="88" t="str">
        <f t="shared" si="87"/>
        <v/>
      </c>
      <c r="U485" s="84" t="str">
        <f t="shared" si="88"/>
        <v/>
      </c>
      <c r="V485" s="88">
        <f>IF(U485="",0,MAX(0,T485)+N485+ROUND(J485*[1]Setup!$B$9,0)+IF(O485&gt;[1]Setup!$B$10,ROUND(J485*[1]Setup!$B$11,0),0))</f>
        <v>0</v>
      </c>
      <c r="W485" s="85" t="str">
        <f>IF(L485="","Open",IF(OR(P485&lt;[1]Setup!$B$6,Q485&gt;[1]Setup!$B$7,R485&gt;[1]Setup!$B$8,O485&gt;[1]Setup!$B$10),"Review","OK"))</f>
        <v>Open</v>
      </c>
      <c r="X485" s="86"/>
      <c r="Z485" s="81" t="str">
        <f t="shared" si="92"/>
        <v/>
      </c>
    </row>
    <row r="486" spans="1:26" x14ac:dyDescent="0.3">
      <c r="A486" s="84"/>
      <c r="B486" s="100">
        <f t="shared" si="90"/>
        <v>0</v>
      </c>
      <c r="C486" s="84" t="str">
        <f t="shared" si="91"/>
        <v>January</v>
      </c>
      <c r="D486" s="85" t="str">
        <f t="shared" si="89"/>
        <v/>
      </c>
      <c r="E486" s="86"/>
      <c r="F486" s="86"/>
      <c r="G486" s="86"/>
      <c r="H486" s="86"/>
      <c r="I486" s="87" t="str">
        <f>IF(F486=0,"",IF(COUNTIF(F486,"Bao"),[1]Setup!$B$4,IF(COUNTIF(F486,"Soup Dumplings"),[1]Setup!$B$5,F486)))</f>
        <v/>
      </c>
      <c r="J486" s="88" t="str">
        <f t="shared" si="83"/>
        <v/>
      </c>
      <c r="K486" s="88"/>
      <c r="L486" s="87"/>
      <c r="M486" s="87"/>
      <c r="N486" s="87"/>
      <c r="O486" s="87"/>
      <c r="P486" s="89" t="str">
        <f t="shared" si="84"/>
        <v/>
      </c>
      <c r="Q486" s="89" t="str">
        <f t="shared" si="85"/>
        <v/>
      </c>
      <c r="R486" s="89" t="str">
        <f t="shared" si="86"/>
        <v/>
      </c>
      <c r="S486" s="88" t="str">
        <f>IF(F486="Bao",[1]Setup!$B$4,IF(F486="Soup Dumplings",[1]Setup!$B$5,""))</f>
        <v/>
      </c>
      <c r="T486" s="88" t="str">
        <f t="shared" si="87"/>
        <v/>
      </c>
      <c r="U486" s="84" t="str">
        <f t="shared" si="88"/>
        <v/>
      </c>
      <c r="V486" s="88">
        <f>IF(U486="",0,MAX(0,T486)+N486+ROUND(J486*[1]Setup!$B$9,0)+IF(O486&gt;[1]Setup!$B$10,ROUND(J486*[1]Setup!$B$11,0),0))</f>
        <v>0</v>
      </c>
      <c r="W486" s="85" t="str">
        <f>IF(L486="","Open",IF(OR(P486&lt;[1]Setup!$B$6,Q486&gt;[1]Setup!$B$7,R486&gt;[1]Setup!$B$8,O486&gt;[1]Setup!$B$10),"Review","OK"))</f>
        <v>Open</v>
      </c>
      <c r="X486" s="86"/>
      <c r="Z486" s="81" t="str">
        <f t="shared" si="92"/>
        <v/>
      </c>
    </row>
    <row r="487" spans="1:26" x14ac:dyDescent="0.3">
      <c r="A487" s="84"/>
      <c r="B487" s="100">
        <f t="shared" si="90"/>
        <v>0</v>
      </c>
      <c r="C487" s="84" t="str">
        <f t="shared" si="91"/>
        <v>January</v>
      </c>
      <c r="D487" s="85" t="str">
        <f t="shared" si="89"/>
        <v/>
      </c>
      <c r="E487" s="86"/>
      <c r="F487" s="86"/>
      <c r="G487" s="86"/>
      <c r="H487" s="86"/>
      <c r="I487" s="87" t="str">
        <f>IF(F487=0,"",IF(COUNTIF(F487,"Bao"),[1]Setup!$B$4,IF(COUNTIF(F487,"Soup Dumplings"),[1]Setup!$B$5,F487)))</f>
        <v/>
      </c>
      <c r="J487" s="88" t="str">
        <f t="shared" si="83"/>
        <v/>
      </c>
      <c r="K487" s="88"/>
      <c r="L487" s="87"/>
      <c r="M487" s="87"/>
      <c r="N487" s="87"/>
      <c r="O487" s="87"/>
      <c r="P487" s="89" t="str">
        <f t="shared" si="84"/>
        <v/>
      </c>
      <c r="Q487" s="89" t="str">
        <f t="shared" si="85"/>
        <v/>
      </c>
      <c r="R487" s="89" t="str">
        <f t="shared" si="86"/>
        <v/>
      </c>
      <c r="S487" s="88" t="str">
        <f>IF(F487="Bao",[1]Setup!$B$4,IF(F487="Soup Dumplings",[1]Setup!$B$5,""))</f>
        <v/>
      </c>
      <c r="T487" s="88" t="str">
        <f t="shared" si="87"/>
        <v/>
      </c>
      <c r="U487" s="84" t="str">
        <f t="shared" si="88"/>
        <v/>
      </c>
      <c r="V487" s="88">
        <f>IF(U487="",0,MAX(0,T487)+N487+ROUND(J487*[1]Setup!$B$9,0)+IF(O487&gt;[1]Setup!$B$10,ROUND(J487*[1]Setup!$B$11,0),0))</f>
        <v>0</v>
      </c>
      <c r="W487" s="85" t="str">
        <f>IF(L487="","Open",IF(OR(P487&lt;[1]Setup!$B$6,Q487&gt;[1]Setup!$B$7,R487&gt;[1]Setup!$B$8,O487&gt;[1]Setup!$B$10),"Review","OK"))</f>
        <v>Open</v>
      </c>
      <c r="X487" s="86"/>
      <c r="Z487" s="81" t="str">
        <f t="shared" si="92"/>
        <v/>
      </c>
    </row>
    <row r="488" spans="1:26" x14ac:dyDescent="0.3">
      <c r="A488" s="84"/>
      <c r="B488" s="100">
        <f t="shared" si="90"/>
        <v>0</v>
      </c>
      <c r="C488" s="84" t="str">
        <f t="shared" si="91"/>
        <v>January</v>
      </c>
      <c r="D488" s="85" t="str">
        <f t="shared" si="89"/>
        <v/>
      </c>
      <c r="E488" s="86"/>
      <c r="F488" s="86"/>
      <c r="G488" s="86"/>
      <c r="H488" s="86"/>
      <c r="I488" s="87" t="str">
        <f>IF(F488=0,"",IF(COUNTIF(F488,"Bao"),[1]Setup!$B$4,IF(COUNTIF(F488,"Soup Dumplings"),[1]Setup!$B$5,F488)))</f>
        <v/>
      </c>
      <c r="J488" s="88" t="str">
        <f t="shared" si="83"/>
        <v/>
      </c>
      <c r="K488" s="88"/>
      <c r="L488" s="87"/>
      <c r="M488" s="87"/>
      <c r="N488" s="87"/>
      <c r="O488" s="87"/>
      <c r="P488" s="89" t="str">
        <f t="shared" si="84"/>
        <v/>
      </c>
      <c r="Q488" s="89" t="str">
        <f t="shared" si="85"/>
        <v/>
      </c>
      <c r="R488" s="89" t="str">
        <f t="shared" si="86"/>
        <v/>
      </c>
      <c r="S488" s="88" t="str">
        <f>IF(F488="Bao",[1]Setup!$B$4,IF(F488="Soup Dumplings",[1]Setup!$B$5,""))</f>
        <v/>
      </c>
      <c r="T488" s="88" t="str">
        <f t="shared" si="87"/>
        <v/>
      </c>
      <c r="U488" s="84" t="str">
        <f t="shared" si="88"/>
        <v/>
      </c>
      <c r="V488" s="88">
        <f>IF(U488="",0,MAX(0,T488)+N488+ROUND(J488*[1]Setup!$B$9,0)+IF(O488&gt;[1]Setup!$B$10,ROUND(J488*[1]Setup!$B$11,0),0))</f>
        <v>0</v>
      </c>
      <c r="W488" s="85" t="str">
        <f>IF(L488="","Open",IF(OR(P488&lt;[1]Setup!$B$6,Q488&gt;[1]Setup!$B$7,R488&gt;[1]Setup!$B$8,O488&gt;[1]Setup!$B$10),"Review","OK"))</f>
        <v>Open</v>
      </c>
      <c r="X488" s="86"/>
      <c r="Z488" s="81" t="str">
        <f t="shared" si="92"/>
        <v/>
      </c>
    </row>
    <row r="489" spans="1:26" x14ac:dyDescent="0.3">
      <c r="A489" s="84"/>
      <c r="B489" s="100">
        <f t="shared" si="90"/>
        <v>0</v>
      </c>
      <c r="C489" s="84" t="str">
        <f t="shared" si="91"/>
        <v>January</v>
      </c>
      <c r="D489" s="85" t="str">
        <f t="shared" si="89"/>
        <v/>
      </c>
      <c r="E489" s="86"/>
      <c r="F489" s="86"/>
      <c r="G489" s="86"/>
      <c r="H489" s="86"/>
      <c r="I489" s="87" t="str">
        <f>IF(F489=0,"",IF(COUNTIF(F489,"Bao"),[1]Setup!$B$4,IF(COUNTIF(F489,"Soup Dumplings"),[1]Setup!$B$5,F489)))</f>
        <v/>
      </c>
      <c r="J489" s="88" t="str">
        <f t="shared" si="83"/>
        <v/>
      </c>
      <c r="K489" s="88"/>
      <c r="L489" s="87"/>
      <c r="M489" s="87"/>
      <c r="N489" s="87"/>
      <c r="O489" s="87"/>
      <c r="P489" s="89" t="str">
        <f t="shared" si="84"/>
        <v/>
      </c>
      <c r="Q489" s="89" t="str">
        <f t="shared" si="85"/>
        <v/>
      </c>
      <c r="R489" s="89" t="str">
        <f t="shared" si="86"/>
        <v/>
      </c>
      <c r="S489" s="88" t="str">
        <f>IF(F489="Bao",[1]Setup!$B$4,IF(F489="Soup Dumplings",[1]Setup!$B$5,""))</f>
        <v/>
      </c>
      <c r="T489" s="88" t="str">
        <f t="shared" si="87"/>
        <v/>
      </c>
      <c r="U489" s="84" t="str">
        <f t="shared" si="88"/>
        <v/>
      </c>
      <c r="V489" s="88">
        <f>IF(U489="",0,MAX(0,T489)+N489+ROUND(J489*[1]Setup!$B$9,0)+IF(O489&gt;[1]Setup!$B$10,ROUND(J489*[1]Setup!$B$11,0),0))</f>
        <v>0</v>
      </c>
      <c r="W489" s="85" t="str">
        <f>IF(L489="","Open",IF(OR(P489&lt;[1]Setup!$B$6,Q489&gt;[1]Setup!$B$7,R489&gt;[1]Setup!$B$8,O489&gt;[1]Setup!$B$10),"Review","OK"))</f>
        <v>Open</v>
      </c>
      <c r="X489" s="86"/>
      <c r="Z489" s="81" t="str">
        <f t="shared" si="92"/>
        <v/>
      </c>
    </row>
    <row r="490" spans="1:26" x14ac:dyDescent="0.3">
      <c r="A490" s="84"/>
      <c r="B490" s="100">
        <f t="shared" si="90"/>
        <v>0</v>
      </c>
      <c r="C490" s="84" t="str">
        <f t="shared" si="91"/>
        <v>January</v>
      </c>
      <c r="D490" s="85" t="str">
        <f t="shared" si="89"/>
        <v/>
      </c>
      <c r="E490" s="86"/>
      <c r="F490" s="86"/>
      <c r="G490" s="86"/>
      <c r="H490" s="86"/>
      <c r="I490" s="87" t="str">
        <f>IF(F490=0,"",IF(COUNTIF(F490,"Bao"),[1]Setup!$B$4,IF(COUNTIF(F490,"Soup Dumplings"),[1]Setup!$B$5,F490)))</f>
        <v/>
      </c>
      <c r="J490" s="88" t="str">
        <f t="shared" si="83"/>
        <v/>
      </c>
      <c r="K490" s="88"/>
      <c r="L490" s="87"/>
      <c r="M490" s="87"/>
      <c r="N490" s="87"/>
      <c r="O490" s="87"/>
      <c r="P490" s="89" t="str">
        <f t="shared" si="84"/>
        <v/>
      </c>
      <c r="Q490" s="89" t="str">
        <f t="shared" si="85"/>
        <v/>
      </c>
      <c r="R490" s="89" t="str">
        <f t="shared" si="86"/>
        <v/>
      </c>
      <c r="S490" s="88" t="str">
        <f>IF(F490="Bao",[1]Setup!$B$4,IF(F490="Soup Dumplings",[1]Setup!$B$5,""))</f>
        <v/>
      </c>
      <c r="T490" s="88" t="str">
        <f t="shared" si="87"/>
        <v/>
      </c>
      <c r="U490" s="84" t="str">
        <f t="shared" si="88"/>
        <v/>
      </c>
      <c r="V490" s="88">
        <f>IF(U490="",0,MAX(0,T490)+N490+ROUND(J490*[1]Setup!$B$9,0)+IF(O490&gt;[1]Setup!$B$10,ROUND(J490*[1]Setup!$B$11,0),0))</f>
        <v>0</v>
      </c>
      <c r="W490" s="85" t="str">
        <f>IF(L490="","Open",IF(OR(P490&lt;[1]Setup!$B$6,Q490&gt;[1]Setup!$B$7,R490&gt;[1]Setup!$B$8,O490&gt;[1]Setup!$B$10),"Review","OK"))</f>
        <v>Open</v>
      </c>
      <c r="X490" s="86"/>
      <c r="Z490" s="81" t="str">
        <f t="shared" si="92"/>
        <v/>
      </c>
    </row>
    <row r="491" spans="1:26" x14ac:dyDescent="0.3">
      <c r="A491" s="84"/>
      <c r="B491" s="100">
        <f t="shared" si="90"/>
        <v>0</v>
      </c>
      <c r="C491" s="84" t="str">
        <f t="shared" si="91"/>
        <v>January</v>
      </c>
      <c r="D491" s="85" t="str">
        <f t="shared" si="89"/>
        <v/>
      </c>
      <c r="E491" s="86"/>
      <c r="F491" s="86"/>
      <c r="G491" s="86"/>
      <c r="H491" s="86"/>
      <c r="I491" s="87" t="str">
        <f>IF(F491=0,"",IF(COUNTIF(F491,"Bao"),[1]Setup!$B$4,IF(COUNTIF(F491,"Soup Dumplings"),[1]Setup!$B$5,F491)))</f>
        <v/>
      </c>
      <c r="J491" s="88" t="str">
        <f t="shared" si="83"/>
        <v/>
      </c>
      <c r="K491" s="88"/>
      <c r="L491" s="87"/>
      <c r="M491" s="87"/>
      <c r="N491" s="87"/>
      <c r="O491" s="87"/>
      <c r="P491" s="89" t="str">
        <f t="shared" si="84"/>
        <v/>
      </c>
      <c r="Q491" s="89" t="str">
        <f t="shared" si="85"/>
        <v/>
      </c>
      <c r="R491" s="89" t="str">
        <f t="shared" si="86"/>
        <v/>
      </c>
      <c r="S491" s="88" t="str">
        <f>IF(F491="Bao",[1]Setup!$B$4,IF(F491="Soup Dumplings",[1]Setup!$B$5,""))</f>
        <v/>
      </c>
      <c r="T491" s="88" t="str">
        <f t="shared" si="87"/>
        <v/>
      </c>
      <c r="U491" s="84" t="str">
        <f t="shared" si="88"/>
        <v/>
      </c>
      <c r="V491" s="88">
        <f>IF(U491="",0,MAX(0,T491)+N491+ROUND(J491*[1]Setup!$B$9,0)+IF(O491&gt;[1]Setup!$B$10,ROUND(J491*[1]Setup!$B$11,0),0))</f>
        <v>0</v>
      </c>
      <c r="W491" s="85" t="str">
        <f>IF(L491="","Open",IF(OR(P491&lt;[1]Setup!$B$6,Q491&gt;[1]Setup!$B$7,R491&gt;[1]Setup!$B$8,O491&gt;[1]Setup!$B$10),"Review","OK"))</f>
        <v>Open</v>
      </c>
      <c r="X491" s="86"/>
      <c r="Z491" s="81" t="str">
        <f t="shared" si="92"/>
        <v/>
      </c>
    </row>
    <row r="492" spans="1:26" x14ac:dyDescent="0.3">
      <c r="A492" s="84"/>
      <c r="B492" s="100">
        <f t="shared" si="90"/>
        <v>0</v>
      </c>
      <c r="C492" s="84" t="str">
        <f t="shared" si="91"/>
        <v>January</v>
      </c>
      <c r="D492" s="85" t="str">
        <f t="shared" si="89"/>
        <v/>
      </c>
      <c r="E492" s="86"/>
      <c r="F492" s="86"/>
      <c r="G492" s="86"/>
      <c r="H492" s="86"/>
      <c r="I492" s="87" t="str">
        <f>IF(F492=0,"",IF(COUNTIF(F492,"Bao"),[1]Setup!$B$4,IF(COUNTIF(F492,"Soup Dumplings"),[1]Setup!$B$5,F492)))</f>
        <v/>
      </c>
      <c r="J492" s="88" t="str">
        <f t="shared" si="83"/>
        <v/>
      </c>
      <c r="K492" s="88"/>
      <c r="L492" s="87"/>
      <c r="M492" s="87"/>
      <c r="N492" s="87"/>
      <c r="O492" s="87"/>
      <c r="P492" s="89" t="str">
        <f t="shared" si="84"/>
        <v/>
      </c>
      <c r="Q492" s="89" t="str">
        <f t="shared" si="85"/>
        <v/>
      </c>
      <c r="R492" s="89" t="str">
        <f t="shared" si="86"/>
        <v/>
      </c>
      <c r="S492" s="88" t="str">
        <f>IF(F492="Bao",[1]Setup!$B$4,IF(F492="Soup Dumplings",[1]Setup!$B$5,""))</f>
        <v/>
      </c>
      <c r="T492" s="88" t="str">
        <f t="shared" si="87"/>
        <v/>
      </c>
      <c r="U492" s="84" t="str">
        <f t="shared" si="88"/>
        <v/>
      </c>
      <c r="V492" s="88">
        <f>IF(U492="",0,MAX(0,T492)+N492+ROUND(J492*[1]Setup!$B$9,0)+IF(O492&gt;[1]Setup!$B$10,ROUND(J492*[1]Setup!$B$11,0),0))</f>
        <v>0</v>
      </c>
      <c r="W492" s="85" t="str">
        <f>IF(L492="","Open",IF(OR(P492&lt;[1]Setup!$B$6,Q492&gt;[1]Setup!$B$7,R492&gt;[1]Setup!$B$8,O492&gt;[1]Setup!$B$10),"Review","OK"))</f>
        <v>Open</v>
      </c>
      <c r="X492" s="86"/>
      <c r="Z492" s="81" t="str">
        <f t="shared" si="92"/>
        <v/>
      </c>
    </row>
    <row r="493" spans="1:26" x14ac:dyDescent="0.3">
      <c r="A493" s="84"/>
      <c r="B493" s="100">
        <f t="shared" si="90"/>
        <v>0</v>
      </c>
      <c r="C493" s="84" t="str">
        <f t="shared" si="91"/>
        <v>January</v>
      </c>
      <c r="D493" s="85" t="str">
        <f t="shared" si="89"/>
        <v/>
      </c>
      <c r="E493" s="86"/>
      <c r="F493" s="86"/>
      <c r="G493" s="86"/>
      <c r="H493" s="86"/>
      <c r="I493" s="87" t="str">
        <f>IF(F493=0,"",IF(COUNTIF(F493,"Bao"),[1]Setup!$B$4,IF(COUNTIF(F493,"Soup Dumplings"),[1]Setup!$B$5,F493)))</f>
        <v/>
      </c>
      <c r="J493" s="88" t="str">
        <f t="shared" si="83"/>
        <v/>
      </c>
      <c r="K493" s="88"/>
      <c r="L493" s="87"/>
      <c r="M493" s="87"/>
      <c r="N493" s="87"/>
      <c r="O493" s="87"/>
      <c r="P493" s="89" t="str">
        <f t="shared" si="84"/>
        <v/>
      </c>
      <c r="Q493" s="89" t="str">
        <f t="shared" si="85"/>
        <v/>
      </c>
      <c r="R493" s="89" t="str">
        <f t="shared" si="86"/>
        <v/>
      </c>
      <c r="S493" s="88" t="str">
        <f>IF(F493="Bao",[1]Setup!$B$4,IF(F493="Soup Dumplings",[1]Setup!$B$5,""))</f>
        <v/>
      </c>
      <c r="T493" s="88" t="str">
        <f t="shared" si="87"/>
        <v/>
      </c>
      <c r="U493" s="84" t="str">
        <f t="shared" si="88"/>
        <v/>
      </c>
      <c r="V493" s="88">
        <f>IF(U493="",0,MAX(0,T493)+N493+ROUND(J493*[1]Setup!$B$9,0)+IF(O493&gt;[1]Setup!$B$10,ROUND(J493*[1]Setup!$B$11,0),0))</f>
        <v>0</v>
      </c>
      <c r="W493" s="85" t="str">
        <f>IF(L493="","Open",IF(OR(P493&lt;[1]Setup!$B$6,Q493&gt;[1]Setup!$B$7,R493&gt;[1]Setup!$B$8,O493&gt;[1]Setup!$B$10),"Review","OK"))</f>
        <v>Open</v>
      </c>
      <c r="X493" s="86"/>
      <c r="Z493" s="81" t="str">
        <f t="shared" si="92"/>
        <v/>
      </c>
    </row>
    <row r="494" spans="1:26" x14ac:dyDescent="0.3">
      <c r="A494" s="84"/>
      <c r="B494" s="100">
        <f t="shared" si="90"/>
        <v>0</v>
      </c>
      <c r="C494" s="84" t="str">
        <f t="shared" si="91"/>
        <v>January</v>
      </c>
      <c r="D494" s="85" t="str">
        <f t="shared" si="89"/>
        <v/>
      </c>
      <c r="E494" s="86"/>
      <c r="F494" s="86"/>
      <c r="G494" s="86"/>
      <c r="H494" s="86"/>
      <c r="I494" s="87" t="str">
        <f>IF(F494=0,"",IF(COUNTIF(F494,"Bao"),[1]Setup!$B$4,IF(COUNTIF(F494,"Soup Dumplings"),[1]Setup!$B$5,F494)))</f>
        <v/>
      </c>
      <c r="J494" s="88" t="str">
        <f t="shared" si="83"/>
        <v/>
      </c>
      <c r="K494" s="88"/>
      <c r="L494" s="87"/>
      <c r="M494" s="87"/>
      <c r="N494" s="87"/>
      <c r="O494" s="87"/>
      <c r="P494" s="89" t="str">
        <f t="shared" si="84"/>
        <v/>
      </c>
      <c r="Q494" s="89" t="str">
        <f t="shared" si="85"/>
        <v/>
      </c>
      <c r="R494" s="89" t="str">
        <f t="shared" si="86"/>
        <v/>
      </c>
      <c r="S494" s="88" t="str">
        <f>IF(F494="Bao",[1]Setup!$B$4,IF(F494="Soup Dumplings",[1]Setup!$B$5,""))</f>
        <v/>
      </c>
      <c r="T494" s="88" t="str">
        <f t="shared" si="87"/>
        <v/>
      </c>
      <c r="U494" s="84" t="str">
        <f t="shared" si="88"/>
        <v/>
      </c>
      <c r="V494" s="88">
        <f>IF(U494="",0,MAX(0,T494)+N494+ROUND(J494*[1]Setup!$B$9,0)+IF(O494&gt;[1]Setup!$B$10,ROUND(J494*[1]Setup!$B$11,0),0))</f>
        <v>0</v>
      </c>
      <c r="W494" s="85" t="str">
        <f>IF(L494="","Open",IF(OR(P494&lt;[1]Setup!$B$6,Q494&gt;[1]Setup!$B$7,R494&gt;[1]Setup!$B$8,O494&gt;[1]Setup!$B$10),"Review","OK"))</f>
        <v>Open</v>
      </c>
      <c r="X494" s="86"/>
      <c r="Z494" s="81" t="str">
        <f t="shared" si="92"/>
        <v/>
      </c>
    </row>
    <row r="495" spans="1:26" x14ac:dyDescent="0.3">
      <c r="A495" s="84"/>
      <c r="B495" s="100">
        <f t="shared" si="90"/>
        <v>0</v>
      </c>
      <c r="C495" s="84" t="str">
        <f t="shared" si="91"/>
        <v>January</v>
      </c>
      <c r="D495" s="85" t="str">
        <f t="shared" si="89"/>
        <v/>
      </c>
      <c r="E495" s="86"/>
      <c r="F495" s="86"/>
      <c r="G495" s="86"/>
      <c r="H495" s="86"/>
      <c r="I495" s="87" t="str">
        <f>IF(F495=0,"",IF(COUNTIF(F495,"Bao"),[1]Setup!$B$4,IF(COUNTIF(F495,"Soup Dumplings"),[1]Setup!$B$5,F495)))</f>
        <v/>
      </c>
      <c r="J495" s="88" t="str">
        <f t="shared" ref="J495:J558" si="93">IF(A495="","",
   IFERROR(
      N(I495)+SUMIFS($V$4:$V$30,$U$4:$U$30,A495,$G$4:$G$30,G495),
   0)
)</f>
        <v/>
      </c>
      <c r="K495" s="88"/>
      <c r="L495" s="87"/>
      <c r="M495" s="87"/>
      <c r="N495" s="87"/>
      <c r="O495" s="87"/>
      <c r="P495" s="89" t="str">
        <f t="shared" ref="P495:P558" si="94">IF(J495="","",IF(J495&gt;0,(L495+M495)/J495,""))</f>
        <v/>
      </c>
      <c r="Q495" s="89" t="str">
        <f t="shared" ref="Q495:Q558" si="95">IF(J495="","",IF(J495&gt;0,MAX(0,(J495-(L495+M495))/J495),""))</f>
        <v/>
      </c>
      <c r="R495" s="89" t="str">
        <f t="shared" ref="R495:R558" si="96">IF(J495="","",IF(J495&gt;0,MAX(0,(L495+M495-J495)/J495),""))</f>
        <v/>
      </c>
      <c r="S495" s="88" t="str">
        <f>IF(F495="Bao",[1]Setup!$B$4,IF(F495="Soup Dumplings",[1]Setup!$B$5,""))</f>
        <v/>
      </c>
      <c r="T495" s="88" t="str">
        <f t="shared" ref="T495:T558" si="97">IF(L495="","",S495-L495)</f>
        <v/>
      </c>
      <c r="U495" s="84" t="str">
        <f t="shared" ref="U495:U558" si="98">IF(A495="","",A495+1)</f>
        <v/>
      </c>
      <c r="V495" s="88">
        <f>IF(U495="",0,MAX(0,T495)+N495+ROUND(J495*[1]Setup!$B$9,0)+IF(O495&gt;[1]Setup!$B$10,ROUND(J495*[1]Setup!$B$11,0),0))</f>
        <v>0</v>
      </c>
      <c r="W495" s="85" t="str">
        <f>IF(L495="","Open",IF(OR(P495&lt;[1]Setup!$B$6,Q495&gt;[1]Setup!$B$7,R495&gt;[1]Setup!$B$8,O495&gt;[1]Setup!$B$10),"Review","OK"))</f>
        <v>Open</v>
      </c>
      <c r="X495" s="86"/>
      <c r="Z495" s="81" t="str">
        <f t="shared" si="92"/>
        <v/>
      </c>
    </row>
    <row r="496" spans="1:26" x14ac:dyDescent="0.3">
      <c r="A496" s="84"/>
      <c r="B496" s="100">
        <f t="shared" si="90"/>
        <v>0</v>
      </c>
      <c r="C496" s="84" t="str">
        <f t="shared" si="91"/>
        <v>January</v>
      </c>
      <c r="D496" s="85" t="str">
        <f t="shared" si="89"/>
        <v/>
      </c>
      <c r="E496" s="86"/>
      <c r="F496" s="86"/>
      <c r="G496" s="86"/>
      <c r="H496" s="86"/>
      <c r="I496" s="87" t="str">
        <f>IF(F496=0,"",IF(COUNTIF(F496,"Bao"),[1]Setup!$B$4,IF(COUNTIF(F496,"Soup Dumplings"),[1]Setup!$B$5,F496)))</f>
        <v/>
      </c>
      <c r="J496" s="88" t="str">
        <f t="shared" si="93"/>
        <v/>
      </c>
      <c r="K496" s="88"/>
      <c r="L496" s="87"/>
      <c r="M496" s="87"/>
      <c r="N496" s="87"/>
      <c r="O496" s="87"/>
      <c r="P496" s="89" t="str">
        <f t="shared" si="94"/>
        <v/>
      </c>
      <c r="Q496" s="89" t="str">
        <f t="shared" si="95"/>
        <v/>
      </c>
      <c r="R496" s="89" t="str">
        <f t="shared" si="96"/>
        <v/>
      </c>
      <c r="S496" s="88" t="str">
        <f>IF(F496="Bao",[1]Setup!$B$4,IF(F496="Soup Dumplings",[1]Setup!$B$5,""))</f>
        <v/>
      </c>
      <c r="T496" s="88" t="str">
        <f t="shared" si="97"/>
        <v/>
      </c>
      <c r="U496" s="84" t="str">
        <f t="shared" si="98"/>
        <v/>
      </c>
      <c r="V496" s="88">
        <f>IF(U496="",0,MAX(0,T496)+N496+ROUND(J496*[1]Setup!$B$9,0)+IF(O496&gt;[1]Setup!$B$10,ROUND(J496*[1]Setup!$B$11,0),0))</f>
        <v>0</v>
      </c>
      <c r="W496" s="85" t="str">
        <f>IF(L496="","Open",IF(OR(P496&lt;[1]Setup!$B$6,Q496&gt;[1]Setup!$B$7,R496&gt;[1]Setup!$B$8,O496&gt;[1]Setup!$B$10),"Review","OK"))</f>
        <v>Open</v>
      </c>
      <c r="X496" s="86"/>
      <c r="Z496" s="81" t="str">
        <f t="shared" si="92"/>
        <v/>
      </c>
    </row>
    <row r="497" spans="1:26" x14ac:dyDescent="0.3">
      <c r="A497" s="84"/>
      <c r="B497" s="100">
        <f t="shared" si="90"/>
        <v>0</v>
      </c>
      <c r="C497" s="84" t="str">
        <f t="shared" si="91"/>
        <v>January</v>
      </c>
      <c r="D497" s="85" t="str">
        <f t="shared" si="89"/>
        <v/>
      </c>
      <c r="E497" s="86"/>
      <c r="F497" s="86"/>
      <c r="G497" s="86"/>
      <c r="H497" s="86"/>
      <c r="I497" s="87" t="str">
        <f>IF(F497=0,"",IF(COUNTIF(F497,"Bao"),[1]Setup!$B$4,IF(COUNTIF(F497,"Soup Dumplings"),[1]Setup!$B$5,F497)))</f>
        <v/>
      </c>
      <c r="J497" s="88" t="str">
        <f t="shared" si="93"/>
        <v/>
      </c>
      <c r="K497" s="88"/>
      <c r="L497" s="87"/>
      <c r="M497" s="87"/>
      <c r="N497" s="87"/>
      <c r="O497" s="87"/>
      <c r="P497" s="89" t="str">
        <f t="shared" si="94"/>
        <v/>
      </c>
      <c r="Q497" s="89" t="str">
        <f t="shared" si="95"/>
        <v/>
      </c>
      <c r="R497" s="89" t="str">
        <f t="shared" si="96"/>
        <v/>
      </c>
      <c r="S497" s="88" t="str">
        <f>IF(F497="Bao",[1]Setup!$B$4,IF(F497="Soup Dumplings",[1]Setup!$B$5,""))</f>
        <v/>
      </c>
      <c r="T497" s="88" t="str">
        <f t="shared" si="97"/>
        <v/>
      </c>
      <c r="U497" s="84" t="str">
        <f t="shared" si="98"/>
        <v/>
      </c>
      <c r="V497" s="88">
        <f>IF(U497="",0,MAX(0,T497)+N497+ROUND(J497*[1]Setup!$B$9,0)+IF(O497&gt;[1]Setup!$B$10,ROUND(J497*[1]Setup!$B$11,0),0))</f>
        <v>0</v>
      </c>
      <c r="W497" s="85" t="str">
        <f>IF(L497="","Open",IF(OR(P497&lt;[1]Setup!$B$6,Q497&gt;[1]Setup!$B$7,R497&gt;[1]Setup!$B$8,O497&gt;[1]Setup!$B$10),"Review","OK"))</f>
        <v>Open</v>
      </c>
      <c r="X497" s="86"/>
      <c r="Z497" s="81" t="str">
        <f t="shared" si="92"/>
        <v/>
      </c>
    </row>
    <row r="498" spans="1:26" x14ac:dyDescent="0.3">
      <c r="A498" s="84"/>
      <c r="B498" s="100">
        <f t="shared" si="90"/>
        <v>0</v>
      </c>
      <c r="C498" s="84" t="str">
        <f t="shared" si="91"/>
        <v>January</v>
      </c>
      <c r="D498" s="85" t="str">
        <f t="shared" si="89"/>
        <v/>
      </c>
      <c r="E498" s="86"/>
      <c r="F498" s="86"/>
      <c r="G498" s="86"/>
      <c r="H498" s="86"/>
      <c r="I498" s="87" t="str">
        <f>IF(F498=0,"",IF(COUNTIF(F498,"Bao"),[1]Setup!$B$4,IF(COUNTIF(F498,"Soup Dumplings"),[1]Setup!$B$5,F498)))</f>
        <v/>
      </c>
      <c r="J498" s="88" t="str">
        <f t="shared" si="93"/>
        <v/>
      </c>
      <c r="K498" s="88"/>
      <c r="L498" s="87"/>
      <c r="M498" s="87"/>
      <c r="N498" s="87"/>
      <c r="O498" s="87"/>
      <c r="P498" s="89" t="str">
        <f t="shared" si="94"/>
        <v/>
      </c>
      <c r="Q498" s="89" t="str">
        <f t="shared" si="95"/>
        <v/>
      </c>
      <c r="R498" s="89" t="str">
        <f t="shared" si="96"/>
        <v/>
      </c>
      <c r="S498" s="88" t="str">
        <f>IF(F498="Bao",[1]Setup!$B$4,IF(F498="Soup Dumplings",[1]Setup!$B$5,""))</f>
        <v/>
      </c>
      <c r="T498" s="88" t="str">
        <f t="shared" si="97"/>
        <v/>
      </c>
      <c r="U498" s="84" t="str">
        <f t="shared" si="98"/>
        <v/>
      </c>
      <c r="V498" s="88">
        <f>IF(U498="",0,MAX(0,T498)+N498+ROUND(J498*[1]Setup!$B$9,0)+IF(O498&gt;[1]Setup!$B$10,ROUND(J498*[1]Setup!$B$11,0),0))</f>
        <v>0</v>
      </c>
      <c r="W498" s="85" t="str">
        <f>IF(L498="","Open",IF(OR(P498&lt;[1]Setup!$B$6,Q498&gt;[1]Setup!$B$7,R498&gt;[1]Setup!$B$8,O498&gt;[1]Setup!$B$10),"Review","OK"))</f>
        <v>Open</v>
      </c>
      <c r="X498" s="86"/>
      <c r="Z498" s="81" t="str">
        <f t="shared" si="92"/>
        <v/>
      </c>
    </row>
    <row r="499" spans="1:26" x14ac:dyDescent="0.3">
      <c r="A499" s="84"/>
      <c r="B499" s="100">
        <f t="shared" si="90"/>
        <v>0</v>
      </c>
      <c r="C499" s="84" t="str">
        <f t="shared" si="91"/>
        <v>January</v>
      </c>
      <c r="D499" s="85" t="str">
        <f t="shared" si="89"/>
        <v/>
      </c>
      <c r="E499" s="86"/>
      <c r="F499" s="86"/>
      <c r="G499" s="86"/>
      <c r="H499" s="86"/>
      <c r="I499" s="87" t="str">
        <f>IF(F499=0,"",IF(COUNTIF(F499,"Bao"),[1]Setup!$B$4,IF(COUNTIF(F499,"Soup Dumplings"),[1]Setup!$B$5,F499)))</f>
        <v/>
      </c>
      <c r="J499" s="88" t="str">
        <f t="shared" si="93"/>
        <v/>
      </c>
      <c r="K499" s="88"/>
      <c r="L499" s="87"/>
      <c r="M499" s="87"/>
      <c r="N499" s="87"/>
      <c r="O499" s="87"/>
      <c r="P499" s="89" t="str">
        <f t="shared" si="94"/>
        <v/>
      </c>
      <c r="Q499" s="89" t="str">
        <f t="shared" si="95"/>
        <v/>
      </c>
      <c r="R499" s="89" t="str">
        <f t="shared" si="96"/>
        <v/>
      </c>
      <c r="S499" s="88" t="str">
        <f>IF(F499="Bao",[1]Setup!$B$4,IF(F499="Soup Dumplings",[1]Setup!$B$5,""))</f>
        <v/>
      </c>
      <c r="T499" s="88" t="str">
        <f t="shared" si="97"/>
        <v/>
      </c>
      <c r="U499" s="84" t="str">
        <f t="shared" si="98"/>
        <v/>
      </c>
      <c r="V499" s="88">
        <f>IF(U499="",0,MAX(0,T499)+N499+ROUND(J499*[1]Setup!$B$9,0)+IF(O499&gt;[1]Setup!$B$10,ROUND(J499*[1]Setup!$B$11,0),0))</f>
        <v>0</v>
      </c>
      <c r="W499" s="85" t="str">
        <f>IF(L499="","Open",IF(OR(P499&lt;[1]Setup!$B$6,Q499&gt;[1]Setup!$B$7,R499&gt;[1]Setup!$B$8,O499&gt;[1]Setup!$B$10),"Review","OK"))</f>
        <v>Open</v>
      </c>
      <c r="X499" s="86"/>
      <c r="Z499" s="81" t="str">
        <f t="shared" si="92"/>
        <v/>
      </c>
    </row>
    <row r="500" spans="1:26" x14ac:dyDescent="0.3">
      <c r="A500" s="84"/>
      <c r="B500" s="100">
        <f t="shared" si="90"/>
        <v>0</v>
      </c>
      <c r="C500" s="84" t="str">
        <f t="shared" si="91"/>
        <v>January</v>
      </c>
      <c r="D500" s="85" t="str">
        <f t="shared" si="89"/>
        <v/>
      </c>
      <c r="E500" s="86"/>
      <c r="F500" s="86"/>
      <c r="G500" s="86"/>
      <c r="H500" s="86"/>
      <c r="I500" s="87" t="str">
        <f>IF(F500=0,"",IF(COUNTIF(F500,"Bao"),[1]Setup!$B$4,IF(COUNTIF(F500,"Soup Dumplings"),[1]Setup!$B$5,F500)))</f>
        <v/>
      </c>
      <c r="J500" s="88" t="str">
        <f t="shared" si="93"/>
        <v/>
      </c>
      <c r="K500" s="88"/>
      <c r="L500" s="87"/>
      <c r="M500" s="87"/>
      <c r="N500" s="87"/>
      <c r="O500" s="87"/>
      <c r="P500" s="89" t="str">
        <f t="shared" si="94"/>
        <v/>
      </c>
      <c r="Q500" s="89" t="str">
        <f t="shared" si="95"/>
        <v/>
      </c>
      <c r="R500" s="89" t="str">
        <f t="shared" si="96"/>
        <v/>
      </c>
      <c r="S500" s="88" t="str">
        <f>IF(F500="Bao",[1]Setup!$B$4,IF(F500="Soup Dumplings",[1]Setup!$B$5,""))</f>
        <v/>
      </c>
      <c r="T500" s="88" t="str">
        <f t="shared" si="97"/>
        <v/>
      </c>
      <c r="U500" s="84" t="str">
        <f t="shared" si="98"/>
        <v/>
      </c>
      <c r="V500" s="88">
        <f>IF(U500="",0,MAX(0,T500)+N500+ROUND(J500*[1]Setup!$B$9,0)+IF(O500&gt;[1]Setup!$B$10,ROUND(J500*[1]Setup!$B$11,0),0))</f>
        <v>0</v>
      </c>
      <c r="W500" s="85" t="str">
        <f>IF(L500="","Open",IF(OR(P500&lt;[1]Setup!$B$6,Q500&gt;[1]Setup!$B$7,R500&gt;[1]Setup!$B$8,O500&gt;[1]Setup!$B$10),"Review","OK"))</f>
        <v>Open</v>
      </c>
      <c r="X500" s="86"/>
      <c r="Z500" s="81" t="str">
        <f t="shared" si="92"/>
        <v/>
      </c>
    </row>
    <row r="501" spans="1:26" x14ac:dyDescent="0.3">
      <c r="A501" s="84"/>
      <c r="B501" s="100">
        <f t="shared" si="90"/>
        <v>0</v>
      </c>
      <c r="C501" s="84" t="str">
        <f t="shared" si="91"/>
        <v>January</v>
      </c>
      <c r="D501" s="85" t="str">
        <f t="shared" si="89"/>
        <v/>
      </c>
      <c r="E501" s="86"/>
      <c r="F501" s="86"/>
      <c r="G501" s="86"/>
      <c r="H501" s="86"/>
      <c r="I501" s="87" t="str">
        <f>IF(F501=0,"",IF(COUNTIF(F501,"Bao"),[1]Setup!$B$4,IF(COUNTIF(F501,"Soup Dumplings"),[1]Setup!$B$5,F501)))</f>
        <v/>
      </c>
      <c r="J501" s="88" t="str">
        <f t="shared" si="93"/>
        <v/>
      </c>
      <c r="K501" s="88"/>
      <c r="L501" s="87"/>
      <c r="M501" s="87"/>
      <c r="N501" s="87"/>
      <c r="O501" s="87"/>
      <c r="P501" s="89" t="str">
        <f t="shared" si="94"/>
        <v/>
      </c>
      <c r="Q501" s="89" t="str">
        <f t="shared" si="95"/>
        <v/>
      </c>
      <c r="R501" s="89" t="str">
        <f t="shared" si="96"/>
        <v/>
      </c>
      <c r="S501" s="88" t="str">
        <f>IF(F501="Bao",[1]Setup!$B$4,IF(F501="Soup Dumplings",[1]Setup!$B$5,""))</f>
        <v/>
      </c>
      <c r="T501" s="88" t="str">
        <f t="shared" si="97"/>
        <v/>
      </c>
      <c r="U501" s="84" t="str">
        <f t="shared" si="98"/>
        <v/>
      </c>
      <c r="V501" s="88">
        <f>IF(U501="",0,MAX(0,T501)+N501+ROUND(J501*[1]Setup!$B$9,0)+IF(O501&gt;[1]Setup!$B$10,ROUND(J501*[1]Setup!$B$11,0),0))</f>
        <v>0</v>
      </c>
      <c r="W501" s="85" t="str">
        <f>IF(L501="","Open",IF(OR(P501&lt;[1]Setup!$B$6,Q501&gt;[1]Setup!$B$7,R501&gt;[1]Setup!$B$8,O501&gt;[1]Setup!$B$10),"Review","OK"))</f>
        <v>Open</v>
      </c>
      <c r="X501" s="86"/>
      <c r="Z501" s="81" t="str">
        <f t="shared" si="92"/>
        <v/>
      </c>
    </row>
    <row r="502" spans="1:26" x14ac:dyDescent="0.3">
      <c r="A502" s="84"/>
      <c r="B502" s="100">
        <f t="shared" si="90"/>
        <v>0</v>
      </c>
      <c r="C502" s="84" t="str">
        <f t="shared" si="91"/>
        <v>January</v>
      </c>
      <c r="D502" s="85" t="str">
        <f t="shared" si="89"/>
        <v/>
      </c>
      <c r="E502" s="86"/>
      <c r="F502" s="86"/>
      <c r="G502" s="86"/>
      <c r="H502" s="86"/>
      <c r="I502" s="87" t="str">
        <f>IF(F502=0,"",IF(COUNTIF(F502,"Bao"),[1]Setup!$B$4,IF(COUNTIF(F502,"Soup Dumplings"),[1]Setup!$B$5,F502)))</f>
        <v/>
      </c>
      <c r="J502" s="88" t="str">
        <f t="shared" si="93"/>
        <v/>
      </c>
      <c r="K502" s="88"/>
      <c r="L502" s="87"/>
      <c r="M502" s="87"/>
      <c r="N502" s="87"/>
      <c r="O502" s="87"/>
      <c r="P502" s="89" t="str">
        <f t="shared" si="94"/>
        <v/>
      </c>
      <c r="Q502" s="89" t="str">
        <f t="shared" si="95"/>
        <v/>
      </c>
      <c r="R502" s="89" t="str">
        <f t="shared" si="96"/>
        <v/>
      </c>
      <c r="S502" s="88" t="str">
        <f>IF(F502="Bao",[1]Setup!$B$4,IF(F502="Soup Dumplings",[1]Setup!$B$5,""))</f>
        <v/>
      </c>
      <c r="T502" s="88" t="str">
        <f t="shared" si="97"/>
        <v/>
      </c>
      <c r="U502" s="84" t="str">
        <f t="shared" si="98"/>
        <v/>
      </c>
      <c r="V502" s="88">
        <f>IF(U502="",0,MAX(0,T502)+N502+ROUND(J502*[1]Setup!$B$9,0)+IF(O502&gt;[1]Setup!$B$10,ROUND(J502*[1]Setup!$B$11,0),0))</f>
        <v>0</v>
      </c>
      <c r="W502" s="85" t="str">
        <f>IF(L502="","Open",IF(OR(P502&lt;[1]Setup!$B$6,Q502&gt;[1]Setup!$B$7,R502&gt;[1]Setup!$B$8,O502&gt;[1]Setup!$B$10),"Review","OK"))</f>
        <v>Open</v>
      </c>
      <c r="X502" s="86"/>
      <c r="Z502" s="81" t="str">
        <f t="shared" si="92"/>
        <v/>
      </c>
    </row>
    <row r="503" spans="1:26" x14ac:dyDescent="0.3">
      <c r="A503" s="84"/>
      <c r="B503" s="100">
        <f t="shared" si="90"/>
        <v>0</v>
      </c>
      <c r="C503" s="84" t="str">
        <f t="shared" si="91"/>
        <v>January</v>
      </c>
      <c r="D503" s="85" t="str">
        <f t="shared" si="89"/>
        <v/>
      </c>
      <c r="E503" s="86"/>
      <c r="F503" s="86"/>
      <c r="G503" s="86"/>
      <c r="H503" s="86"/>
      <c r="I503" s="87" t="str">
        <f>IF(F503=0,"",IF(COUNTIF(F503,"Bao"),[1]Setup!$B$4,IF(COUNTIF(F503,"Soup Dumplings"),[1]Setup!$B$5,F503)))</f>
        <v/>
      </c>
      <c r="J503" s="88" t="str">
        <f t="shared" si="93"/>
        <v/>
      </c>
      <c r="K503" s="88"/>
      <c r="L503" s="87"/>
      <c r="M503" s="87"/>
      <c r="N503" s="87"/>
      <c r="O503" s="87"/>
      <c r="P503" s="89" t="str">
        <f t="shared" si="94"/>
        <v/>
      </c>
      <c r="Q503" s="89" t="str">
        <f t="shared" si="95"/>
        <v/>
      </c>
      <c r="R503" s="89" t="str">
        <f t="shared" si="96"/>
        <v/>
      </c>
      <c r="S503" s="88" t="str">
        <f>IF(F503="Bao",[1]Setup!$B$4,IF(F503="Soup Dumplings",[1]Setup!$B$5,""))</f>
        <v/>
      </c>
      <c r="T503" s="88" t="str">
        <f t="shared" si="97"/>
        <v/>
      </c>
      <c r="U503" s="84" t="str">
        <f t="shared" si="98"/>
        <v/>
      </c>
      <c r="V503" s="88">
        <f>IF(U503="",0,MAX(0,T503)+N503+ROUND(J503*[1]Setup!$B$9,0)+IF(O503&gt;[1]Setup!$B$10,ROUND(J503*[1]Setup!$B$11,0),0))</f>
        <v>0</v>
      </c>
      <c r="W503" s="85" t="str">
        <f>IF(L503="","Open",IF(OR(P503&lt;[1]Setup!$B$6,Q503&gt;[1]Setup!$B$7,R503&gt;[1]Setup!$B$8,O503&gt;[1]Setup!$B$10),"Review","OK"))</f>
        <v>Open</v>
      </c>
      <c r="X503" s="86"/>
      <c r="Z503" s="81" t="str">
        <f t="shared" si="92"/>
        <v/>
      </c>
    </row>
    <row r="504" spans="1:26" x14ac:dyDescent="0.3">
      <c r="A504" s="84"/>
      <c r="B504" s="100">
        <f t="shared" si="90"/>
        <v>0</v>
      </c>
      <c r="C504" s="84" t="str">
        <f t="shared" si="91"/>
        <v>January</v>
      </c>
      <c r="D504" s="85" t="str">
        <f t="shared" si="89"/>
        <v/>
      </c>
      <c r="E504" s="86"/>
      <c r="F504" s="86"/>
      <c r="G504" s="86"/>
      <c r="H504" s="86"/>
      <c r="I504" s="87" t="str">
        <f>IF(F504=0,"",IF(COUNTIF(F504,"Bao"),[1]Setup!$B$4,IF(COUNTIF(F504,"Soup Dumplings"),[1]Setup!$B$5,F504)))</f>
        <v/>
      </c>
      <c r="J504" s="88" t="str">
        <f t="shared" si="93"/>
        <v/>
      </c>
      <c r="K504" s="88"/>
      <c r="L504" s="87"/>
      <c r="M504" s="87"/>
      <c r="N504" s="87"/>
      <c r="O504" s="87"/>
      <c r="P504" s="89" t="str">
        <f t="shared" si="94"/>
        <v/>
      </c>
      <c r="Q504" s="89" t="str">
        <f t="shared" si="95"/>
        <v/>
      </c>
      <c r="R504" s="89" t="str">
        <f t="shared" si="96"/>
        <v/>
      </c>
      <c r="S504" s="88" t="str">
        <f>IF(F504="Bao",[1]Setup!$B$4,IF(F504="Soup Dumplings",[1]Setup!$B$5,""))</f>
        <v/>
      </c>
      <c r="T504" s="88" t="str">
        <f t="shared" si="97"/>
        <v/>
      </c>
      <c r="U504" s="84" t="str">
        <f t="shared" si="98"/>
        <v/>
      </c>
      <c r="V504" s="88">
        <f>IF(U504="",0,MAX(0,T504)+N504+ROUND(J504*[1]Setup!$B$9,0)+IF(O504&gt;[1]Setup!$B$10,ROUND(J504*[1]Setup!$B$11,0),0))</f>
        <v>0</v>
      </c>
      <c r="W504" s="85" t="str">
        <f>IF(L504="","Open",IF(OR(P504&lt;[1]Setup!$B$6,Q504&gt;[1]Setup!$B$7,R504&gt;[1]Setup!$B$8,O504&gt;[1]Setup!$B$10),"Review","OK"))</f>
        <v>Open</v>
      </c>
      <c r="X504" s="86"/>
      <c r="Z504" s="81" t="str">
        <f t="shared" si="92"/>
        <v/>
      </c>
    </row>
    <row r="505" spans="1:26" x14ac:dyDescent="0.3">
      <c r="A505" s="84"/>
      <c r="B505" s="100">
        <f t="shared" si="90"/>
        <v>0</v>
      </c>
      <c r="C505" s="84" t="str">
        <f t="shared" si="91"/>
        <v>January</v>
      </c>
      <c r="D505" s="85" t="str">
        <f t="shared" si="89"/>
        <v/>
      </c>
      <c r="E505" s="86"/>
      <c r="F505" s="86"/>
      <c r="G505" s="86"/>
      <c r="H505" s="86"/>
      <c r="I505" s="87" t="str">
        <f>IF(F505=0,"",IF(COUNTIF(F505,"Bao"),[1]Setup!$B$4,IF(COUNTIF(F505,"Soup Dumplings"),[1]Setup!$B$5,F505)))</f>
        <v/>
      </c>
      <c r="J505" s="88" t="str">
        <f t="shared" si="93"/>
        <v/>
      </c>
      <c r="K505" s="88"/>
      <c r="L505" s="87"/>
      <c r="M505" s="87"/>
      <c r="N505" s="87"/>
      <c r="O505" s="87"/>
      <c r="P505" s="89" t="str">
        <f t="shared" si="94"/>
        <v/>
      </c>
      <c r="Q505" s="89" t="str">
        <f t="shared" si="95"/>
        <v/>
      </c>
      <c r="R505" s="89" t="str">
        <f t="shared" si="96"/>
        <v/>
      </c>
      <c r="S505" s="88" t="str">
        <f>IF(F505="Bao",[1]Setup!$B$4,IF(F505="Soup Dumplings",[1]Setup!$B$5,""))</f>
        <v/>
      </c>
      <c r="T505" s="88" t="str">
        <f t="shared" si="97"/>
        <v/>
      </c>
      <c r="U505" s="84" t="str">
        <f t="shared" si="98"/>
        <v/>
      </c>
      <c r="V505" s="88">
        <f>IF(U505="",0,MAX(0,T505)+N505+ROUND(J505*[1]Setup!$B$9,0)+IF(O505&gt;[1]Setup!$B$10,ROUND(J505*[1]Setup!$B$11,0),0))</f>
        <v>0</v>
      </c>
      <c r="W505" s="85" t="str">
        <f>IF(L505="","Open",IF(OR(P505&lt;[1]Setup!$B$6,Q505&gt;[1]Setup!$B$7,R505&gt;[1]Setup!$B$8,O505&gt;[1]Setup!$B$10),"Review","OK"))</f>
        <v>Open</v>
      </c>
      <c r="X505" s="86"/>
      <c r="Z505" s="81" t="str">
        <f t="shared" si="92"/>
        <v/>
      </c>
    </row>
    <row r="506" spans="1:26" x14ac:dyDescent="0.3">
      <c r="A506" s="84"/>
      <c r="B506" s="100">
        <f t="shared" si="90"/>
        <v>0</v>
      </c>
      <c r="C506" s="84" t="str">
        <f t="shared" si="91"/>
        <v>January</v>
      </c>
      <c r="D506" s="85" t="str">
        <f t="shared" si="89"/>
        <v/>
      </c>
      <c r="E506" s="86"/>
      <c r="F506" s="86"/>
      <c r="G506" s="86"/>
      <c r="H506" s="86"/>
      <c r="I506" s="87" t="str">
        <f>IF(F506=0,"",IF(COUNTIF(F506,"Bao"),[1]Setup!$B$4,IF(COUNTIF(F506,"Soup Dumplings"),[1]Setup!$B$5,F506)))</f>
        <v/>
      </c>
      <c r="J506" s="88" t="str">
        <f t="shared" si="93"/>
        <v/>
      </c>
      <c r="K506" s="88"/>
      <c r="L506" s="87"/>
      <c r="M506" s="87"/>
      <c r="N506" s="87"/>
      <c r="O506" s="87"/>
      <c r="P506" s="89" t="str">
        <f t="shared" si="94"/>
        <v/>
      </c>
      <c r="Q506" s="89" t="str">
        <f t="shared" si="95"/>
        <v/>
      </c>
      <c r="R506" s="89" t="str">
        <f t="shared" si="96"/>
        <v/>
      </c>
      <c r="S506" s="88" t="str">
        <f>IF(F506="Bao",[1]Setup!$B$4,IF(F506="Soup Dumplings",[1]Setup!$B$5,""))</f>
        <v/>
      </c>
      <c r="T506" s="88" t="str">
        <f t="shared" si="97"/>
        <v/>
      </c>
      <c r="U506" s="84" t="str">
        <f t="shared" si="98"/>
        <v/>
      </c>
      <c r="V506" s="88">
        <f>IF(U506="",0,MAX(0,T506)+N506+ROUND(J506*[1]Setup!$B$9,0)+IF(O506&gt;[1]Setup!$B$10,ROUND(J506*[1]Setup!$B$11,0),0))</f>
        <v>0</v>
      </c>
      <c r="W506" s="85" t="str">
        <f>IF(L506="","Open",IF(OR(P506&lt;[1]Setup!$B$6,Q506&gt;[1]Setup!$B$7,R506&gt;[1]Setup!$B$8,O506&gt;[1]Setup!$B$10),"Review","OK"))</f>
        <v>Open</v>
      </c>
      <c r="X506" s="86"/>
      <c r="Z506" s="81" t="str">
        <f t="shared" si="92"/>
        <v/>
      </c>
    </row>
    <row r="507" spans="1:26" x14ac:dyDescent="0.3">
      <c r="A507" s="84"/>
      <c r="B507" s="100">
        <f t="shared" si="90"/>
        <v>0</v>
      </c>
      <c r="C507" s="84" t="str">
        <f t="shared" si="91"/>
        <v>January</v>
      </c>
      <c r="D507" s="85" t="str">
        <f t="shared" si="89"/>
        <v/>
      </c>
      <c r="E507" s="86"/>
      <c r="F507" s="86"/>
      <c r="G507" s="86"/>
      <c r="H507" s="86"/>
      <c r="I507" s="87" t="str">
        <f>IF(F507=0,"",IF(COUNTIF(F507,"Bao"),[1]Setup!$B$4,IF(COUNTIF(F507,"Soup Dumplings"),[1]Setup!$B$5,F507)))</f>
        <v/>
      </c>
      <c r="J507" s="88" t="str">
        <f t="shared" si="93"/>
        <v/>
      </c>
      <c r="K507" s="88"/>
      <c r="L507" s="87"/>
      <c r="M507" s="87"/>
      <c r="N507" s="87"/>
      <c r="O507" s="87"/>
      <c r="P507" s="89" t="str">
        <f t="shared" si="94"/>
        <v/>
      </c>
      <c r="Q507" s="89" t="str">
        <f t="shared" si="95"/>
        <v/>
      </c>
      <c r="R507" s="89" t="str">
        <f t="shared" si="96"/>
        <v/>
      </c>
      <c r="S507" s="88" t="str">
        <f>IF(F507="Bao",[1]Setup!$B$4,IF(F507="Soup Dumplings",[1]Setup!$B$5,""))</f>
        <v/>
      </c>
      <c r="T507" s="88" t="str">
        <f t="shared" si="97"/>
        <v/>
      </c>
      <c r="U507" s="84" t="str">
        <f t="shared" si="98"/>
        <v/>
      </c>
      <c r="V507" s="88">
        <f>IF(U507="",0,MAX(0,T507)+N507+ROUND(J507*[1]Setup!$B$9,0)+IF(O507&gt;[1]Setup!$B$10,ROUND(J507*[1]Setup!$B$11,0),0))</f>
        <v>0</v>
      </c>
      <c r="W507" s="85" t="str">
        <f>IF(L507="","Open",IF(OR(P507&lt;[1]Setup!$B$6,Q507&gt;[1]Setup!$B$7,R507&gt;[1]Setup!$B$8,O507&gt;[1]Setup!$B$10),"Review","OK"))</f>
        <v>Open</v>
      </c>
      <c r="X507" s="86"/>
      <c r="Z507" s="81" t="str">
        <f t="shared" si="92"/>
        <v/>
      </c>
    </row>
    <row r="508" spans="1:26" x14ac:dyDescent="0.3">
      <c r="A508" s="84"/>
      <c r="B508" s="100">
        <f t="shared" si="90"/>
        <v>0</v>
      </c>
      <c r="C508" s="84" t="str">
        <f t="shared" si="91"/>
        <v>January</v>
      </c>
      <c r="D508" s="85" t="str">
        <f t="shared" si="89"/>
        <v/>
      </c>
      <c r="E508" s="86"/>
      <c r="F508" s="86"/>
      <c r="G508" s="86"/>
      <c r="H508" s="86"/>
      <c r="I508" s="87" t="str">
        <f>IF(F508=0,"",IF(COUNTIF(F508,"Bao"),[1]Setup!$B$4,IF(COUNTIF(F508,"Soup Dumplings"),[1]Setup!$B$5,F508)))</f>
        <v/>
      </c>
      <c r="J508" s="88" t="str">
        <f t="shared" si="93"/>
        <v/>
      </c>
      <c r="K508" s="88"/>
      <c r="L508" s="87"/>
      <c r="M508" s="87"/>
      <c r="N508" s="87"/>
      <c r="O508" s="87"/>
      <c r="P508" s="89" t="str">
        <f t="shared" si="94"/>
        <v/>
      </c>
      <c r="Q508" s="89" t="str">
        <f t="shared" si="95"/>
        <v/>
      </c>
      <c r="R508" s="89" t="str">
        <f t="shared" si="96"/>
        <v/>
      </c>
      <c r="S508" s="88" t="str">
        <f>IF(F508="Bao",[1]Setup!$B$4,IF(F508="Soup Dumplings",[1]Setup!$B$5,""))</f>
        <v/>
      </c>
      <c r="T508" s="88" t="str">
        <f t="shared" si="97"/>
        <v/>
      </c>
      <c r="U508" s="84" t="str">
        <f t="shared" si="98"/>
        <v/>
      </c>
      <c r="V508" s="88">
        <f>IF(U508="",0,MAX(0,T508)+N508+ROUND(J508*[1]Setup!$B$9,0)+IF(O508&gt;[1]Setup!$B$10,ROUND(J508*[1]Setup!$B$11,0),0))</f>
        <v>0</v>
      </c>
      <c r="W508" s="85" t="str">
        <f>IF(L508="","Open",IF(OR(P508&lt;[1]Setup!$B$6,Q508&gt;[1]Setup!$B$7,R508&gt;[1]Setup!$B$8,O508&gt;[1]Setup!$B$10),"Review","OK"))</f>
        <v>Open</v>
      </c>
      <c r="X508" s="86"/>
      <c r="Z508" s="81" t="str">
        <f t="shared" si="92"/>
        <v/>
      </c>
    </row>
    <row r="509" spans="1:26" x14ac:dyDescent="0.3">
      <c r="A509" s="84"/>
      <c r="B509" s="100">
        <f t="shared" si="90"/>
        <v>0</v>
      </c>
      <c r="C509" s="84" t="str">
        <f t="shared" si="91"/>
        <v>January</v>
      </c>
      <c r="D509" s="85" t="str">
        <f t="shared" si="89"/>
        <v/>
      </c>
      <c r="E509" s="86"/>
      <c r="F509" s="86"/>
      <c r="G509" s="86"/>
      <c r="H509" s="86"/>
      <c r="I509" s="87" t="str">
        <f>IF(F509=0,"",IF(COUNTIF(F509,"Bao"),[1]Setup!$B$4,IF(COUNTIF(F509,"Soup Dumplings"),[1]Setup!$B$5,F509)))</f>
        <v/>
      </c>
      <c r="J509" s="88" t="str">
        <f t="shared" si="93"/>
        <v/>
      </c>
      <c r="K509" s="88"/>
      <c r="L509" s="87"/>
      <c r="M509" s="87"/>
      <c r="N509" s="87"/>
      <c r="O509" s="87"/>
      <c r="P509" s="89" t="str">
        <f t="shared" si="94"/>
        <v/>
      </c>
      <c r="Q509" s="89" t="str">
        <f t="shared" si="95"/>
        <v/>
      </c>
      <c r="R509" s="89" t="str">
        <f t="shared" si="96"/>
        <v/>
      </c>
      <c r="S509" s="88" t="str">
        <f>IF(F509="Bao",[1]Setup!$B$4,IF(F509="Soup Dumplings",[1]Setup!$B$5,""))</f>
        <v/>
      </c>
      <c r="T509" s="88" t="str">
        <f t="shared" si="97"/>
        <v/>
      </c>
      <c r="U509" s="84" t="str">
        <f t="shared" si="98"/>
        <v/>
      </c>
      <c r="V509" s="88">
        <f>IF(U509="",0,MAX(0,T509)+N509+ROUND(J509*[1]Setup!$B$9,0)+IF(O509&gt;[1]Setup!$B$10,ROUND(J509*[1]Setup!$B$11,0),0))</f>
        <v>0</v>
      </c>
      <c r="W509" s="85" t="str">
        <f>IF(L509="","Open",IF(OR(P509&lt;[1]Setup!$B$6,Q509&gt;[1]Setup!$B$7,R509&gt;[1]Setup!$B$8,O509&gt;[1]Setup!$B$10),"Review","OK"))</f>
        <v>Open</v>
      </c>
      <c r="X509" s="86"/>
      <c r="Z509" s="81" t="str">
        <f t="shared" si="92"/>
        <v/>
      </c>
    </row>
    <row r="510" spans="1:26" x14ac:dyDescent="0.3">
      <c r="A510" s="84"/>
      <c r="B510" s="100">
        <f t="shared" si="90"/>
        <v>0</v>
      </c>
      <c r="C510" s="84" t="str">
        <f t="shared" si="91"/>
        <v>January</v>
      </c>
      <c r="D510" s="85" t="str">
        <f t="shared" si="89"/>
        <v/>
      </c>
      <c r="E510" s="86"/>
      <c r="F510" s="86"/>
      <c r="G510" s="86"/>
      <c r="H510" s="86"/>
      <c r="I510" s="87" t="str">
        <f>IF(F510=0,"",IF(COUNTIF(F510,"Bao"),[1]Setup!$B$4,IF(COUNTIF(F510,"Soup Dumplings"),[1]Setup!$B$5,F510)))</f>
        <v/>
      </c>
      <c r="J510" s="88" t="str">
        <f t="shared" si="93"/>
        <v/>
      </c>
      <c r="K510" s="88"/>
      <c r="L510" s="87"/>
      <c r="M510" s="87"/>
      <c r="N510" s="87"/>
      <c r="O510" s="87"/>
      <c r="P510" s="89" t="str">
        <f t="shared" si="94"/>
        <v/>
      </c>
      <c r="Q510" s="89" t="str">
        <f t="shared" si="95"/>
        <v/>
      </c>
      <c r="R510" s="89" t="str">
        <f t="shared" si="96"/>
        <v/>
      </c>
      <c r="S510" s="88" t="str">
        <f>IF(F510="Bao",[1]Setup!$B$4,IF(F510="Soup Dumplings",[1]Setup!$B$5,""))</f>
        <v/>
      </c>
      <c r="T510" s="88" t="str">
        <f t="shared" si="97"/>
        <v/>
      </c>
      <c r="U510" s="84" t="str">
        <f t="shared" si="98"/>
        <v/>
      </c>
      <c r="V510" s="88">
        <f>IF(U510="",0,MAX(0,T510)+N510+ROUND(J510*[1]Setup!$B$9,0)+IF(O510&gt;[1]Setup!$B$10,ROUND(J510*[1]Setup!$B$11,0),0))</f>
        <v>0</v>
      </c>
      <c r="W510" s="85" t="str">
        <f>IF(L510="","Open",IF(OR(P510&lt;[1]Setup!$B$6,Q510&gt;[1]Setup!$B$7,R510&gt;[1]Setup!$B$8,O510&gt;[1]Setup!$B$10),"Review","OK"))</f>
        <v>Open</v>
      </c>
      <c r="X510" s="86"/>
      <c r="Z510" s="81" t="str">
        <f t="shared" si="92"/>
        <v/>
      </c>
    </row>
    <row r="511" spans="1:26" x14ac:dyDescent="0.3">
      <c r="A511" s="84"/>
      <c r="B511" s="100">
        <f t="shared" si="90"/>
        <v>0</v>
      </c>
      <c r="C511" s="84" t="str">
        <f t="shared" si="91"/>
        <v>January</v>
      </c>
      <c r="D511" s="85" t="str">
        <f t="shared" si="89"/>
        <v/>
      </c>
      <c r="E511" s="86"/>
      <c r="F511" s="86"/>
      <c r="G511" s="86"/>
      <c r="H511" s="86"/>
      <c r="I511" s="87" t="str">
        <f>IF(F511=0,"",IF(COUNTIF(F511,"Bao"),[1]Setup!$B$4,IF(COUNTIF(F511,"Soup Dumplings"),[1]Setup!$B$5,F511)))</f>
        <v/>
      </c>
      <c r="J511" s="88" t="str">
        <f t="shared" si="93"/>
        <v/>
      </c>
      <c r="K511" s="88"/>
      <c r="L511" s="87"/>
      <c r="M511" s="87"/>
      <c r="N511" s="87"/>
      <c r="O511" s="87"/>
      <c r="P511" s="89" t="str">
        <f t="shared" si="94"/>
        <v/>
      </c>
      <c r="Q511" s="89" t="str">
        <f t="shared" si="95"/>
        <v/>
      </c>
      <c r="R511" s="89" t="str">
        <f t="shared" si="96"/>
        <v/>
      </c>
      <c r="S511" s="88" t="str">
        <f>IF(F511="Bao",[1]Setup!$B$4,IF(F511="Soup Dumplings",[1]Setup!$B$5,""))</f>
        <v/>
      </c>
      <c r="T511" s="88" t="str">
        <f t="shared" si="97"/>
        <v/>
      </c>
      <c r="U511" s="84" t="str">
        <f t="shared" si="98"/>
        <v/>
      </c>
      <c r="V511" s="88">
        <f>IF(U511="",0,MAX(0,T511)+N511+ROUND(J511*[1]Setup!$B$9,0)+IF(O511&gt;[1]Setup!$B$10,ROUND(J511*[1]Setup!$B$11,0),0))</f>
        <v>0</v>
      </c>
      <c r="W511" s="85" t="str">
        <f>IF(L511="","Open",IF(OR(P511&lt;[1]Setup!$B$6,Q511&gt;[1]Setup!$B$7,R511&gt;[1]Setup!$B$8,O511&gt;[1]Setup!$B$10),"Review","OK"))</f>
        <v>Open</v>
      </c>
      <c r="X511" s="86"/>
      <c r="Z511" s="81" t="str">
        <f t="shared" si="92"/>
        <v/>
      </c>
    </row>
    <row r="512" spans="1:26" x14ac:dyDescent="0.3">
      <c r="A512" s="84"/>
      <c r="B512" s="100">
        <f t="shared" si="90"/>
        <v>0</v>
      </c>
      <c r="C512" s="84" t="str">
        <f t="shared" si="91"/>
        <v>January</v>
      </c>
      <c r="D512" s="85" t="str">
        <f t="shared" si="89"/>
        <v/>
      </c>
      <c r="E512" s="86"/>
      <c r="F512" s="86"/>
      <c r="G512" s="86"/>
      <c r="H512" s="86"/>
      <c r="I512" s="87" t="str">
        <f>IF(F512=0,"",IF(COUNTIF(F512,"Bao"),[1]Setup!$B$4,IF(COUNTIF(F512,"Soup Dumplings"),[1]Setup!$B$5,F512)))</f>
        <v/>
      </c>
      <c r="J512" s="88" t="str">
        <f t="shared" si="93"/>
        <v/>
      </c>
      <c r="K512" s="88"/>
      <c r="L512" s="87"/>
      <c r="M512" s="87"/>
      <c r="N512" s="87"/>
      <c r="O512" s="87"/>
      <c r="P512" s="89" t="str">
        <f t="shared" si="94"/>
        <v/>
      </c>
      <c r="Q512" s="89" t="str">
        <f t="shared" si="95"/>
        <v/>
      </c>
      <c r="R512" s="89" t="str">
        <f t="shared" si="96"/>
        <v/>
      </c>
      <c r="S512" s="88" t="str">
        <f>IF(F512="Bao",[1]Setup!$B$4,IF(F512="Soup Dumplings",[1]Setup!$B$5,""))</f>
        <v/>
      </c>
      <c r="T512" s="88" t="str">
        <f t="shared" si="97"/>
        <v/>
      </c>
      <c r="U512" s="84" t="str">
        <f t="shared" si="98"/>
        <v/>
      </c>
      <c r="V512" s="88">
        <f>IF(U512="",0,MAX(0,T512)+N512+ROUND(J512*[1]Setup!$B$9,0)+IF(O512&gt;[1]Setup!$B$10,ROUND(J512*[1]Setup!$B$11,0),0))</f>
        <v>0</v>
      </c>
      <c r="W512" s="85" t="str">
        <f>IF(L512="","Open",IF(OR(P512&lt;[1]Setup!$B$6,Q512&gt;[1]Setup!$B$7,R512&gt;[1]Setup!$B$8,O512&gt;[1]Setup!$B$10),"Review","OK"))</f>
        <v>Open</v>
      </c>
      <c r="X512" s="86"/>
      <c r="Z512" s="81" t="str">
        <f t="shared" si="92"/>
        <v/>
      </c>
    </row>
    <row r="513" spans="1:26" x14ac:dyDescent="0.3">
      <c r="A513" s="84"/>
      <c r="B513" s="100">
        <f t="shared" si="90"/>
        <v>0</v>
      </c>
      <c r="C513" s="84" t="str">
        <f t="shared" si="91"/>
        <v>January</v>
      </c>
      <c r="D513" s="85" t="str">
        <f t="shared" si="89"/>
        <v/>
      </c>
      <c r="E513" s="86"/>
      <c r="F513" s="86"/>
      <c r="G513" s="86"/>
      <c r="H513" s="86"/>
      <c r="I513" s="87" t="str">
        <f>IF(F513=0,"",IF(COUNTIF(F513,"Bao"),[1]Setup!$B$4,IF(COUNTIF(F513,"Soup Dumplings"),[1]Setup!$B$5,F513)))</f>
        <v/>
      </c>
      <c r="J513" s="88" t="str">
        <f t="shared" si="93"/>
        <v/>
      </c>
      <c r="K513" s="88"/>
      <c r="L513" s="87"/>
      <c r="M513" s="87"/>
      <c r="N513" s="87"/>
      <c r="O513" s="87"/>
      <c r="P513" s="89" t="str">
        <f t="shared" si="94"/>
        <v/>
      </c>
      <c r="Q513" s="89" t="str">
        <f t="shared" si="95"/>
        <v/>
      </c>
      <c r="R513" s="89" t="str">
        <f t="shared" si="96"/>
        <v/>
      </c>
      <c r="S513" s="88" t="str">
        <f>IF(F513="Bao",[1]Setup!$B$4,IF(F513="Soup Dumplings",[1]Setup!$B$5,""))</f>
        <v/>
      </c>
      <c r="T513" s="88" t="str">
        <f t="shared" si="97"/>
        <v/>
      </c>
      <c r="U513" s="84" t="str">
        <f t="shared" si="98"/>
        <v/>
      </c>
      <c r="V513" s="88">
        <f>IF(U513="",0,MAX(0,T513)+N513+ROUND(J513*[1]Setup!$B$9,0)+IF(O513&gt;[1]Setup!$B$10,ROUND(J513*[1]Setup!$B$11,0),0))</f>
        <v>0</v>
      </c>
      <c r="W513" s="85" t="str">
        <f>IF(L513="","Open",IF(OR(P513&lt;[1]Setup!$B$6,Q513&gt;[1]Setup!$B$7,R513&gt;[1]Setup!$B$8,O513&gt;[1]Setup!$B$10),"Review","OK"))</f>
        <v>Open</v>
      </c>
      <c r="X513" s="86"/>
      <c r="Z513" s="81" t="str">
        <f t="shared" si="92"/>
        <v/>
      </c>
    </row>
    <row r="514" spans="1:26" x14ac:dyDescent="0.3">
      <c r="A514" s="84"/>
      <c r="B514" s="100">
        <f t="shared" si="90"/>
        <v>0</v>
      </c>
      <c r="C514" s="84" t="str">
        <f t="shared" si="91"/>
        <v>January</v>
      </c>
      <c r="D514" s="85" t="str">
        <f t="shared" si="89"/>
        <v/>
      </c>
      <c r="E514" s="86"/>
      <c r="F514" s="86"/>
      <c r="G514" s="86"/>
      <c r="H514" s="86"/>
      <c r="I514" s="87" t="str">
        <f>IF(F514=0,"",IF(COUNTIF(F514,"Bao"),[1]Setup!$B$4,IF(COUNTIF(F514,"Soup Dumplings"),[1]Setup!$B$5,F514)))</f>
        <v/>
      </c>
      <c r="J514" s="88" t="str">
        <f t="shared" si="93"/>
        <v/>
      </c>
      <c r="K514" s="88"/>
      <c r="L514" s="87"/>
      <c r="M514" s="87"/>
      <c r="N514" s="87"/>
      <c r="O514" s="87"/>
      <c r="P514" s="89" t="str">
        <f t="shared" si="94"/>
        <v/>
      </c>
      <c r="Q514" s="89" t="str">
        <f t="shared" si="95"/>
        <v/>
      </c>
      <c r="R514" s="89" t="str">
        <f t="shared" si="96"/>
        <v/>
      </c>
      <c r="S514" s="88" t="str">
        <f>IF(F514="Bao",[1]Setup!$B$4,IF(F514="Soup Dumplings",[1]Setup!$B$5,""))</f>
        <v/>
      </c>
      <c r="T514" s="88" t="str">
        <f t="shared" si="97"/>
        <v/>
      </c>
      <c r="U514" s="84" t="str">
        <f t="shared" si="98"/>
        <v/>
      </c>
      <c r="V514" s="88">
        <f>IF(U514="",0,MAX(0,T514)+N514+ROUND(J514*[1]Setup!$B$9,0)+IF(O514&gt;[1]Setup!$B$10,ROUND(J514*[1]Setup!$B$11,0),0))</f>
        <v>0</v>
      </c>
      <c r="W514" s="85" t="str">
        <f>IF(L514="","Open",IF(OR(P514&lt;[1]Setup!$B$6,Q514&gt;[1]Setup!$B$7,R514&gt;[1]Setup!$B$8,O514&gt;[1]Setup!$B$10),"Review","OK"))</f>
        <v>Open</v>
      </c>
      <c r="X514" s="86"/>
      <c r="Z514" s="81" t="str">
        <f t="shared" si="92"/>
        <v/>
      </c>
    </row>
    <row r="515" spans="1:26" x14ac:dyDescent="0.3">
      <c r="A515" s="84"/>
      <c r="B515" s="100">
        <f t="shared" si="90"/>
        <v>0</v>
      </c>
      <c r="C515" s="84" t="str">
        <f t="shared" si="91"/>
        <v>January</v>
      </c>
      <c r="D515" s="85" t="str">
        <f t="shared" si="89"/>
        <v/>
      </c>
      <c r="E515" s="86"/>
      <c r="F515" s="86"/>
      <c r="G515" s="86"/>
      <c r="H515" s="86"/>
      <c r="I515" s="87" t="str">
        <f>IF(F515=0,"",IF(COUNTIF(F515,"Bao"),[1]Setup!$B$4,IF(COUNTIF(F515,"Soup Dumplings"),[1]Setup!$B$5,F515)))</f>
        <v/>
      </c>
      <c r="J515" s="88" t="str">
        <f t="shared" si="93"/>
        <v/>
      </c>
      <c r="K515" s="88"/>
      <c r="L515" s="87"/>
      <c r="M515" s="87"/>
      <c r="N515" s="87"/>
      <c r="O515" s="87"/>
      <c r="P515" s="89" t="str">
        <f t="shared" si="94"/>
        <v/>
      </c>
      <c r="Q515" s="89" t="str">
        <f t="shared" si="95"/>
        <v/>
      </c>
      <c r="R515" s="89" t="str">
        <f t="shared" si="96"/>
        <v/>
      </c>
      <c r="S515" s="88" t="str">
        <f>IF(F515="Bao",[1]Setup!$B$4,IF(F515="Soup Dumplings",[1]Setup!$B$5,""))</f>
        <v/>
      </c>
      <c r="T515" s="88" t="str">
        <f t="shared" si="97"/>
        <v/>
      </c>
      <c r="U515" s="84" t="str">
        <f t="shared" si="98"/>
        <v/>
      </c>
      <c r="V515" s="88">
        <f>IF(U515="",0,MAX(0,T515)+N515+ROUND(J515*[1]Setup!$B$9,0)+IF(O515&gt;[1]Setup!$B$10,ROUND(J515*[1]Setup!$B$11,0),0))</f>
        <v>0</v>
      </c>
      <c r="W515" s="85" t="str">
        <f>IF(L515="","Open",IF(OR(P515&lt;[1]Setup!$B$6,Q515&gt;[1]Setup!$B$7,R515&gt;[1]Setup!$B$8,O515&gt;[1]Setup!$B$10),"Review","OK"))</f>
        <v>Open</v>
      </c>
      <c r="X515" s="86"/>
      <c r="Z515" s="81" t="str">
        <f t="shared" si="92"/>
        <v/>
      </c>
    </row>
    <row r="516" spans="1:26" x14ac:dyDescent="0.3">
      <c r="A516" s="84"/>
      <c r="B516" s="100">
        <f t="shared" si="90"/>
        <v>0</v>
      </c>
      <c r="C516" s="84" t="str">
        <f t="shared" si="91"/>
        <v>January</v>
      </c>
      <c r="D516" s="85" t="str">
        <f t="shared" ref="D516:D579" si="99">IF(A516="","",TEXT(A516,"ddd"))</f>
        <v/>
      </c>
      <c r="E516" s="86"/>
      <c r="F516" s="86"/>
      <c r="G516" s="86"/>
      <c r="H516" s="86"/>
      <c r="I516" s="87" t="str">
        <f>IF(F516=0,"",IF(COUNTIF(F516,"Bao"),[1]Setup!$B$4,IF(COUNTIF(F516,"Soup Dumplings"),[1]Setup!$B$5,F516)))</f>
        <v/>
      </c>
      <c r="J516" s="88" t="str">
        <f t="shared" si="93"/>
        <v/>
      </c>
      <c r="K516" s="88"/>
      <c r="L516" s="87"/>
      <c r="M516" s="87"/>
      <c r="N516" s="87"/>
      <c r="O516" s="87"/>
      <c r="P516" s="89" t="str">
        <f t="shared" si="94"/>
        <v/>
      </c>
      <c r="Q516" s="89" t="str">
        <f t="shared" si="95"/>
        <v/>
      </c>
      <c r="R516" s="89" t="str">
        <f t="shared" si="96"/>
        <v/>
      </c>
      <c r="S516" s="88" t="str">
        <f>IF(F516="Bao",[1]Setup!$B$4,IF(F516="Soup Dumplings",[1]Setup!$B$5,""))</f>
        <v/>
      </c>
      <c r="T516" s="88" t="str">
        <f t="shared" si="97"/>
        <v/>
      </c>
      <c r="U516" s="84" t="str">
        <f t="shared" si="98"/>
        <v/>
      </c>
      <c r="V516" s="88">
        <f>IF(U516="",0,MAX(0,T516)+N516+ROUND(J516*[1]Setup!$B$9,0)+IF(O516&gt;[1]Setup!$B$10,ROUND(J516*[1]Setup!$B$11,0),0))</f>
        <v>0</v>
      </c>
      <c r="W516" s="85" t="str">
        <f>IF(L516="","Open",IF(OR(P516&lt;[1]Setup!$B$6,Q516&gt;[1]Setup!$B$7,R516&gt;[1]Setup!$B$8,O516&gt;[1]Setup!$B$10),"Review","OK"))</f>
        <v>Open</v>
      </c>
      <c r="X516" s="86"/>
      <c r="Z516" s="81" t="str">
        <f t="shared" si="92"/>
        <v/>
      </c>
    </row>
    <row r="517" spans="1:26" x14ac:dyDescent="0.3">
      <c r="A517" s="84"/>
      <c r="B517" s="100">
        <f t="shared" ref="B517:B580" si="100">+WEEKNUM(A517)</f>
        <v>0</v>
      </c>
      <c r="C517" s="84" t="str">
        <f t="shared" ref="C517:C580" si="101">+TEXT(A517,"mmmm")</f>
        <v>January</v>
      </c>
      <c r="D517" s="85" t="str">
        <f t="shared" si="99"/>
        <v/>
      </c>
      <c r="E517" s="86"/>
      <c r="F517" s="86"/>
      <c r="G517" s="86"/>
      <c r="H517" s="86"/>
      <c r="I517" s="87" t="str">
        <f>IF(F517=0,"",IF(COUNTIF(F517,"Bao"),[1]Setup!$B$4,IF(COUNTIF(F517,"Soup Dumplings"),[1]Setup!$B$5,F517)))</f>
        <v/>
      </c>
      <c r="J517" s="88" t="str">
        <f t="shared" si="93"/>
        <v/>
      </c>
      <c r="K517" s="88"/>
      <c r="L517" s="87"/>
      <c r="M517" s="87"/>
      <c r="N517" s="87"/>
      <c r="O517" s="87"/>
      <c r="P517" s="89" t="str">
        <f t="shared" si="94"/>
        <v/>
      </c>
      <c r="Q517" s="89" t="str">
        <f t="shared" si="95"/>
        <v/>
      </c>
      <c r="R517" s="89" t="str">
        <f t="shared" si="96"/>
        <v/>
      </c>
      <c r="S517" s="88" t="str">
        <f>IF(F517="Bao",[1]Setup!$B$4,IF(F517="Soup Dumplings",[1]Setup!$B$5,""))</f>
        <v/>
      </c>
      <c r="T517" s="88" t="str">
        <f t="shared" si="97"/>
        <v/>
      </c>
      <c r="U517" s="84" t="str">
        <f t="shared" si="98"/>
        <v/>
      </c>
      <c r="V517" s="88">
        <f>IF(U517="",0,MAX(0,T517)+N517+ROUND(J517*[1]Setup!$B$9,0)+IF(O517&gt;[1]Setup!$B$10,ROUND(J517*[1]Setup!$B$11,0),0))</f>
        <v>0</v>
      </c>
      <c r="W517" s="85" t="str">
        <f>IF(L517="","Open",IF(OR(P517&lt;[1]Setup!$B$6,Q517&gt;[1]Setup!$B$7,R517&gt;[1]Setup!$B$8,O517&gt;[1]Setup!$B$10),"Review","OK"))</f>
        <v>Open</v>
      </c>
      <c r="X517" s="86"/>
      <c r="Z517" s="81" t="str">
        <f t="shared" ref="Z517:Z580" si="102">+LEFT(F517,3)</f>
        <v/>
      </c>
    </row>
    <row r="518" spans="1:26" x14ac:dyDescent="0.3">
      <c r="A518" s="84"/>
      <c r="B518" s="100">
        <f t="shared" si="100"/>
        <v>0</v>
      </c>
      <c r="C518" s="84" t="str">
        <f t="shared" si="101"/>
        <v>January</v>
      </c>
      <c r="D518" s="85" t="str">
        <f t="shared" si="99"/>
        <v/>
      </c>
      <c r="E518" s="86"/>
      <c r="F518" s="86"/>
      <c r="G518" s="86"/>
      <c r="H518" s="86"/>
      <c r="I518" s="87" t="str">
        <f>IF(F518=0,"",IF(COUNTIF(F518,"Bao"),[1]Setup!$B$4,IF(COUNTIF(F518,"Soup Dumplings"),[1]Setup!$B$5,F518)))</f>
        <v/>
      </c>
      <c r="J518" s="88" t="str">
        <f t="shared" si="93"/>
        <v/>
      </c>
      <c r="K518" s="88"/>
      <c r="L518" s="87"/>
      <c r="M518" s="87"/>
      <c r="N518" s="87"/>
      <c r="O518" s="87"/>
      <c r="P518" s="89" t="str">
        <f t="shared" si="94"/>
        <v/>
      </c>
      <c r="Q518" s="89" t="str">
        <f t="shared" si="95"/>
        <v/>
      </c>
      <c r="R518" s="89" t="str">
        <f t="shared" si="96"/>
        <v/>
      </c>
      <c r="S518" s="88" t="str">
        <f>IF(F518="Bao",[1]Setup!$B$4,IF(F518="Soup Dumplings",[1]Setup!$B$5,""))</f>
        <v/>
      </c>
      <c r="T518" s="88" t="str">
        <f t="shared" si="97"/>
        <v/>
      </c>
      <c r="U518" s="84" t="str">
        <f t="shared" si="98"/>
        <v/>
      </c>
      <c r="V518" s="88">
        <f>IF(U518="",0,MAX(0,T518)+N518+ROUND(J518*[1]Setup!$B$9,0)+IF(O518&gt;[1]Setup!$B$10,ROUND(J518*[1]Setup!$B$11,0),0))</f>
        <v>0</v>
      </c>
      <c r="W518" s="85" t="str">
        <f>IF(L518="","Open",IF(OR(P518&lt;[1]Setup!$B$6,Q518&gt;[1]Setup!$B$7,R518&gt;[1]Setup!$B$8,O518&gt;[1]Setup!$B$10),"Review","OK"))</f>
        <v>Open</v>
      </c>
      <c r="X518" s="86"/>
      <c r="Z518" s="81" t="str">
        <f t="shared" si="102"/>
        <v/>
      </c>
    </row>
    <row r="519" spans="1:26" x14ac:dyDescent="0.3">
      <c r="A519" s="84"/>
      <c r="B519" s="100">
        <f t="shared" si="100"/>
        <v>0</v>
      </c>
      <c r="C519" s="84" t="str">
        <f t="shared" si="101"/>
        <v>January</v>
      </c>
      <c r="D519" s="85" t="str">
        <f t="shared" si="99"/>
        <v/>
      </c>
      <c r="E519" s="86"/>
      <c r="F519" s="86"/>
      <c r="G519" s="86"/>
      <c r="H519" s="86"/>
      <c r="I519" s="87" t="str">
        <f>IF(F519=0,"",IF(COUNTIF(F519,"Bao"),[1]Setup!$B$4,IF(COUNTIF(F519,"Soup Dumplings"),[1]Setup!$B$5,F519)))</f>
        <v/>
      </c>
      <c r="J519" s="88" t="str">
        <f t="shared" si="93"/>
        <v/>
      </c>
      <c r="K519" s="88"/>
      <c r="L519" s="87"/>
      <c r="M519" s="87"/>
      <c r="N519" s="87"/>
      <c r="O519" s="87"/>
      <c r="P519" s="89" t="str">
        <f t="shared" si="94"/>
        <v/>
      </c>
      <c r="Q519" s="89" t="str">
        <f t="shared" si="95"/>
        <v/>
      </c>
      <c r="R519" s="89" t="str">
        <f t="shared" si="96"/>
        <v/>
      </c>
      <c r="S519" s="88" t="str">
        <f>IF(F519="Bao",[1]Setup!$B$4,IF(F519="Soup Dumplings",[1]Setup!$B$5,""))</f>
        <v/>
      </c>
      <c r="T519" s="88" t="str">
        <f t="shared" si="97"/>
        <v/>
      </c>
      <c r="U519" s="84" t="str">
        <f t="shared" si="98"/>
        <v/>
      </c>
      <c r="V519" s="88">
        <f>IF(U519="",0,MAX(0,T519)+N519+ROUND(J519*[1]Setup!$B$9,0)+IF(O519&gt;[1]Setup!$B$10,ROUND(J519*[1]Setup!$B$11,0),0))</f>
        <v>0</v>
      </c>
      <c r="W519" s="85" t="str">
        <f>IF(L519="","Open",IF(OR(P519&lt;[1]Setup!$B$6,Q519&gt;[1]Setup!$B$7,R519&gt;[1]Setup!$B$8,O519&gt;[1]Setup!$B$10),"Review","OK"))</f>
        <v>Open</v>
      </c>
      <c r="X519" s="86"/>
      <c r="Z519" s="81" t="str">
        <f t="shared" si="102"/>
        <v/>
      </c>
    </row>
    <row r="520" spans="1:26" x14ac:dyDescent="0.3">
      <c r="A520" s="84"/>
      <c r="B520" s="100">
        <f t="shared" si="100"/>
        <v>0</v>
      </c>
      <c r="C520" s="84" t="str">
        <f t="shared" si="101"/>
        <v>January</v>
      </c>
      <c r="D520" s="85" t="str">
        <f t="shared" si="99"/>
        <v/>
      </c>
      <c r="E520" s="86"/>
      <c r="F520" s="86"/>
      <c r="G520" s="86"/>
      <c r="H520" s="86"/>
      <c r="I520" s="87" t="str">
        <f>IF(F520=0,"",IF(COUNTIF(F520,"Bao"),[1]Setup!$B$4,IF(COUNTIF(F520,"Soup Dumplings"),[1]Setup!$B$5,F520)))</f>
        <v/>
      </c>
      <c r="J520" s="88" t="str">
        <f t="shared" si="93"/>
        <v/>
      </c>
      <c r="K520" s="88"/>
      <c r="L520" s="87"/>
      <c r="M520" s="87"/>
      <c r="N520" s="87"/>
      <c r="O520" s="87"/>
      <c r="P520" s="89" t="str">
        <f t="shared" si="94"/>
        <v/>
      </c>
      <c r="Q520" s="89" t="str">
        <f t="shared" si="95"/>
        <v/>
      </c>
      <c r="R520" s="89" t="str">
        <f t="shared" si="96"/>
        <v/>
      </c>
      <c r="S520" s="88" t="str">
        <f>IF(F520="Bao",[1]Setup!$B$4,IF(F520="Soup Dumplings",[1]Setup!$B$5,""))</f>
        <v/>
      </c>
      <c r="T520" s="88" t="str">
        <f t="shared" si="97"/>
        <v/>
      </c>
      <c r="U520" s="84" t="str">
        <f t="shared" si="98"/>
        <v/>
      </c>
      <c r="V520" s="88">
        <f>IF(U520="",0,MAX(0,T520)+N520+ROUND(J520*[1]Setup!$B$9,0)+IF(O520&gt;[1]Setup!$B$10,ROUND(J520*[1]Setup!$B$11,0),0))</f>
        <v>0</v>
      </c>
      <c r="W520" s="85" t="str">
        <f>IF(L520="","Open",IF(OR(P520&lt;[1]Setup!$B$6,Q520&gt;[1]Setup!$B$7,R520&gt;[1]Setup!$B$8,O520&gt;[1]Setup!$B$10),"Review","OK"))</f>
        <v>Open</v>
      </c>
      <c r="X520" s="86"/>
      <c r="Z520" s="81" t="str">
        <f t="shared" si="102"/>
        <v/>
      </c>
    </row>
    <row r="521" spans="1:26" x14ac:dyDescent="0.3">
      <c r="A521" s="84"/>
      <c r="B521" s="100">
        <f t="shared" si="100"/>
        <v>0</v>
      </c>
      <c r="C521" s="84" t="str">
        <f t="shared" si="101"/>
        <v>January</v>
      </c>
      <c r="D521" s="85" t="str">
        <f t="shared" si="99"/>
        <v/>
      </c>
      <c r="E521" s="86"/>
      <c r="F521" s="86"/>
      <c r="G521" s="86"/>
      <c r="H521" s="86"/>
      <c r="I521" s="87" t="str">
        <f>IF(F521=0,"",IF(COUNTIF(F521,"Bao"),[1]Setup!$B$4,IF(COUNTIF(F521,"Soup Dumplings"),[1]Setup!$B$5,F521)))</f>
        <v/>
      </c>
      <c r="J521" s="88" t="str">
        <f t="shared" si="93"/>
        <v/>
      </c>
      <c r="K521" s="88"/>
      <c r="L521" s="87"/>
      <c r="M521" s="87"/>
      <c r="N521" s="87"/>
      <c r="O521" s="87"/>
      <c r="P521" s="89" t="str">
        <f t="shared" si="94"/>
        <v/>
      </c>
      <c r="Q521" s="89" t="str">
        <f t="shared" si="95"/>
        <v/>
      </c>
      <c r="R521" s="89" t="str">
        <f t="shared" si="96"/>
        <v/>
      </c>
      <c r="S521" s="88" t="str">
        <f>IF(F521="Bao",[1]Setup!$B$4,IF(F521="Soup Dumplings",[1]Setup!$B$5,""))</f>
        <v/>
      </c>
      <c r="T521" s="88" t="str">
        <f t="shared" si="97"/>
        <v/>
      </c>
      <c r="U521" s="84" t="str">
        <f t="shared" si="98"/>
        <v/>
      </c>
      <c r="V521" s="88">
        <f>IF(U521="",0,MAX(0,T521)+N521+ROUND(J521*[1]Setup!$B$9,0)+IF(O521&gt;[1]Setup!$B$10,ROUND(J521*[1]Setup!$B$11,0),0))</f>
        <v>0</v>
      </c>
      <c r="W521" s="85" t="str">
        <f>IF(L521="","Open",IF(OR(P521&lt;[1]Setup!$B$6,Q521&gt;[1]Setup!$B$7,R521&gt;[1]Setup!$B$8,O521&gt;[1]Setup!$B$10),"Review","OK"))</f>
        <v>Open</v>
      </c>
      <c r="X521" s="86"/>
      <c r="Z521" s="81" t="str">
        <f t="shared" si="102"/>
        <v/>
      </c>
    </row>
    <row r="522" spans="1:26" x14ac:dyDescent="0.3">
      <c r="A522" s="84"/>
      <c r="B522" s="100">
        <f t="shared" si="100"/>
        <v>0</v>
      </c>
      <c r="C522" s="84" t="str">
        <f t="shared" si="101"/>
        <v>January</v>
      </c>
      <c r="D522" s="85" t="str">
        <f t="shared" si="99"/>
        <v/>
      </c>
      <c r="E522" s="86"/>
      <c r="F522" s="86"/>
      <c r="G522" s="86"/>
      <c r="H522" s="86"/>
      <c r="I522" s="87" t="str">
        <f>IF(F522=0,"",IF(COUNTIF(F522,"Bao"),[1]Setup!$B$4,IF(COUNTIF(F522,"Soup Dumplings"),[1]Setup!$B$5,F522)))</f>
        <v/>
      </c>
      <c r="J522" s="88" t="str">
        <f t="shared" si="93"/>
        <v/>
      </c>
      <c r="K522" s="88"/>
      <c r="L522" s="87"/>
      <c r="M522" s="87"/>
      <c r="N522" s="87"/>
      <c r="O522" s="87"/>
      <c r="P522" s="89" t="str">
        <f t="shared" si="94"/>
        <v/>
      </c>
      <c r="Q522" s="89" t="str">
        <f t="shared" si="95"/>
        <v/>
      </c>
      <c r="R522" s="89" t="str">
        <f t="shared" si="96"/>
        <v/>
      </c>
      <c r="S522" s="88" t="str">
        <f>IF(F522="Bao",[1]Setup!$B$4,IF(F522="Soup Dumplings",[1]Setup!$B$5,""))</f>
        <v/>
      </c>
      <c r="T522" s="88" t="str">
        <f t="shared" si="97"/>
        <v/>
      </c>
      <c r="U522" s="84" t="str">
        <f t="shared" si="98"/>
        <v/>
      </c>
      <c r="V522" s="88">
        <f>IF(U522="",0,MAX(0,T522)+N522+ROUND(J522*[1]Setup!$B$9,0)+IF(O522&gt;[1]Setup!$B$10,ROUND(J522*[1]Setup!$B$11,0),0))</f>
        <v>0</v>
      </c>
      <c r="W522" s="85" t="str">
        <f>IF(L522="","Open",IF(OR(P522&lt;[1]Setup!$B$6,Q522&gt;[1]Setup!$B$7,R522&gt;[1]Setup!$B$8,O522&gt;[1]Setup!$B$10),"Review","OK"))</f>
        <v>Open</v>
      </c>
      <c r="X522" s="86"/>
      <c r="Z522" s="81" t="str">
        <f t="shared" si="102"/>
        <v/>
      </c>
    </row>
    <row r="523" spans="1:26" x14ac:dyDescent="0.3">
      <c r="A523" s="84"/>
      <c r="B523" s="100">
        <f t="shared" si="100"/>
        <v>0</v>
      </c>
      <c r="C523" s="84" t="str">
        <f t="shared" si="101"/>
        <v>January</v>
      </c>
      <c r="D523" s="85" t="str">
        <f t="shared" si="99"/>
        <v/>
      </c>
      <c r="E523" s="86"/>
      <c r="F523" s="86"/>
      <c r="G523" s="86"/>
      <c r="H523" s="86"/>
      <c r="I523" s="87" t="str">
        <f>IF(F523=0,"",IF(COUNTIF(F523,"Bao"),[1]Setup!$B$4,IF(COUNTIF(F523,"Soup Dumplings"),[1]Setup!$B$5,F523)))</f>
        <v/>
      </c>
      <c r="J523" s="88" t="str">
        <f t="shared" si="93"/>
        <v/>
      </c>
      <c r="K523" s="88"/>
      <c r="L523" s="87"/>
      <c r="M523" s="87"/>
      <c r="N523" s="87"/>
      <c r="O523" s="87"/>
      <c r="P523" s="89" t="str">
        <f t="shared" si="94"/>
        <v/>
      </c>
      <c r="Q523" s="89" t="str">
        <f t="shared" si="95"/>
        <v/>
      </c>
      <c r="R523" s="89" t="str">
        <f t="shared" si="96"/>
        <v/>
      </c>
      <c r="S523" s="88" t="str">
        <f>IF(F523="Bao",[1]Setup!$B$4,IF(F523="Soup Dumplings",[1]Setup!$B$5,""))</f>
        <v/>
      </c>
      <c r="T523" s="88" t="str">
        <f t="shared" si="97"/>
        <v/>
      </c>
      <c r="U523" s="84" t="str">
        <f t="shared" si="98"/>
        <v/>
      </c>
      <c r="V523" s="88">
        <f>IF(U523="",0,MAX(0,T523)+N523+ROUND(J523*[1]Setup!$B$9,0)+IF(O523&gt;[1]Setup!$B$10,ROUND(J523*[1]Setup!$B$11,0),0))</f>
        <v>0</v>
      </c>
      <c r="W523" s="85" t="str">
        <f>IF(L523="","Open",IF(OR(P523&lt;[1]Setup!$B$6,Q523&gt;[1]Setup!$B$7,R523&gt;[1]Setup!$B$8,O523&gt;[1]Setup!$B$10),"Review","OK"))</f>
        <v>Open</v>
      </c>
      <c r="X523" s="86"/>
      <c r="Z523" s="81" t="str">
        <f t="shared" si="102"/>
        <v/>
      </c>
    </row>
    <row r="524" spans="1:26" x14ac:dyDescent="0.3">
      <c r="A524" s="84"/>
      <c r="B524" s="100">
        <f t="shared" si="100"/>
        <v>0</v>
      </c>
      <c r="C524" s="84" t="str">
        <f t="shared" si="101"/>
        <v>January</v>
      </c>
      <c r="D524" s="85" t="str">
        <f t="shared" si="99"/>
        <v/>
      </c>
      <c r="E524" s="86"/>
      <c r="F524" s="86"/>
      <c r="G524" s="86"/>
      <c r="H524" s="86"/>
      <c r="I524" s="87" t="str">
        <f>IF(F524=0,"",IF(COUNTIF(F524,"Bao"),[1]Setup!$B$4,IF(COUNTIF(F524,"Soup Dumplings"),[1]Setup!$B$5,F524)))</f>
        <v/>
      </c>
      <c r="J524" s="88" t="str">
        <f t="shared" si="93"/>
        <v/>
      </c>
      <c r="K524" s="88"/>
      <c r="L524" s="87"/>
      <c r="M524" s="87"/>
      <c r="N524" s="87"/>
      <c r="O524" s="87"/>
      <c r="P524" s="89" t="str">
        <f t="shared" si="94"/>
        <v/>
      </c>
      <c r="Q524" s="89" t="str">
        <f t="shared" si="95"/>
        <v/>
      </c>
      <c r="R524" s="89" t="str">
        <f t="shared" si="96"/>
        <v/>
      </c>
      <c r="S524" s="88" t="str">
        <f>IF(F524="Bao",[1]Setup!$B$4,IF(F524="Soup Dumplings",[1]Setup!$B$5,""))</f>
        <v/>
      </c>
      <c r="T524" s="88" t="str">
        <f t="shared" si="97"/>
        <v/>
      </c>
      <c r="U524" s="84" t="str">
        <f t="shared" si="98"/>
        <v/>
      </c>
      <c r="V524" s="88">
        <f>IF(U524="",0,MAX(0,T524)+N524+ROUND(J524*[1]Setup!$B$9,0)+IF(O524&gt;[1]Setup!$B$10,ROUND(J524*[1]Setup!$B$11,0),0))</f>
        <v>0</v>
      </c>
      <c r="W524" s="85" t="str">
        <f>IF(L524="","Open",IF(OR(P524&lt;[1]Setup!$B$6,Q524&gt;[1]Setup!$B$7,R524&gt;[1]Setup!$B$8,O524&gt;[1]Setup!$B$10),"Review","OK"))</f>
        <v>Open</v>
      </c>
      <c r="X524" s="86"/>
      <c r="Z524" s="81" t="str">
        <f t="shared" si="102"/>
        <v/>
      </c>
    </row>
    <row r="525" spans="1:26" x14ac:dyDescent="0.3">
      <c r="A525" s="84"/>
      <c r="B525" s="100">
        <f t="shared" si="100"/>
        <v>0</v>
      </c>
      <c r="C525" s="84" t="str">
        <f t="shared" si="101"/>
        <v>January</v>
      </c>
      <c r="D525" s="85" t="str">
        <f t="shared" si="99"/>
        <v/>
      </c>
      <c r="E525" s="86"/>
      <c r="F525" s="86"/>
      <c r="G525" s="86"/>
      <c r="H525" s="86"/>
      <c r="I525" s="87" t="str">
        <f>IF(F525=0,"",IF(COUNTIF(F525,"Bao"),[1]Setup!$B$4,IF(COUNTIF(F525,"Soup Dumplings"),[1]Setup!$B$5,F525)))</f>
        <v/>
      </c>
      <c r="J525" s="88" t="str">
        <f t="shared" si="93"/>
        <v/>
      </c>
      <c r="K525" s="88"/>
      <c r="L525" s="87"/>
      <c r="M525" s="87"/>
      <c r="N525" s="87"/>
      <c r="O525" s="87"/>
      <c r="P525" s="89" t="str">
        <f t="shared" si="94"/>
        <v/>
      </c>
      <c r="Q525" s="89" t="str">
        <f t="shared" si="95"/>
        <v/>
      </c>
      <c r="R525" s="89" t="str">
        <f t="shared" si="96"/>
        <v/>
      </c>
      <c r="S525" s="88" t="str">
        <f>IF(F525="Bao",[1]Setup!$B$4,IF(F525="Soup Dumplings",[1]Setup!$B$5,""))</f>
        <v/>
      </c>
      <c r="T525" s="88" t="str">
        <f t="shared" si="97"/>
        <v/>
      </c>
      <c r="U525" s="84" t="str">
        <f t="shared" si="98"/>
        <v/>
      </c>
      <c r="V525" s="88">
        <f>IF(U525="",0,MAX(0,T525)+N525+ROUND(J525*[1]Setup!$B$9,0)+IF(O525&gt;[1]Setup!$B$10,ROUND(J525*[1]Setup!$B$11,0),0))</f>
        <v>0</v>
      </c>
      <c r="W525" s="85" t="str">
        <f>IF(L525="","Open",IF(OR(P525&lt;[1]Setup!$B$6,Q525&gt;[1]Setup!$B$7,R525&gt;[1]Setup!$B$8,O525&gt;[1]Setup!$B$10),"Review","OK"))</f>
        <v>Open</v>
      </c>
      <c r="X525" s="86"/>
      <c r="Z525" s="81" t="str">
        <f t="shared" si="102"/>
        <v/>
      </c>
    </row>
    <row r="526" spans="1:26" x14ac:dyDescent="0.3">
      <c r="A526" s="84"/>
      <c r="B526" s="100">
        <f t="shared" si="100"/>
        <v>0</v>
      </c>
      <c r="C526" s="84" t="str">
        <f t="shared" si="101"/>
        <v>January</v>
      </c>
      <c r="D526" s="85" t="str">
        <f t="shared" si="99"/>
        <v/>
      </c>
      <c r="E526" s="86"/>
      <c r="F526" s="86"/>
      <c r="G526" s="86"/>
      <c r="H526" s="86"/>
      <c r="I526" s="87" t="str">
        <f>IF(F526=0,"",IF(COUNTIF(F526,"Bao"),[1]Setup!$B$4,IF(COUNTIF(F526,"Soup Dumplings"),[1]Setup!$B$5,F526)))</f>
        <v/>
      </c>
      <c r="J526" s="88" t="str">
        <f t="shared" si="93"/>
        <v/>
      </c>
      <c r="K526" s="88"/>
      <c r="L526" s="87"/>
      <c r="M526" s="87"/>
      <c r="N526" s="87"/>
      <c r="O526" s="87"/>
      <c r="P526" s="89" t="str">
        <f t="shared" si="94"/>
        <v/>
      </c>
      <c r="Q526" s="89" t="str">
        <f t="shared" si="95"/>
        <v/>
      </c>
      <c r="R526" s="89" t="str">
        <f t="shared" si="96"/>
        <v/>
      </c>
      <c r="S526" s="88" t="str">
        <f>IF(F526="Bao",[1]Setup!$B$4,IF(F526="Soup Dumplings",[1]Setup!$B$5,""))</f>
        <v/>
      </c>
      <c r="T526" s="88" t="str">
        <f t="shared" si="97"/>
        <v/>
      </c>
      <c r="U526" s="84" t="str">
        <f t="shared" si="98"/>
        <v/>
      </c>
      <c r="V526" s="88">
        <f>IF(U526="",0,MAX(0,T526)+N526+ROUND(J526*[1]Setup!$B$9,0)+IF(O526&gt;[1]Setup!$B$10,ROUND(J526*[1]Setup!$B$11,0),0))</f>
        <v>0</v>
      </c>
      <c r="W526" s="85" t="str">
        <f>IF(L526="","Open",IF(OR(P526&lt;[1]Setup!$B$6,Q526&gt;[1]Setup!$B$7,R526&gt;[1]Setup!$B$8,O526&gt;[1]Setup!$B$10),"Review","OK"))</f>
        <v>Open</v>
      </c>
      <c r="X526" s="86"/>
      <c r="Z526" s="81" t="str">
        <f t="shared" si="102"/>
        <v/>
      </c>
    </row>
    <row r="527" spans="1:26" x14ac:dyDescent="0.3">
      <c r="A527" s="84"/>
      <c r="B527" s="100">
        <f t="shared" si="100"/>
        <v>0</v>
      </c>
      <c r="C527" s="84" t="str">
        <f t="shared" si="101"/>
        <v>January</v>
      </c>
      <c r="D527" s="85" t="str">
        <f t="shared" si="99"/>
        <v/>
      </c>
      <c r="E527" s="86"/>
      <c r="F527" s="86"/>
      <c r="G527" s="86"/>
      <c r="H527" s="86"/>
      <c r="I527" s="87" t="str">
        <f>IF(F527=0,"",IF(COUNTIF(F527,"Bao"),[1]Setup!$B$4,IF(COUNTIF(F527,"Soup Dumplings"),[1]Setup!$B$5,F527)))</f>
        <v/>
      </c>
      <c r="J527" s="88" t="str">
        <f t="shared" si="93"/>
        <v/>
      </c>
      <c r="K527" s="88"/>
      <c r="L527" s="87"/>
      <c r="M527" s="87"/>
      <c r="N527" s="87"/>
      <c r="O527" s="87"/>
      <c r="P527" s="89" t="str">
        <f t="shared" si="94"/>
        <v/>
      </c>
      <c r="Q527" s="89" t="str">
        <f t="shared" si="95"/>
        <v/>
      </c>
      <c r="R527" s="89" t="str">
        <f t="shared" si="96"/>
        <v/>
      </c>
      <c r="S527" s="88" t="str">
        <f>IF(F527="Bao",[1]Setup!$B$4,IF(F527="Soup Dumplings",[1]Setup!$B$5,""))</f>
        <v/>
      </c>
      <c r="T527" s="88" t="str">
        <f t="shared" si="97"/>
        <v/>
      </c>
      <c r="U527" s="84" t="str">
        <f t="shared" si="98"/>
        <v/>
      </c>
      <c r="V527" s="88">
        <f>IF(U527="",0,MAX(0,T527)+N527+ROUND(J527*[1]Setup!$B$9,0)+IF(O527&gt;[1]Setup!$B$10,ROUND(J527*[1]Setup!$B$11,0),0))</f>
        <v>0</v>
      </c>
      <c r="W527" s="85" t="str">
        <f>IF(L527="","Open",IF(OR(P527&lt;[1]Setup!$B$6,Q527&gt;[1]Setup!$B$7,R527&gt;[1]Setup!$B$8,O527&gt;[1]Setup!$B$10),"Review","OK"))</f>
        <v>Open</v>
      </c>
      <c r="X527" s="86"/>
      <c r="Z527" s="81" t="str">
        <f t="shared" si="102"/>
        <v/>
      </c>
    </row>
    <row r="528" spans="1:26" x14ac:dyDescent="0.3">
      <c r="A528" s="84"/>
      <c r="B528" s="100">
        <f t="shared" si="100"/>
        <v>0</v>
      </c>
      <c r="C528" s="84" t="str">
        <f t="shared" si="101"/>
        <v>January</v>
      </c>
      <c r="D528" s="85" t="str">
        <f t="shared" si="99"/>
        <v/>
      </c>
      <c r="E528" s="86"/>
      <c r="F528" s="86"/>
      <c r="G528" s="86"/>
      <c r="H528" s="86"/>
      <c r="I528" s="87" t="str">
        <f>IF(F528=0,"",IF(COUNTIF(F528,"Bao"),[1]Setup!$B$4,IF(COUNTIF(F528,"Soup Dumplings"),[1]Setup!$B$5,F528)))</f>
        <v/>
      </c>
      <c r="J528" s="88" t="str">
        <f t="shared" si="93"/>
        <v/>
      </c>
      <c r="K528" s="88"/>
      <c r="L528" s="87"/>
      <c r="M528" s="87"/>
      <c r="N528" s="87"/>
      <c r="O528" s="87"/>
      <c r="P528" s="89" t="str">
        <f t="shared" si="94"/>
        <v/>
      </c>
      <c r="Q528" s="89" t="str">
        <f t="shared" si="95"/>
        <v/>
      </c>
      <c r="R528" s="89" t="str">
        <f t="shared" si="96"/>
        <v/>
      </c>
      <c r="S528" s="88" t="str">
        <f>IF(F528="Bao",[1]Setup!$B$4,IF(F528="Soup Dumplings",[1]Setup!$B$5,""))</f>
        <v/>
      </c>
      <c r="T528" s="88" t="str">
        <f t="shared" si="97"/>
        <v/>
      </c>
      <c r="U528" s="84" t="str">
        <f t="shared" si="98"/>
        <v/>
      </c>
      <c r="V528" s="88">
        <f>IF(U528="",0,MAX(0,T528)+N528+ROUND(J528*[1]Setup!$B$9,0)+IF(O528&gt;[1]Setup!$B$10,ROUND(J528*[1]Setup!$B$11,0),0))</f>
        <v>0</v>
      </c>
      <c r="W528" s="85" t="str">
        <f>IF(L528="","Open",IF(OR(P528&lt;[1]Setup!$B$6,Q528&gt;[1]Setup!$B$7,R528&gt;[1]Setup!$B$8,O528&gt;[1]Setup!$B$10),"Review","OK"))</f>
        <v>Open</v>
      </c>
      <c r="X528" s="86"/>
      <c r="Z528" s="81" t="str">
        <f t="shared" si="102"/>
        <v/>
      </c>
    </row>
    <row r="529" spans="1:26" x14ac:dyDescent="0.3">
      <c r="A529" s="84"/>
      <c r="B529" s="100">
        <f t="shared" si="100"/>
        <v>0</v>
      </c>
      <c r="C529" s="84" t="str">
        <f t="shared" si="101"/>
        <v>January</v>
      </c>
      <c r="D529" s="85" t="str">
        <f t="shared" si="99"/>
        <v/>
      </c>
      <c r="E529" s="86"/>
      <c r="F529" s="86"/>
      <c r="G529" s="86"/>
      <c r="H529" s="86"/>
      <c r="I529" s="87" t="str">
        <f>IF(F529=0,"",IF(COUNTIF(F529,"Bao"),[1]Setup!$B$4,IF(COUNTIF(F529,"Soup Dumplings"),[1]Setup!$B$5,F529)))</f>
        <v/>
      </c>
      <c r="J529" s="88" t="str">
        <f t="shared" si="93"/>
        <v/>
      </c>
      <c r="K529" s="88"/>
      <c r="L529" s="87"/>
      <c r="M529" s="87"/>
      <c r="N529" s="87"/>
      <c r="O529" s="87"/>
      <c r="P529" s="89" t="str">
        <f t="shared" si="94"/>
        <v/>
      </c>
      <c r="Q529" s="89" t="str">
        <f t="shared" si="95"/>
        <v/>
      </c>
      <c r="R529" s="89" t="str">
        <f t="shared" si="96"/>
        <v/>
      </c>
      <c r="S529" s="88" t="str">
        <f>IF(F529="Bao",[1]Setup!$B$4,IF(F529="Soup Dumplings",[1]Setup!$B$5,""))</f>
        <v/>
      </c>
      <c r="T529" s="88" t="str">
        <f t="shared" si="97"/>
        <v/>
      </c>
      <c r="U529" s="84" t="str">
        <f t="shared" si="98"/>
        <v/>
      </c>
      <c r="V529" s="88">
        <f>IF(U529="",0,MAX(0,T529)+N529+ROUND(J529*[1]Setup!$B$9,0)+IF(O529&gt;[1]Setup!$B$10,ROUND(J529*[1]Setup!$B$11,0),0))</f>
        <v>0</v>
      </c>
      <c r="W529" s="85" t="str">
        <f>IF(L529="","Open",IF(OR(P529&lt;[1]Setup!$B$6,Q529&gt;[1]Setup!$B$7,R529&gt;[1]Setup!$B$8,O529&gt;[1]Setup!$B$10),"Review","OK"))</f>
        <v>Open</v>
      </c>
      <c r="X529" s="86"/>
      <c r="Z529" s="81" t="str">
        <f t="shared" si="102"/>
        <v/>
      </c>
    </row>
    <row r="530" spans="1:26" x14ac:dyDescent="0.3">
      <c r="A530" s="84"/>
      <c r="B530" s="100">
        <f t="shared" si="100"/>
        <v>0</v>
      </c>
      <c r="C530" s="84" t="str">
        <f t="shared" si="101"/>
        <v>January</v>
      </c>
      <c r="D530" s="85" t="str">
        <f t="shared" si="99"/>
        <v/>
      </c>
      <c r="E530" s="86"/>
      <c r="F530" s="86"/>
      <c r="G530" s="86"/>
      <c r="H530" s="86"/>
      <c r="I530" s="87" t="str">
        <f>IF(F530=0,"",IF(COUNTIF(F530,"Bao"),[1]Setup!$B$4,IF(COUNTIF(F530,"Soup Dumplings"),[1]Setup!$B$5,F530)))</f>
        <v/>
      </c>
      <c r="J530" s="88" t="str">
        <f t="shared" si="93"/>
        <v/>
      </c>
      <c r="K530" s="88"/>
      <c r="L530" s="87"/>
      <c r="M530" s="87"/>
      <c r="N530" s="87"/>
      <c r="O530" s="87"/>
      <c r="P530" s="89" t="str">
        <f t="shared" si="94"/>
        <v/>
      </c>
      <c r="Q530" s="89" t="str">
        <f t="shared" si="95"/>
        <v/>
      </c>
      <c r="R530" s="89" t="str">
        <f t="shared" si="96"/>
        <v/>
      </c>
      <c r="S530" s="88" t="str">
        <f>IF(F530="Bao",[1]Setup!$B$4,IF(F530="Soup Dumplings",[1]Setup!$B$5,""))</f>
        <v/>
      </c>
      <c r="T530" s="88" t="str">
        <f t="shared" si="97"/>
        <v/>
      </c>
      <c r="U530" s="84" t="str">
        <f t="shared" si="98"/>
        <v/>
      </c>
      <c r="V530" s="88">
        <f>IF(U530="",0,MAX(0,T530)+N530+ROUND(J530*[1]Setup!$B$9,0)+IF(O530&gt;[1]Setup!$B$10,ROUND(J530*[1]Setup!$B$11,0),0))</f>
        <v>0</v>
      </c>
      <c r="W530" s="85" t="str">
        <f>IF(L530="","Open",IF(OR(P530&lt;[1]Setup!$B$6,Q530&gt;[1]Setup!$B$7,R530&gt;[1]Setup!$B$8,O530&gt;[1]Setup!$B$10),"Review","OK"))</f>
        <v>Open</v>
      </c>
      <c r="X530" s="86"/>
      <c r="Z530" s="81" t="str">
        <f t="shared" si="102"/>
        <v/>
      </c>
    </row>
    <row r="531" spans="1:26" x14ac:dyDescent="0.3">
      <c r="A531" s="84"/>
      <c r="B531" s="100">
        <f t="shared" si="100"/>
        <v>0</v>
      </c>
      <c r="C531" s="84" t="str">
        <f t="shared" si="101"/>
        <v>January</v>
      </c>
      <c r="D531" s="85" t="str">
        <f t="shared" si="99"/>
        <v/>
      </c>
      <c r="E531" s="86"/>
      <c r="F531" s="86"/>
      <c r="G531" s="86"/>
      <c r="H531" s="86"/>
      <c r="I531" s="87" t="str">
        <f>IF(F531=0,"",IF(COUNTIF(F531,"Bao"),[1]Setup!$B$4,IF(COUNTIF(F531,"Soup Dumplings"),[1]Setup!$B$5,F531)))</f>
        <v/>
      </c>
      <c r="J531" s="88" t="str">
        <f t="shared" si="93"/>
        <v/>
      </c>
      <c r="K531" s="88"/>
      <c r="L531" s="87"/>
      <c r="M531" s="87"/>
      <c r="N531" s="87"/>
      <c r="O531" s="87"/>
      <c r="P531" s="89" t="str">
        <f t="shared" si="94"/>
        <v/>
      </c>
      <c r="Q531" s="89" t="str">
        <f t="shared" si="95"/>
        <v/>
      </c>
      <c r="R531" s="89" t="str">
        <f t="shared" si="96"/>
        <v/>
      </c>
      <c r="S531" s="88" t="str">
        <f>IF(F531="Bao",[1]Setup!$B$4,IF(F531="Soup Dumplings",[1]Setup!$B$5,""))</f>
        <v/>
      </c>
      <c r="T531" s="88" t="str">
        <f t="shared" si="97"/>
        <v/>
      </c>
      <c r="U531" s="84" t="str">
        <f t="shared" si="98"/>
        <v/>
      </c>
      <c r="V531" s="88">
        <f>IF(U531="",0,MAX(0,T531)+N531+ROUND(J531*[1]Setup!$B$9,0)+IF(O531&gt;[1]Setup!$B$10,ROUND(J531*[1]Setup!$B$11,0),0))</f>
        <v>0</v>
      </c>
      <c r="W531" s="85" t="str">
        <f>IF(L531="","Open",IF(OR(P531&lt;[1]Setup!$B$6,Q531&gt;[1]Setup!$B$7,R531&gt;[1]Setup!$B$8,O531&gt;[1]Setup!$B$10),"Review","OK"))</f>
        <v>Open</v>
      </c>
      <c r="X531" s="86"/>
      <c r="Z531" s="81" t="str">
        <f t="shared" si="102"/>
        <v/>
      </c>
    </row>
    <row r="532" spans="1:26" x14ac:dyDescent="0.3">
      <c r="A532" s="84"/>
      <c r="B532" s="100">
        <f t="shared" si="100"/>
        <v>0</v>
      </c>
      <c r="C532" s="84" t="str">
        <f t="shared" si="101"/>
        <v>January</v>
      </c>
      <c r="D532" s="85" t="str">
        <f t="shared" si="99"/>
        <v/>
      </c>
      <c r="E532" s="86"/>
      <c r="F532" s="86"/>
      <c r="G532" s="86"/>
      <c r="H532" s="86"/>
      <c r="I532" s="87" t="str">
        <f>IF(F532=0,"",IF(COUNTIF(F532,"Bao"),[1]Setup!$B$4,IF(COUNTIF(F532,"Soup Dumplings"),[1]Setup!$B$5,F532)))</f>
        <v/>
      </c>
      <c r="J532" s="88" t="str">
        <f t="shared" si="93"/>
        <v/>
      </c>
      <c r="K532" s="88"/>
      <c r="L532" s="87"/>
      <c r="M532" s="87"/>
      <c r="N532" s="87"/>
      <c r="O532" s="87"/>
      <c r="P532" s="89" t="str">
        <f t="shared" si="94"/>
        <v/>
      </c>
      <c r="Q532" s="89" t="str">
        <f t="shared" si="95"/>
        <v/>
      </c>
      <c r="R532" s="89" t="str">
        <f t="shared" si="96"/>
        <v/>
      </c>
      <c r="S532" s="88" t="str">
        <f>IF(F532="Bao",[1]Setup!$B$4,IF(F532="Soup Dumplings",[1]Setup!$B$5,""))</f>
        <v/>
      </c>
      <c r="T532" s="88" t="str">
        <f t="shared" si="97"/>
        <v/>
      </c>
      <c r="U532" s="84" t="str">
        <f t="shared" si="98"/>
        <v/>
      </c>
      <c r="V532" s="88">
        <f>IF(U532="",0,MAX(0,T532)+N532+ROUND(J532*[1]Setup!$B$9,0)+IF(O532&gt;[1]Setup!$B$10,ROUND(J532*[1]Setup!$B$11,0),0))</f>
        <v>0</v>
      </c>
      <c r="W532" s="85" t="str">
        <f>IF(L532="","Open",IF(OR(P532&lt;[1]Setup!$B$6,Q532&gt;[1]Setup!$B$7,R532&gt;[1]Setup!$B$8,O532&gt;[1]Setup!$B$10),"Review","OK"))</f>
        <v>Open</v>
      </c>
      <c r="X532" s="86"/>
      <c r="Z532" s="81" t="str">
        <f t="shared" si="102"/>
        <v/>
      </c>
    </row>
    <row r="533" spans="1:26" x14ac:dyDescent="0.3">
      <c r="A533" s="84"/>
      <c r="B533" s="100">
        <f t="shared" si="100"/>
        <v>0</v>
      </c>
      <c r="C533" s="84" t="str">
        <f t="shared" si="101"/>
        <v>January</v>
      </c>
      <c r="D533" s="85" t="str">
        <f t="shared" si="99"/>
        <v/>
      </c>
      <c r="E533" s="86"/>
      <c r="F533" s="86"/>
      <c r="G533" s="86"/>
      <c r="H533" s="86"/>
      <c r="I533" s="87" t="str">
        <f>IF(F533=0,"",IF(COUNTIF(F533,"Bao"),[1]Setup!$B$4,IF(COUNTIF(F533,"Soup Dumplings"),[1]Setup!$B$5,F533)))</f>
        <v/>
      </c>
      <c r="J533" s="88" t="str">
        <f t="shared" si="93"/>
        <v/>
      </c>
      <c r="K533" s="88"/>
      <c r="L533" s="87"/>
      <c r="M533" s="87"/>
      <c r="N533" s="87"/>
      <c r="O533" s="87"/>
      <c r="P533" s="89" t="str">
        <f t="shared" si="94"/>
        <v/>
      </c>
      <c r="Q533" s="89" t="str">
        <f t="shared" si="95"/>
        <v/>
      </c>
      <c r="R533" s="89" t="str">
        <f t="shared" si="96"/>
        <v/>
      </c>
      <c r="S533" s="88" t="str">
        <f>IF(F533="Bao",[1]Setup!$B$4,IF(F533="Soup Dumplings",[1]Setup!$B$5,""))</f>
        <v/>
      </c>
      <c r="T533" s="88" t="str">
        <f t="shared" si="97"/>
        <v/>
      </c>
      <c r="U533" s="84" t="str">
        <f t="shared" si="98"/>
        <v/>
      </c>
      <c r="V533" s="88">
        <f>IF(U533="",0,MAX(0,T533)+N533+ROUND(J533*[1]Setup!$B$9,0)+IF(O533&gt;[1]Setup!$B$10,ROUND(J533*[1]Setup!$B$11,0),0))</f>
        <v>0</v>
      </c>
      <c r="W533" s="85" t="str">
        <f>IF(L533="","Open",IF(OR(P533&lt;[1]Setup!$B$6,Q533&gt;[1]Setup!$B$7,R533&gt;[1]Setup!$B$8,O533&gt;[1]Setup!$B$10),"Review","OK"))</f>
        <v>Open</v>
      </c>
      <c r="X533" s="86"/>
      <c r="Z533" s="81" t="str">
        <f t="shared" si="102"/>
        <v/>
      </c>
    </row>
    <row r="534" spans="1:26" x14ac:dyDescent="0.3">
      <c r="A534" s="84"/>
      <c r="B534" s="100">
        <f t="shared" si="100"/>
        <v>0</v>
      </c>
      <c r="C534" s="84" t="str">
        <f t="shared" si="101"/>
        <v>January</v>
      </c>
      <c r="D534" s="85" t="str">
        <f t="shared" si="99"/>
        <v/>
      </c>
      <c r="E534" s="86"/>
      <c r="F534" s="86"/>
      <c r="G534" s="86"/>
      <c r="H534" s="86"/>
      <c r="I534" s="87" t="str">
        <f>IF(F534=0,"",IF(COUNTIF(F534,"Bao"),[1]Setup!$B$4,IF(COUNTIF(F534,"Soup Dumplings"),[1]Setup!$B$5,F534)))</f>
        <v/>
      </c>
      <c r="J534" s="88" t="str">
        <f t="shared" si="93"/>
        <v/>
      </c>
      <c r="K534" s="88"/>
      <c r="L534" s="87"/>
      <c r="M534" s="87"/>
      <c r="N534" s="87"/>
      <c r="O534" s="87"/>
      <c r="P534" s="89" t="str">
        <f t="shared" si="94"/>
        <v/>
      </c>
      <c r="Q534" s="89" t="str">
        <f t="shared" si="95"/>
        <v/>
      </c>
      <c r="R534" s="89" t="str">
        <f t="shared" si="96"/>
        <v/>
      </c>
      <c r="S534" s="88" t="str">
        <f>IF(F534="Bao",[1]Setup!$B$4,IF(F534="Soup Dumplings",[1]Setup!$B$5,""))</f>
        <v/>
      </c>
      <c r="T534" s="88" t="str">
        <f t="shared" si="97"/>
        <v/>
      </c>
      <c r="U534" s="84" t="str">
        <f t="shared" si="98"/>
        <v/>
      </c>
      <c r="V534" s="88">
        <f>IF(U534="",0,MAX(0,T534)+N534+ROUND(J534*[1]Setup!$B$9,0)+IF(O534&gt;[1]Setup!$B$10,ROUND(J534*[1]Setup!$B$11,0),0))</f>
        <v>0</v>
      </c>
      <c r="W534" s="85" t="str">
        <f>IF(L534="","Open",IF(OR(P534&lt;[1]Setup!$B$6,Q534&gt;[1]Setup!$B$7,R534&gt;[1]Setup!$B$8,O534&gt;[1]Setup!$B$10),"Review","OK"))</f>
        <v>Open</v>
      </c>
      <c r="X534" s="86"/>
      <c r="Z534" s="81" t="str">
        <f t="shared" si="102"/>
        <v/>
      </c>
    </row>
    <row r="535" spans="1:26" x14ac:dyDescent="0.3">
      <c r="A535" s="84"/>
      <c r="B535" s="100">
        <f t="shared" si="100"/>
        <v>0</v>
      </c>
      <c r="C535" s="84" t="str">
        <f t="shared" si="101"/>
        <v>January</v>
      </c>
      <c r="D535" s="85" t="str">
        <f t="shared" si="99"/>
        <v/>
      </c>
      <c r="E535" s="86"/>
      <c r="F535" s="86"/>
      <c r="G535" s="86"/>
      <c r="H535" s="86"/>
      <c r="I535" s="87" t="str">
        <f>IF(F535=0,"",IF(COUNTIF(F535,"Bao"),[1]Setup!$B$4,IF(COUNTIF(F535,"Soup Dumplings"),[1]Setup!$B$5,F535)))</f>
        <v/>
      </c>
      <c r="J535" s="88" t="str">
        <f t="shared" si="93"/>
        <v/>
      </c>
      <c r="K535" s="88"/>
      <c r="L535" s="87"/>
      <c r="M535" s="87"/>
      <c r="N535" s="87"/>
      <c r="O535" s="87"/>
      <c r="P535" s="89" t="str">
        <f t="shared" si="94"/>
        <v/>
      </c>
      <c r="Q535" s="89" t="str">
        <f t="shared" si="95"/>
        <v/>
      </c>
      <c r="R535" s="89" t="str">
        <f t="shared" si="96"/>
        <v/>
      </c>
      <c r="S535" s="88" t="str">
        <f>IF(F535="Bao",[1]Setup!$B$4,IF(F535="Soup Dumplings",[1]Setup!$B$5,""))</f>
        <v/>
      </c>
      <c r="T535" s="88" t="str">
        <f t="shared" si="97"/>
        <v/>
      </c>
      <c r="U535" s="84" t="str">
        <f t="shared" si="98"/>
        <v/>
      </c>
      <c r="V535" s="88">
        <f>IF(U535="",0,MAX(0,T535)+N535+ROUND(J535*[1]Setup!$B$9,0)+IF(O535&gt;[1]Setup!$B$10,ROUND(J535*[1]Setup!$B$11,0),0))</f>
        <v>0</v>
      </c>
      <c r="W535" s="85" t="str">
        <f>IF(L535="","Open",IF(OR(P535&lt;[1]Setup!$B$6,Q535&gt;[1]Setup!$B$7,R535&gt;[1]Setup!$B$8,O535&gt;[1]Setup!$B$10),"Review","OK"))</f>
        <v>Open</v>
      </c>
      <c r="X535" s="86"/>
      <c r="Z535" s="81" t="str">
        <f t="shared" si="102"/>
        <v/>
      </c>
    </row>
    <row r="536" spans="1:26" x14ac:dyDescent="0.3">
      <c r="A536" s="84"/>
      <c r="B536" s="100">
        <f t="shared" si="100"/>
        <v>0</v>
      </c>
      <c r="C536" s="84" t="str">
        <f t="shared" si="101"/>
        <v>January</v>
      </c>
      <c r="D536" s="85" t="str">
        <f t="shared" si="99"/>
        <v/>
      </c>
      <c r="E536" s="86"/>
      <c r="F536" s="86"/>
      <c r="G536" s="86"/>
      <c r="H536" s="86"/>
      <c r="I536" s="87" t="str">
        <f>IF(F536=0,"",IF(COUNTIF(F536,"Bao"),[1]Setup!$B$4,IF(COUNTIF(F536,"Soup Dumplings"),[1]Setup!$B$5,F536)))</f>
        <v/>
      </c>
      <c r="J536" s="88" t="str">
        <f t="shared" si="93"/>
        <v/>
      </c>
      <c r="K536" s="88"/>
      <c r="L536" s="87"/>
      <c r="M536" s="87"/>
      <c r="N536" s="87"/>
      <c r="O536" s="87"/>
      <c r="P536" s="89" t="str">
        <f t="shared" si="94"/>
        <v/>
      </c>
      <c r="Q536" s="89" t="str">
        <f t="shared" si="95"/>
        <v/>
      </c>
      <c r="R536" s="89" t="str">
        <f t="shared" si="96"/>
        <v/>
      </c>
      <c r="S536" s="88" t="str">
        <f>IF(F536="Bao",[1]Setup!$B$4,IF(F536="Soup Dumplings",[1]Setup!$B$5,""))</f>
        <v/>
      </c>
      <c r="T536" s="88" t="str">
        <f t="shared" si="97"/>
        <v/>
      </c>
      <c r="U536" s="84" t="str">
        <f t="shared" si="98"/>
        <v/>
      </c>
      <c r="V536" s="88">
        <f>IF(U536="",0,MAX(0,T536)+N536+ROUND(J536*[1]Setup!$B$9,0)+IF(O536&gt;[1]Setup!$B$10,ROUND(J536*[1]Setup!$B$11,0),0))</f>
        <v>0</v>
      </c>
      <c r="W536" s="85" t="str">
        <f>IF(L536="","Open",IF(OR(P536&lt;[1]Setup!$B$6,Q536&gt;[1]Setup!$B$7,R536&gt;[1]Setup!$B$8,O536&gt;[1]Setup!$B$10),"Review","OK"))</f>
        <v>Open</v>
      </c>
      <c r="X536" s="86"/>
      <c r="Z536" s="81" t="str">
        <f t="shared" si="102"/>
        <v/>
      </c>
    </row>
    <row r="537" spans="1:26" x14ac:dyDescent="0.3">
      <c r="A537" s="84"/>
      <c r="B537" s="100">
        <f t="shared" si="100"/>
        <v>0</v>
      </c>
      <c r="C537" s="84" t="str">
        <f t="shared" si="101"/>
        <v>January</v>
      </c>
      <c r="D537" s="85" t="str">
        <f t="shared" si="99"/>
        <v/>
      </c>
      <c r="E537" s="86"/>
      <c r="F537" s="86"/>
      <c r="G537" s="86"/>
      <c r="H537" s="86"/>
      <c r="I537" s="87" t="str">
        <f>IF(F537=0,"",IF(COUNTIF(F537,"Bao"),[1]Setup!$B$4,IF(COUNTIF(F537,"Soup Dumplings"),[1]Setup!$B$5,F537)))</f>
        <v/>
      </c>
      <c r="J537" s="88" t="str">
        <f t="shared" si="93"/>
        <v/>
      </c>
      <c r="K537" s="88"/>
      <c r="L537" s="87"/>
      <c r="M537" s="87"/>
      <c r="N537" s="87"/>
      <c r="O537" s="87"/>
      <c r="P537" s="89" t="str">
        <f t="shared" si="94"/>
        <v/>
      </c>
      <c r="Q537" s="89" t="str">
        <f t="shared" si="95"/>
        <v/>
      </c>
      <c r="R537" s="89" t="str">
        <f t="shared" si="96"/>
        <v/>
      </c>
      <c r="S537" s="88" t="str">
        <f>IF(F537="Bao",[1]Setup!$B$4,IF(F537="Soup Dumplings",[1]Setup!$B$5,""))</f>
        <v/>
      </c>
      <c r="T537" s="88" t="str">
        <f t="shared" si="97"/>
        <v/>
      </c>
      <c r="U537" s="84" t="str">
        <f t="shared" si="98"/>
        <v/>
      </c>
      <c r="V537" s="88">
        <f>IF(U537="",0,MAX(0,T537)+N537+ROUND(J537*[1]Setup!$B$9,0)+IF(O537&gt;[1]Setup!$B$10,ROUND(J537*[1]Setup!$B$11,0),0))</f>
        <v>0</v>
      </c>
      <c r="W537" s="85" t="str">
        <f>IF(L537="","Open",IF(OR(P537&lt;[1]Setup!$B$6,Q537&gt;[1]Setup!$B$7,R537&gt;[1]Setup!$B$8,O537&gt;[1]Setup!$B$10),"Review","OK"))</f>
        <v>Open</v>
      </c>
      <c r="X537" s="86"/>
      <c r="Z537" s="81" t="str">
        <f t="shared" si="102"/>
        <v/>
      </c>
    </row>
    <row r="538" spans="1:26" x14ac:dyDescent="0.3">
      <c r="A538" s="84"/>
      <c r="B538" s="100">
        <f t="shared" si="100"/>
        <v>0</v>
      </c>
      <c r="C538" s="84" t="str">
        <f t="shared" si="101"/>
        <v>January</v>
      </c>
      <c r="D538" s="85" t="str">
        <f t="shared" si="99"/>
        <v/>
      </c>
      <c r="E538" s="86"/>
      <c r="F538" s="86"/>
      <c r="G538" s="86"/>
      <c r="H538" s="86"/>
      <c r="I538" s="87" t="str">
        <f>IF(F538=0,"",IF(COUNTIF(F538,"Bao"),[1]Setup!$B$4,IF(COUNTIF(F538,"Soup Dumplings"),[1]Setup!$B$5,F538)))</f>
        <v/>
      </c>
      <c r="J538" s="88" t="str">
        <f t="shared" si="93"/>
        <v/>
      </c>
      <c r="K538" s="88"/>
      <c r="L538" s="87"/>
      <c r="M538" s="87"/>
      <c r="N538" s="87"/>
      <c r="O538" s="87"/>
      <c r="P538" s="89" t="str">
        <f t="shared" si="94"/>
        <v/>
      </c>
      <c r="Q538" s="89" t="str">
        <f t="shared" si="95"/>
        <v/>
      </c>
      <c r="R538" s="89" t="str">
        <f t="shared" si="96"/>
        <v/>
      </c>
      <c r="S538" s="88" t="str">
        <f>IF(F538="Bao",[1]Setup!$B$4,IF(F538="Soup Dumplings",[1]Setup!$B$5,""))</f>
        <v/>
      </c>
      <c r="T538" s="88" t="str">
        <f t="shared" si="97"/>
        <v/>
      </c>
      <c r="U538" s="84" t="str">
        <f t="shared" si="98"/>
        <v/>
      </c>
      <c r="V538" s="88">
        <f>IF(U538="",0,MAX(0,T538)+N538+ROUND(J538*[1]Setup!$B$9,0)+IF(O538&gt;[1]Setup!$B$10,ROUND(J538*[1]Setup!$B$11,0),0))</f>
        <v>0</v>
      </c>
      <c r="W538" s="85" t="str">
        <f>IF(L538="","Open",IF(OR(P538&lt;[1]Setup!$B$6,Q538&gt;[1]Setup!$B$7,R538&gt;[1]Setup!$B$8,O538&gt;[1]Setup!$B$10),"Review","OK"))</f>
        <v>Open</v>
      </c>
      <c r="X538" s="86"/>
      <c r="Z538" s="81" t="str">
        <f t="shared" si="102"/>
        <v/>
      </c>
    </row>
    <row r="539" spans="1:26" x14ac:dyDescent="0.3">
      <c r="A539" s="84"/>
      <c r="B539" s="100">
        <f t="shared" si="100"/>
        <v>0</v>
      </c>
      <c r="C539" s="84" t="str">
        <f t="shared" si="101"/>
        <v>January</v>
      </c>
      <c r="D539" s="85" t="str">
        <f t="shared" si="99"/>
        <v/>
      </c>
      <c r="E539" s="86"/>
      <c r="F539" s="86"/>
      <c r="G539" s="86"/>
      <c r="H539" s="86"/>
      <c r="I539" s="87" t="str">
        <f>IF(F539=0,"",IF(COUNTIF(F539,"Bao"),[1]Setup!$B$4,IF(COUNTIF(F539,"Soup Dumplings"),[1]Setup!$B$5,F539)))</f>
        <v/>
      </c>
      <c r="J539" s="88" t="str">
        <f t="shared" si="93"/>
        <v/>
      </c>
      <c r="K539" s="88"/>
      <c r="L539" s="87"/>
      <c r="M539" s="87"/>
      <c r="N539" s="87"/>
      <c r="O539" s="87"/>
      <c r="P539" s="89" t="str">
        <f t="shared" si="94"/>
        <v/>
      </c>
      <c r="Q539" s="89" t="str">
        <f t="shared" si="95"/>
        <v/>
      </c>
      <c r="R539" s="89" t="str">
        <f t="shared" si="96"/>
        <v/>
      </c>
      <c r="S539" s="88" t="str">
        <f>IF(F539="Bao",[1]Setup!$B$4,IF(F539="Soup Dumplings",[1]Setup!$B$5,""))</f>
        <v/>
      </c>
      <c r="T539" s="88" t="str">
        <f t="shared" si="97"/>
        <v/>
      </c>
      <c r="U539" s="84" t="str">
        <f t="shared" si="98"/>
        <v/>
      </c>
      <c r="V539" s="88">
        <f>IF(U539="",0,MAX(0,T539)+N539+ROUND(J539*[1]Setup!$B$9,0)+IF(O539&gt;[1]Setup!$B$10,ROUND(J539*[1]Setup!$B$11,0),0))</f>
        <v>0</v>
      </c>
      <c r="W539" s="85" t="str">
        <f>IF(L539="","Open",IF(OR(P539&lt;[1]Setup!$B$6,Q539&gt;[1]Setup!$B$7,R539&gt;[1]Setup!$B$8,O539&gt;[1]Setup!$B$10),"Review","OK"))</f>
        <v>Open</v>
      </c>
      <c r="X539" s="86"/>
      <c r="Z539" s="81" t="str">
        <f t="shared" si="102"/>
        <v/>
      </c>
    </row>
    <row r="540" spans="1:26" x14ac:dyDescent="0.3">
      <c r="A540" s="84"/>
      <c r="B540" s="100">
        <f t="shared" si="100"/>
        <v>0</v>
      </c>
      <c r="C540" s="84" t="str">
        <f t="shared" si="101"/>
        <v>January</v>
      </c>
      <c r="D540" s="85" t="str">
        <f t="shared" si="99"/>
        <v/>
      </c>
      <c r="E540" s="86"/>
      <c r="F540" s="86"/>
      <c r="G540" s="86"/>
      <c r="H540" s="86"/>
      <c r="I540" s="87" t="str">
        <f>IF(F540=0,"",IF(COUNTIF(F540,"Bao"),[1]Setup!$B$4,IF(COUNTIF(F540,"Soup Dumplings"),[1]Setup!$B$5,F540)))</f>
        <v/>
      </c>
      <c r="J540" s="88" t="str">
        <f t="shared" si="93"/>
        <v/>
      </c>
      <c r="K540" s="88"/>
      <c r="L540" s="87"/>
      <c r="M540" s="87"/>
      <c r="N540" s="87"/>
      <c r="O540" s="87"/>
      <c r="P540" s="89" t="str">
        <f t="shared" si="94"/>
        <v/>
      </c>
      <c r="Q540" s="89" t="str">
        <f t="shared" si="95"/>
        <v/>
      </c>
      <c r="R540" s="89" t="str">
        <f t="shared" si="96"/>
        <v/>
      </c>
      <c r="S540" s="88" t="str">
        <f>IF(F540="Bao",[1]Setup!$B$4,IF(F540="Soup Dumplings",[1]Setup!$B$5,""))</f>
        <v/>
      </c>
      <c r="T540" s="88" t="str">
        <f t="shared" si="97"/>
        <v/>
      </c>
      <c r="U540" s="84" t="str">
        <f t="shared" si="98"/>
        <v/>
      </c>
      <c r="V540" s="88">
        <f>IF(U540="",0,MAX(0,T540)+N540+ROUND(J540*[1]Setup!$B$9,0)+IF(O540&gt;[1]Setup!$B$10,ROUND(J540*[1]Setup!$B$11,0),0))</f>
        <v>0</v>
      </c>
      <c r="W540" s="85" t="str">
        <f>IF(L540="","Open",IF(OR(P540&lt;[1]Setup!$B$6,Q540&gt;[1]Setup!$B$7,R540&gt;[1]Setup!$B$8,O540&gt;[1]Setup!$B$10),"Review","OK"))</f>
        <v>Open</v>
      </c>
      <c r="X540" s="86"/>
      <c r="Z540" s="81" t="str">
        <f t="shared" si="102"/>
        <v/>
      </c>
    </row>
    <row r="541" spans="1:26" x14ac:dyDescent="0.3">
      <c r="A541" s="84"/>
      <c r="B541" s="100">
        <f t="shared" si="100"/>
        <v>0</v>
      </c>
      <c r="C541" s="84" t="str">
        <f t="shared" si="101"/>
        <v>January</v>
      </c>
      <c r="D541" s="85" t="str">
        <f t="shared" si="99"/>
        <v/>
      </c>
      <c r="E541" s="86"/>
      <c r="F541" s="86"/>
      <c r="G541" s="86"/>
      <c r="H541" s="86"/>
      <c r="I541" s="87" t="str">
        <f>IF(F541=0,"",IF(COUNTIF(F541,"Bao"),[1]Setup!$B$4,IF(COUNTIF(F541,"Soup Dumplings"),[1]Setup!$B$5,F541)))</f>
        <v/>
      </c>
      <c r="J541" s="88" t="str">
        <f t="shared" si="93"/>
        <v/>
      </c>
      <c r="K541" s="88"/>
      <c r="L541" s="87"/>
      <c r="M541" s="87"/>
      <c r="N541" s="87"/>
      <c r="O541" s="87"/>
      <c r="P541" s="89" t="str">
        <f t="shared" si="94"/>
        <v/>
      </c>
      <c r="Q541" s="89" t="str">
        <f t="shared" si="95"/>
        <v/>
      </c>
      <c r="R541" s="89" t="str">
        <f t="shared" si="96"/>
        <v/>
      </c>
      <c r="S541" s="88" t="str">
        <f>IF(F541="Bao",[1]Setup!$B$4,IF(F541="Soup Dumplings",[1]Setup!$B$5,""))</f>
        <v/>
      </c>
      <c r="T541" s="88" t="str">
        <f t="shared" si="97"/>
        <v/>
      </c>
      <c r="U541" s="84" t="str">
        <f t="shared" si="98"/>
        <v/>
      </c>
      <c r="V541" s="88">
        <f>IF(U541="",0,MAX(0,T541)+N541+ROUND(J541*[1]Setup!$B$9,0)+IF(O541&gt;[1]Setup!$B$10,ROUND(J541*[1]Setup!$B$11,0),0))</f>
        <v>0</v>
      </c>
      <c r="W541" s="85" t="str">
        <f>IF(L541="","Open",IF(OR(P541&lt;[1]Setup!$B$6,Q541&gt;[1]Setup!$B$7,R541&gt;[1]Setup!$B$8,O541&gt;[1]Setup!$B$10),"Review","OK"))</f>
        <v>Open</v>
      </c>
      <c r="X541" s="86"/>
      <c r="Z541" s="81" t="str">
        <f t="shared" si="102"/>
        <v/>
      </c>
    </row>
    <row r="542" spans="1:26" x14ac:dyDescent="0.3">
      <c r="A542" s="84"/>
      <c r="B542" s="100">
        <f t="shared" si="100"/>
        <v>0</v>
      </c>
      <c r="C542" s="84" t="str">
        <f t="shared" si="101"/>
        <v>January</v>
      </c>
      <c r="D542" s="85" t="str">
        <f t="shared" si="99"/>
        <v/>
      </c>
      <c r="E542" s="86"/>
      <c r="F542" s="86"/>
      <c r="G542" s="86"/>
      <c r="H542" s="86"/>
      <c r="I542" s="87" t="str">
        <f>IF(F542=0,"",IF(COUNTIF(F542,"Bao"),[1]Setup!$B$4,IF(COUNTIF(F542,"Soup Dumplings"),[1]Setup!$B$5,F542)))</f>
        <v/>
      </c>
      <c r="J542" s="88" t="str">
        <f t="shared" si="93"/>
        <v/>
      </c>
      <c r="K542" s="88"/>
      <c r="L542" s="87"/>
      <c r="M542" s="87"/>
      <c r="N542" s="87"/>
      <c r="O542" s="87"/>
      <c r="P542" s="89" t="str">
        <f t="shared" si="94"/>
        <v/>
      </c>
      <c r="Q542" s="89" t="str">
        <f t="shared" si="95"/>
        <v/>
      </c>
      <c r="R542" s="89" t="str">
        <f t="shared" si="96"/>
        <v/>
      </c>
      <c r="S542" s="88" t="str">
        <f>IF(F542="Bao",[1]Setup!$B$4,IF(F542="Soup Dumplings",[1]Setup!$B$5,""))</f>
        <v/>
      </c>
      <c r="T542" s="88" t="str">
        <f t="shared" si="97"/>
        <v/>
      </c>
      <c r="U542" s="84" t="str">
        <f t="shared" si="98"/>
        <v/>
      </c>
      <c r="V542" s="88">
        <f>IF(U542="",0,MAX(0,T542)+N542+ROUND(J542*[1]Setup!$B$9,0)+IF(O542&gt;[1]Setup!$B$10,ROUND(J542*[1]Setup!$B$11,0),0))</f>
        <v>0</v>
      </c>
      <c r="W542" s="85" t="str">
        <f>IF(L542="","Open",IF(OR(P542&lt;[1]Setup!$B$6,Q542&gt;[1]Setup!$B$7,R542&gt;[1]Setup!$B$8,O542&gt;[1]Setup!$B$10),"Review","OK"))</f>
        <v>Open</v>
      </c>
      <c r="X542" s="86"/>
      <c r="Z542" s="81" t="str">
        <f t="shared" si="102"/>
        <v/>
      </c>
    </row>
    <row r="543" spans="1:26" x14ac:dyDescent="0.3">
      <c r="A543" s="84"/>
      <c r="B543" s="100">
        <f t="shared" si="100"/>
        <v>0</v>
      </c>
      <c r="C543" s="84" t="str">
        <f t="shared" si="101"/>
        <v>January</v>
      </c>
      <c r="D543" s="85" t="str">
        <f t="shared" si="99"/>
        <v/>
      </c>
      <c r="E543" s="86"/>
      <c r="F543" s="86"/>
      <c r="G543" s="86"/>
      <c r="H543" s="86"/>
      <c r="I543" s="87" t="str">
        <f>IF(F543=0,"",IF(COUNTIF(F543,"Bao"),[1]Setup!$B$4,IF(COUNTIF(F543,"Soup Dumplings"),[1]Setup!$B$5,F543)))</f>
        <v/>
      </c>
      <c r="J543" s="88" t="str">
        <f t="shared" si="93"/>
        <v/>
      </c>
      <c r="K543" s="88"/>
      <c r="L543" s="87"/>
      <c r="M543" s="87"/>
      <c r="N543" s="87"/>
      <c r="O543" s="87"/>
      <c r="P543" s="89" t="str">
        <f t="shared" si="94"/>
        <v/>
      </c>
      <c r="Q543" s="89" t="str">
        <f t="shared" si="95"/>
        <v/>
      </c>
      <c r="R543" s="89" t="str">
        <f t="shared" si="96"/>
        <v/>
      </c>
      <c r="S543" s="88" t="str">
        <f>IF(F543="Bao",[1]Setup!$B$4,IF(F543="Soup Dumplings",[1]Setup!$B$5,""))</f>
        <v/>
      </c>
      <c r="T543" s="88" t="str">
        <f t="shared" si="97"/>
        <v/>
      </c>
      <c r="U543" s="84" t="str">
        <f t="shared" si="98"/>
        <v/>
      </c>
      <c r="V543" s="88">
        <f>IF(U543="",0,MAX(0,T543)+N543+ROUND(J543*[1]Setup!$B$9,0)+IF(O543&gt;[1]Setup!$B$10,ROUND(J543*[1]Setup!$B$11,0),0))</f>
        <v>0</v>
      </c>
      <c r="W543" s="85" t="str">
        <f>IF(L543="","Open",IF(OR(P543&lt;[1]Setup!$B$6,Q543&gt;[1]Setup!$B$7,R543&gt;[1]Setup!$B$8,O543&gt;[1]Setup!$B$10),"Review","OK"))</f>
        <v>Open</v>
      </c>
      <c r="X543" s="86"/>
      <c r="Z543" s="81" t="str">
        <f t="shared" si="102"/>
        <v/>
      </c>
    </row>
    <row r="544" spans="1:26" x14ac:dyDescent="0.3">
      <c r="A544" s="84"/>
      <c r="B544" s="100">
        <f t="shared" si="100"/>
        <v>0</v>
      </c>
      <c r="C544" s="84" t="str">
        <f t="shared" si="101"/>
        <v>January</v>
      </c>
      <c r="D544" s="85" t="str">
        <f t="shared" si="99"/>
        <v/>
      </c>
      <c r="E544" s="86"/>
      <c r="F544" s="86"/>
      <c r="G544" s="86"/>
      <c r="H544" s="86"/>
      <c r="I544" s="87" t="str">
        <f>IF(F544=0,"",IF(COUNTIF(F544,"Bao"),[1]Setup!$B$4,IF(COUNTIF(F544,"Soup Dumplings"),[1]Setup!$B$5,F544)))</f>
        <v/>
      </c>
      <c r="J544" s="88" t="str">
        <f t="shared" si="93"/>
        <v/>
      </c>
      <c r="K544" s="88"/>
      <c r="L544" s="87"/>
      <c r="M544" s="87"/>
      <c r="N544" s="87"/>
      <c r="O544" s="87"/>
      <c r="P544" s="89" t="str">
        <f t="shared" si="94"/>
        <v/>
      </c>
      <c r="Q544" s="89" t="str">
        <f t="shared" si="95"/>
        <v/>
      </c>
      <c r="R544" s="89" t="str">
        <f t="shared" si="96"/>
        <v/>
      </c>
      <c r="S544" s="88" t="str">
        <f>IF(F544="Bao",[1]Setup!$B$4,IF(F544="Soup Dumplings",[1]Setup!$B$5,""))</f>
        <v/>
      </c>
      <c r="T544" s="88" t="str">
        <f t="shared" si="97"/>
        <v/>
      </c>
      <c r="U544" s="84" t="str">
        <f t="shared" si="98"/>
        <v/>
      </c>
      <c r="V544" s="88">
        <f>IF(U544="",0,MAX(0,T544)+N544+ROUND(J544*[1]Setup!$B$9,0)+IF(O544&gt;[1]Setup!$B$10,ROUND(J544*[1]Setup!$B$11,0),0))</f>
        <v>0</v>
      </c>
      <c r="W544" s="85" t="str">
        <f>IF(L544="","Open",IF(OR(P544&lt;[1]Setup!$B$6,Q544&gt;[1]Setup!$B$7,R544&gt;[1]Setup!$B$8,O544&gt;[1]Setup!$B$10),"Review","OK"))</f>
        <v>Open</v>
      </c>
      <c r="X544" s="86"/>
      <c r="Z544" s="81" t="str">
        <f t="shared" si="102"/>
        <v/>
      </c>
    </row>
    <row r="545" spans="1:26" x14ac:dyDescent="0.3">
      <c r="A545" s="84"/>
      <c r="B545" s="100">
        <f t="shared" si="100"/>
        <v>0</v>
      </c>
      <c r="C545" s="84" t="str">
        <f t="shared" si="101"/>
        <v>January</v>
      </c>
      <c r="D545" s="85" t="str">
        <f t="shared" si="99"/>
        <v/>
      </c>
      <c r="E545" s="86"/>
      <c r="F545" s="86"/>
      <c r="G545" s="86"/>
      <c r="H545" s="86"/>
      <c r="I545" s="87" t="str">
        <f>IF(F545=0,"",IF(COUNTIF(F545,"Bao"),[1]Setup!$B$4,IF(COUNTIF(F545,"Soup Dumplings"),[1]Setup!$B$5,F545)))</f>
        <v/>
      </c>
      <c r="J545" s="88" t="str">
        <f t="shared" si="93"/>
        <v/>
      </c>
      <c r="K545" s="88"/>
      <c r="L545" s="87"/>
      <c r="M545" s="87"/>
      <c r="N545" s="87"/>
      <c r="O545" s="87"/>
      <c r="P545" s="89" t="str">
        <f t="shared" si="94"/>
        <v/>
      </c>
      <c r="Q545" s="89" t="str">
        <f t="shared" si="95"/>
        <v/>
      </c>
      <c r="R545" s="89" t="str">
        <f t="shared" si="96"/>
        <v/>
      </c>
      <c r="S545" s="88" t="str">
        <f>IF(F545="Bao",[1]Setup!$B$4,IF(F545="Soup Dumplings",[1]Setup!$B$5,""))</f>
        <v/>
      </c>
      <c r="T545" s="88" t="str">
        <f t="shared" si="97"/>
        <v/>
      </c>
      <c r="U545" s="84" t="str">
        <f t="shared" si="98"/>
        <v/>
      </c>
      <c r="V545" s="88">
        <f>IF(U545="",0,MAX(0,T545)+N545+ROUND(J545*[1]Setup!$B$9,0)+IF(O545&gt;[1]Setup!$B$10,ROUND(J545*[1]Setup!$B$11,0),0))</f>
        <v>0</v>
      </c>
      <c r="W545" s="85" t="str">
        <f>IF(L545="","Open",IF(OR(P545&lt;[1]Setup!$B$6,Q545&gt;[1]Setup!$B$7,R545&gt;[1]Setup!$B$8,O545&gt;[1]Setup!$B$10),"Review","OK"))</f>
        <v>Open</v>
      </c>
      <c r="X545" s="86"/>
      <c r="Z545" s="81" t="str">
        <f t="shared" si="102"/>
        <v/>
      </c>
    </row>
    <row r="546" spans="1:26" x14ac:dyDescent="0.3">
      <c r="A546" s="84"/>
      <c r="B546" s="100">
        <f t="shared" si="100"/>
        <v>0</v>
      </c>
      <c r="C546" s="84" t="str">
        <f t="shared" si="101"/>
        <v>January</v>
      </c>
      <c r="D546" s="85" t="str">
        <f t="shared" si="99"/>
        <v/>
      </c>
      <c r="E546" s="86"/>
      <c r="F546" s="86"/>
      <c r="G546" s="86"/>
      <c r="H546" s="86"/>
      <c r="I546" s="87" t="str">
        <f>IF(F546=0,"",IF(COUNTIF(F546,"Bao"),[1]Setup!$B$4,IF(COUNTIF(F546,"Soup Dumplings"),[1]Setup!$B$5,F546)))</f>
        <v/>
      </c>
      <c r="J546" s="88" t="str">
        <f t="shared" si="93"/>
        <v/>
      </c>
      <c r="K546" s="88"/>
      <c r="L546" s="87"/>
      <c r="M546" s="87"/>
      <c r="N546" s="87"/>
      <c r="O546" s="87"/>
      <c r="P546" s="89" t="str">
        <f t="shared" si="94"/>
        <v/>
      </c>
      <c r="Q546" s="89" t="str">
        <f t="shared" si="95"/>
        <v/>
      </c>
      <c r="R546" s="89" t="str">
        <f t="shared" si="96"/>
        <v/>
      </c>
      <c r="S546" s="88" t="str">
        <f>IF(F546="Bao",[1]Setup!$B$4,IF(F546="Soup Dumplings",[1]Setup!$B$5,""))</f>
        <v/>
      </c>
      <c r="T546" s="88" t="str">
        <f t="shared" si="97"/>
        <v/>
      </c>
      <c r="U546" s="84" t="str">
        <f t="shared" si="98"/>
        <v/>
      </c>
      <c r="V546" s="88">
        <f>IF(U546="",0,MAX(0,T546)+N546+ROUND(J546*[1]Setup!$B$9,0)+IF(O546&gt;[1]Setup!$B$10,ROUND(J546*[1]Setup!$B$11,0),0))</f>
        <v>0</v>
      </c>
      <c r="W546" s="85" t="str">
        <f>IF(L546="","Open",IF(OR(P546&lt;[1]Setup!$B$6,Q546&gt;[1]Setup!$B$7,R546&gt;[1]Setup!$B$8,O546&gt;[1]Setup!$B$10),"Review","OK"))</f>
        <v>Open</v>
      </c>
      <c r="X546" s="86"/>
      <c r="Z546" s="81" t="str">
        <f t="shared" si="102"/>
        <v/>
      </c>
    </row>
    <row r="547" spans="1:26" x14ac:dyDescent="0.3">
      <c r="A547" s="84"/>
      <c r="B547" s="100">
        <f t="shared" si="100"/>
        <v>0</v>
      </c>
      <c r="C547" s="84" t="str">
        <f t="shared" si="101"/>
        <v>January</v>
      </c>
      <c r="D547" s="85" t="str">
        <f t="shared" si="99"/>
        <v/>
      </c>
      <c r="E547" s="86"/>
      <c r="F547" s="86"/>
      <c r="G547" s="86"/>
      <c r="H547" s="86"/>
      <c r="I547" s="87" t="str">
        <f>IF(F547=0,"",IF(COUNTIF(F547,"Bao"),[1]Setup!$B$4,IF(COUNTIF(F547,"Soup Dumplings"),[1]Setup!$B$5,F547)))</f>
        <v/>
      </c>
      <c r="J547" s="88" t="str">
        <f t="shared" si="93"/>
        <v/>
      </c>
      <c r="K547" s="88"/>
      <c r="L547" s="87"/>
      <c r="M547" s="87"/>
      <c r="N547" s="87"/>
      <c r="O547" s="87"/>
      <c r="P547" s="89" t="str">
        <f t="shared" si="94"/>
        <v/>
      </c>
      <c r="Q547" s="89" t="str">
        <f t="shared" si="95"/>
        <v/>
      </c>
      <c r="R547" s="89" t="str">
        <f t="shared" si="96"/>
        <v/>
      </c>
      <c r="S547" s="88" t="str">
        <f>IF(F547="Bao",[1]Setup!$B$4,IF(F547="Soup Dumplings",[1]Setup!$B$5,""))</f>
        <v/>
      </c>
      <c r="T547" s="88" t="str">
        <f t="shared" si="97"/>
        <v/>
      </c>
      <c r="U547" s="84" t="str">
        <f t="shared" si="98"/>
        <v/>
      </c>
      <c r="V547" s="88">
        <f>IF(U547="",0,MAX(0,T547)+N547+ROUND(J547*[1]Setup!$B$9,0)+IF(O547&gt;[1]Setup!$B$10,ROUND(J547*[1]Setup!$B$11,0),0))</f>
        <v>0</v>
      </c>
      <c r="W547" s="85" t="str">
        <f>IF(L547="","Open",IF(OR(P547&lt;[1]Setup!$B$6,Q547&gt;[1]Setup!$B$7,R547&gt;[1]Setup!$B$8,O547&gt;[1]Setup!$B$10),"Review","OK"))</f>
        <v>Open</v>
      </c>
      <c r="X547" s="86"/>
      <c r="Z547" s="81" t="str">
        <f t="shared" si="102"/>
        <v/>
      </c>
    </row>
    <row r="548" spans="1:26" x14ac:dyDescent="0.3">
      <c r="A548" s="84"/>
      <c r="B548" s="100">
        <f t="shared" si="100"/>
        <v>0</v>
      </c>
      <c r="C548" s="84" t="str">
        <f t="shared" si="101"/>
        <v>January</v>
      </c>
      <c r="D548" s="85" t="str">
        <f t="shared" si="99"/>
        <v/>
      </c>
      <c r="E548" s="86"/>
      <c r="F548" s="86"/>
      <c r="G548" s="86"/>
      <c r="H548" s="86"/>
      <c r="I548" s="87" t="str">
        <f>IF(F548=0,"",IF(COUNTIF(F548,"Bao"),[1]Setup!$B$4,IF(COUNTIF(F548,"Soup Dumplings"),[1]Setup!$B$5,F548)))</f>
        <v/>
      </c>
      <c r="J548" s="88" t="str">
        <f t="shared" si="93"/>
        <v/>
      </c>
      <c r="K548" s="88"/>
      <c r="L548" s="87"/>
      <c r="M548" s="87"/>
      <c r="N548" s="87"/>
      <c r="O548" s="87"/>
      <c r="P548" s="89" t="str">
        <f t="shared" si="94"/>
        <v/>
      </c>
      <c r="Q548" s="89" t="str">
        <f t="shared" si="95"/>
        <v/>
      </c>
      <c r="R548" s="89" t="str">
        <f t="shared" si="96"/>
        <v/>
      </c>
      <c r="S548" s="88" t="str">
        <f>IF(F548="Bao",[1]Setup!$B$4,IF(F548="Soup Dumplings",[1]Setup!$B$5,""))</f>
        <v/>
      </c>
      <c r="T548" s="88" t="str">
        <f t="shared" si="97"/>
        <v/>
      </c>
      <c r="U548" s="84" t="str">
        <f t="shared" si="98"/>
        <v/>
      </c>
      <c r="V548" s="88">
        <f>IF(U548="",0,MAX(0,T548)+N548+ROUND(J548*[1]Setup!$B$9,0)+IF(O548&gt;[1]Setup!$B$10,ROUND(J548*[1]Setup!$B$11,0),0))</f>
        <v>0</v>
      </c>
      <c r="W548" s="85" t="str">
        <f>IF(L548="","Open",IF(OR(P548&lt;[1]Setup!$B$6,Q548&gt;[1]Setup!$B$7,R548&gt;[1]Setup!$B$8,O548&gt;[1]Setup!$B$10),"Review","OK"))</f>
        <v>Open</v>
      </c>
      <c r="X548" s="86"/>
      <c r="Z548" s="81" t="str">
        <f t="shared" si="102"/>
        <v/>
      </c>
    </row>
    <row r="549" spans="1:26" x14ac:dyDescent="0.3">
      <c r="A549" s="84"/>
      <c r="B549" s="100">
        <f t="shared" si="100"/>
        <v>0</v>
      </c>
      <c r="C549" s="84" t="str">
        <f t="shared" si="101"/>
        <v>January</v>
      </c>
      <c r="D549" s="85" t="str">
        <f t="shared" si="99"/>
        <v/>
      </c>
      <c r="E549" s="86"/>
      <c r="F549" s="86"/>
      <c r="G549" s="86"/>
      <c r="H549" s="86"/>
      <c r="I549" s="87" t="str">
        <f>IF(F549=0,"",IF(COUNTIF(F549,"Bao"),[1]Setup!$B$4,IF(COUNTIF(F549,"Soup Dumplings"),[1]Setup!$B$5,F549)))</f>
        <v/>
      </c>
      <c r="J549" s="88" t="str">
        <f t="shared" si="93"/>
        <v/>
      </c>
      <c r="K549" s="88"/>
      <c r="L549" s="87"/>
      <c r="M549" s="87"/>
      <c r="N549" s="87"/>
      <c r="O549" s="87"/>
      <c r="P549" s="89" t="str">
        <f t="shared" si="94"/>
        <v/>
      </c>
      <c r="Q549" s="89" t="str">
        <f t="shared" si="95"/>
        <v/>
      </c>
      <c r="R549" s="89" t="str">
        <f t="shared" si="96"/>
        <v/>
      </c>
      <c r="S549" s="88" t="str">
        <f>IF(F549="Bao",[1]Setup!$B$4,IF(F549="Soup Dumplings",[1]Setup!$B$5,""))</f>
        <v/>
      </c>
      <c r="T549" s="88" t="str">
        <f t="shared" si="97"/>
        <v/>
      </c>
      <c r="U549" s="84" t="str">
        <f t="shared" si="98"/>
        <v/>
      </c>
      <c r="V549" s="88">
        <f>IF(U549="",0,MAX(0,T549)+N549+ROUND(J549*[1]Setup!$B$9,0)+IF(O549&gt;[1]Setup!$B$10,ROUND(J549*[1]Setup!$B$11,0),0))</f>
        <v>0</v>
      </c>
      <c r="W549" s="85" t="str">
        <f>IF(L549="","Open",IF(OR(P549&lt;[1]Setup!$B$6,Q549&gt;[1]Setup!$B$7,R549&gt;[1]Setup!$B$8,O549&gt;[1]Setup!$B$10),"Review","OK"))</f>
        <v>Open</v>
      </c>
      <c r="X549" s="86"/>
      <c r="Z549" s="81" t="str">
        <f t="shared" si="102"/>
        <v/>
      </c>
    </row>
    <row r="550" spans="1:26" x14ac:dyDescent="0.3">
      <c r="A550" s="84"/>
      <c r="B550" s="100">
        <f t="shared" si="100"/>
        <v>0</v>
      </c>
      <c r="C550" s="84" t="str">
        <f t="shared" si="101"/>
        <v>January</v>
      </c>
      <c r="D550" s="85" t="str">
        <f t="shared" si="99"/>
        <v/>
      </c>
      <c r="E550" s="86"/>
      <c r="F550" s="86"/>
      <c r="G550" s="86"/>
      <c r="H550" s="86"/>
      <c r="I550" s="87" t="str">
        <f>IF(F550=0,"",IF(COUNTIF(F550,"Bao"),[1]Setup!$B$4,IF(COUNTIF(F550,"Soup Dumplings"),[1]Setup!$B$5,F550)))</f>
        <v/>
      </c>
      <c r="J550" s="88" t="str">
        <f t="shared" si="93"/>
        <v/>
      </c>
      <c r="K550" s="88"/>
      <c r="L550" s="87"/>
      <c r="M550" s="87"/>
      <c r="N550" s="87"/>
      <c r="O550" s="87"/>
      <c r="P550" s="89" t="str">
        <f t="shared" si="94"/>
        <v/>
      </c>
      <c r="Q550" s="89" t="str">
        <f t="shared" si="95"/>
        <v/>
      </c>
      <c r="R550" s="89" t="str">
        <f t="shared" si="96"/>
        <v/>
      </c>
      <c r="S550" s="88" t="str">
        <f>IF(F550="Bao",[1]Setup!$B$4,IF(F550="Soup Dumplings",[1]Setup!$B$5,""))</f>
        <v/>
      </c>
      <c r="T550" s="88" t="str">
        <f t="shared" si="97"/>
        <v/>
      </c>
      <c r="U550" s="84" t="str">
        <f t="shared" si="98"/>
        <v/>
      </c>
      <c r="V550" s="88">
        <f>IF(U550="",0,MAX(0,T550)+N550+ROUND(J550*[1]Setup!$B$9,0)+IF(O550&gt;[1]Setup!$B$10,ROUND(J550*[1]Setup!$B$11,0),0))</f>
        <v>0</v>
      </c>
      <c r="W550" s="85" t="str">
        <f>IF(L550="","Open",IF(OR(P550&lt;[1]Setup!$B$6,Q550&gt;[1]Setup!$B$7,R550&gt;[1]Setup!$B$8,O550&gt;[1]Setup!$B$10),"Review","OK"))</f>
        <v>Open</v>
      </c>
      <c r="X550" s="86"/>
      <c r="Z550" s="81" t="str">
        <f t="shared" si="102"/>
        <v/>
      </c>
    </row>
    <row r="551" spans="1:26" x14ac:dyDescent="0.3">
      <c r="A551" s="84"/>
      <c r="B551" s="100">
        <f t="shared" si="100"/>
        <v>0</v>
      </c>
      <c r="C551" s="84" t="str">
        <f t="shared" si="101"/>
        <v>January</v>
      </c>
      <c r="D551" s="85" t="str">
        <f t="shared" si="99"/>
        <v/>
      </c>
      <c r="E551" s="86"/>
      <c r="F551" s="86"/>
      <c r="G551" s="86"/>
      <c r="H551" s="86"/>
      <c r="I551" s="87" t="str">
        <f>IF(F551=0,"",IF(COUNTIF(F551,"Bao"),[1]Setup!$B$4,IF(COUNTIF(F551,"Soup Dumplings"),[1]Setup!$B$5,F551)))</f>
        <v/>
      </c>
      <c r="J551" s="88" t="str">
        <f t="shared" si="93"/>
        <v/>
      </c>
      <c r="K551" s="88"/>
      <c r="L551" s="87"/>
      <c r="M551" s="87"/>
      <c r="N551" s="87"/>
      <c r="O551" s="87"/>
      <c r="P551" s="89" t="str">
        <f t="shared" si="94"/>
        <v/>
      </c>
      <c r="Q551" s="89" t="str">
        <f t="shared" si="95"/>
        <v/>
      </c>
      <c r="R551" s="89" t="str">
        <f t="shared" si="96"/>
        <v/>
      </c>
      <c r="S551" s="88" t="str">
        <f>IF(F551="Bao",[1]Setup!$B$4,IF(F551="Soup Dumplings",[1]Setup!$B$5,""))</f>
        <v/>
      </c>
      <c r="T551" s="88" t="str">
        <f t="shared" si="97"/>
        <v/>
      </c>
      <c r="U551" s="84" t="str">
        <f t="shared" si="98"/>
        <v/>
      </c>
      <c r="V551" s="88">
        <f>IF(U551="",0,MAX(0,T551)+N551+ROUND(J551*[1]Setup!$B$9,0)+IF(O551&gt;[1]Setup!$B$10,ROUND(J551*[1]Setup!$B$11,0),0))</f>
        <v>0</v>
      </c>
      <c r="W551" s="85" t="str">
        <f>IF(L551="","Open",IF(OR(P551&lt;[1]Setup!$B$6,Q551&gt;[1]Setup!$B$7,R551&gt;[1]Setup!$B$8,O551&gt;[1]Setup!$B$10),"Review","OK"))</f>
        <v>Open</v>
      </c>
      <c r="X551" s="86"/>
      <c r="Z551" s="81" t="str">
        <f t="shared" si="102"/>
        <v/>
      </c>
    </row>
    <row r="552" spans="1:26" x14ac:dyDescent="0.3">
      <c r="A552" s="84"/>
      <c r="B552" s="100">
        <f t="shared" si="100"/>
        <v>0</v>
      </c>
      <c r="C552" s="84" t="str">
        <f t="shared" si="101"/>
        <v>January</v>
      </c>
      <c r="D552" s="85" t="str">
        <f t="shared" si="99"/>
        <v/>
      </c>
      <c r="E552" s="86"/>
      <c r="F552" s="86"/>
      <c r="G552" s="86"/>
      <c r="H552" s="86"/>
      <c r="I552" s="87" t="str">
        <f>IF(F552=0,"",IF(COUNTIF(F552,"Bao"),[1]Setup!$B$4,IF(COUNTIF(F552,"Soup Dumplings"),[1]Setup!$B$5,F552)))</f>
        <v/>
      </c>
      <c r="J552" s="88" t="str">
        <f t="shared" si="93"/>
        <v/>
      </c>
      <c r="K552" s="88"/>
      <c r="L552" s="87"/>
      <c r="M552" s="87"/>
      <c r="N552" s="87"/>
      <c r="O552" s="87"/>
      <c r="P552" s="89" t="str">
        <f t="shared" si="94"/>
        <v/>
      </c>
      <c r="Q552" s="89" t="str">
        <f t="shared" si="95"/>
        <v/>
      </c>
      <c r="R552" s="89" t="str">
        <f t="shared" si="96"/>
        <v/>
      </c>
      <c r="S552" s="88" t="str">
        <f>IF(F552="Bao",[1]Setup!$B$4,IF(F552="Soup Dumplings",[1]Setup!$B$5,""))</f>
        <v/>
      </c>
      <c r="T552" s="88" t="str">
        <f t="shared" si="97"/>
        <v/>
      </c>
      <c r="U552" s="84" t="str">
        <f t="shared" si="98"/>
        <v/>
      </c>
      <c r="V552" s="88">
        <f>IF(U552="",0,MAX(0,T552)+N552+ROUND(J552*[1]Setup!$B$9,0)+IF(O552&gt;[1]Setup!$B$10,ROUND(J552*[1]Setup!$B$11,0),0))</f>
        <v>0</v>
      </c>
      <c r="W552" s="85" t="str">
        <f>IF(L552="","Open",IF(OR(P552&lt;[1]Setup!$B$6,Q552&gt;[1]Setup!$B$7,R552&gt;[1]Setup!$B$8,O552&gt;[1]Setup!$B$10),"Review","OK"))</f>
        <v>Open</v>
      </c>
      <c r="X552" s="86"/>
      <c r="Z552" s="81" t="str">
        <f t="shared" si="102"/>
        <v/>
      </c>
    </row>
    <row r="553" spans="1:26" x14ac:dyDescent="0.3">
      <c r="A553" s="84"/>
      <c r="B553" s="100">
        <f t="shared" si="100"/>
        <v>0</v>
      </c>
      <c r="C553" s="84" t="str">
        <f t="shared" si="101"/>
        <v>January</v>
      </c>
      <c r="D553" s="85" t="str">
        <f t="shared" si="99"/>
        <v/>
      </c>
      <c r="E553" s="86"/>
      <c r="F553" s="86"/>
      <c r="G553" s="86"/>
      <c r="H553" s="86"/>
      <c r="I553" s="87" t="str">
        <f>IF(F553=0,"",IF(COUNTIF(F553,"Bao"),[1]Setup!$B$4,IF(COUNTIF(F553,"Soup Dumplings"),[1]Setup!$B$5,F553)))</f>
        <v/>
      </c>
      <c r="J553" s="88" t="str">
        <f t="shared" si="93"/>
        <v/>
      </c>
      <c r="K553" s="88"/>
      <c r="L553" s="87"/>
      <c r="M553" s="87"/>
      <c r="N553" s="87"/>
      <c r="O553" s="87"/>
      <c r="P553" s="89" t="str">
        <f t="shared" si="94"/>
        <v/>
      </c>
      <c r="Q553" s="89" t="str">
        <f t="shared" si="95"/>
        <v/>
      </c>
      <c r="R553" s="89" t="str">
        <f t="shared" si="96"/>
        <v/>
      </c>
      <c r="S553" s="88" t="str">
        <f>IF(F553="Bao",[1]Setup!$B$4,IF(F553="Soup Dumplings",[1]Setup!$B$5,""))</f>
        <v/>
      </c>
      <c r="T553" s="88" t="str">
        <f t="shared" si="97"/>
        <v/>
      </c>
      <c r="U553" s="84" t="str">
        <f t="shared" si="98"/>
        <v/>
      </c>
      <c r="V553" s="88">
        <f>IF(U553="",0,MAX(0,T553)+N553+ROUND(J553*[1]Setup!$B$9,0)+IF(O553&gt;[1]Setup!$B$10,ROUND(J553*[1]Setup!$B$11,0),0))</f>
        <v>0</v>
      </c>
      <c r="W553" s="85" t="str">
        <f>IF(L553="","Open",IF(OR(P553&lt;[1]Setup!$B$6,Q553&gt;[1]Setup!$B$7,R553&gt;[1]Setup!$B$8,O553&gt;[1]Setup!$B$10),"Review","OK"))</f>
        <v>Open</v>
      </c>
      <c r="X553" s="86"/>
      <c r="Z553" s="81" t="str">
        <f t="shared" si="102"/>
        <v/>
      </c>
    </row>
    <row r="554" spans="1:26" x14ac:dyDescent="0.3">
      <c r="A554" s="84"/>
      <c r="B554" s="100">
        <f t="shared" si="100"/>
        <v>0</v>
      </c>
      <c r="C554" s="84" t="str">
        <f t="shared" si="101"/>
        <v>January</v>
      </c>
      <c r="D554" s="85" t="str">
        <f t="shared" si="99"/>
        <v/>
      </c>
      <c r="E554" s="86"/>
      <c r="F554" s="86"/>
      <c r="G554" s="86"/>
      <c r="H554" s="86"/>
      <c r="I554" s="87" t="str">
        <f>IF(F554=0,"",IF(COUNTIF(F554,"Bao"),[1]Setup!$B$4,IF(COUNTIF(F554,"Soup Dumplings"),[1]Setup!$B$5,F554)))</f>
        <v/>
      </c>
      <c r="J554" s="88" t="str">
        <f t="shared" si="93"/>
        <v/>
      </c>
      <c r="K554" s="88"/>
      <c r="L554" s="87"/>
      <c r="M554" s="87"/>
      <c r="N554" s="87"/>
      <c r="O554" s="87"/>
      <c r="P554" s="89" t="str">
        <f t="shared" si="94"/>
        <v/>
      </c>
      <c r="Q554" s="89" t="str">
        <f t="shared" si="95"/>
        <v/>
      </c>
      <c r="R554" s="89" t="str">
        <f t="shared" si="96"/>
        <v/>
      </c>
      <c r="S554" s="88" t="str">
        <f>IF(F554="Bao",[1]Setup!$B$4,IF(F554="Soup Dumplings",[1]Setup!$B$5,""))</f>
        <v/>
      </c>
      <c r="T554" s="88" t="str">
        <f t="shared" si="97"/>
        <v/>
      </c>
      <c r="U554" s="84" t="str">
        <f t="shared" si="98"/>
        <v/>
      </c>
      <c r="V554" s="88">
        <f>IF(U554="",0,MAX(0,T554)+N554+ROUND(J554*[1]Setup!$B$9,0)+IF(O554&gt;[1]Setup!$B$10,ROUND(J554*[1]Setup!$B$11,0),0))</f>
        <v>0</v>
      </c>
      <c r="W554" s="85" t="str">
        <f>IF(L554="","Open",IF(OR(P554&lt;[1]Setup!$B$6,Q554&gt;[1]Setup!$B$7,R554&gt;[1]Setup!$B$8,O554&gt;[1]Setup!$B$10),"Review","OK"))</f>
        <v>Open</v>
      </c>
      <c r="X554" s="86"/>
      <c r="Z554" s="81" t="str">
        <f t="shared" si="102"/>
        <v/>
      </c>
    </row>
    <row r="555" spans="1:26" x14ac:dyDescent="0.3">
      <c r="A555" s="84"/>
      <c r="B555" s="100">
        <f t="shared" si="100"/>
        <v>0</v>
      </c>
      <c r="C555" s="84" t="str">
        <f t="shared" si="101"/>
        <v>January</v>
      </c>
      <c r="D555" s="85" t="str">
        <f t="shared" si="99"/>
        <v/>
      </c>
      <c r="E555" s="86"/>
      <c r="F555" s="86"/>
      <c r="G555" s="86"/>
      <c r="H555" s="86"/>
      <c r="I555" s="87" t="str">
        <f>IF(F555=0,"",IF(COUNTIF(F555,"Bao"),[1]Setup!$B$4,IF(COUNTIF(F555,"Soup Dumplings"),[1]Setup!$B$5,F555)))</f>
        <v/>
      </c>
      <c r="J555" s="88" t="str">
        <f t="shared" si="93"/>
        <v/>
      </c>
      <c r="K555" s="88"/>
      <c r="L555" s="87"/>
      <c r="M555" s="87"/>
      <c r="N555" s="87"/>
      <c r="O555" s="87"/>
      <c r="P555" s="89" t="str">
        <f t="shared" si="94"/>
        <v/>
      </c>
      <c r="Q555" s="89" t="str">
        <f t="shared" si="95"/>
        <v/>
      </c>
      <c r="R555" s="89" t="str">
        <f t="shared" si="96"/>
        <v/>
      </c>
      <c r="S555" s="88" t="str">
        <f>IF(F555="Bao",[1]Setup!$B$4,IF(F555="Soup Dumplings",[1]Setup!$B$5,""))</f>
        <v/>
      </c>
      <c r="T555" s="88" t="str">
        <f t="shared" si="97"/>
        <v/>
      </c>
      <c r="U555" s="84" t="str">
        <f t="shared" si="98"/>
        <v/>
      </c>
      <c r="V555" s="88">
        <f>IF(U555="",0,MAX(0,T555)+N555+ROUND(J555*[1]Setup!$B$9,0)+IF(O555&gt;[1]Setup!$B$10,ROUND(J555*[1]Setup!$B$11,0),0))</f>
        <v>0</v>
      </c>
      <c r="W555" s="85" t="str">
        <f>IF(L555="","Open",IF(OR(P555&lt;[1]Setup!$B$6,Q555&gt;[1]Setup!$B$7,R555&gt;[1]Setup!$B$8,O555&gt;[1]Setup!$B$10),"Review","OK"))</f>
        <v>Open</v>
      </c>
      <c r="X555" s="86"/>
      <c r="Z555" s="81" t="str">
        <f t="shared" si="102"/>
        <v/>
      </c>
    </row>
    <row r="556" spans="1:26" x14ac:dyDescent="0.3">
      <c r="A556" s="84"/>
      <c r="B556" s="100">
        <f t="shared" si="100"/>
        <v>0</v>
      </c>
      <c r="C556" s="84" t="str">
        <f t="shared" si="101"/>
        <v>January</v>
      </c>
      <c r="D556" s="85" t="str">
        <f t="shared" si="99"/>
        <v/>
      </c>
      <c r="E556" s="86"/>
      <c r="F556" s="86"/>
      <c r="G556" s="86"/>
      <c r="H556" s="86"/>
      <c r="I556" s="87" t="str">
        <f>IF(F556=0,"",IF(COUNTIF(F556,"Bao"),[1]Setup!$B$4,IF(COUNTIF(F556,"Soup Dumplings"),[1]Setup!$B$5,F556)))</f>
        <v/>
      </c>
      <c r="J556" s="88" t="str">
        <f t="shared" si="93"/>
        <v/>
      </c>
      <c r="K556" s="88"/>
      <c r="L556" s="87"/>
      <c r="M556" s="87"/>
      <c r="N556" s="87"/>
      <c r="O556" s="87"/>
      <c r="P556" s="89" t="str">
        <f t="shared" si="94"/>
        <v/>
      </c>
      <c r="Q556" s="89" t="str">
        <f t="shared" si="95"/>
        <v/>
      </c>
      <c r="R556" s="89" t="str">
        <f t="shared" si="96"/>
        <v/>
      </c>
      <c r="S556" s="88" t="str">
        <f>IF(F556="Bao",[1]Setup!$B$4,IF(F556="Soup Dumplings",[1]Setup!$B$5,""))</f>
        <v/>
      </c>
      <c r="T556" s="88" t="str">
        <f t="shared" si="97"/>
        <v/>
      </c>
      <c r="U556" s="84" t="str">
        <f t="shared" si="98"/>
        <v/>
      </c>
      <c r="V556" s="88">
        <f>IF(U556="",0,MAX(0,T556)+N556+ROUND(J556*[1]Setup!$B$9,0)+IF(O556&gt;[1]Setup!$B$10,ROUND(J556*[1]Setup!$B$11,0),0))</f>
        <v>0</v>
      </c>
      <c r="W556" s="85" t="str">
        <f>IF(L556="","Open",IF(OR(P556&lt;[1]Setup!$B$6,Q556&gt;[1]Setup!$B$7,R556&gt;[1]Setup!$B$8,O556&gt;[1]Setup!$B$10),"Review","OK"))</f>
        <v>Open</v>
      </c>
      <c r="X556" s="86"/>
      <c r="Z556" s="81" t="str">
        <f t="shared" si="102"/>
        <v/>
      </c>
    </row>
    <row r="557" spans="1:26" x14ac:dyDescent="0.3">
      <c r="A557" s="84"/>
      <c r="B557" s="100">
        <f t="shared" si="100"/>
        <v>0</v>
      </c>
      <c r="C557" s="84" t="str">
        <f t="shared" si="101"/>
        <v>January</v>
      </c>
      <c r="D557" s="85" t="str">
        <f t="shared" si="99"/>
        <v/>
      </c>
      <c r="E557" s="86"/>
      <c r="F557" s="86"/>
      <c r="G557" s="86"/>
      <c r="H557" s="86"/>
      <c r="I557" s="87" t="str">
        <f>IF(F557=0,"",IF(COUNTIF(F557,"Bao"),[1]Setup!$B$4,IF(COUNTIF(F557,"Soup Dumplings"),[1]Setup!$B$5,F557)))</f>
        <v/>
      </c>
      <c r="J557" s="88" t="str">
        <f t="shared" si="93"/>
        <v/>
      </c>
      <c r="K557" s="88"/>
      <c r="L557" s="87"/>
      <c r="M557" s="87"/>
      <c r="N557" s="87"/>
      <c r="O557" s="87"/>
      <c r="P557" s="89" t="str">
        <f t="shared" si="94"/>
        <v/>
      </c>
      <c r="Q557" s="89" t="str">
        <f t="shared" si="95"/>
        <v/>
      </c>
      <c r="R557" s="89" t="str">
        <f t="shared" si="96"/>
        <v/>
      </c>
      <c r="S557" s="88" t="str">
        <f>IF(F557="Bao",[1]Setup!$B$4,IF(F557="Soup Dumplings",[1]Setup!$B$5,""))</f>
        <v/>
      </c>
      <c r="T557" s="88" t="str">
        <f t="shared" si="97"/>
        <v/>
      </c>
      <c r="U557" s="84" t="str">
        <f t="shared" si="98"/>
        <v/>
      </c>
      <c r="V557" s="88">
        <f>IF(U557="",0,MAX(0,T557)+N557+ROUND(J557*[1]Setup!$B$9,0)+IF(O557&gt;[1]Setup!$B$10,ROUND(J557*[1]Setup!$B$11,0),0))</f>
        <v>0</v>
      </c>
      <c r="W557" s="85" t="str">
        <f>IF(L557="","Open",IF(OR(P557&lt;[1]Setup!$B$6,Q557&gt;[1]Setup!$B$7,R557&gt;[1]Setup!$B$8,O557&gt;[1]Setup!$B$10),"Review","OK"))</f>
        <v>Open</v>
      </c>
      <c r="X557" s="86"/>
      <c r="Z557" s="81" t="str">
        <f t="shared" si="102"/>
        <v/>
      </c>
    </row>
    <row r="558" spans="1:26" x14ac:dyDescent="0.3">
      <c r="A558" s="84"/>
      <c r="B558" s="100">
        <f t="shared" si="100"/>
        <v>0</v>
      </c>
      <c r="C558" s="84" t="str">
        <f t="shared" si="101"/>
        <v>January</v>
      </c>
      <c r="D558" s="85" t="str">
        <f t="shared" si="99"/>
        <v/>
      </c>
      <c r="E558" s="86"/>
      <c r="F558" s="86"/>
      <c r="G558" s="86"/>
      <c r="H558" s="86"/>
      <c r="I558" s="87" t="str">
        <f>IF(F558=0,"",IF(COUNTIF(F558,"Bao"),[1]Setup!$B$4,IF(COUNTIF(F558,"Soup Dumplings"),[1]Setup!$B$5,F558)))</f>
        <v/>
      </c>
      <c r="J558" s="88" t="str">
        <f t="shared" si="93"/>
        <v/>
      </c>
      <c r="K558" s="88"/>
      <c r="L558" s="87"/>
      <c r="M558" s="87"/>
      <c r="N558" s="87"/>
      <c r="O558" s="87"/>
      <c r="P558" s="89" t="str">
        <f t="shared" si="94"/>
        <v/>
      </c>
      <c r="Q558" s="89" t="str">
        <f t="shared" si="95"/>
        <v/>
      </c>
      <c r="R558" s="89" t="str">
        <f t="shared" si="96"/>
        <v/>
      </c>
      <c r="S558" s="88" t="str">
        <f>IF(F558="Bao",[1]Setup!$B$4,IF(F558="Soup Dumplings",[1]Setup!$B$5,""))</f>
        <v/>
      </c>
      <c r="T558" s="88" t="str">
        <f t="shared" si="97"/>
        <v/>
      </c>
      <c r="U558" s="84" t="str">
        <f t="shared" si="98"/>
        <v/>
      </c>
      <c r="V558" s="88">
        <f>IF(U558="",0,MAX(0,T558)+N558+ROUND(J558*[1]Setup!$B$9,0)+IF(O558&gt;[1]Setup!$B$10,ROUND(J558*[1]Setup!$B$11,0),0))</f>
        <v>0</v>
      </c>
      <c r="W558" s="85" t="str">
        <f>IF(L558="","Open",IF(OR(P558&lt;[1]Setup!$B$6,Q558&gt;[1]Setup!$B$7,R558&gt;[1]Setup!$B$8,O558&gt;[1]Setup!$B$10),"Review","OK"))</f>
        <v>Open</v>
      </c>
      <c r="X558" s="86"/>
      <c r="Z558" s="81" t="str">
        <f t="shared" si="102"/>
        <v/>
      </c>
    </row>
    <row r="559" spans="1:26" x14ac:dyDescent="0.3">
      <c r="A559" s="84"/>
      <c r="B559" s="100">
        <f t="shared" si="100"/>
        <v>0</v>
      </c>
      <c r="C559" s="84" t="str">
        <f t="shared" si="101"/>
        <v>January</v>
      </c>
      <c r="D559" s="85" t="str">
        <f t="shared" si="99"/>
        <v/>
      </c>
      <c r="E559" s="86"/>
      <c r="F559" s="86"/>
      <c r="G559" s="86"/>
      <c r="H559" s="86"/>
      <c r="I559" s="87" t="str">
        <f>IF(F559=0,"",IF(COUNTIF(F559,"Bao"),[1]Setup!$B$4,IF(COUNTIF(F559,"Soup Dumplings"),[1]Setup!$B$5,F559)))</f>
        <v/>
      </c>
      <c r="J559" s="88" t="str">
        <f t="shared" ref="J559:J622" si="103">IF(A559="","",
   IFERROR(
      N(I559)+SUMIFS($V$4:$V$30,$U$4:$U$30,A559,$G$4:$G$30,G559),
   0)
)</f>
        <v/>
      </c>
      <c r="K559" s="88"/>
      <c r="L559" s="87"/>
      <c r="M559" s="87"/>
      <c r="N559" s="87"/>
      <c r="O559" s="87"/>
      <c r="P559" s="89" t="str">
        <f t="shared" ref="P559:P622" si="104">IF(J559="","",IF(J559&gt;0,(L559+M559)/J559,""))</f>
        <v/>
      </c>
      <c r="Q559" s="89" t="str">
        <f t="shared" ref="Q559:Q622" si="105">IF(J559="","",IF(J559&gt;0,MAX(0,(J559-(L559+M559))/J559),""))</f>
        <v/>
      </c>
      <c r="R559" s="89" t="str">
        <f t="shared" ref="R559:R622" si="106">IF(J559="","",IF(J559&gt;0,MAX(0,(L559+M559-J559)/J559),""))</f>
        <v/>
      </c>
      <c r="S559" s="88" t="str">
        <f>IF(F559="Bao",[1]Setup!$B$4,IF(F559="Soup Dumplings",[1]Setup!$B$5,""))</f>
        <v/>
      </c>
      <c r="T559" s="88" t="str">
        <f t="shared" ref="T559:T622" si="107">IF(L559="","",S559-L559)</f>
        <v/>
      </c>
      <c r="U559" s="84" t="str">
        <f t="shared" ref="U559:U622" si="108">IF(A559="","",A559+1)</f>
        <v/>
      </c>
      <c r="V559" s="88">
        <f>IF(U559="",0,MAX(0,T559)+N559+ROUND(J559*[1]Setup!$B$9,0)+IF(O559&gt;[1]Setup!$B$10,ROUND(J559*[1]Setup!$B$11,0),0))</f>
        <v>0</v>
      </c>
      <c r="W559" s="85" t="str">
        <f>IF(L559="","Open",IF(OR(P559&lt;[1]Setup!$B$6,Q559&gt;[1]Setup!$B$7,R559&gt;[1]Setup!$B$8,O559&gt;[1]Setup!$B$10),"Review","OK"))</f>
        <v>Open</v>
      </c>
      <c r="X559" s="86"/>
      <c r="Z559" s="81" t="str">
        <f t="shared" si="102"/>
        <v/>
      </c>
    </row>
    <row r="560" spans="1:26" x14ac:dyDescent="0.3">
      <c r="A560" s="84"/>
      <c r="B560" s="100">
        <f t="shared" si="100"/>
        <v>0</v>
      </c>
      <c r="C560" s="84" t="str">
        <f t="shared" si="101"/>
        <v>January</v>
      </c>
      <c r="D560" s="85" t="str">
        <f t="shared" si="99"/>
        <v/>
      </c>
      <c r="E560" s="86"/>
      <c r="F560" s="86"/>
      <c r="G560" s="86"/>
      <c r="H560" s="86"/>
      <c r="I560" s="87" t="str">
        <f>IF(F560=0,"",IF(COUNTIF(F560,"Bao"),[1]Setup!$B$4,IF(COUNTIF(F560,"Soup Dumplings"),[1]Setup!$B$5,F560)))</f>
        <v/>
      </c>
      <c r="J560" s="88" t="str">
        <f t="shared" si="103"/>
        <v/>
      </c>
      <c r="K560" s="88"/>
      <c r="L560" s="87"/>
      <c r="M560" s="87"/>
      <c r="N560" s="87"/>
      <c r="O560" s="87"/>
      <c r="P560" s="89" t="str">
        <f t="shared" si="104"/>
        <v/>
      </c>
      <c r="Q560" s="89" t="str">
        <f t="shared" si="105"/>
        <v/>
      </c>
      <c r="R560" s="89" t="str">
        <f t="shared" si="106"/>
        <v/>
      </c>
      <c r="S560" s="88" t="str">
        <f>IF(F560="Bao",[1]Setup!$B$4,IF(F560="Soup Dumplings",[1]Setup!$B$5,""))</f>
        <v/>
      </c>
      <c r="T560" s="88" t="str">
        <f t="shared" si="107"/>
        <v/>
      </c>
      <c r="U560" s="84" t="str">
        <f t="shared" si="108"/>
        <v/>
      </c>
      <c r="V560" s="88">
        <f>IF(U560="",0,MAX(0,T560)+N560+ROUND(J560*[1]Setup!$B$9,0)+IF(O560&gt;[1]Setup!$B$10,ROUND(J560*[1]Setup!$B$11,0),0))</f>
        <v>0</v>
      </c>
      <c r="W560" s="85" t="str">
        <f>IF(L560="","Open",IF(OR(P560&lt;[1]Setup!$B$6,Q560&gt;[1]Setup!$B$7,R560&gt;[1]Setup!$B$8,O560&gt;[1]Setup!$B$10),"Review","OK"))</f>
        <v>Open</v>
      </c>
      <c r="X560" s="86"/>
      <c r="Z560" s="81" t="str">
        <f t="shared" si="102"/>
        <v/>
      </c>
    </row>
    <row r="561" spans="1:26" x14ac:dyDescent="0.3">
      <c r="A561" s="84"/>
      <c r="B561" s="100">
        <f t="shared" si="100"/>
        <v>0</v>
      </c>
      <c r="C561" s="84" t="str">
        <f t="shared" si="101"/>
        <v>January</v>
      </c>
      <c r="D561" s="85" t="str">
        <f t="shared" si="99"/>
        <v/>
      </c>
      <c r="E561" s="86"/>
      <c r="F561" s="86"/>
      <c r="G561" s="86"/>
      <c r="H561" s="86"/>
      <c r="I561" s="87" t="str">
        <f>IF(F561=0,"",IF(COUNTIF(F561,"Bao"),[1]Setup!$B$4,IF(COUNTIF(F561,"Soup Dumplings"),[1]Setup!$B$5,F561)))</f>
        <v/>
      </c>
      <c r="J561" s="88" t="str">
        <f t="shared" si="103"/>
        <v/>
      </c>
      <c r="K561" s="88"/>
      <c r="L561" s="87"/>
      <c r="M561" s="87"/>
      <c r="N561" s="87"/>
      <c r="O561" s="87"/>
      <c r="P561" s="89" t="str">
        <f t="shared" si="104"/>
        <v/>
      </c>
      <c r="Q561" s="89" t="str">
        <f t="shared" si="105"/>
        <v/>
      </c>
      <c r="R561" s="89" t="str">
        <f t="shared" si="106"/>
        <v/>
      </c>
      <c r="S561" s="88" t="str">
        <f>IF(F561="Bao",[1]Setup!$B$4,IF(F561="Soup Dumplings",[1]Setup!$B$5,""))</f>
        <v/>
      </c>
      <c r="T561" s="88" t="str">
        <f t="shared" si="107"/>
        <v/>
      </c>
      <c r="U561" s="84" t="str">
        <f t="shared" si="108"/>
        <v/>
      </c>
      <c r="V561" s="88">
        <f>IF(U561="",0,MAX(0,T561)+N561+ROUND(J561*[1]Setup!$B$9,0)+IF(O561&gt;[1]Setup!$B$10,ROUND(J561*[1]Setup!$B$11,0),0))</f>
        <v>0</v>
      </c>
      <c r="W561" s="85" t="str">
        <f>IF(L561="","Open",IF(OR(P561&lt;[1]Setup!$B$6,Q561&gt;[1]Setup!$B$7,R561&gt;[1]Setup!$B$8,O561&gt;[1]Setup!$B$10),"Review","OK"))</f>
        <v>Open</v>
      </c>
      <c r="X561" s="86"/>
      <c r="Z561" s="81" t="str">
        <f t="shared" si="102"/>
        <v/>
      </c>
    </row>
    <row r="562" spans="1:26" x14ac:dyDescent="0.3">
      <c r="A562" s="84"/>
      <c r="B562" s="100">
        <f t="shared" si="100"/>
        <v>0</v>
      </c>
      <c r="C562" s="84" t="str">
        <f t="shared" si="101"/>
        <v>January</v>
      </c>
      <c r="D562" s="85" t="str">
        <f t="shared" si="99"/>
        <v/>
      </c>
      <c r="E562" s="86"/>
      <c r="F562" s="86"/>
      <c r="G562" s="86"/>
      <c r="H562" s="86"/>
      <c r="I562" s="87" t="str">
        <f>IF(F562=0,"",IF(COUNTIF(F562,"Bao"),[1]Setup!$B$4,IF(COUNTIF(F562,"Soup Dumplings"),[1]Setup!$B$5,F562)))</f>
        <v/>
      </c>
      <c r="J562" s="88" t="str">
        <f t="shared" si="103"/>
        <v/>
      </c>
      <c r="K562" s="88"/>
      <c r="L562" s="87"/>
      <c r="M562" s="87"/>
      <c r="N562" s="87"/>
      <c r="O562" s="87"/>
      <c r="P562" s="89" t="str">
        <f t="shared" si="104"/>
        <v/>
      </c>
      <c r="Q562" s="89" t="str">
        <f t="shared" si="105"/>
        <v/>
      </c>
      <c r="R562" s="89" t="str">
        <f t="shared" si="106"/>
        <v/>
      </c>
      <c r="S562" s="88" t="str">
        <f>IF(F562="Bao",[1]Setup!$B$4,IF(F562="Soup Dumplings",[1]Setup!$B$5,""))</f>
        <v/>
      </c>
      <c r="T562" s="88" t="str">
        <f t="shared" si="107"/>
        <v/>
      </c>
      <c r="U562" s="84" t="str">
        <f t="shared" si="108"/>
        <v/>
      </c>
      <c r="V562" s="88">
        <f>IF(U562="",0,MAX(0,T562)+N562+ROUND(J562*[1]Setup!$B$9,0)+IF(O562&gt;[1]Setup!$B$10,ROUND(J562*[1]Setup!$B$11,0),0))</f>
        <v>0</v>
      </c>
      <c r="W562" s="85" t="str">
        <f>IF(L562="","Open",IF(OR(P562&lt;[1]Setup!$B$6,Q562&gt;[1]Setup!$B$7,R562&gt;[1]Setup!$B$8,O562&gt;[1]Setup!$B$10),"Review","OK"))</f>
        <v>Open</v>
      </c>
      <c r="X562" s="86"/>
      <c r="Z562" s="81" t="str">
        <f t="shared" si="102"/>
        <v/>
      </c>
    </row>
    <row r="563" spans="1:26" x14ac:dyDescent="0.3">
      <c r="A563" s="84"/>
      <c r="B563" s="100">
        <f t="shared" si="100"/>
        <v>0</v>
      </c>
      <c r="C563" s="84" t="str">
        <f t="shared" si="101"/>
        <v>January</v>
      </c>
      <c r="D563" s="85" t="str">
        <f t="shared" si="99"/>
        <v/>
      </c>
      <c r="E563" s="86"/>
      <c r="F563" s="86"/>
      <c r="G563" s="86"/>
      <c r="H563" s="86"/>
      <c r="I563" s="87" t="str">
        <f>IF(F563=0,"",IF(COUNTIF(F563,"Bao"),[1]Setup!$B$4,IF(COUNTIF(F563,"Soup Dumplings"),[1]Setup!$B$5,F563)))</f>
        <v/>
      </c>
      <c r="J563" s="88" t="str">
        <f t="shared" si="103"/>
        <v/>
      </c>
      <c r="K563" s="88"/>
      <c r="L563" s="87"/>
      <c r="M563" s="87"/>
      <c r="N563" s="87"/>
      <c r="O563" s="87"/>
      <c r="P563" s="89" t="str">
        <f t="shared" si="104"/>
        <v/>
      </c>
      <c r="Q563" s="89" t="str">
        <f t="shared" si="105"/>
        <v/>
      </c>
      <c r="R563" s="89" t="str">
        <f t="shared" si="106"/>
        <v/>
      </c>
      <c r="S563" s="88" t="str">
        <f>IF(F563="Bao",[1]Setup!$B$4,IF(F563="Soup Dumplings",[1]Setup!$B$5,""))</f>
        <v/>
      </c>
      <c r="T563" s="88" t="str">
        <f t="shared" si="107"/>
        <v/>
      </c>
      <c r="U563" s="84" t="str">
        <f t="shared" si="108"/>
        <v/>
      </c>
      <c r="V563" s="88">
        <f>IF(U563="",0,MAX(0,T563)+N563+ROUND(J563*[1]Setup!$B$9,0)+IF(O563&gt;[1]Setup!$B$10,ROUND(J563*[1]Setup!$B$11,0),0))</f>
        <v>0</v>
      </c>
      <c r="W563" s="85" t="str">
        <f>IF(L563="","Open",IF(OR(P563&lt;[1]Setup!$B$6,Q563&gt;[1]Setup!$B$7,R563&gt;[1]Setup!$B$8,O563&gt;[1]Setup!$B$10),"Review","OK"))</f>
        <v>Open</v>
      </c>
      <c r="X563" s="86"/>
      <c r="Z563" s="81" t="str">
        <f t="shared" si="102"/>
        <v/>
      </c>
    </row>
    <row r="564" spans="1:26" x14ac:dyDescent="0.3">
      <c r="A564" s="84"/>
      <c r="B564" s="100">
        <f t="shared" si="100"/>
        <v>0</v>
      </c>
      <c r="C564" s="84" t="str">
        <f t="shared" si="101"/>
        <v>January</v>
      </c>
      <c r="D564" s="85" t="str">
        <f t="shared" si="99"/>
        <v/>
      </c>
      <c r="E564" s="86"/>
      <c r="F564" s="86"/>
      <c r="G564" s="86"/>
      <c r="H564" s="86"/>
      <c r="I564" s="87" t="str">
        <f>IF(F564=0,"",IF(COUNTIF(F564,"Bao"),[1]Setup!$B$4,IF(COUNTIF(F564,"Soup Dumplings"),[1]Setup!$B$5,F564)))</f>
        <v/>
      </c>
      <c r="J564" s="88" t="str">
        <f t="shared" si="103"/>
        <v/>
      </c>
      <c r="K564" s="88"/>
      <c r="L564" s="87"/>
      <c r="M564" s="87"/>
      <c r="N564" s="87"/>
      <c r="O564" s="87"/>
      <c r="P564" s="89" t="str">
        <f t="shared" si="104"/>
        <v/>
      </c>
      <c r="Q564" s="89" t="str">
        <f t="shared" si="105"/>
        <v/>
      </c>
      <c r="R564" s="89" t="str">
        <f t="shared" si="106"/>
        <v/>
      </c>
      <c r="S564" s="88" t="str">
        <f>IF(F564="Bao",[1]Setup!$B$4,IF(F564="Soup Dumplings",[1]Setup!$B$5,""))</f>
        <v/>
      </c>
      <c r="T564" s="88" t="str">
        <f t="shared" si="107"/>
        <v/>
      </c>
      <c r="U564" s="84" t="str">
        <f t="shared" si="108"/>
        <v/>
      </c>
      <c r="V564" s="88">
        <f>IF(U564="",0,MAX(0,T564)+N564+ROUND(J564*[1]Setup!$B$9,0)+IF(O564&gt;[1]Setup!$B$10,ROUND(J564*[1]Setup!$B$11,0),0))</f>
        <v>0</v>
      </c>
      <c r="W564" s="85" t="str">
        <f>IF(L564="","Open",IF(OR(P564&lt;[1]Setup!$B$6,Q564&gt;[1]Setup!$B$7,R564&gt;[1]Setup!$B$8,O564&gt;[1]Setup!$B$10),"Review","OK"))</f>
        <v>Open</v>
      </c>
      <c r="X564" s="86"/>
      <c r="Z564" s="81" t="str">
        <f t="shared" si="102"/>
        <v/>
      </c>
    </row>
    <row r="565" spans="1:26" x14ac:dyDescent="0.3">
      <c r="A565" s="84"/>
      <c r="B565" s="100">
        <f t="shared" si="100"/>
        <v>0</v>
      </c>
      <c r="C565" s="84" t="str">
        <f t="shared" si="101"/>
        <v>January</v>
      </c>
      <c r="D565" s="85" t="str">
        <f t="shared" si="99"/>
        <v/>
      </c>
      <c r="E565" s="86"/>
      <c r="F565" s="86"/>
      <c r="G565" s="86"/>
      <c r="H565" s="86"/>
      <c r="I565" s="87" t="str">
        <f>IF(F565=0,"",IF(COUNTIF(F565,"Bao"),[1]Setup!$B$4,IF(COUNTIF(F565,"Soup Dumplings"),[1]Setup!$B$5,F565)))</f>
        <v/>
      </c>
      <c r="J565" s="88" t="str">
        <f t="shared" si="103"/>
        <v/>
      </c>
      <c r="K565" s="88"/>
      <c r="L565" s="87"/>
      <c r="M565" s="87"/>
      <c r="N565" s="87"/>
      <c r="O565" s="87"/>
      <c r="P565" s="89" t="str">
        <f t="shared" si="104"/>
        <v/>
      </c>
      <c r="Q565" s="89" t="str">
        <f t="shared" si="105"/>
        <v/>
      </c>
      <c r="R565" s="89" t="str">
        <f t="shared" si="106"/>
        <v/>
      </c>
      <c r="S565" s="88" t="str">
        <f>IF(F565="Bao",[1]Setup!$B$4,IF(F565="Soup Dumplings",[1]Setup!$B$5,""))</f>
        <v/>
      </c>
      <c r="T565" s="88" t="str">
        <f t="shared" si="107"/>
        <v/>
      </c>
      <c r="U565" s="84" t="str">
        <f t="shared" si="108"/>
        <v/>
      </c>
      <c r="V565" s="88">
        <f>IF(U565="",0,MAX(0,T565)+N565+ROUND(J565*[1]Setup!$B$9,0)+IF(O565&gt;[1]Setup!$B$10,ROUND(J565*[1]Setup!$B$11,0),0))</f>
        <v>0</v>
      </c>
      <c r="W565" s="85" t="str">
        <f>IF(L565="","Open",IF(OR(P565&lt;[1]Setup!$B$6,Q565&gt;[1]Setup!$B$7,R565&gt;[1]Setup!$B$8,O565&gt;[1]Setup!$B$10),"Review","OK"))</f>
        <v>Open</v>
      </c>
      <c r="X565" s="86"/>
      <c r="Z565" s="81" t="str">
        <f t="shared" si="102"/>
        <v/>
      </c>
    </row>
    <row r="566" spans="1:26" x14ac:dyDescent="0.3">
      <c r="A566" s="84"/>
      <c r="B566" s="100">
        <f t="shared" si="100"/>
        <v>0</v>
      </c>
      <c r="C566" s="84" t="str">
        <f t="shared" si="101"/>
        <v>January</v>
      </c>
      <c r="D566" s="85" t="str">
        <f t="shared" si="99"/>
        <v/>
      </c>
      <c r="E566" s="86"/>
      <c r="F566" s="86"/>
      <c r="G566" s="86"/>
      <c r="H566" s="86"/>
      <c r="I566" s="87" t="str">
        <f>IF(F566=0,"",IF(COUNTIF(F566,"Bao"),[1]Setup!$B$4,IF(COUNTIF(F566,"Soup Dumplings"),[1]Setup!$B$5,F566)))</f>
        <v/>
      </c>
      <c r="J566" s="88" t="str">
        <f t="shared" si="103"/>
        <v/>
      </c>
      <c r="K566" s="88"/>
      <c r="L566" s="87"/>
      <c r="M566" s="87"/>
      <c r="N566" s="87"/>
      <c r="O566" s="87"/>
      <c r="P566" s="89" t="str">
        <f t="shared" si="104"/>
        <v/>
      </c>
      <c r="Q566" s="89" t="str">
        <f t="shared" si="105"/>
        <v/>
      </c>
      <c r="R566" s="89" t="str">
        <f t="shared" si="106"/>
        <v/>
      </c>
      <c r="S566" s="88" t="str">
        <f>IF(F566="Bao",[1]Setup!$B$4,IF(F566="Soup Dumplings",[1]Setup!$B$5,""))</f>
        <v/>
      </c>
      <c r="T566" s="88" t="str">
        <f t="shared" si="107"/>
        <v/>
      </c>
      <c r="U566" s="84" t="str">
        <f t="shared" si="108"/>
        <v/>
      </c>
      <c r="V566" s="88">
        <f>IF(U566="",0,MAX(0,T566)+N566+ROUND(J566*[1]Setup!$B$9,0)+IF(O566&gt;[1]Setup!$B$10,ROUND(J566*[1]Setup!$B$11,0),0))</f>
        <v>0</v>
      </c>
      <c r="W566" s="85" t="str">
        <f>IF(L566="","Open",IF(OR(P566&lt;[1]Setup!$B$6,Q566&gt;[1]Setup!$B$7,R566&gt;[1]Setup!$B$8,O566&gt;[1]Setup!$B$10),"Review","OK"))</f>
        <v>Open</v>
      </c>
      <c r="X566" s="86"/>
      <c r="Z566" s="81" t="str">
        <f t="shared" si="102"/>
        <v/>
      </c>
    </row>
    <row r="567" spans="1:26" x14ac:dyDescent="0.3">
      <c r="A567" s="84"/>
      <c r="B567" s="100">
        <f t="shared" si="100"/>
        <v>0</v>
      </c>
      <c r="C567" s="84" t="str">
        <f t="shared" si="101"/>
        <v>January</v>
      </c>
      <c r="D567" s="85" t="str">
        <f t="shared" si="99"/>
        <v/>
      </c>
      <c r="E567" s="86"/>
      <c r="F567" s="86"/>
      <c r="G567" s="86"/>
      <c r="H567" s="86"/>
      <c r="I567" s="87" t="str">
        <f>IF(F567=0,"",IF(COUNTIF(F567,"Bao"),[1]Setup!$B$4,IF(COUNTIF(F567,"Soup Dumplings"),[1]Setup!$B$5,F567)))</f>
        <v/>
      </c>
      <c r="J567" s="88" t="str">
        <f t="shared" si="103"/>
        <v/>
      </c>
      <c r="K567" s="88"/>
      <c r="L567" s="87"/>
      <c r="M567" s="87"/>
      <c r="N567" s="87"/>
      <c r="O567" s="87"/>
      <c r="P567" s="89" t="str">
        <f t="shared" si="104"/>
        <v/>
      </c>
      <c r="Q567" s="89" t="str">
        <f t="shared" si="105"/>
        <v/>
      </c>
      <c r="R567" s="89" t="str">
        <f t="shared" si="106"/>
        <v/>
      </c>
      <c r="S567" s="88" t="str">
        <f>IF(F567="Bao",[1]Setup!$B$4,IF(F567="Soup Dumplings",[1]Setup!$B$5,""))</f>
        <v/>
      </c>
      <c r="T567" s="88" t="str">
        <f t="shared" si="107"/>
        <v/>
      </c>
      <c r="U567" s="84" t="str">
        <f t="shared" si="108"/>
        <v/>
      </c>
      <c r="V567" s="88">
        <f>IF(U567="",0,MAX(0,T567)+N567+ROUND(J567*[1]Setup!$B$9,0)+IF(O567&gt;[1]Setup!$B$10,ROUND(J567*[1]Setup!$B$11,0),0))</f>
        <v>0</v>
      </c>
      <c r="W567" s="85" t="str">
        <f>IF(L567="","Open",IF(OR(P567&lt;[1]Setup!$B$6,Q567&gt;[1]Setup!$B$7,R567&gt;[1]Setup!$B$8,O567&gt;[1]Setup!$B$10),"Review","OK"))</f>
        <v>Open</v>
      </c>
      <c r="X567" s="86"/>
      <c r="Z567" s="81" t="str">
        <f t="shared" si="102"/>
        <v/>
      </c>
    </row>
    <row r="568" spans="1:26" x14ac:dyDescent="0.3">
      <c r="A568" s="84"/>
      <c r="B568" s="100">
        <f t="shared" si="100"/>
        <v>0</v>
      </c>
      <c r="C568" s="84" t="str">
        <f t="shared" si="101"/>
        <v>January</v>
      </c>
      <c r="D568" s="85" t="str">
        <f t="shared" si="99"/>
        <v/>
      </c>
      <c r="E568" s="86"/>
      <c r="F568" s="86"/>
      <c r="G568" s="86"/>
      <c r="H568" s="86"/>
      <c r="I568" s="87" t="str">
        <f>IF(F568=0,"",IF(COUNTIF(F568,"Bao"),[1]Setup!$B$4,IF(COUNTIF(F568,"Soup Dumplings"),[1]Setup!$B$5,F568)))</f>
        <v/>
      </c>
      <c r="J568" s="88" t="str">
        <f t="shared" si="103"/>
        <v/>
      </c>
      <c r="K568" s="88"/>
      <c r="L568" s="87"/>
      <c r="M568" s="87"/>
      <c r="N568" s="87"/>
      <c r="O568" s="87"/>
      <c r="P568" s="89" t="str">
        <f t="shared" si="104"/>
        <v/>
      </c>
      <c r="Q568" s="89" t="str">
        <f t="shared" si="105"/>
        <v/>
      </c>
      <c r="R568" s="89" t="str">
        <f t="shared" si="106"/>
        <v/>
      </c>
      <c r="S568" s="88" t="str">
        <f>IF(F568="Bao",[1]Setup!$B$4,IF(F568="Soup Dumplings",[1]Setup!$B$5,""))</f>
        <v/>
      </c>
      <c r="T568" s="88" t="str">
        <f t="shared" si="107"/>
        <v/>
      </c>
      <c r="U568" s="84" t="str">
        <f t="shared" si="108"/>
        <v/>
      </c>
      <c r="V568" s="88">
        <f>IF(U568="",0,MAX(0,T568)+N568+ROUND(J568*[1]Setup!$B$9,0)+IF(O568&gt;[1]Setup!$B$10,ROUND(J568*[1]Setup!$B$11,0),0))</f>
        <v>0</v>
      </c>
      <c r="W568" s="85" t="str">
        <f>IF(L568="","Open",IF(OR(P568&lt;[1]Setup!$B$6,Q568&gt;[1]Setup!$B$7,R568&gt;[1]Setup!$B$8,O568&gt;[1]Setup!$B$10),"Review","OK"))</f>
        <v>Open</v>
      </c>
      <c r="X568" s="86"/>
      <c r="Z568" s="81" t="str">
        <f t="shared" si="102"/>
        <v/>
      </c>
    </row>
    <row r="569" spans="1:26" x14ac:dyDescent="0.3">
      <c r="A569" s="84"/>
      <c r="B569" s="100">
        <f t="shared" si="100"/>
        <v>0</v>
      </c>
      <c r="C569" s="84" t="str">
        <f t="shared" si="101"/>
        <v>January</v>
      </c>
      <c r="D569" s="85" t="str">
        <f t="shared" si="99"/>
        <v/>
      </c>
      <c r="E569" s="86"/>
      <c r="F569" s="86"/>
      <c r="G569" s="86"/>
      <c r="H569" s="86"/>
      <c r="I569" s="87" t="str">
        <f>IF(F569=0,"",IF(COUNTIF(F569,"Bao"),[1]Setup!$B$4,IF(COUNTIF(F569,"Soup Dumplings"),[1]Setup!$B$5,F569)))</f>
        <v/>
      </c>
      <c r="J569" s="88" t="str">
        <f t="shared" si="103"/>
        <v/>
      </c>
      <c r="K569" s="88"/>
      <c r="L569" s="87"/>
      <c r="M569" s="87"/>
      <c r="N569" s="87"/>
      <c r="O569" s="87"/>
      <c r="P569" s="89" t="str">
        <f t="shared" si="104"/>
        <v/>
      </c>
      <c r="Q569" s="89" t="str">
        <f t="shared" si="105"/>
        <v/>
      </c>
      <c r="R569" s="89" t="str">
        <f t="shared" si="106"/>
        <v/>
      </c>
      <c r="S569" s="88" t="str">
        <f>IF(F569="Bao",[1]Setup!$B$4,IF(F569="Soup Dumplings",[1]Setup!$B$5,""))</f>
        <v/>
      </c>
      <c r="T569" s="88" t="str">
        <f t="shared" si="107"/>
        <v/>
      </c>
      <c r="U569" s="84" t="str">
        <f t="shared" si="108"/>
        <v/>
      </c>
      <c r="V569" s="88">
        <f>IF(U569="",0,MAX(0,T569)+N569+ROUND(J569*[1]Setup!$B$9,0)+IF(O569&gt;[1]Setup!$B$10,ROUND(J569*[1]Setup!$B$11,0),0))</f>
        <v>0</v>
      </c>
      <c r="W569" s="85" t="str">
        <f>IF(L569="","Open",IF(OR(P569&lt;[1]Setup!$B$6,Q569&gt;[1]Setup!$B$7,R569&gt;[1]Setup!$B$8,O569&gt;[1]Setup!$B$10),"Review","OK"))</f>
        <v>Open</v>
      </c>
      <c r="X569" s="86"/>
      <c r="Z569" s="81" t="str">
        <f t="shared" si="102"/>
        <v/>
      </c>
    </row>
    <row r="570" spans="1:26" x14ac:dyDescent="0.3">
      <c r="A570" s="84"/>
      <c r="B570" s="100">
        <f t="shared" si="100"/>
        <v>0</v>
      </c>
      <c r="C570" s="84" t="str">
        <f t="shared" si="101"/>
        <v>January</v>
      </c>
      <c r="D570" s="85" t="str">
        <f t="shared" si="99"/>
        <v/>
      </c>
      <c r="E570" s="86"/>
      <c r="F570" s="86"/>
      <c r="G570" s="86"/>
      <c r="H570" s="86"/>
      <c r="I570" s="87" t="str">
        <f>IF(F570=0,"",IF(COUNTIF(F570,"Bao"),[1]Setup!$B$4,IF(COUNTIF(F570,"Soup Dumplings"),[1]Setup!$B$5,F570)))</f>
        <v/>
      </c>
      <c r="J570" s="88" t="str">
        <f t="shared" si="103"/>
        <v/>
      </c>
      <c r="K570" s="88"/>
      <c r="L570" s="87"/>
      <c r="M570" s="87"/>
      <c r="N570" s="87"/>
      <c r="O570" s="87"/>
      <c r="P570" s="89" t="str">
        <f t="shared" si="104"/>
        <v/>
      </c>
      <c r="Q570" s="89" t="str">
        <f t="shared" si="105"/>
        <v/>
      </c>
      <c r="R570" s="89" t="str">
        <f t="shared" si="106"/>
        <v/>
      </c>
      <c r="S570" s="88" t="str">
        <f>IF(F570="Bao",[1]Setup!$B$4,IF(F570="Soup Dumplings",[1]Setup!$B$5,""))</f>
        <v/>
      </c>
      <c r="T570" s="88" t="str">
        <f t="shared" si="107"/>
        <v/>
      </c>
      <c r="U570" s="84" t="str">
        <f t="shared" si="108"/>
        <v/>
      </c>
      <c r="V570" s="88">
        <f>IF(U570="",0,MAX(0,T570)+N570+ROUND(J570*[1]Setup!$B$9,0)+IF(O570&gt;[1]Setup!$B$10,ROUND(J570*[1]Setup!$B$11,0),0))</f>
        <v>0</v>
      </c>
      <c r="W570" s="85" t="str">
        <f>IF(L570="","Open",IF(OR(P570&lt;[1]Setup!$B$6,Q570&gt;[1]Setup!$B$7,R570&gt;[1]Setup!$B$8,O570&gt;[1]Setup!$B$10),"Review","OK"))</f>
        <v>Open</v>
      </c>
      <c r="X570" s="86"/>
      <c r="Z570" s="81" t="str">
        <f t="shared" si="102"/>
        <v/>
      </c>
    </row>
    <row r="571" spans="1:26" x14ac:dyDescent="0.3">
      <c r="A571" s="84"/>
      <c r="B571" s="100">
        <f t="shared" si="100"/>
        <v>0</v>
      </c>
      <c r="C571" s="84" t="str">
        <f t="shared" si="101"/>
        <v>January</v>
      </c>
      <c r="D571" s="85" t="str">
        <f t="shared" si="99"/>
        <v/>
      </c>
      <c r="E571" s="86"/>
      <c r="F571" s="86"/>
      <c r="G571" s="86"/>
      <c r="H571" s="86"/>
      <c r="I571" s="87" t="str">
        <f>IF(F571=0,"",IF(COUNTIF(F571,"Bao"),[1]Setup!$B$4,IF(COUNTIF(F571,"Soup Dumplings"),[1]Setup!$B$5,F571)))</f>
        <v/>
      </c>
      <c r="J571" s="88" t="str">
        <f t="shared" si="103"/>
        <v/>
      </c>
      <c r="K571" s="88"/>
      <c r="L571" s="87"/>
      <c r="M571" s="87"/>
      <c r="N571" s="87"/>
      <c r="O571" s="87"/>
      <c r="P571" s="89" t="str">
        <f t="shared" si="104"/>
        <v/>
      </c>
      <c r="Q571" s="89" t="str">
        <f t="shared" si="105"/>
        <v/>
      </c>
      <c r="R571" s="89" t="str">
        <f t="shared" si="106"/>
        <v/>
      </c>
      <c r="S571" s="88" t="str">
        <f>IF(F571="Bao",[1]Setup!$B$4,IF(F571="Soup Dumplings",[1]Setup!$B$5,""))</f>
        <v/>
      </c>
      <c r="T571" s="88" t="str">
        <f t="shared" si="107"/>
        <v/>
      </c>
      <c r="U571" s="84" t="str">
        <f t="shared" si="108"/>
        <v/>
      </c>
      <c r="V571" s="88">
        <f>IF(U571="",0,MAX(0,T571)+N571+ROUND(J571*[1]Setup!$B$9,0)+IF(O571&gt;[1]Setup!$B$10,ROUND(J571*[1]Setup!$B$11,0),0))</f>
        <v>0</v>
      </c>
      <c r="W571" s="85" t="str">
        <f>IF(L571="","Open",IF(OR(P571&lt;[1]Setup!$B$6,Q571&gt;[1]Setup!$B$7,R571&gt;[1]Setup!$B$8,O571&gt;[1]Setup!$B$10),"Review","OK"))</f>
        <v>Open</v>
      </c>
      <c r="X571" s="86"/>
      <c r="Z571" s="81" t="str">
        <f t="shared" si="102"/>
        <v/>
      </c>
    </row>
    <row r="572" spans="1:26" x14ac:dyDescent="0.3">
      <c r="A572" s="84"/>
      <c r="B572" s="100">
        <f t="shared" si="100"/>
        <v>0</v>
      </c>
      <c r="C572" s="84" t="str">
        <f t="shared" si="101"/>
        <v>January</v>
      </c>
      <c r="D572" s="85" t="str">
        <f t="shared" si="99"/>
        <v/>
      </c>
      <c r="E572" s="86"/>
      <c r="F572" s="86"/>
      <c r="G572" s="86"/>
      <c r="H572" s="86"/>
      <c r="I572" s="87" t="str">
        <f>IF(F572=0,"",IF(COUNTIF(F572,"Bao"),[1]Setup!$B$4,IF(COUNTIF(F572,"Soup Dumplings"),[1]Setup!$B$5,F572)))</f>
        <v/>
      </c>
      <c r="J572" s="88" t="str">
        <f t="shared" si="103"/>
        <v/>
      </c>
      <c r="K572" s="88"/>
      <c r="L572" s="87"/>
      <c r="M572" s="87"/>
      <c r="N572" s="87"/>
      <c r="O572" s="87"/>
      <c r="P572" s="89" t="str">
        <f t="shared" si="104"/>
        <v/>
      </c>
      <c r="Q572" s="89" t="str">
        <f t="shared" si="105"/>
        <v/>
      </c>
      <c r="R572" s="89" t="str">
        <f t="shared" si="106"/>
        <v/>
      </c>
      <c r="S572" s="88" t="str">
        <f>IF(F572="Bao",[1]Setup!$B$4,IF(F572="Soup Dumplings",[1]Setup!$B$5,""))</f>
        <v/>
      </c>
      <c r="T572" s="88" t="str">
        <f t="shared" si="107"/>
        <v/>
      </c>
      <c r="U572" s="84" t="str">
        <f t="shared" si="108"/>
        <v/>
      </c>
      <c r="V572" s="88">
        <f>IF(U572="",0,MAX(0,T572)+N572+ROUND(J572*[1]Setup!$B$9,0)+IF(O572&gt;[1]Setup!$B$10,ROUND(J572*[1]Setup!$B$11,0),0))</f>
        <v>0</v>
      </c>
      <c r="W572" s="85" t="str">
        <f>IF(L572="","Open",IF(OR(P572&lt;[1]Setup!$B$6,Q572&gt;[1]Setup!$B$7,R572&gt;[1]Setup!$B$8,O572&gt;[1]Setup!$B$10),"Review","OK"))</f>
        <v>Open</v>
      </c>
      <c r="X572" s="86"/>
      <c r="Z572" s="81" t="str">
        <f t="shared" si="102"/>
        <v/>
      </c>
    </row>
    <row r="573" spans="1:26" x14ac:dyDescent="0.3">
      <c r="A573" s="84"/>
      <c r="B573" s="100">
        <f t="shared" si="100"/>
        <v>0</v>
      </c>
      <c r="C573" s="84" t="str">
        <f t="shared" si="101"/>
        <v>January</v>
      </c>
      <c r="D573" s="85" t="str">
        <f t="shared" si="99"/>
        <v/>
      </c>
      <c r="E573" s="86"/>
      <c r="F573" s="86"/>
      <c r="G573" s="86"/>
      <c r="H573" s="86"/>
      <c r="I573" s="87" t="str">
        <f>IF(F573=0,"",IF(COUNTIF(F573,"Bao"),[1]Setup!$B$4,IF(COUNTIF(F573,"Soup Dumplings"),[1]Setup!$B$5,F573)))</f>
        <v/>
      </c>
      <c r="J573" s="88" t="str">
        <f t="shared" si="103"/>
        <v/>
      </c>
      <c r="K573" s="88"/>
      <c r="L573" s="87"/>
      <c r="M573" s="87"/>
      <c r="N573" s="87"/>
      <c r="O573" s="87"/>
      <c r="P573" s="89" t="str">
        <f t="shared" si="104"/>
        <v/>
      </c>
      <c r="Q573" s="89" t="str">
        <f t="shared" si="105"/>
        <v/>
      </c>
      <c r="R573" s="89" t="str">
        <f t="shared" si="106"/>
        <v/>
      </c>
      <c r="S573" s="88" t="str">
        <f>IF(F573="Bao",[1]Setup!$B$4,IF(F573="Soup Dumplings",[1]Setup!$B$5,""))</f>
        <v/>
      </c>
      <c r="T573" s="88" t="str">
        <f t="shared" si="107"/>
        <v/>
      </c>
      <c r="U573" s="84" t="str">
        <f t="shared" si="108"/>
        <v/>
      </c>
      <c r="V573" s="88">
        <f>IF(U573="",0,MAX(0,T573)+N573+ROUND(J573*[1]Setup!$B$9,0)+IF(O573&gt;[1]Setup!$B$10,ROUND(J573*[1]Setup!$B$11,0),0))</f>
        <v>0</v>
      </c>
      <c r="W573" s="85" t="str">
        <f>IF(L573="","Open",IF(OR(P573&lt;[1]Setup!$B$6,Q573&gt;[1]Setup!$B$7,R573&gt;[1]Setup!$B$8,O573&gt;[1]Setup!$B$10),"Review","OK"))</f>
        <v>Open</v>
      </c>
      <c r="X573" s="86"/>
      <c r="Z573" s="81" t="str">
        <f t="shared" si="102"/>
        <v/>
      </c>
    </row>
    <row r="574" spans="1:26" x14ac:dyDescent="0.3">
      <c r="A574" s="84"/>
      <c r="B574" s="100">
        <f t="shared" si="100"/>
        <v>0</v>
      </c>
      <c r="C574" s="84" t="str">
        <f t="shared" si="101"/>
        <v>January</v>
      </c>
      <c r="D574" s="85" t="str">
        <f t="shared" si="99"/>
        <v/>
      </c>
      <c r="E574" s="86"/>
      <c r="F574" s="86"/>
      <c r="G574" s="86"/>
      <c r="H574" s="86"/>
      <c r="I574" s="87" t="str">
        <f>IF(F574=0,"",IF(COUNTIF(F574,"Bao"),[1]Setup!$B$4,IF(COUNTIF(F574,"Soup Dumplings"),[1]Setup!$B$5,F574)))</f>
        <v/>
      </c>
      <c r="J574" s="88" t="str">
        <f t="shared" si="103"/>
        <v/>
      </c>
      <c r="K574" s="88"/>
      <c r="L574" s="87"/>
      <c r="M574" s="87"/>
      <c r="N574" s="87"/>
      <c r="O574" s="87"/>
      <c r="P574" s="89" t="str">
        <f t="shared" si="104"/>
        <v/>
      </c>
      <c r="Q574" s="89" t="str">
        <f t="shared" si="105"/>
        <v/>
      </c>
      <c r="R574" s="89" t="str">
        <f t="shared" si="106"/>
        <v/>
      </c>
      <c r="S574" s="88" t="str">
        <f>IF(F574="Bao",[1]Setup!$B$4,IF(F574="Soup Dumplings",[1]Setup!$B$5,""))</f>
        <v/>
      </c>
      <c r="T574" s="88" t="str">
        <f t="shared" si="107"/>
        <v/>
      </c>
      <c r="U574" s="84" t="str">
        <f t="shared" si="108"/>
        <v/>
      </c>
      <c r="V574" s="88">
        <f>IF(U574="",0,MAX(0,T574)+N574+ROUND(J574*[1]Setup!$B$9,0)+IF(O574&gt;[1]Setup!$B$10,ROUND(J574*[1]Setup!$B$11,0),0))</f>
        <v>0</v>
      </c>
      <c r="W574" s="85" t="str">
        <f>IF(L574="","Open",IF(OR(P574&lt;[1]Setup!$B$6,Q574&gt;[1]Setup!$B$7,R574&gt;[1]Setup!$B$8,O574&gt;[1]Setup!$B$10),"Review","OK"))</f>
        <v>Open</v>
      </c>
      <c r="X574" s="86"/>
      <c r="Z574" s="81" t="str">
        <f t="shared" si="102"/>
        <v/>
      </c>
    </row>
    <row r="575" spans="1:26" x14ac:dyDescent="0.3">
      <c r="A575" s="84"/>
      <c r="B575" s="100">
        <f t="shared" si="100"/>
        <v>0</v>
      </c>
      <c r="C575" s="84" t="str">
        <f t="shared" si="101"/>
        <v>January</v>
      </c>
      <c r="D575" s="85" t="str">
        <f t="shared" si="99"/>
        <v/>
      </c>
      <c r="E575" s="86"/>
      <c r="F575" s="86"/>
      <c r="G575" s="86"/>
      <c r="H575" s="86"/>
      <c r="I575" s="87" t="str">
        <f>IF(F575=0,"",IF(COUNTIF(F575,"Bao"),[1]Setup!$B$4,IF(COUNTIF(F575,"Soup Dumplings"),[1]Setup!$B$5,F575)))</f>
        <v/>
      </c>
      <c r="J575" s="88" t="str">
        <f t="shared" si="103"/>
        <v/>
      </c>
      <c r="K575" s="88"/>
      <c r="L575" s="87"/>
      <c r="M575" s="87"/>
      <c r="N575" s="87"/>
      <c r="O575" s="87"/>
      <c r="P575" s="89" t="str">
        <f t="shared" si="104"/>
        <v/>
      </c>
      <c r="Q575" s="89" t="str">
        <f t="shared" si="105"/>
        <v/>
      </c>
      <c r="R575" s="89" t="str">
        <f t="shared" si="106"/>
        <v/>
      </c>
      <c r="S575" s="88" t="str">
        <f>IF(F575="Bao",[1]Setup!$B$4,IF(F575="Soup Dumplings",[1]Setup!$B$5,""))</f>
        <v/>
      </c>
      <c r="T575" s="88" t="str">
        <f t="shared" si="107"/>
        <v/>
      </c>
      <c r="U575" s="84" t="str">
        <f t="shared" si="108"/>
        <v/>
      </c>
      <c r="V575" s="88">
        <f>IF(U575="",0,MAX(0,T575)+N575+ROUND(J575*[1]Setup!$B$9,0)+IF(O575&gt;[1]Setup!$B$10,ROUND(J575*[1]Setup!$B$11,0),0))</f>
        <v>0</v>
      </c>
      <c r="W575" s="85" t="str">
        <f>IF(L575="","Open",IF(OR(P575&lt;[1]Setup!$B$6,Q575&gt;[1]Setup!$B$7,R575&gt;[1]Setup!$B$8,O575&gt;[1]Setup!$B$10),"Review","OK"))</f>
        <v>Open</v>
      </c>
      <c r="X575" s="86"/>
      <c r="Z575" s="81" t="str">
        <f t="shared" si="102"/>
        <v/>
      </c>
    </row>
    <row r="576" spans="1:26" x14ac:dyDescent="0.3">
      <c r="A576" s="84"/>
      <c r="B576" s="100">
        <f t="shared" si="100"/>
        <v>0</v>
      </c>
      <c r="C576" s="84" t="str">
        <f t="shared" si="101"/>
        <v>January</v>
      </c>
      <c r="D576" s="85" t="str">
        <f t="shared" si="99"/>
        <v/>
      </c>
      <c r="E576" s="86"/>
      <c r="F576" s="86"/>
      <c r="G576" s="86"/>
      <c r="H576" s="86"/>
      <c r="I576" s="87" t="str">
        <f>IF(F576=0,"",IF(COUNTIF(F576,"Bao"),[1]Setup!$B$4,IF(COUNTIF(F576,"Soup Dumplings"),[1]Setup!$B$5,F576)))</f>
        <v/>
      </c>
      <c r="J576" s="88" t="str">
        <f t="shared" si="103"/>
        <v/>
      </c>
      <c r="K576" s="88"/>
      <c r="L576" s="87"/>
      <c r="M576" s="87"/>
      <c r="N576" s="87"/>
      <c r="O576" s="87"/>
      <c r="P576" s="89" t="str">
        <f t="shared" si="104"/>
        <v/>
      </c>
      <c r="Q576" s="89" t="str">
        <f t="shared" si="105"/>
        <v/>
      </c>
      <c r="R576" s="89" t="str">
        <f t="shared" si="106"/>
        <v/>
      </c>
      <c r="S576" s="88" t="str">
        <f>IF(F576="Bao",[1]Setup!$B$4,IF(F576="Soup Dumplings",[1]Setup!$B$5,""))</f>
        <v/>
      </c>
      <c r="T576" s="88" t="str">
        <f t="shared" si="107"/>
        <v/>
      </c>
      <c r="U576" s="84" t="str">
        <f t="shared" si="108"/>
        <v/>
      </c>
      <c r="V576" s="88">
        <f>IF(U576="",0,MAX(0,T576)+N576+ROUND(J576*[1]Setup!$B$9,0)+IF(O576&gt;[1]Setup!$B$10,ROUND(J576*[1]Setup!$B$11,0),0))</f>
        <v>0</v>
      </c>
      <c r="W576" s="85" t="str">
        <f>IF(L576="","Open",IF(OR(P576&lt;[1]Setup!$B$6,Q576&gt;[1]Setup!$B$7,R576&gt;[1]Setup!$B$8,O576&gt;[1]Setup!$B$10),"Review","OK"))</f>
        <v>Open</v>
      </c>
      <c r="X576" s="86"/>
      <c r="Z576" s="81" t="str">
        <f t="shared" si="102"/>
        <v/>
      </c>
    </row>
    <row r="577" spans="1:26" x14ac:dyDescent="0.3">
      <c r="A577" s="84"/>
      <c r="B577" s="100">
        <f t="shared" si="100"/>
        <v>0</v>
      </c>
      <c r="C577" s="84" t="str">
        <f t="shared" si="101"/>
        <v>January</v>
      </c>
      <c r="D577" s="85" t="str">
        <f t="shared" si="99"/>
        <v/>
      </c>
      <c r="E577" s="86"/>
      <c r="F577" s="86"/>
      <c r="G577" s="86"/>
      <c r="H577" s="86"/>
      <c r="I577" s="87" t="str">
        <f>IF(F577=0,"",IF(COUNTIF(F577,"Bao"),[1]Setup!$B$4,IF(COUNTIF(F577,"Soup Dumplings"),[1]Setup!$B$5,F577)))</f>
        <v/>
      </c>
      <c r="J577" s="88" t="str">
        <f t="shared" si="103"/>
        <v/>
      </c>
      <c r="K577" s="88"/>
      <c r="L577" s="87"/>
      <c r="M577" s="87"/>
      <c r="N577" s="87"/>
      <c r="O577" s="87"/>
      <c r="P577" s="89" t="str">
        <f t="shared" si="104"/>
        <v/>
      </c>
      <c r="Q577" s="89" t="str">
        <f t="shared" si="105"/>
        <v/>
      </c>
      <c r="R577" s="89" t="str">
        <f t="shared" si="106"/>
        <v/>
      </c>
      <c r="S577" s="88" t="str">
        <f>IF(F577="Bao",[1]Setup!$B$4,IF(F577="Soup Dumplings",[1]Setup!$B$5,""))</f>
        <v/>
      </c>
      <c r="T577" s="88" t="str">
        <f t="shared" si="107"/>
        <v/>
      </c>
      <c r="U577" s="84" t="str">
        <f t="shared" si="108"/>
        <v/>
      </c>
      <c r="V577" s="88">
        <f>IF(U577="",0,MAX(0,T577)+N577+ROUND(J577*[1]Setup!$B$9,0)+IF(O577&gt;[1]Setup!$B$10,ROUND(J577*[1]Setup!$B$11,0),0))</f>
        <v>0</v>
      </c>
      <c r="W577" s="85" t="str">
        <f>IF(L577="","Open",IF(OR(P577&lt;[1]Setup!$B$6,Q577&gt;[1]Setup!$B$7,R577&gt;[1]Setup!$B$8,O577&gt;[1]Setup!$B$10),"Review","OK"))</f>
        <v>Open</v>
      </c>
      <c r="X577" s="86"/>
      <c r="Z577" s="81" t="str">
        <f t="shared" si="102"/>
        <v/>
      </c>
    </row>
    <row r="578" spans="1:26" x14ac:dyDescent="0.3">
      <c r="A578" s="84"/>
      <c r="B578" s="100">
        <f t="shared" si="100"/>
        <v>0</v>
      </c>
      <c r="C578" s="84" t="str">
        <f t="shared" si="101"/>
        <v>January</v>
      </c>
      <c r="D578" s="85" t="str">
        <f t="shared" si="99"/>
        <v/>
      </c>
      <c r="E578" s="86"/>
      <c r="F578" s="86"/>
      <c r="G578" s="86"/>
      <c r="H578" s="86"/>
      <c r="I578" s="87" t="str">
        <f>IF(F578=0,"",IF(COUNTIF(F578,"Bao"),[1]Setup!$B$4,IF(COUNTIF(F578,"Soup Dumplings"),[1]Setup!$B$5,F578)))</f>
        <v/>
      </c>
      <c r="J578" s="88" t="str">
        <f t="shared" si="103"/>
        <v/>
      </c>
      <c r="K578" s="88"/>
      <c r="L578" s="87"/>
      <c r="M578" s="87"/>
      <c r="N578" s="87"/>
      <c r="O578" s="87"/>
      <c r="P578" s="89" t="str">
        <f t="shared" si="104"/>
        <v/>
      </c>
      <c r="Q578" s="89" t="str">
        <f t="shared" si="105"/>
        <v/>
      </c>
      <c r="R578" s="89" t="str">
        <f t="shared" si="106"/>
        <v/>
      </c>
      <c r="S578" s="88" t="str">
        <f>IF(F578="Bao",[1]Setup!$B$4,IF(F578="Soup Dumplings",[1]Setup!$B$5,""))</f>
        <v/>
      </c>
      <c r="T578" s="88" t="str">
        <f t="shared" si="107"/>
        <v/>
      </c>
      <c r="U578" s="84" t="str">
        <f t="shared" si="108"/>
        <v/>
      </c>
      <c r="V578" s="88">
        <f>IF(U578="",0,MAX(0,T578)+N578+ROUND(J578*[1]Setup!$B$9,0)+IF(O578&gt;[1]Setup!$B$10,ROUND(J578*[1]Setup!$B$11,0),0))</f>
        <v>0</v>
      </c>
      <c r="W578" s="85" t="str">
        <f>IF(L578="","Open",IF(OR(P578&lt;[1]Setup!$B$6,Q578&gt;[1]Setup!$B$7,R578&gt;[1]Setup!$B$8,O578&gt;[1]Setup!$B$10),"Review","OK"))</f>
        <v>Open</v>
      </c>
      <c r="X578" s="86"/>
      <c r="Z578" s="81" t="str">
        <f t="shared" si="102"/>
        <v/>
      </c>
    </row>
    <row r="579" spans="1:26" x14ac:dyDescent="0.3">
      <c r="A579" s="84"/>
      <c r="B579" s="100">
        <f t="shared" si="100"/>
        <v>0</v>
      </c>
      <c r="C579" s="84" t="str">
        <f t="shared" si="101"/>
        <v>January</v>
      </c>
      <c r="D579" s="85" t="str">
        <f t="shared" si="99"/>
        <v/>
      </c>
      <c r="E579" s="86"/>
      <c r="F579" s="86"/>
      <c r="G579" s="86"/>
      <c r="H579" s="86"/>
      <c r="I579" s="87" t="str">
        <f>IF(F579=0,"",IF(COUNTIF(F579,"Bao"),[1]Setup!$B$4,IF(COUNTIF(F579,"Soup Dumplings"),[1]Setup!$B$5,F579)))</f>
        <v/>
      </c>
      <c r="J579" s="88" t="str">
        <f t="shared" si="103"/>
        <v/>
      </c>
      <c r="K579" s="88"/>
      <c r="L579" s="87"/>
      <c r="M579" s="87"/>
      <c r="N579" s="87"/>
      <c r="O579" s="87"/>
      <c r="P579" s="89" t="str">
        <f t="shared" si="104"/>
        <v/>
      </c>
      <c r="Q579" s="89" t="str">
        <f t="shared" si="105"/>
        <v/>
      </c>
      <c r="R579" s="89" t="str">
        <f t="shared" si="106"/>
        <v/>
      </c>
      <c r="S579" s="88" t="str">
        <f>IF(F579="Bao",[1]Setup!$B$4,IF(F579="Soup Dumplings",[1]Setup!$B$5,""))</f>
        <v/>
      </c>
      <c r="T579" s="88" t="str">
        <f t="shared" si="107"/>
        <v/>
      </c>
      <c r="U579" s="84" t="str">
        <f t="shared" si="108"/>
        <v/>
      </c>
      <c r="V579" s="88">
        <f>IF(U579="",0,MAX(0,T579)+N579+ROUND(J579*[1]Setup!$B$9,0)+IF(O579&gt;[1]Setup!$B$10,ROUND(J579*[1]Setup!$B$11,0),0))</f>
        <v>0</v>
      </c>
      <c r="W579" s="85" t="str">
        <f>IF(L579="","Open",IF(OR(P579&lt;[1]Setup!$B$6,Q579&gt;[1]Setup!$B$7,R579&gt;[1]Setup!$B$8,O579&gt;[1]Setup!$B$10),"Review","OK"))</f>
        <v>Open</v>
      </c>
      <c r="X579" s="86"/>
      <c r="Z579" s="81" t="str">
        <f t="shared" si="102"/>
        <v/>
      </c>
    </row>
    <row r="580" spans="1:26" x14ac:dyDescent="0.3">
      <c r="A580" s="84"/>
      <c r="B580" s="100">
        <f t="shared" si="100"/>
        <v>0</v>
      </c>
      <c r="C580" s="84" t="str">
        <f t="shared" si="101"/>
        <v>January</v>
      </c>
      <c r="D580" s="85" t="str">
        <f t="shared" ref="D580:D643" si="109">IF(A580="","",TEXT(A580,"ddd"))</f>
        <v/>
      </c>
      <c r="E580" s="86"/>
      <c r="F580" s="86"/>
      <c r="G580" s="86"/>
      <c r="H580" s="86"/>
      <c r="I580" s="87" t="str">
        <f>IF(F580=0,"",IF(COUNTIF(F580,"Bao"),[1]Setup!$B$4,IF(COUNTIF(F580,"Soup Dumplings"),[1]Setup!$B$5,F580)))</f>
        <v/>
      </c>
      <c r="J580" s="88" t="str">
        <f t="shared" si="103"/>
        <v/>
      </c>
      <c r="K580" s="88"/>
      <c r="L580" s="87"/>
      <c r="M580" s="87"/>
      <c r="N580" s="87"/>
      <c r="O580" s="87"/>
      <c r="P580" s="89" t="str">
        <f t="shared" si="104"/>
        <v/>
      </c>
      <c r="Q580" s="89" t="str">
        <f t="shared" si="105"/>
        <v/>
      </c>
      <c r="R580" s="89" t="str">
        <f t="shared" si="106"/>
        <v/>
      </c>
      <c r="S580" s="88" t="str">
        <f>IF(F580="Bao",[1]Setup!$B$4,IF(F580="Soup Dumplings",[1]Setup!$B$5,""))</f>
        <v/>
      </c>
      <c r="T580" s="88" t="str">
        <f t="shared" si="107"/>
        <v/>
      </c>
      <c r="U580" s="84" t="str">
        <f t="shared" si="108"/>
        <v/>
      </c>
      <c r="V580" s="88">
        <f>IF(U580="",0,MAX(0,T580)+N580+ROUND(J580*[1]Setup!$B$9,0)+IF(O580&gt;[1]Setup!$B$10,ROUND(J580*[1]Setup!$B$11,0),0))</f>
        <v>0</v>
      </c>
      <c r="W580" s="85" t="str">
        <f>IF(L580="","Open",IF(OR(P580&lt;[1]Setup!$B$6,Q580&gt;[1]Setup!$B$7,R580&gt;[1]Setup!$B$8,O580&gt;[1]Setup!$B$10),"Review","OK"))</f>
        <v>Open</v>
      </c>
      <c r="X580" s="86"/>
      <c r="Z580" s="81" t="str">
        <f t="shared" si="102"/>
        <v/>
      </c>
    </row>
    <row r="581" spans="1:26" x14ac:dyDescent="0.3">
      <c r="A581" s="84"/>
      <c r="B581" s="100">
        <f t="shared" ref="B581:B644" si="110">+WEEKNUM(A581)</f>
        <v>0</v>
      </c>
      <c r="C581" s="84" t="str">
        <f t="shared" ref="C581:C644" si="111">+TEXT(A581,"mmmm")</f>
        <v>January</v>
      </c>
      <c r="D581" s="85" t="str">
        <f t="shared" si="109"/>
        <v/>
      </c>
      <c r="E581" s="86"/>
      <c r="F581" s="86"/>
      <c r="G581" s="86"/>
      <c r="H581" s="86"/>
      <c r="I581" s="87" t="str">
        <f>IF(F581=0,"",IF(COUNTIF(F581,"Bao"),[1]Setup!$B$4,IF(COUNTIF(F581,"Soup Dumplings"),[1]Setup!$B$5,F581)))</f>
        <v/>
      </c>
      <c r="J581" s="88" t="str">
        <f t="shared" si="103"/>
        <v/>
      </c>
      <c r="K581" s="88"/>
      <c r="L581" s="87"/>
      <c r="M581" s="87"/>
      <c r="N581" s="87"/>
      <c r="O581" s="87"/>
      <c r="P581" s="89" t="str">
        <f t="shared" si="104"/>
        <v/>
      </c>
      <c r="Q581" s="89" t="str">
        <f t="shared" si="105"/>
        <v/>
      </c>
      <c r="R581" s="89" t="str">
        <f t="shared" si="106"/>
        <v/>
      </c>
      <c r="S581" s="88" t="str">
        <f>IF(F581="Bao",[1]Setup!$B$4,IF(F581="Soup Dumplings",[1]Setup!$B$5,""))</f>
        <v/>
      </c>
      <c r="T581" s="88" t="str">
        <f t="shared" si="107"/>
        <v/>
      </c>
      <c r="U581" s="84" t="str">
        <f t="shared" si="108"/>
        <v/>
      </c>
      <c r="V581" s="88">
        <f>IF(U581="",0,MAX(0,T581)+N581+ROUND(J581*[1]Setup!$B$9,0)+IF(O581&gt;[1]Setup!$B$10,ROUND(J581*[1]Setup!$B$11,0),0))</f>
        <v>0</v>
      </c>
      <c r="W581" s="85" t="str">
        <f>IF(L581="","Open",IF(OR(P581&lt;[1]Setup!$B$6,Q581&gt;[1]Setup!$B$7,R581&gt;[1]Setup!$B$8,O581&gt;[1]Setup!$B$10),"Review","OK"))</f>
        <v>Open</v>
      </c>
      <c r="X581" s="86"/>
      <c r="Z581" s="81" t="str">
        <f t="shared" ref="Z581:Z644" si="112">+LEFT(F581,3)</f>
        <v/>
      </c>
    </row>
    <row r="582" spans="1:26" x14ac:dyDescent="0.3">
      <c r="A582" s="84"/>
      <c r="B582" s="100">
        <f t="shared" si="110"/>
        <v>0</v>
      </c>
      <c r="C582" s="84" t="str">
        <f t="shared" si="111"/>
        <v>January</v>
      </c>
      <c r="D582" s="85" t="str">
        <f t="shared" si="109"/>
        <v/>
      </c>
      <c r="E582" s="86"/>
      <c r="F582" s="86"/>
      <c r="G582" s="86"/>
      <c r="H582" s="86"/>
      <c r="I582" s="87" t="str">
        <f>IF(F582=0,"",IF(COUNTIF(F582,"Bao"),[1]Setup!$B$4,IF(COUNTIF(F582,"Soup Dumplings"),[1]Setup!$B$5,F582)))</f>
        <v/>
      </c>
      <c r="J582" s="88" t="str">
        <f t="shared" si="103"/>
        <v/>
      </c>
      <c r="K582" s="88"/>
      <c r="L582" s="87"/>
      <c r="M582" s="87"/>
      <c r="N582" s="87"/>
      <c r="O582" s="87"/>
      <c r="P582" s="89" t="str">
        <f t="shared" si="104"/>
        <v/>
      </c>
      <c r="Q582" s="89" t="str">
        <f t="shared" si="105"/>
        <v/>
      </c>
      <c r="R582" s="89" t="str">
        <f t="shared" si="106"/>
        <v/>
      </c>
      <c r="S582" s="88" t="str">
        <f>IF(F582="Bao",[1]Setup!$B$4,IF(F582="Soup Dumplings",[1]Setup!$B$5,""))</f>
        <v/>
      </c>
      <c r="T582" s="88" t="str">
        <f t="shared" si="107"/>
        <v/>
      </c>
      <c r="U582" s="84" t="str">
        <f t="shared" si="108"/>
        <v/>
      </c>
      <c r="V582" s="88">
        <f>IF(U582="",0,MAX(0,T582)+N582+ROUND(J582*[1]Setup!$B$9,0)+IF(O582&gt;[1]Setup!$B$10,ROUND(J582*[1]Setup!$B$11,0),0))</f>
        <v>0</v>
      </c>
      <c r="W582" s="85" t="str">
        <f>IF(L582="","Open",IF(OR(P582&lt;[1]Setup!$B$6,Q582&gt;[1]Setup!$B$7,R582&gt;[1]Setup!$B$8,O582&gt;[1]Setup!$B$10),"Review","OK"))</f>
        <v>Open</v>
      </c>
      <c r="X582" s="86"/>
      <c r="Z582" s="81" t="str">
        <f t="shared" si="112"/>
        <v/>
      </c>
    </row>
    <row r="583" spans="1:26" x14ac:dyDescent="0.3">
      <c r="A583" s="84"/>
      <c r="B583" s="100">
        <f t="shared" si="110"/>
        <v>0</v>
      </c>
      <c r="C583" s="84" t="str">
        <f t="shared" si="111"/>
        <v>January</v>
      </c>
      <c r="D583" s="85" t="str">
        <f t="shared" si="109"/>
        <v/>
      </c>
      <c r="E583" s="86"/>
      <c r="F583" s="86"/>
      <c r="G583" s="86"/>
      <c r="H583" s="86"/>
      <c r="I583" s="87" t="str">
        <f>IF(F583=0,"",IF(COUNTIF(F583,"Bao"),[1]Setup!$B$4,IF(COUNTIF(F583,"Soup Dumplings"),[1]Setup!$B$5,F583)))</f>
        <v/>
      </c>
      <c r="J583" s="88" t="str">
        <f t="shared" si="103"/>
        <v/>
      </c>
      <c r="K583" s="88"/>
      <c r="L583" s="87"/>
      <c r="M583" s="87"/>
      <c r="N583" s="87"/>
      <c r="O583" s="87"/>
      <c r="P583" s="89" t="str">
        <f t="shared" si="104"/>
        <v/>
      </c>
      <c r="Q583" s="89" t="str">
        <f t="shared" si="105"/>
        <v/>
      </c>
      <c r="R583" s="89" t="str">
        <f t="shared" si="106"/>
        <v/>
      </c>
      <c r="S583" s="88" t="str">
        <f>IF(F583="Bao",[1]Setup!$B$4,IF(F583="Soup Dumplings",[1]Setup!$B$5,""))</f>
        <v/>
      </c>
      <c r="T583" s="88" t="str">
        <f t="shared" si="107"/>
        <v/>
      </c>
      <c r="U583" s="84" t="str">
        <f t="shared" si="108"/>
        <v/>
      </c>
      <c r="V583" s="88">
        <f>IF(U583="",0,MAX(0,T583)+N583+ROUND(J583*[1]Setup!$B$9,0)+IF(O583&gt;[1]Setup!$B$10,ROUND(J583*[1]Setup!$B$11,0),0))</f>
        <v>0</v>
      </c>
      <c r="W583" s="85" t="str">
        <f>IF(L583="","Open",IF(OR(P583&lt;[1]Setup!$B$6,Q583&gt;[1]Setup!$B$7,R583&gt;[1]Setup!$B$8,O583&gt;[1]Setup!$B$10),"Review","OK"))</f>
        <v>Open</v>
      </c>
      <c r="X583" s="86"/>
      <c r="Z583" s="81" t="str">
        <f t="shared" si="112"/>
        <v/>
      </c>
    </row>
    <row r="584" spans="1:26" x14ac:dyDescent="0.3">
      <c r="A584" s="84"/>
      <c r="B584" s="100">
        <f t="shared" si="110"/>
        <v>0</v>
      </c>
      <c r="C584" s="84" t="str">
        <f t="shared" si="111"/>
        <v>January</v>
      </c>
      <c r="D584" s="85" t="str">
        <f t="shared" si="109"/>
        <v/>
      </c>
      <c r="E584" s="86"/>
      <c r="F584" s="86"/>
      <c r="G584" s="86"/>
      <c r="H584" s="86"/>
      <c r="I584" s="87" t="str">
        <f>IF(F584=0,"",IF(COUNTIF(F584,"Bao"),[1]Setup!$B$4,IF(COUNTIF(F584,"Soup Dumplings"),[1]Setup!$B$5,F584)))</f>
        <v/>
      </c>
      <c r="J584" s="88" t="str">
        <f t="shared" si="103"/>
        <v/>
      </c>
      <c r="K584" s="88"/>
      <c r="L584" s="87"/>
      <c r="M584" s="87"/>
      <c r="N584" s="87"/>
      <c r="O584" s="87"/>
      <c r="P584" s="89" t="str">
        <f t="shared" si="104"/>
        <v/>
      </c>
      <c r="Q584" s="89" t="str">
        <f t="shared" si="105"/>
        <v/>
      </c>
      <c r="R584" s="89" t="str">
        <f t="shared" si="106"/>
        <v/>
      </c>
      <c r="S584" s="88" t="str">
        <f>IF(F584="Bao",[1]Setup!$B$4,IF(F584="Soup Dumplings",[1]Setup!$B$5,""))</f>
        <v/>
      </c>
      <c r="T584" s="88" t="str">
        <f t="shared" si="107"/>
        <v/>
      </c>
      <c r="U584" s="84" t="str">
        <f t="shared" si="108"/>
        <v/>
      </c>
      <c r="V584" s="88">
        <f>IF(U584="",0,MAX(0,T584)+N584+ROUND(J584*[1]Setup!$B$9,0)+IF(O584&gt;[1]Setup!$B$10,ROUND(J584*[1]Setup!$B$11,0),0))</f>
        <v>0</v>
      </c>
      <c r="W584" s="85" t="str">
        <f>IF(L584="","Open",IF(OR(P584&lt;[1]Setup!$B$6,Q584&gt;[1]Setup!$B$7,R584&gt;[1]Setup!$B$8,O584&gt;[1]Setup!$B$10),"Review","OK"))</f>
        <v>Open</v>
      </c>
      <c r="X584" s="86"/>
      <c r="Z584" s="81" t="str">
        <f t="shared" si="112"/>
        <v/>
      </c>
    </row>
    <row r="585" spans="1:26" x14ac:dyDescent="0.3">
      <c r="A585" s="84"/>
      <c r="B585" s="100">
        <f t="shared" si="110"/>
        <v>0</v>
      </c>
      <c r="C585" s="84" t="str">
        <f t="shared" si="111"/>
        <v>January</v>
      </c>
      <c r="D585" s="85" t="str">
        <f t="shared" si="109"/>
        <v/>
      </c>
      <c r="E585" s="86"/>
      <c r="F585" s="86"/>
      <c r="G585" s="86"/>
      <c r="H585" s="86"/>
      <c r="I585" s="87" t="str">
        <f>IF(F585=0,"",IF(COUNTIF(F585,"Bao"),[1]Setup!$B$4,IF(COUNTIF(F585,"Soup Dumplings"),[1]Setup!$B$5,F585)))</f>
        <v/>
      </c>
      <c r="J585" s="88" t="str">
        <f t="shared" si="103"/>
        <v/>
      </c>
      <c r="K585" s="88"/>
      <c r="L585" s="87"/>
      <c r="M585" s="87"/>
      <c r="N585" s="87"/>
      <c r="O585" s="87"/>
      <c r="P585" s="89" t="str">
        <f t="shared" si="104"/>
        <v/>
      </c>
      <c r="Q585" s="89" t="str">
        <f t="shared" si="105"/>
        <v/>
      </c>
      <c r="R585" s="89" t="str">
        <f t="shared" si="106"/>
        <v/>
      </c>
      <c r="S585" s="88" t="str">
        <f>IF(F585="Bao",[1]Setup!$B$4,IF(F585="Soup Dumplings",[1]Setup!$B$5,""))</f>
        <v/>
      </c>
      <c r="T585" s="88" t="str">
        <f t="shared" si="107"/>
        <v/>
      </c>
      <c r="U585" s="84" t="str">
        <f t="shared" si="108"/>
        <v/>
      </c>
      <c r="V585" s="88">
        <f>IF(U585="",0,MAX(0,T585)+N585+ROUND(J585*[1]Setup!$B$9,0)+IF(O585&gt;[1]Setup!$B$10,ROUND(J585*[1]Setup!$B$11,0),0))</f>
        <v>0</v>
      </c>
      <c r="W585" s="85" t="str">
        <f>IF(L585="","Open",IF(OR(P585&lt;[1]Setup!$B$6,Q585&gt;[1]Setup!$B$7,R585&gt;[1]Setup!$B$8,O585&gt;[1]Setup!$B$10),"Review","OK"))</f>
        <v>Open</v>
      </c>
      <c r="X585" s="86"/>
      <c r="Z585" s="81" t="str">
        <f t="shared" si="112"/>
        <v/>
      </c>
    </row>
    <row r="586" spans="1:26" x14ac:dyDescent="0.3">
      <c r="A586" s="84"/>
      <c r="B586" s="100">
        <f t="shared" si="110"/>
        <v>0</v>
      </c>
      <c r="C586" s="84" t="str">
        <f t="shared" si="111"/>
        <v>January</v>
      </c>
      <c r="D586" s="85" t="str">
        <f t="shared" si="109"/>
        <v/>
      </c>
      <c r="E586" s="86"/>
      <c r="F586" s="86"/>
      <c r="G586" s="86"/>
      <c r="H586" s="86"/>
      <c r="I586" s="87" t="str">
        <f>IF(F586=0,"",IF(COUNTIF(F586,"Bao"),[1]Setup!$B$4,IF(COUNTIF(F586,"Soup Dumplings"),[1]Setup!$B$5,F586)))</f>
        <v/>
      </c>
      <c r="J586" s="88" t="str">
        <f t="shared" si="103"/>
        <v/>
      </c>
      <c r="K586" s="88"/>
      <c r="L586" s="87"/>
      <c r="M586" s="87"/>
      <c r="N586" s="87"/>
      <c r="O586" s="87"/>
      <c r="P586" s="89" t="str">
        <f t="shared" si="104"/>
        <v/>
      </c>
      <c r="Q586" s="89" t="str">
        <f t="shared" si="105"/>
        <v/>
      </c>
      <c r="R586" s="89" t="str">
        <f t="shared" si="106"/>
        <v/>
      </c>
      <c r="S586" s="88" t="str">
        <f>IF(F586="Bao",[1]Setup!$B$4,IF(F586="Soup Dumplings",[1]Setup!$B$5,""))</f>
        <v/>
      </c>
      <c r="T586" s="88" t="str">
        <f t="shared" si="107"/>
        <v/>
      </c>
      <c r="U586" s="84" t="str">
        <f t="shared" si="108"/>
        <v/>
      </c>
      <c r="V586" s="88">
        <f>IF(U586="",0,MAX(0,T586)+N586+ROUND(J586*[1]Setup!$B$9,0)+IF(O586&gt;[1]Setup!$B$10,ROUND(J586*[1]Setup!$B$11,0),0))</f>
        <v>0</v>
      </c>
      <c r="W586" s="85" t="str">
        <f>IF(L586="","Open",IF(OR(P586&lt;[1]Setup!$B$6,Q586&gt;[1]Setup!$B$7,R586&gt;[1]Setup!$B$8,O586&gt;[1]Setup!$B$10),"Review","OK"))</f>
        <v>Open</v>
      </c>
      <c r="X586" s="86"/>
      <c r="Z586" s="81" t="str">
        <f t="shared" si="112"/>
        <v/>
      </c>
    </row>
    <row r="587" spans="1:26" x14ac:dyDescent="0.3">
      <c r="A587" s="84"/>
      <c r="B587" s="100">
        <f t="shared" si="110"/>
        <v>0</v>
      </c>
      <c r="C587" s="84" t="str">
        <f t="shared" si="111"/>
        <v>January</v>
      </c>
      <c r="D587" s="85" t="str">
        <f t="shared" si="109"/>
        <v/>
      </c>
      <c r="E587" s="86"/>
      <c r="F587" s="86"/>
      <c r="G587" s="86"/>
      <c r="H587" s="86"/>
      <c r="I587" s="87" t="str">
        <f>IF(F587=0,"",IF(COUNTIF(F587,"Bao"),[1]Setup!$B$4,IF(COUNTIF(F587,"Soup Dumplings"),[1]Setup!$B$5,F587)))</f>
        <v/>
      </c>
      <c r="J587" s="88" t="str">
        <f t="shared" si="103"/>
        <v/>
      </c>
      <c r="K587" s="88"/>
      <c r="L587" s="87"/>
      <c r="M587" s="87"/>
      <c r="N587" s="87"/>
      <c r="O587" s="87"/>
      <c r="P587" s="89" t="str">
        <f t="shared" si="104"/>
        <v/>
      </c>
      <c r="Q587" s="89" t="str">
        <f t="shared" si="105"/>
        <v/>
      </c>
      <c r="R587" s="89" t="str">
        <f t="shared" si="106"/>
        <v/>
      </c>
      <c r="S587" s="88" t="str">
        <f>IF(F587="Bao",[1]Setup!$B$4,IF(F587="Soup Dumplings",[1]Setup!$B$5,""))</f>
        <v/>
      </c>
      <c r="T587" s="88" t="str">
        <f t="shared" si="107"/>
        <v/>
      </c>
      <c r="U587" s="84" t="str">
        <f t="shared" si="108"/>
        <v/>
      </c>
      <c r="V587" s="88">
        <f>IF(U587="",0,MAX(0,T587)+N587+ROUND(J587*[1]Setup!$B$9,0)+IF(O587&gt;[1]Setup!$B$10,ROUND(J587*[1]Setup!$B$11,0),0))</f>
        <v>0</v>
      </c>
      <c r="W587" s="85" t="str">
        <f>IF(L587="","Open",IF(OR(P587&lt;[1]Setup!$B$6,Q587&gt;[1]Setup!$B$7,R587&gt;[1]Setup!$B$8,O587&gt;[1]Setup!$B$10),"Review","OK"))</f>
        <v>Open</v>
      </c>
      <c r="X587" s="86"/>
      <c r="Z587" s="81" t="str">
        <f t="shared" si="112"/>
        <v/>
      </c>
    </row>
    <row r="588" spans="1:26" x14ac:dyDescent="0.3">
      <c r="A588" s="84"/>
      <c r="B588" s="100">
        <f t="shared" si="110"/>
        <v>0</v>
      </c>
      <c r="C588" s="84" t="str">
        <f t="shared" si="111"/>
        <v>January</v>
      </c>
      <c r="D588" s="85" t="str">
        <f t="shared" si="109"/>
        <v/>
      </c>
      <c r="E588" s="86"/>
      <c r="F588" s="86"/>
      <c r="G588" s="86"/>
      <c r="H588" s="86"/>
      <c r="I588" s="87" t="str">
        <f>IF(F588=0,"",IF(COUNTIF(F588,"Bao"),[1]Setup!$B$4,IF(COUNTIF(F588,"Soup Dumplings"),[1]Setup!$B$5,F588)))</f>
        <v/>
      </c>
      <c r="J588" s="88" t="str">
        <f t="shared" si="103"/>
        <v/>
      </c>
      <c r="K588" s="88"/>
      <c r="L588" s="87"/>
      <c r="M588" s="87"/>
      <c r="N588" s="87"/>
      <c r="O588" s="87"/>
      <c r="P588" s="89" t="str">
        <f t="shared" si="104"/>
        <v/>
      </c>
      <c r="Q588" s="89" t="str">
        <f t="shared" si="105"/>
        <v/>
      </c>
      <c r="R588" s="89" t="str">
        <f t="shared" si="106"/>
        <v/>
      </c>
      <c r="S588" s="88" t="str">
        <f>IF(F588="Bao",[1]Setup!$B$4,IF(F588="Soup Dumplings",[1]Setup!$B$5,""))</f>
        <v/>
      </c>
      <c r="T588" s="88" t="str">
        <f t="shared" si="107"/>
        <v/>
      </c>
      <c r="U588" s="84" t="str">
        <f t="shared" si="108"/>
        <v/>
      </c>
      <c r="V588" s="88">
        <f>IF(U588="",0,MAX(0,T588)+N588+ROUND(J588*[1]Setup!$B$9,0)+IF(O588&gt;[1]Setup!$B$10,ROUND(J588*[1]Setup!$B$11,0),0))</f>
        <v>0</v>
      </c>
      <c r="W588" s="85" t="str">
        <f>IF(L588="","Open",IF(OR(P588&lt;[1]Setup!$B$6,Q588&gt;[1]Setup!$B$7,R588&gt;[1]Setup!$B$8,O588&gt;[1]Setup!$B$10),"Review","OK"))</f>
        <v>Open</v>
      </c>
      <c r="X588" s="86"/>
      <c r="Z588" s="81" t="str">
        <f t="shared" si="112"/>
        <v/>
      </c>
    </row>
    <row r="589" spans="1:26" x14ac:dyDescent="0.3">
      <c r="A589" s="84"/>
      <c r="B589" s="100">
        <f t="shared" si="110"/>
        <v>0</v>
      </c>
      <c r="C589" s="84" t="str">
        <f t="shared" si="111"/>
        <v>January</v>
      </c>
      <c r="D589" s="85" t="str">
        <f t="shared" si="109"/>
        <v/>
      </c>
      <c r="E589" s="86"/>
      <c r="F589" s="86"/>
      <c r="G589" s="86"/>
      <c r="H589" s="86"/>
      <c r="I589" s="87" t="str">
        <f>IF(F589=0,"",IF(COUNTIF(F589,"Bao"),[1]Setup!$B$4,IF(COUNTIF(F589,"Soup Dumplings"),[1]Setup!$B$5,F589)))</f>
        <v/>
      </c>
      <c r="J589" s="88" t="str">
        <f t="shared" si="103"/>
        <v/>
      </c>
      <c r="K589" s="88"/>
      <c r="L589" s="87"/>
      <c r="M589" s="87"/>
      <c r="N589" s="87"/>
      <c r="O589" s="87"/>
      <c r="P589" s="89" t="str">
        <f t="shared" si="104"/>
        <v/>
      </c>
      <c r="Q589" s="89" t="str">
        <f t="shared" si="105"/>
        <v/>
      </c>
      <c r="R589" s="89" t="str">
        <f t="shared" si="106"/>
        <v/>
      </c>
      <c r="S589" s="88" t="str">
        <f>IF(F589="Bao",[1]Setup!$B$4,IF(F589="Soup Dumplings",[1]Setup!$B$5,""))</f>
        <v/>
      </c>
      <c r="T589" s="88" t="str">
        <f t="shared" si="107"/>
        <v/>
      </c>
      <c r="U589" s="84" t="str">
        <f t="shared" si="108"/>
        <v/>
      </c>
      <c r="V589" s="88">
        <f>IF(U589="",0,MAX(0,T589)+N589+ROUND(J589*[1]Setup!$B$9,0)+IF(O589&gt;[1]Setup!$B$10,ROUND(J589*[1]Setup!$B$11,0),0))</f>
        <v>0</v>
      </c>
      <c r="W589" s="85" t="str">
        <f>IF(L589="","Open",IF(OR(P589&lt;[1]Setup!$B$6,Q589&gt;[1]Setup!$B$7,R589&gt;[1]Setup!$B$8,O589&gt;[1]Setup!$B$10),"Review","OK"))</f>
        <v>Open</v>
      </c>
      <c r="X589" s="86"/>
      <c r="Z589" s="81" t="str">
        <f t="shared" si="112"/>
        <v/>
      </c>
    </row>
    <row r="590" spans="1:26" x14ac:dyDescent="0.3">
      <c r="A590" s="84"/>
      <c r="B590" s="100">
        <f t="shared" si="110"/>
        <v>0</v>
      </c>
      <c r="C590" s="84" t="str">
        <f t="shared" si="111"/>
        <v>January</v>
      </c>
      <c r="D590" s="85" t="str">
        <f t="shared" si="109"/>
        <v/>
      </c>
      <c r="E590" s="86"/>
      <c r="F590" s="86"/>
      <c r="G590" s="86"/>
      <c r="H590" s="86"/>
      <c r="I590" s="87" t="str">
        <f>IF(F590=0,"",IF(COUNTIF(F590,"Bao"),[1]Setup!$B$4,IF(COUNTIF(F590,"Soup Dumplings"),[1]Setup!$B$5,F590)))</f>
        <v/>
      </c>
      <c r="J590" s="88" t="str">
        <f t="shared" si="103"/>
        <v/>
      </c>
      <c r="K590" s="88"/>
      <c r="L590" s="87"/>
      <c r="M590" s="87"/>
      <c r="N590" s="87"/>
      <c r="O590" s="87"/>
      <c r="P590" s="89" t="str">
        <f t="shared" si="104"/>
        <v/>
      </c>
      <c r="Q590" s="89" t="str">
        <f t="shared" si="105"/>
        <v/>
      </c>
      <c r="R590" s="89" t="str">
        <f t="shared" si="106"/>
        <v/>
      </c>
      <c r="S590" s="88" t="str">
        <f>IF(F590="Bao",[1]Setup!$B$4,IF(F590="Soup Dumplings",[1]Setup!$B$5,""))</f>
        <v/>
      </c>
      <c r="T590" s="88" t="str">
        <f t="shared" si="107"/>
        <v/>
      </c>
      <c r="U590" s="84" t="str">
        <f t="shared" si="108"/>
        <v/>
      </c>
      <c r="V590" s="88">
        <f>IF(U590="",0,MAX(0,T590)+N590+ROUND(J590*[1]Setup!$B$9,0)+IF(O590&gt;[1]Setup!$B$10,ROUND(J590*[1]Setup!$B$11,0),0))</f>
        <v>0</v>
      </c>
      <c r="W590" s="85" t="str">
        <f>IF(L590="","Open",IF(OR(P590&lt;[1]Setup!$B$6,Q590&gt;[1]Setup!$B$7,R590&gt;[1]Setup!$B$8,O590&gt;[1]Setup!$B$10),"Review","OK"))</f>
        <v>Open</v>
      </c>
      <c r="X590" s="86"/>
      <c r="Z590" s="81" t="str">
        <f t="shared" si="112"/>
        <v/>
      </c>
    </row>
    <row r="591" spans="1:26" x14ac:dyDescent="0.3">
      <c r="A591" s="84"/>
      <c r="B591" s="100">
        <f t="shared" si="110"/>
        <v>0</v>
      </c>
      <c r="C591" s="84" t="str">
        <f t="shared" si="111"/>
        <v>January</v>
      </c>
      <c r="D591" s="85" t="str">
        <f t="shared" si="109"/>
        <v/>
      </c>
      <c r="E591" s="86"/>
      <c r="F591" s="86"/>
      <c r="G591" s="86"/>
      <c r="H591" s="86"/>
      <c r="I591" s="87" t="str">
        <f>IF(F591=0,"",IF(COUNTIF(F591,"Bao"),[1]Setup!$B$4,IF(COUNTIF(F591,"Soup Dumplings"),[1]Setup!$B$5,F591)))</f>
        <v/>
      </c>
      <c r="J591" s="88" t="str">
        <f t="shared" si="103"/>
        <v/>
      </c>
      <c r="K591" s="88"/>
      <c r="L591" s="87"/>
      <c r="M591" s="87"/>
      <c r="N591" s="87"/>
      <c r="O591" s="87"/>
      <c r="P591" s="89" t="str">
        <f t="shared" si="104"/>
        <v/>
      </c>
      <c r="Q591" s="89" t="str">
        <f t="shared" si="105"/>
        <v/>
      </c>
      <c r="R591" s="89" t="str">
        <f t="shared" si="106"/>
        <v/>
      </c>
      <c r="S591" s="88" t="str">
        <f>IF(F591="Bao",[1]Setup!$B$4,IF(F591="Soup Dumplings",[1]Setup!$B$5,""))</f>
        <v/>
      </c>
      <c r="T591" s="88" t="str">
        <f t="shared" si="107"/>
        <v/>
      </c>
      <c r="U591" s="84" t="str">
        <f t="shared" si="108"/>
        <v/>
      </c>
      <c r="V591" s="88">
        <f>IF(U591="",0,MAX(0,T591)+N591+ROUND(J591*[1]Setup!$B$9,0)+IF(O591&gt;[1]Setup!$B$10,ROUND(J591*[1]Setup!$B$11,0),0))</f>
        <v>0</v>
      </c>
      <c r="W591" s="85" t="str">
        <f>IF(L591="","Open",IF(OR(P591&lt;[1]Setup!$B$6,Q591&gt;[1]Setup!$B$7,R591&gt;[1]Setup!$B$8,O591&gt;[1]Setup!$B$10),"Review","OK"))</f>
        <v>Open</v>
      </c>
      <c r="X591" s="86"/>
      <c r="Z591" s="81" t="str">
        <f t="shared" si="112"/>
        <v/>
      </c>
    </row>
    <row r="592" spans="1:26" x14ac:dyDescent="0.3">
      <c r="A592" s="84"/>
      <c r="B592" s="100">
        <f t="shared" si="110"/>
        <v>0</v>
      </c>
      <c r="C592" s="84" t="str">
        <f t="shared" si="111"/>
        <v>January</v>
      </c>
      <c r="D592" s="85" t="str">
        <f t="shared" si="109"/>
        <v/>
      </c>
      <c r="E592" s="86"/>
      <c r="F592" s="86"/>
      <c r="G592" s="86"/>
      <c r="H592" s="86"/>
      <c r="I592" s="87" t="str">
        <f>IF(F592=0,"",IF(COUNTIF(F592,"Bao"),[1]Setup!$B$4,IF(COUNTIF(F592,"Soup Dumplings"),[1]Setup!$B$5,F592)))</f>
        <v/>
      </c>
      <c r="J592" s="88" t="str">
        <f t="shared" si="103"/>
        <v/>
      </c>
      <c r="K592" s="88"/>
      <c r="L592" s="87"/>
      <c r="M592" s="87"/>
      <c r="N592" s="87"/>
      <c r="O592" s="87"/>
      <c r="P592" s="89" t="str">
        <f t="shared" si="104"/>
        <v/>
      </c>
      <c r="Q592" s="89" t="str">
        <f t="shared" si="105"/>
        <v/>
      </c>
      <c r="R592" s="89" t="str">
        <f t="shared" si="106"/>
        <v/>
      </c>
      <c r="S592" s="88" t="str">
        <f>IF(F592="Bao",[1]Setup!$B$4,IF(F592="Soup Dumplings",[1]Setup!$B$5,""))</f>
        <v/>
      </c>
      <c r="T592" s="88" t="str">
        <f t="shared" si="107"/>
        <v/>
      </c>
      <c r="U592" s="84" t="str">
        <f t="shared" si="108"/>
        <v/>
      </c>
      <c r="V592" s="88">
        <f>IF(U592="",0,MAX(0,T592)+N592+ROUND(J592*[1]Setup!$B$9,0)+IF(O592&gt;[1]Setup!$B$10,ROUND(J592*[1]Setup!$B$11,0),0))</f>
        <v>0</v>
      </c>
      <c r="W592" s="85" t="str">
        <f>IF(L592="","Open",IF(OR(P592&lt;[1]Setup!$B$6,Q592&gt;[1]Setup!$B$7,R592&gt;[1]Setup!$B$8,O592&gt;[1]Setup!$B$10),"Review","OK"))</f>
        <v>Open</v>
      </c>
      <c r="X592" s="86"/>
      <c r="Z592" s="81" t="str">
        <f t="shared" si="112"/>
        <v/>
      </c>
    </row>
    <row r="593" spans="1:26" x14ac:dyDescent="0.3">
      <c r="A593" s="84"/>
      <c r="B593" s="100">
        <f t="shared" si="110"/>
        <v>0</v>
      </c>
      <c r="C593" s="84" t="str">
        <f t="shared" si="111"/>
        <v>January</v>
      </c>
      <c r="D593" s="85" t="str">
        <f t="shared" si="109"/>
        <v/>
      </c>
      <c r="E593" s="86"/>
      <c r="F593" s="86"/>
      <c r="G593" s="86"/>
      <c r="H593" s="86"/>
      <c r="I593" s="87" t="str">
        <f>IF(F593=0,"",IF(COUNTIF(F593,"Bao"),[1]Setup!$B$4,IF(COUNTIF(F593,"Soup Dumplings"),[1]Setup!$B$5,F593)))</f>
        <v/>
      </c>
      <c r="J593" s="88" t="str">
        <f t="shared" si="103"/>
        <v/>
      </c>
      <c r="K593" s="88"/>
      <c r="L593" s="87"/>
      <c r="M593" s="87"/>
      <c r="N593" s="87"/>
      <c r="O593" s="87"/>
      <c r="P593" s="89" t="str">
        <f t="shared" si="104"/>
        <v/>
      </c>
      <c r="Q593" s="89" t="str">
        <f t="shared" si="105"/>
        <v/>
      </c>
      <c r="R593" s="89" t="str">
        <f t="shared" si="106"/>
        <v/>
      </c>
      <c r="S593" s="88" t="str">
        <f>IF(F593="Bao",[1]Setup!$B$4,IF(F593="Soup Dumplings",[1]Setup!$B$5,""))</f>
        <v/>
      </c>
      <c r="T593" s="88" t="str">
        <f t="shared" si="107"/>
        <v/>
      </c>
      <c r="U593" s="84" t="str">
        <f t="shared" si="108"/>
        <v/>
      </c>
      <c r="V593" s="88">
        <f>IF(U593="",0,MAX(0,T593)+N593+ROUND(J593*[1]Setup!$B$9,0)+IF(O593&gt;[1]Setup!$B$10,ROUND(J593*[1]Setup!$B$11,0),0))</f>
        <v>0</v>
      </c>
      <c r="W593" s="85" t="str">
        <f>IF(L593="","Open",IF(OR(P593&lt;[1]Setup!$B$6,Q593&gt;[1]Setup!$B$7,R593&gt;[1]Setup!$B$8,O593&gt;[1]Setup!$B$10),"Review","OK"))</f>
        <v>Open</v>
      </c>
      <c r="X593" s="86"/>
      <c r="Z593" s="81" t="str">
        <f t="shared" si="112"/>
        <v/>
      </c>
    </row>
    <row r="594" spans="1:26" x14ac:dyDescent="0.3">
      <c r="A594" s="84"/>
      <c r="B594" s="100">
        <f t="shared" si="110"/>
        <v>0</v>
      </c>
      <c r="C594" s="84" t="str">
        <f t="shared" si="111"/>
        <v>January</v>
      </c>
      <c r="D594" s="85" t="str">
        <f t="shared" si="109"/>
        <v/>
      </c>
      <c r="E594" s="86"/>
      <c r="F594" s="86"/>
      <c r="G594" s="86"/>
      <c r="H594" s="86"/>
      <c r="I594" s="87" t="str">
        <f>IF(F594=0,"",IF(COUNTIF(F594,"Bao"),[1]Setup!$B$4,IF(COUNTIF(F594,"Soup Dumplings"),[1]Setup!$B$5,F594)))</f>
        <v/>
      </c>
      <c r="J594" s="88" t="str">
        <f t="shared" si="103"/>
        <v/>
      </c>
      <c r="K594" s="88"/>
      <c r="L594" s="87"/>
      <c r="M594" s="87"/>
      <c r="N594" s="87"/>
      <c r="O594" s="87"/>
      <c r="P594" s="89" t="str">
        <f t="shared" si="104"/>
        <v/>
      </c>
      <c r="Q594" s="89" t="str">
        <f t="shared" si="105"/>
        <v/>
      </c>
      <c r="R594" s="89" t="str">
        <f t="shared" si="106"/>
        <v/>
      </c>
      <c r="S594" s="88" t="str">
        <f>IF(F594="Bao",[1]Setup!$B$4,IF(F594="Soup Dumplings",[1]Setup!$B$5,""))</f>
        <v/>
      </c>
      <c r="T594" s="88" t="str">
        <f t="shared" si="107"/>
        <v/>
      </c>
      <c r="U594" s="84" t="str">
        <f t="shared" si="108"/>
        <v/>
      </c>
      <c r="V594" s="88">
        <f>IF(U594="",0,MAX(0,T594)+N594+ROUND(J594*[1]Setup!$B$9,0)+IF(O594&gt;[1]Setup!$B$10,ROUND(J594*[1]Setup!$B$11,0),0))</f>
        <v>0</v>
      </c>
      <c r="W594" s="85" t="str">
        <f>IF(L594="","Open",IF(OR(P594&lt;[1]Setup!$B$6,Q594&gt;[1]Setup!$B$7,R594&gt;[1]Setup!$B$8,O594&gt;[1]Setup!$B$10),"Review","OK"))</f>
        <v>Open</v>
      </c>
      <c r="X594" s="86"/>
      <c r="Z594" s="81" t="str">
        <f t="shared" si="112"/>
        <v/>
      </c>
    </row>
    <row r="595" spans="1:26" x14ac:dyDescent="0.3">
      <c r="A595" s="84"/>
      <c r="B595" s="100">
        <f t="shared" si="110"/>
        <v>0</v>
      </c>
      <c r="C595" s="84" t="str">
        <f t="shared" si="111"/>
        <v>January</v>
      </c>
      <c r="D595" s="85" t="str">
        <f t="shared" si="109"/>
        <v/>
      </c>
      <c r="E595" s="86"/>
      <c r="F595" s="86"/>
      <c r="G595" s="86"/>
      <c r="H595" s="86"/>
      <c r="I595" s="87" t="str">
        <f>IF(F595=0,"",IF(COUNTIF(F595,"Bao"),[1]Setup!$B$4,IF(COUNTIF(F595,"Soup Dumplings"),[1]Setup!$B$5,F595)))</f>
        <v/>
      </c>
      <c r="J595" s="88" t="str">
        <f t="shared" si="103"/>
        <v/>
      </c>
      <c r="K595" s="88"/>
      <c r="L595" s="87"/>
      <c r="M595" s="87"/>
      <c r="N595" s="87"/>
      <c r="O595" s="87"/>
      <c r="P595" s="89" t="str">
        <f t="shared" si="104"/>
        <v/>
      </c>
      <c r="Q595" s="89" t="str">
        <f t="shared" si="105"/>
        <v/>
      </c>
      <c r="R595" s="89" t="str">
        <f t="shared" si="106"/>
        <v/>
      </c>
      <c r="S595" s="88" t="str">
        <f>IF(F595="Bao",[1]Setup!$B$4,IF(F595="Soup Dumplings",[1]Setup!$B$5,""))</f>
        <v/>
      </c>
      <c r="T595" s="88" t="str">
        <f t="shared" si="107"/>
        <v/>
      </c>
      <c r="U595" s="84" t="str">
        <f t="shared" si="108"/>
        <v/>
      </c>
      <c r="V595" s="88">
        <f>IF(U595="",0,MAX(0,T595)+N595+ROUND(J595*[1]Setup!$B$9,0)+IF(O595&gt;[1]Setup!$B$10,ROUND(J595*[1]Setup!$B$11,0),0))</f>
        <v>0</v>
      </c>
      <c r="W595" s="85" t="str">
        <f>IF(L595="","Open",IF(OR(P595&lt;[1]Setup!$B$6,Q595&gt;[1]Setup!$B$7,R595&gt;[1]Setup!$B$8,O595&gt;[1]Setup!$B$10),"Review","OK"))</f>
        <v>Open</v>
      </c>
      <c r="X595" s="86"/>
      <c r="Z595" s="81" t="str">
        <f t="shared" si="112"/>
        <v/>
      </c>
    </row>
    <row r="596" spans="1:26" x14ac:dyDescent="0.3">
      <c r="A596" s="84"/>
      <c r="B596" s="100">
        <f t="shared" si="110"/>
        <v>0</v>
      </c>
      <c r="C596" s="84" t="str">
        <f t="shared" si="111"/>
        <v>January</v>
      </c>
      <c r="D596" s="85" t="str">
        <f t="shared" si="109"/>
        <v/>
      </c>
      <c r="E596" s="86"/>
      <c r="F596" s="86"/>
      <c r="G596" s="86"/>
      <c r="H596" s="86"/>
      <c r="I596" s="87" t="str">
        <f>IF(F596=0,"",IF(COUNTIF(F596,"Bao"),[1]Setup!$B$4,IF(COUNTIF(F596,"Soup Dumplings"),[1]Setup!$B$5,F596)))</f>
        <v/>
      </c>
      <c r="J596" s="88" t="str">
        <f t="shared" si="103"/>
        <v/>
      </c>
      <c r="K596" s="88"/>
      <c r="L596" s="87"/>
      <c r="M596" s="87"/>
      <c r="N596" s="87"/>
      <c r="O596" s="87"/>
      <c r="P596" s="89" t="str">
        <f t="shared" si="104"/>
        <v/>
      </c>
      <c r="Q596" s="89" t="str">
        <f t="shared" si="105"/>
        <v/>
      </c>
      <c r="R596" s="89" t="str">
        <f t="shared" si="106"/>
        <v/>
      </c>
      <c r="S596" s="88" t="str">
        <f>IF(F596="Bao",[1]Setup!$B$4,IF(F596="Soup Dumplings",[1]Setup!$B$5,""))</f>
        <v/>
      </c>
      <c r="T596" s="88" t="str">
        <f t="shared" si="107"/>
        <v/>
      </c>
      <c r="U596" s="84" t="str">
        <f t="shared" si="108"/>
        <v/>
      </c>
      <c r="V596" s="88">
        <f>IF(U596="",0,MAX(0,T596)+N596+ROUND(J596*[1]Setup!$B$9,0)+IF(O596&gt;[1]Setup!$B$10,ROUND(J596*[1]Setup!$B$11,0),0))</f>
        <v>0</v>
      </c>
      <c r="W596" s="85" t="str">
        <f>IF(L596="","Open",IF(OR(P596&lt;[1]Setup!$B$6,Q596&gt;[1]Setup!$B$7,R596&gt;[1]Setup!$B$8,O596&gt;[1]Setup!$B$10),"Review","OK"))</f>
        <v>Open</v>
      </c>
      <c r="X596" s="86"/>
      <c r="Z596" s="81" t="str">
        <f t="shared" si="112"/>
        <v/>
      </c>
    </row>
    <row r="597" spans="1:26" x14ac:dyDescent="0.3">
      <c r="A597" s="84"/>
      <c r="B597" s="100">
        <f t="shared" si="110"/>
        <v>0</v>
      </c>
      <c r="C597" s="84" t="str">
        <f t="shared" si="111"/>
        <v>January</v>
      </c>
      <c r="D597" s="85" t="str">
        <f t="shared" si="109"/>
        <v/>
      </c>
      <c r="E597" s="86"/>
      <c r="F597" s="86"/>
      <c r="G597" s="86"/>
      <c r="H597" s="86"/>
      <c r="I597" s="87" t="str">
        <f>IF(F597=0,"",IF(COUNTIF(F597,"Bao"),[1]Setup!$B$4,IF(COUNTIF(F597,"Soup Dumplings"),[1]Setup!$B$5,F597)))</f>
        <v/>
      </c>
      <c r="J597" s="88" t="str">
        <f t="shared" si="103"/>
        <v/>
      </c>
      <c r="K597" s="88"/>
      <c r="L597" s="87"/>
      <c r="M597" s="87"/>
      <c r="N597" s="87"/>
      <c r="O597" s="87"/>
      <c r="P597" s="89" t="str">
        <f t="shared" si="104"/>
        <v/>
      </c>
      <c r="Q597" s="89" t="str">
        <f t="shared" si="105"/>
        <v/>
      </c>
      <c r="R597" s="89" t="str">
        <f t="shared" si="106"/>
        <v/>
      </c>
      <c r="S597" s="88" t="str">
        <f>IF(F597="Bao",[1]Setup!$B$4,IF(F597="Soup Dumplings",[1]Setup!$B$5,""))</f>
        <v/>
      </c>
      <c r="T597" s="88" t="str">
        <f t="shared" si="107"/>
        <v/>
      </c>
      <c r="U597" s="84" t="str">
        <f t="shared" si="108"/>
        <v/>
      </c>
      <c r="V597" s="88">
        <f>IF(U597="",0,MAX(0,T597)+N597+ROUND(J597*[1]Setup!$B$9,0)+IF(O597&gt;[1]Setup!$B$10,ROUND(J597*[1]Setup!$B$11,0),0))</f>
        <v>0</v>
      </c>
      <c r="W597" s="85" t="str">
        <f>IF(L597="","Open",IF(OR(P597&lt;[1]Setup!$B$6,Q597&gt;[1]Setup!$B$7,R597&gt;[1]Setup!$B$8,O597&gt;[1]Setup!$B$10),"Review","OK"))</f>
        <v>Open</v>
      </c>
      <c r="X597" s="86"/>
      <c r="Z597" s="81" t="str">
        <f t="shared" si="112"/>
        <v/>
      </c>
    </row>
    <row r="598" spans="1:26" x14ac:dyDescent="0.3">
      <c r="A598" s="84"/>
      <c r="B598" s="100">
        <f t="shared" si="110"/>
        <v>0</v>
      </c>
      <c r="C598" s="84" t="str">
        <f t="shared" si="111"/>
        <v>January</v>
      </c>
      <c r="D598" s="85" t="str">
        <f t="shared" si="109"/>
        <v/>
      </c>
      <c r="E598" s="86"/>
      <c r="F598" s="86"/>
      <c r="G598" s="86"/>
      <c r="H598" s="86"/>
      <c r="I598" s="87" t="str">
        <f>IF(F598=0,"",IF(COUNTIF(F598,"Bao"),[1]Setup!$B$4,IF(COUNTIF(F598,"Soup Dumplings"),[1]Setup!$B$5,F598)))</f>
        <v/>
      </c>
      <c r="J598" s="88" t="str">
        <f t="shared" si="103"/>
        <v/>
      </c>
      <c r="K598" s="88"/>
      <c r="L598" s="87"/>
      <c r="M598" s="87"/>
      <c r="N598" s="87"/>
      <c r="O598" s="87"/>
      <c r="P598" s="89" t="str">
        <f t="shared" si="104"/>
        <v/>
      </c>
      <c r="Q598" s="89" t="str">
        <f t="shared" si="105"/>
        <v/>
      </c>
      <c r="R598" s="89" t="str">
        <f t="shared" si="106"/>
        <v/>
      </c>
      <c r="S598" s="88" t="str">
        <f>IF(F598="Bao",[1]Setup!$B$4,IF(F598="Soup Dumplings",[1]Setup!$B$5,""))</f>
        <v/>
      </c>
      <c r="T598" s="88" t="str">
        <f t="shared" si="107"/>
        <v/>
      </c>
      <c r="U598" s="84" t="str">
        <f t="shared" si="108"/>
        <v/>
      </c>
      <c r="V598" s="88">
        <f>IF(U598="",0,MAX(0,T598)+N598+ROUND(J598*[1]Setup!$B$9,0)+IF(O598&gt;[1]Setup!$B$10,ROUND(J598*[1]Setup!$B$11,0),0))</f>
        <v>0</v>
      </c>
      <c r="W598" s="85" t="str">
        <f>IF(L598="","Open",IF(OR(P598&lt;[1]Setup!$B$6,Q598&gt;[1]Setup!$B$7,R598&gt;[1]Setup!$B$8,O598&gt;[1]Setup!$B$10),"Review","OK"))</f>
        <v>Open</v>
      </c>
      <c r="X598" s="86"/>
      <c r="Z598" s="81" t="str">
        <f t="shared" si="112"/>
        <v/>
      </c>
    </row>
    <row r="599" spans="1:26" x14ac:dyDescent="0.3">
      <c r="A599" s="84"/>
      <c r="B599" s="100">
        <f t="shared" si="110"/>
        <v>0</v>
      </c>
      <c r="C599" s="84" t="str">
        <f t="shared" si="111"/>
        <v>January</v>
      </c>
      <c r="D599" s="85" t="str">
        <f t="shared" si="109"/>
        <v/>
      </c>
      <c r="E599" s="86"/>
      <c r="F599" s="86"/>
      <c r="G599" s="86"/>
      <c r="H599" s="86"/>
      <c r="I599" s="87" t="str">
        <f>IF(F599=0,"",IF(COUNTIF(F599,"Bao"),[1]Setup!$B$4,IF(COUNTIF(F599,"Soup Dumplings"),[1]Setup!$B$5,F599)))</f>
        <v/>
      </c>
      <c r="J599" s="88" t="str">
        <f t="shared" si="103"/>
        <v/>
      </c>
      <c r="K599" s="88"/>
      <c r="L599" s="87"/>
      <c r="M599" s="87"/>
      <c r="N599" s="87"/>
      <c r="O599" s="87"/>
      <c r="P599" s="89" t="str">
        <f t="shared" si="104"/>
        <v/>
      </c>
      <c r="Q599" s="89" t="str">
        <f t="shared" si="105"/>
        <v/>
      </c>
      <c r="R599" s="89" t="str">
        <f t="shared" si="106"/>
        <v/>
      </c>
      <c r="S599" s="88" t="str">
        <f>IF(F599="Bao",[1]Setup!$B$4,IF(F599="Soup Dumplings",[1]Setup!$B$5,""))</f>
        <v/>
      </c>
      <c r="T599" s="88" t="str">
        <f t="shared" si="107"/>
        <v/>
      </c>
      <c r="U599" s="84" t="str">
        <f t="shared" si="108"/>
        <v/>
      </c>
      <c r="V599" s="88">
        <f>IF(U599="",0,MAX(0,T599)+N599+ROUND(J599*[1]Setup!$B$9,0)+IF(O599&gt;[1]Setup!$B$10,ROUND(J599*[1]Setup!$B$11,0),0))</f>
        <v>0</v>
      </c>
      <c r="W599" s="85" t="str">
        <f>IF(L599="","Open",IF(OR(P599&lt;[1]Setup!$B$6,Q599&gt;[1]Setup!$B$7,R599&gt;[1]Setup!$B$8,O599&gt;[1]Setup!$B$10),"Review","OK"))</f>
        <v>Open</v>
      </c>
      <c r="X599" s="86"/>
      <c r="Z599" s="81" t="str">
        <f t="shared" si="112"/>
        <v/>
      </c>
    </row>
    <row r="600" spans="1:26" x14ac:dyDescent="0.3">
      <c r="A600" s="84"/>
      <c r="B600" s="100">
        <f t="shared" si="110"/>
        <v>0</v>
      </c>
      <c r="C600" s="84" t="str">
        <f t="shared" si="111"/>
        <v>January</v>
      </c>
      <c r="D600" s="85" t="str">
        <f t="shared" si="109"/>
        <v/>
      </c>
      <c r="E600" s="86"/>
      <c r="F600" s="86"/>
      <c r="G600" s="86"/>
      <c r="H600" s="86"/>
      <c r="I600" s="87" t="str">
        <f>IF(F600=0,"",IF(COUNTIF(F600,"Bao"),[1]Setup!$B$4,IF(COUNTIF(F600,"Soup Dumplings"),[1]Setup!$B$5,F600)))</f>
        <v/>
      </c>
      <c r="J600" s="88" t="str">
        <f t="shared" si="103"/>
        <v/>
      </c>
      <c r="K600" s="88"/>
      <c r="L600" s="87"/>
      <c r="M600" s="87"/>
      <c r="N600" s="87"/>
      <c r="O600" s="87"/>
      <c r="P600" s="89" t="str">
        <f t="shared" si="104"/>
        <v/>
      </c>
      <c r="Q600" s="89" t="str">
        <f t="shared" si="105"/>
        <v/>
      </c>
      <c r="R600" s="89" t="str">
        <f t="shared" si="106"/>
        <v/>
      </c>
      <c r="S600" s="88" t="str">
        <f>IF(F600="Bao",[1]Setup!$B$4,IF(F600="Soup Dumplings",[1]Setup!$B$5,""))</f>
        <v/>
      </c>
      <c r="T600" s="88" t="str">
        <f t="shared" si="107"/>
        <v/>
      </c>
      <c r="U600" s="84" t="str">
        <f t="shared" si="108"/>
        <v/>
      </c>
      <c r="V600" s="88">
        <f>IF(U600="",0,MAX(0,T600)+N600+ROUND(J600*[1]Setup!$B$9,0)+IF(O600&gt;[1]Setup!$B$10,ROUND(J600*[1]Setup!$B$11,0),0))</f>
        <v>0</v>
      </c>
      <c r="W600" s="85" t="str">
        <f>IF(L600="","Open",IF(OR(P600&lt;[1]Setup!$B$6,Q600&gt;[1]Setup!$B$7,R600&gt;[1]Setup!$B$8,O600&gt;[1]Setup!$B$10),"Review","OK"))</f>
        <v>Open</v>
      </c>
      <c r="X600" s="86"/>
      <c r="Z600" s="81" t="str">
        <f t="shared" si="112"/>
        <v/>
      </c>
    </row>
    <row r="601" spans="1:26" x14ac:dyDescent="0.3">
      <c r="A601" s="84"/>
      <c r="B601" s="100">
        <f t="shared" si="110"/>
        <v>0</v>
      </c>
      <c r="C601" s="84" t="str">
        <f t="shared" si="111"/>
        <v>January</v>
      </c>
      <c r="D601" s="85" t="str">
        <f t="shared" si="109"/>
        <v/>
      </c>
      <c r="E601" s="86"/>
      <c r="F601" s="86"/>
      <c r="G601" s="86"/>
      <c r="H601" s="86"/>
      <c r="I601" s="87" t="str">
        <f>IF(F601=0,"",IF(COUNTIF(F601,"Bao"),[1]Setup!$B$4,IF(COUNTIF(F601,"Soup Dumplings"),[1]Setup!$B$5,F601)))</f>
        <v/>
      </c>
      <c r="J601" s="88" t="str">
        <f t="shared" si="103"/>
        <v/>
      </c>
      <c r="K601" s="88"/>
      <c r="L601" s="87"/>
      <c r="M601" s="87"/>
      <c r="N601" s="87"/>
      <c r="O601" s="87"/>
      <c r="P601" s="89" t="str">
        <f t="shared" si="104"/>
        <v/>
      </c>
      <c r="Q601" s="89" t="str">
        <f t="shared" si="105"/>
        <v/>
      </c>
      <c r="R601" s="89" t="str">
        <f t="shared" si="106"/>
        <v/>
      </c>
      <c r="S601" s="88" t="str">
        <f>IF(F601="Bao",[1]Setup!$B$4,IF(F601="Soup Dumplings",[1]Setup!$B$5,""))</f>
        <v/>
      </c>
      <c r="T601" s="88" t="str">
        <f t="shared" si="107"/>
        <v/>
      </c>
      <c r="U601" s="84" t="str">
        <f t="shared" si="108"/>
        <v/>
      </c>
      <c r="V601" s="88">
        <f>IF(U601="",0,MAX(0,T601)+N601+ROUND(J601*[1]Setup!$B$9,0)+IF(O601&gt;[1]Setup!$B$10,ROUND(J601*[1]Setup!$B$11,0),0))</f>
        <v>0</v>
      </c>
      <c r="W601" s="85" t="str">
        <f>IF(L601="","Open",IF(OR(P601&lt;[1]Setup!$B$6,Q601&gt;[1]Setup!$B$7,R601&gt;[1]Setup!$B$8,O601&gt;[1]Setup!$B$10),"Review","OK"))</f>
        <v>Open</v>
      </c>
      <c r="X601" s="86"/>
      <c r="Z601" s="81" t="str">
        <f t="shared" si="112"/>
        <v/>
      </c>
    </row>
    <row r="602" spans="1:26" x14ac:dyDescent="0.3">
      <c r="A602" s="84"/>
      <c r="B602" s="100">
        <f t="shared" si="110"/>
        <v>0</v>
      </c>
      <c r="C602" s="84" t="str">
        <f t="shared" si="111"/>
        <v>January</v>
      </c>
      <c r="D602" s="85" t="str">
        <f t="shared" si="109"/>
        <v/>
      </c>
      <c r="E602" s="86"/>
      <c r="F602" s="86"/>
      <c r="G602" s="86"/>
      <c r="H602" s="86"/>
      <c r="I602" s="87" t="str">
        <f>IF(F602=0,"",IF(COUNTIF(F602,"Bao"),[1]Setup!$B$4,IF(COUNTIF(F602,"Soup Dumplings"),[1]Setup!$B$5,F602)))</f>
        <v/>
      </c>
      <c r="J602" s="88" t="str">
        <f t="shared" si="103"/>
        <v/>
      </c>
      <c r="K602" s="88"/>
      <c r="L602" s="87"/>
      <c r="M602" s="87"/>
      <c r="N602" s="87"/>
      <c r="O602" s="87"/>
      <c r="P602" s="89" t="str">
        <f t="shared" si="104"/>
        <v/>
      </c>
      <c r="Q602" s="89" t="str">
        <f t="shared" si="105"/>
        <v/>
      </c>
      <c r="R602" s="89" t="str">
        <f t="shared" si="106"/>
        <v/>
      </c>
      <c r="S602" s="88" t="str">
        <f>IF(F602="Bao",[1]Setup!$B$4,IF(F602="Soup Dumplings",[1]Setup!$B$5,""))</f>
        <v/>
      </c>
      <c r="T602" s="88" t="str">
        <f t="shared" si="107"/>
        <v/>
      </c>
      <c r="U602" s="84" t="str">
        <f t="shared" si="108"/>
        <v/>
      </c>
      <c r="V602" s="88">
        <f>IF(U602="",0,MAX(0,T602)+N602+ROUND(J602*[1]Setup!$B$9,0)+IF(O602&gt;[1]Setup!$B$10,ROUND(J602*[1]Setup!$B$11,0),0))</f>
        <v>0</v>
      </c>
      <c r="W602" s="85" t="str">
        <f>IF(L602="","Open",IF(OR(P602&lt;[1]Setup!$B$6,Q602&gt;[1]Setup!$B$7,R602&gt;[1]Setup!$B$8,O602&gt;[1]Setup!$B$10),"Review","OK"))</f>
        <v>Open</v>
      </c>
      <c r="X602" s="86"/>
      <c r="Z602" s="81" t="str">
        <f t="shared" si="112"/>
        <v/>
      </c>
    </row>
    <row r="603" spans="1:26" x14ac:dyDescent="0.3">
      <c r="A603" s="84"/>
      <c r="B603" s="100">
        <f t="shared" si="110"/>
        <v>0</v>
      </c>
      <c r="C603" s="84" t="str">
        <f t="shared" si="111"/>
        <v>January</v>
      </c>
      <c r="D603" s="85" t="str">
        <f t="shared" si="109"/>
        <v/>
      </c>
      <c r="E603" s="86"/>
      <c r="F603" s="86"/>
      <c r="G603" s="86"/>
      <c r="H603" s="86"/>
      <c r="I603" s="87" t="str">
        <f>IF(F603=0,"",IF(COUNTIF(F603,"Bao"),[1]Setup!$B$4,IF(COUNTIF(F603,"Soup Dumplings"),[1]Setup!$B$5,F603)))</f>
        <v/>
      </c>
      <c r="J603" s="88" t="str">
        <f t="shared" si="103"/>
        <v/>
      </c>
      <c r="K603" s="88"/>
      <c r="L603" s="87"/>
      <c r="M603" s="87"/>
      <c r="N603" s="87"/>
      <c r="O603" s="87"/>
      <c r="P603" s="89" t="str">
        <f t="shared" si="104"/>
        <v/>
      </c>
      <c r="Q603" s="89" t="str">
        <f t="shared" si="105"/>
        <v/>
      </c>
      <c r="R603" s="89" t="str">
        <f t="shared" si="106"/>
        <v/>
      </c>
      <c r="S603" s="88" t="str">
        <f>IF(F603="Bao",[1]Setup!$B$4,IF(F603="Soup Dumplings",[1]Setup!$B$5,""))</f>
        <v/>
      </c>
      <c r="T603" s="88" t="str">
        <f t="shared" si="107"/>
        <v/>
      </c>
      <c r="U603" s="84" t="str">
        <f t="shared" si="108"/>
        <v/>
      </c>
      <c r="V603" s="88">
        <f>IF(U603="",0,MAX(0,T603)+N603+ROUND(J603*[1]Setup!$B$9,0)+IF(O603&gt;[1]Setup!$B$10,ROUND(J603*[1]Setup!$B$11,0),0))</f>
        <v>0</v>
      </c>
      <c r="W603" s="85" t="str">
        <f>IF(L603="","Open",IF(OR(P603&lt;[1]Setup!$B$6,Q603&gt;[1]Setup!$B$7,R603&gt;[1]Setup!$B$8,O603&gt;[1]Setup!$B$10),"Review","OK"))</f>
        <v>Open</v>
      </c>
      <c r="X603" s="86"/>
      <c r="Z603" s="81" t="str">
        <f t="shared" si="112"/>
        <v/>
      </c>
    </row>
    <row r="604" spans="1:26" x14ac:dyDescent="0.3">
      <c r="A604" s="84"/>
      <c r="B604" s="100">
        <f t="shared" si="110"/>
        <v>0</v>
      </c>
      <c r="C604" s="84" t="str">
        <f t="shared" si="111"/>
        <v>January</v>
      </c>
      <c r="D604" s="85" t="str">
        <f t="shared" si="109"/>
        <v/>
      </c>
      <c r="E604" s="86"/>
      <c r="F604" s="86"/>
      <c r="G604" s="86"/>
      <c r="H604" s="86"/>
      <c r="I604" s="87" t="str">
        <f>IF(F604=0,"",IF(COUNTIF(F604,"Bao"),[1]Setup!$B$4,IF(COUNTIF(F604,"Soup Dumplings"),[1]Setup!$B$5,F604)))</f>
        <v/>
      </c>
      <c r="J604" s="88" t="str">
        <f t="shared" si="103"/>
        <v/>
      </c>
      <c r="K604" s="88"/>
      <c r="L604" s="87"/>
      <c r="M604" s="87"/>
      <c r="N604" s="87"/>
      <c r="O604" s="87"/>
      <c r="P604" s="89" t="str">
        <f t="shared" si="104"/>
        <v/>
      </c>
      <c r="Q604" s="89" t="str">
        <f t="shared" si="105"/>
        <v/>
      </c>
      <c r="R604" s="89" t="str">
        <f t="shared" si="106"/>
        <v/>
      </c>
      <c r="S604" s="88" t="str">
        <f>IF(F604="Bao",[1]Setup!$B$4,IF(F604="Soup Dumplings",[1]Setup!$B$5,""))</f>
        <v/>
      </c>
      <c r="T604" s="88" t="str">
        <f t="shared" si="107"/>
        <v/>
      </c>
      <c r="U604" s="84" t="str">
        <f t="shared" si="108"/>
        <v/>
      </c>
      <c r="V604" s="88">
        <f>IF(U604="",0,MAX(0,T604)+N604+ROUND(J604*[1]Setup!$B$9,0)+IF(O604&gt;[1]Setup!$B$10,ROUND(J604*[1]Setup!$B$11,0),0))</f>
        <v>0</v>
      </c>
      <c r="W604" s="85" t="str">
        <f>IF(L604="","Open",IF(OR(P604&lt;[1]Setup!$B$6,Q604&gt;[1]Setup!$B$7,R604&gt;[1]Setup!$B$8,O604&gt;[1]Setup!$B$10),"Review","OK"))</f>
        <v>Open</v>
      </c>
      <c r="X604" s="86"/>
      <c r="Z604" s="81" t="str">
        <f t="shared" si="112"/>
        <v/>
      </c>
    </row>
    <row r="605" spans="1:26" x14ac:dyDescent="0.3">
      <c r="A605" s="84"/>
      <c r="B605" s="100">
        <f t="shared" si="110"/>
        <v>0</v>
      </c>
      <c r="C605" s="84" t="str">
        <f t="shared" si="111"/>
        <v>January</v>
      </c>
      <c r="D605" s="85" t="str">
        <f t="shared" si="109"/>
        <v/>
      </c>
      <c r="E605" s="86"/>
      <c r="F605" s="86"/>
      <c r="G605" s="86"/>
      <c r="H605" s="86"/>
      <c r="I605" s="87" t="str">
        <f>IF(F605=0,"",IF(COUNTIF(F605,"Bao"),[1]Setup!$B$4,IF(COUNTIF(F605,"Soup Dumplings"),[1]Setup!$B$5,F605)))</f>
        <v/>
      </c>
      <c r="J605" s="88" t="str">
        <f t="shared" si="103"/>
        <v/>
      </c>
      <c r="K605" s="88"/>
      <c r="L605" s="87"/>
      <c r="M605" s="87"/>
      <c r="N605" s="87"/>
      <c r="O605" s="87"/>
      <c r="P605" s="89" t="str">
        <f t="shared" si="104"/>
        <v/>
      </c>
      <c r="Q605" s="89" t="str">
        <f t="shared" si="105"/>
        <v/>
      </c>
      <c r="R605" s="89" t="str">
        <f t="shared" si="106"/>
        <v/>
      </c>
      <c r="S605" s="88" t="str">
        <f>IF(F605="Bao",[1]Setup!$B$4,IF(F605="Soup Dumplings",[1]Setup!$B$5,""))</f>
        <v/>
      </c>
      <c r="T605" s="88" t="str">
        <f t="shared" si="107"/>
        <v/>
      </c>
      <c r="U605" s="84" t="str">
        <f t="shared" si="108"/>
        <v/>
      </c>
      <c r="V605" s="88">
        <f>IF(U605="",0,MAX(0,T605)+N605+ROUND(J605*[1]Setup!$B$9,0)+IF(O605&gt;[1]Setup!$B$10,ROUND(J605*[1]Setup!$B$11,0),0))</f>
        <v>0</v>
      </c>
      <c r="W605" s="85" t="str">
        <f>IF(L605="","Open",IF(OR(P605&lt;[1]Setup!$B$6,Q605&gt;[1]Setup!$B$7,R605&gt;[1]Setup!$B$8,O605&gt;[1]Setup!$B$10),"Review","OK"))</f>
        <v>Open</v>
      </c>
      <c r="X605" s="86"/>
      <c r="Z605" s="81" t="str">
        <f t="shared" si="112"/>
        <v/>
      </c>
    </row>
    <row r="606" spans="1:26" x14ac:dyDescent="0.3">
      <c r="A606" s="84"/>
      <c r="B606" s="100">
        <f t="shared" si="110"/>
        <v>0</v>
      </c>
      <c r="C606" s="84" t="str">
        <f t="shared" si="111"/>
        <v>January</v>
      </c>
      <c r="D606" s="85" t="str">
        <f t="shared" si="109"/>
        <v/>
      </c>
      <c r="E606" s="86"/>
      <c r="F606" s="86"/>
      <c r="G606" s="86"/>
      <c r="H606" s="86"/>
      <c r="I606" s="87" t="str">
        <f>IF(F606=0,"",IF(COUNTIF(F606,"Bao"),[1]Setup!$B$4,IF(COUNTIF(F606,"Soup Dumplings"),[1]Setup!$B$5,F606)))</f>
        <v/>
      </c>
      <c r="J606" s="88" t="str">
        <f t="shared" si="103"/>
        <v/>
      </c>
      <c r="K606" s="88"/>
      <c r="L606" s="87"/>
      <c r="M606" s="87"/>
      <c r="N606" s="87"/>
      <c r="O606" s="87"/>
      <c r="P606" s="89" t="str">
        <f t="shared" si="104"/>
        <v/>
      </c>
      <c r="Q606" s="89" t="str">
        <f t="shared" si="105"/>
        <v/>
      </c>
      <c r="R606" s="89" t="str">
        <f t="shared" si="106"/>
        <v/>
      </c>
      <c r="S606" s="88" t="str">
        <f>IF(F606="Bao",[1]Setup!$B$4,IF(F606="Soup Dumplings",[1]Setup!$B$5,""))</f>
        <v/>
      </c>
      <c r="T606" s="88" t="str">
        <f t="shared" si="107"/>
        <v/>
      </c>
      <c r="U606" s="84" t="str">
        <f t="shared" si="108"/>
        <v/>
      </c>
      <c r="V606" s="88">
        <f>IF(U606="",0,MAX(0,T606)+N606+ROUND(J606*[1]Setup!$B$9,0)+IF(O606&gt;[1]Setup!$B$10,ROUND(J606*[1]Setup!$B$11,0),0))</f>
        <v>0</v>
      </c>
      <c r="W606" s="85" t="str">
        <f>IF(L606="","Open",IF(OR(P606&lt;[1]Setup!$B$6,Q606&gt;[1]Setup!$B$7,R606&gt;[1]Setup!$B$8,O606&gt;[1]Setup!$B$10),"Review","OK"))</f>
        <v>Open</v>
      </c>
      <c r="X606" s="86"/>
      <c r="Z606" s="81" t="str">
        <f t="shared" si="112"/>
        <v/>
      </c>
    </row>
    <row r="607" spans="1:26" x14ac:dyDescent="0.3">
      <c r="A607" s="84"/>
      <c r="B607" s="100">
        <f t="shared" si="110"/>
        <v>0</v>
      </c>
      <c r="C607" s="84" t="str">
        <f t="shared" si="111"/>
        <v>January</v>
      </c>
      <c r="D607" s="85" t="str">
        <f t="shared" si="109"/>
        <v/>
      </c>
      <c r="E607" s="86"/>
      <c r="F607" s="86"/>
      <c r="G607" s="86"/>
      <c r="H607" s="86"/>
      <c r="I607" s="87" t="str">
        <f>IF(F607=0,"",IF(COUNTIF(F607,"Bao"),[1]Setup!$B$4,IF(COUNTIF(F607,"Soup Dumplings"),[1]Setup!$B$5,F607)))</f>
        <v/>
      </c>
      <c r="J607" s="88" t="str">
        <f t="shared" si="103"/>
        <v/>
      </c>
      <c r="K607" s="88"/>
      <c r="L607" s="87"/>
      <c r="M607" s="87"/>
      <c r="N607" s="87"/>
      <c r="O607" s="87"/>
      <c r="P607" s="89" t="str">
        <f t="shared" si="104"/>
        <v/>
      </c>
      <c r="Q607" s="89" t="str">
        <f t="shared" si="105"/>
        <v/>
      </c>
      <c r="R607" s="89" t="str">
        <f t="shared" si="106"/>
        <v/>
      </c>
      <c r="S607" s="88" t="str">
        <f>IF(F607="Bao",[1]Setup!$B$4,IF(F607="Soup Dumplings",[1]Setup!$B$5,""))</f>
        <v/>
      </c>
      <c r="T607" s="88" t="str">
        <f t="shared" si="107"/>
        <v/>
      </c>
      <c r="U607" s="84" t="str">
        <f t="shared" si="108"/>
        <v/>
      </c>
      <c r="V607" s="88">
        <f>IF(U607="",0,MAX(0,T607)+N607+ROUND(J607*[1]Setup!$B$9,0)+IF(O607&gt;[1]Setup!$B$10,ROUND(J607*[1]Setup!$B$11,0),0))</f>
        <v>0</v>
      </c>
      <c r="W607" s="85" t="str">
        <f>IF(L607="","Open",IF(OR(P607&lt;[1]Setup!$B$6,Q607&gt;[1]Setup!$B$7,R607&gt;[1]Setup!$B$8,O607&gt;[1]Setup!$B$10),"Review","OK"))</f>
        <v>Open</v>
      </c>
      <c r="X607" s="86"/>
      <c r="Z607" s="81" t="str">
        <f t="shared" si="112"/>
        <v/>
      </c>
    </row>
    <row r="608" spans="1:26" x14ac:dyDescent="0.3">
      <c r="A608" s="84"/>
      <c r="B608" s="100">
        <f t="shared" si="110"/>
        <v>0</v>
      </c>
      <c r="C608" s="84" t="str">
        <f t="shared" si="111"/>
        <v>January</v>
      </c>
      <c r="D608" s="85" t="str">
        <f t="shared" si="109"/>
        <v/>
      </c>
      <c r="E608" s="86"/>
      <c r="F608" s="86"/>
      <c r="G608" s="86"/>
      <c r="H608" s="86"/>
      <c r="I608" s="87" t="str">
        <f>IF(F608=0,"",IF(COUNTIF(F608,"Bao"),[1]Setup!$B$4,IF(COUNTIF(F608,"Soup Dumplings"),[1]Setup!$B$5,F608)))</f>
        <v/>
      </c>
      <c r="J608" s="88" t="str">
        <f t="shared" si="103"/>
        <v/>
      </c>
      <c r="K608" s="88"/>
      <c r="L608" s="87"/>
      <c r="M608" s="87"/>
      <c r="N608" s="87"/>
      <c r="O608" s="87"/>
      <c r="P608" s="89" t="str">
        <f t="shared" si="104"/>
        <v/>
      </c>
      <c r="Q608" s="89" t="str">
        <f t="shared" si="105"/>
        <v/>
      </c>
      <c r="R608" s="89" t="str">
        <f t="shared" si="106"/>
        <v/>
      </c>
      <c r="S608" s="88" t="str">
        <f>IF(F608="Bao",[1]Setup!$B$4,IF(F608="Soup Dumplings",[1]Setup!$B$5,""))</f>
        <v/>
      </c>
      <c r="T608" s="88" t="str">
        <f t="shared" si="107"/>
        <v/>
      </c>
      <c r="U608" s="84" t="str">
        <f t="shared" si="108"/>
        <v/>
      </c>
      <c r="V608" s="88">
        <f>IF(U608="",0,MAX(0,T608)+N608+ROUND(J608*[1]Setup!$B$9,0)+IF(O608&gt;[1]Setup!$B$10,ROUND(J608*[1]Setup!$B$11,0),0))</f>
        <v>0</v>
      </c>
      <c r="W608" s="85" t="str">
        <f>IF(L608="","Open",IF(OR(P608&lt;[1]Setup!$B$6,Q608&gt;[1]Setup!$B$7,R608&gt;[1]Setup!$B$8,O608&gt;[1]Setup!$B$10),"Review","OK"))</f>
        <v>Open</v>
      </c>
      <c r="X608" s="86"/>
      <c r="Z608" s="81" t="str">
        <f t="shared" si="112"/>
        <v/>
      </c>
    </row>
    <row r="609" spans="1:26" x14ac:dyDescent="0.3">
      <c r="A609" s="84"/>
      <c r="B609" s="100">
        <f t="shared" si="110"/>
        <v>0</v>
      </c>
      <c r="C609" s="84" t="str">
        <f t="shared" si="111"/>
        <v>January</v>
      </c>
      <c r="D609" s="85" t="str">
        <f t="shared" si="109"/>
        <v/>
      </c>
      <c r="E609" s="86"/>
      <c r="F609" s="86"/>
      <c r="G609" s="86"/>
      <c r="H609" s="86"/>
      <c r="I609" s="87" t="str">
        <f>IF(F609=0,"",IF(COUNTIF(F609,"Bao"),[1]Setup!$B$4,IF(COUNTIF(F609,"Soup Dumplings"),[1]Setup!$B$5,F609)))</f>
        <v/>
      </c>
      <c r="J609" s="88" t="str">
        <f t="shared" si="103"/>
        <v/>
      </c>
      <c r="K609" s="88"/>
      <c r="L609" s="87"/>
      <c r="M609" s="87"/>
      <c r="N609" s="87"/>
      <c r="O609" s="87"/>
      <c r="P609" s="89" t="str">
        <f t="shared" si="104"/>
        <v/>
      </c>
      <c r="Q609" s="89" t="str">
        <f t="shared" si="105"/>
        <v/>
      </c>
      <c r="R609" s="89" t="str">
        <f t="shared" si="106"/>
        <v/>
      </c>
      <c r="S609" s="88" t="str">
        <f>IF(F609="Bao",[1]Setup!$B$4,IF(F609="Soup Dumplings",[1]Setup!$B$5,""))</f>
        <v/>
      </c>
      <c r="T609" s="88" t="str">
        <f t="shared" si="107"/>
        <v/>
      </c>
      <c r="U609" s="84" t="str">
        <f t="shared" si="108"/>
        <v/>
      </c>
      <c r="V609" s="88">
        <f>IF(U609="",0,MAX(0,T609)+N609+ROUND(J609*[1]Setup!$B$9,0)+IF(O609&gt;[1]Setup!$B$10,ROUND(J609*[1]Setup!$B$11,0),0))</f>
        <v>0</v>
      </c>
      <c r="W609" s="85" t="str">
        <f>IF(L609="","Open",IF(OR(P609&lt;[1]Setup!$B$6,Q609&gt;[1]Setup!$B$7,R609&gt;[1]Setup!$B$8,O609&gt;[1]Setup!$B$10),"Review","OK"))</f>
        <v>Open</v>
      </c>
      <c r="X609" s="86"/>
      <c r="Z609" s="81" t="str">
        <f t="shared" si="112"/>
        <v/>
      </c>
    </row>
    <row r="610" spans="1:26" x14ac:dyDescent="0.3">
      <c r="A610" s="84"/>
      <c r="B610" s="100">
        <f t="shared" si="110"/>
        <v>0</v>
      </c>
      <c r="C610" s="84" t="str">
        <f t="shared" si="111"/>
        <v>January</v>
      </c>
      <c r="D610" s="85" t="str">
        <f t="shared" si="109"/>
        <v/>
      </c>
      <c r="E610" s="86"/>
      <c r="F610" s="86"/>
      <c r="G610" s="86"/>
      <c r="H610" s="86"/>
      <c r="I610" s="87" t="str">
        <f>IF(F610=0,"",IF(COUNTIF(F610,"Bao"),[1]Setup!$B$4,IF(COUNTIF(F610,"Soup Dumplings"),[1]Setup!$B$5,F610)))</f>
        <v/>
      </c>
      <c r="J610" s="88" t="str">
        <f t="shared" si="103"/>
        <v/>
      </c>
      <c r="K610" s="88"/>
      <c r="L610" s="87"/>
      <c r="M610" s="87"/>
      <c r="N610" s="87"/>
      <c r="O610" s="87"/>
      <c r="P610" s="89" t="str">
        <f t="shared" si="104"/>
        <v/>
      </c>
      <c r="Q610" s="89" t="str">
        <f t="shared" si="105"/>
        <v/>
      </c>
      <c r="R610" s="89" t="str">
        <f t="shared" si="106"/>
        <v/>
      </c>
      <c r="S610" s="88" t="str">
        <f>IF(F610="Bao",[1]Setup!$B$4,IF(F610="Soup Dumplings",[1]Setup!$B$5,""))</f>
        <v/>
      </c>
      <c r="T610" s="88" t="str">
        <f t="shared" si="107"/>
        <v/>
      </c>
      <c r="U610" s="84" t="str">
        <f t="shared" si="108"/>
        <v/>
      </c>
      <c r="V610" s="88">
        <f>IF(U610="",0,MAX(0,T610)+N610+ROUND(J610*[1]Setup!$B$9,0)+IF(O610&gt;[1]Setup!$B$10,ROUND(J610*[1]Setup!$B$11,0),0))</f>
        <v>0</v>
      </c>
      <c r="W610" s="85" t="str">
        <f>IF(L610="","Open",IF(OR(P610&lt;[1]Setup!$B$6,Q610&gt;[1]Setup!$B$7,R610&gt;[1]Setup!$B$8,O610&gt;[1]Setup!$B$10),"Review","OK"))</f>
        <v>Open</v>
      </c>
      <c r="X610" s="86"/>
      <c r="Z610" s="81" t="str">
        <f t="shared" si="112"/>
        <v/>
      </c>
    </row>
    <row r="611" spans="1:26" x14ac:dyDescent="0.3">
      <c r="A611" s="84"/>
      <c r="B611" s="100">
        <f t="shared" si="110"/>
        <v>0</v>
      </c>
      <c r="C611" s="84" t="str">
        <f t="shared" si="111"/>
        <v>January</v>
      </c>
      <c r="D611" s="85" t="str">
        <f t="shared" si="109"/>
        <v/>
      </c>
      <c r="E611" s="86"/>
      <c r="F611" s="86"/>
      <c r="G611" s="86"/>
      <c r="H611" s="86"/>
      <c r="I611" s="87" t="str">
        <f>IF(F611=0,"",IF(COUNTIF(F611,"Bao"),[1]Setup!$B$4,IF(COUNTIF(F611,"Soup Dumplings"),[1]Setup!$B$5,F611)))</f>
        <v/>
      </c>
      <c r="J611" s="88" t="str">
        <f t="shared" si="103"/>
        <v/>
      </c>
      <c r="K611" s="88"/>
      <c r="L611" s="87"/>
      <c r="M611" s="87"/>
      <c r="N611" s="87"/>
      <c r="O611" s="87"/>
      <c r="P611" s="89" t="str">
        <f t="shared" si="104"/>
        <v/>
      </c>
      <c r="Q611" s="89" t="str">
        <f t="shared" si="105"/>
        <v/>
      </c>
      <c r="R611" s="89" t="str">
        <f t="shared" si="106"/>
        <v/>
      </c>
      <c r="S611" s="88" t="str">
        <f>IF(F611="Bao",[1]Setup!$B$4,IF(F611="Soup Dumplings",[1]Setup!$B$5,""))</f>
        <v/>
      </c>
      <c r="T611" s="88" t="str">
        <f t="shared" si="107"/>
        <v/>
      </c>
      <c r="U611" s="84" t="str">
        <f t="shared" si="108"/>
        <v/>
      </c>
      <c r="V611" s="88">
        <f>IF(U611="",0,MAX(0,T611)+N611+ROUND(J611*[1]Setup!$B$9,0)+IF(O611&gt;[1]Setup!$B$10,ROUND(J611*[1]Setup!$B$11,0),0))</f>
        <v>0</v>
      </c>
      <c r="W611" s="85" t="str">
        <f>IF(L611="","Open",IF(OR(P611&lt;[1]Setup!$B$6,Q611&gt;[1]Setup!$B$7,R611&gt;[1]Setup!$B$8,O611&gt;[1]Setup!$B$10),"Review","OK"))</f>
        <v>Open</v>
      </c>
      <c r="X611" s="86"/>
      <c r="Z611" s="81" t="str">
        <f t="shared" si="112"/>
        <v/>
      </c>
    </row>
    <row r="612" spans="1:26" x14ac:dyDescent="0.3">
      <c r="A612" s="84"/>
      <c r="B612" s="100">
        <f t="shared" si="110"/>
        <v>0</v>
      </c>
      <c r="C612" s="84" t="str">
        <f t="shared" si="111"/>
        <v>January</v>
      </c>
      <c r="D612" s="85" t="str">
        <f t="shared" si="109"/>
        <v/>
      </c>
      <c r="E612" s="86"/>
      <c r="F612" s="86"/>
      <c r="G612" s="86"/>
      <c r="H612" s="86"/>
      <c r="I612" s="87" t="str">
        <f>IF(F612=0,"",IF(COUNTIF(F612,"Bao"),[1]Setup!$B$4,IF(COUNTIF(F612,"Soup Dumplings"),[1]Setup!$B$5,F612)))</f>
        <v/>
      </c>
      <c r="J612" s="88" t="str">
        <f t="shared" si="103"/>
        <v/>
      </c>
      <c r="K612" s="88"/>
      <c r="L612" s="87"/>
      <c r="M612" s="87"/>
      <c r="N612" s="87"/>
      <c r="O612" s="87"/>
      <c r="P612" s="89" t="str">
        <f t="shared" si="104"/>
        <v/>
      </c>
      <c r="Q612" s="89" t="str">
        <f t="shared" si="105"/>
        <v/>
      </c>
      <c r="R612" s="89" t="str">
        <f t="shared" si="106"/>
        <v/>
      </c>
      <c r="S612" s="88" t="str">
        <f>IF(F612="Bao",[1]Setup!$B$4,IF(F612="Soup Dumplings",[1]Setup!$B$5,""))</f>
        <v/>
      </c>
      <c r="T612" s="88" t="str">
        <f t="shared" si="107"/>
        <v/>
      </c>
      <c r="U612" s="84" t="str">
        <f t="shared" si="108"/>
        <v/>
      </c>
      <c r="V612" s="88">
        <f>IF(U612="",0,MAX(0,T612)+N612+ROUND(J612*[1]Setup!$B$9,0)+IF(O612&gt;[1]Setup!$B$10,ROUND(J612*[1]Setup!$B$11,0),0))</f>
        <v>0</v>
      </c>
      <c r="W612" s="85" t="str">
        <f>IF(L612="","Open",IF(OR(P612&lt;[1]Setup!$B$6,Q612&gt;[1]Setup!$B$7,R612&gt;[1]Setup!$B$8,O612&gt;[1]Setup!$B$10),"Review","OK"))</f>
        <v>Open</v>
      </c>
      <c r="X612" s="86"/>
      <c r="Z612" s="81" t="str">
        <f t="shared" si="112"/>
        <v/>
      </c>
    </row>
    <row r="613" spans="1:26" x14ac:dyDescent="0.3">
      <c r="A613" s="84"/>
      <c r="B613" s="100">
        <f t="shared" si="110"/>
        <v>0</v>
      </c>
      <c r="C613" s="84" t="str">
        <f t="shared" si="111"/>
        <v>January</v>
      </c>
      <c r="D613" s="85" t="str">
        <f t="shared" si="109"/>
        <v/>
      </c>
      <c r="E613" s="86"/>
      <c r="F613" s="86"/>
      <c r="G613" s="86"/>
      <c r="H613" s="86"/>
      <c r="I613" s="87" t="str">
        <f>IF(F613=0,"",IF(COUNTIF(F613,"Bao"),[1]Setup!$B$4,IF(COUNTIF(F613,"Soup Dumplings"),[1]Setup!$B$5,F613)))</f>
        <v/>
      </c>
      <c r="J613" s="88" t="str">
        <f t="shared" si="103"/>
        <v/>
      </c>
      <c r="K613" s="88"/>
      <c r="L613" s="87"/>
      <c r="M613" s="87"/>
      <c r="N613" s="87"/>
      <c r="O613" s="87"/>
      <c r="P613" s="89" t="str">
        <f t="shared" si="104"/>
        <v/>
      </c>
      <c r="Q613" s="89" t="str">
        <f t="shared" si="105"/>
        <v/>
      </c>
      <c r="R613" s="89" t="str">
        <f t="shared" si="106"/>
        <v/>
      </c>
      <c r="S613" s="88" t="str">
        <f>IF(F613="Bao",[1]Setup!$B$4,IF(F613="Soup Dumplings",[1]Setup!$B$5,""))</f>
        <v/>
      </c>
      <c r="T613" s="88" t="str">
        <f t="shared" si="107"/>
        <v/>
      </c>
      <c r="U613" s="84" t="str">
        <f t="shared" si="108"/>
        <v/>
      </c>
      <c r="V613" s="88">
        <f>IF(U613="",0,MAX(0,T613)+N613+ROUND(J613*[1]Setup!$B$9,0)+IF(O613&gt;[1]Setup!$B$10,ROUND(J613*[1]Setup!$B$11,0),0))</f>
        <v>0</v>
      </c>
      <c r="W613" s="85" t="str">
        <f>IF(L613="","Open",IF(OR(P613&lt;[1]Setup!$B$6,Q613&gt;[1]Setup!$B$7,R613&gt;[1]Setup!$B$8,O613&gt;[1]Setup!$B$10),"Review","OK"))</f>
        <v>Open</v>
      </c>
      <c r="X613" s="86"/>
      <c r="Z613" s="81" t="str">
        <f t="shared" si="112"/>
        <v/>
      </c>
    </row>
    <row r="614" spans="1:26" x14ac:dyDescent="0.3">
      <c r="A614" s="84"/>
      <c r="B614" s="100">
        <f t="shared" si="110"/>
        <v>0</v>
      </c>
      <c r="C614" s="84" t="str">
        <f t="shared" si="111"/>
        <v>January</v>
      </c>
      <c r="D614" s="85" t="str">
        <f t="shared" si="109"/>
        <v/>
      </c>
      <c r="E614" s="86"/>
      <c r="F614" s="86"/>
      <c r="G614" s="86"/>
      <c r="H614" s="86"/>
      <c r="I614" s="87" t="str">
        <f>IF(F614=0,"",IF(COUNTIF(F614,"Bao"),[1]Setup!$B$4,IF(COUNTIF(F614,"Soup Dumplings"),[1]Setup!$B$5,F614)))</f>
        <v/>
      </c>
      <c r="J614" s="88" t="str">
        <f t="shared" si="103"/>
        <v/>
      </c>
      <c r="K614" s="88"/>
      <c r="L614" s="87"/>
      <c r="M614" s="87"/>
      <c r="N614" s="87"/>
      <c r="O614" s="87"/>
      <c r="P614" s="89" t="str">
        <f t="shared" si="104"/>
        <v/>
      </c>
      <c r="Q614" s="89" t="str">
        <f t="shared" si="105"/>
        <v/>
      </c>
      <c r="R614" s="89" t="str">
        <f t="shared" si="106"/>
        <v/>
      </c>
      <c r="S614" s="88" t="str">
        <f>IF(F614="Bao",[1]Setup!$B$4,IF(F614="Soup Dumplings",[1]Setup!$B$5,""))</f>
        <v/>
      </c>
      <c r="T614" s="88" t="str">
        <f t="shared" si="107"/>
        <v/>
      </c>
      <c r="U614" s="84" t="str">
        <f t="shared" si="108"/>
        <v/>
      </c>
      <c r="V614" s="88">
        <f>IF(U614="",0,MAX(0,T614)+N614+ROUND(J614*[1]Setup!$B$9,0)+IF(O614&gt;[1]Setup!$B$10,ROUND(J614*[1]Setup!$B$11,0),0))</f>
        <v>0</v>
      </c>
      <c r="W614" s="85" t="str">
        <f>IF(L614="","Open",IF(OR(P614&lt;[1]Setup!$B$6,Q614&gt;[1]Setup!$B$7,R614&gt;[1]Setup!$B$8,O614&gt;[1]Setup!$B$10),"Review","OK"))</f>
        <v>Open</v>
      </c>
      <c r="X614" s="86"/>
      <c r="Z614" s="81" t="str">
        <f t="shared" si="112"/>
        <v/>
      </c>
    </row>
    <row r="615" spans="1:26" x14ac:dyDescent="0.3">
      <c r="A615" s="84"/>
      <c r="B615" s="100">
        <f t="shared" si="110"/>
        <v>0</v>
      </c>
      <c r="C615" s="84" t="str">
        <f t="shared" si="111"/>
        <v>January</v>
      </c>
      <c r="D615" s="85" t="str">
        <f t="shared" si="109"/>
        <v/>
      </c>
      <c r="E615" s="86"/>
      <c r="F615" s="86"/>
      <c r="G615" s="86"/>
      <c r="H615" s="86"/>
      <c r="I615" s="87" t="str">
        <f>IF(F615=0,"",IF(COUNTIF(F615,"Bao"),[1]Setup!$B$4,IF(COUNTIF(F615,"Soup Dumplings"),[1]Setup!$B$5,F615)))</f>
        <v/>
      </c>
      <c r="J615" s="88" t="str">
        <f t="shared" si="103"/>
        <v/>
      </c>
      <c r="K615" s="88"/>
      <c r="L615" s="87"/>
      <c r="M615" s="87"/>
      <c r="N615" s="87"/>
      <c r="O615" s="87"/>
      <c r="P615" s="89" t="str">
        <f t="shared" si="104"/>
        <v/>
      </c>
      <c r="Q615" s="89" t="str">
        <f t="shared" si="105"/>
        <v/>
      </c>
      <c r="R615" s="89" t="str">
        <f t="shared" si="106"/>
        <v/>
      </c>
      <c r="S615" s="88" t="str">
        <f>IF(F615="Bao",[1]Setup!$B$4,IF(F615="Soup Dumplings",[1]Setup!$B$5,""))</f>
        <v/>
      </c>
      <c r="T615" s="88" t="str">
        <f t="shared" si="107"/>
        <v/>
      </c>
      <c r="U615" s="84" t="str">
        <f t="shared" si="108"/>
        <v/>
      </c>
      <c r="V615" s="88">
        <f>IF(U615="",0,MAX(0,T615)+N615+ROUND(J615*[1]Setup!$B$9,0)+IF(O615&gt;[1]Setup!$B$10,ROUND(J615*[1]Setup!$B$11,0),0))</f>
        <v>0</v>
      </c>
      <c r="W615" s="85" t="str">
        <f>IF(L615="","Open",IF(OR(P615&lt;[1]Setup!$B$6,Q615&gt;[1]Setup!$B$7,R615&gt;[1]Setup!$B$8,O615&gt;[1]Setup!$B$10),"Review","OK"))</f>
        <v>Open</v>
      </c>
      <c r="X615" s="86"/>
      <c r="Z615" s="81" t="str">
        <f t="shared" si="112"/>
        <v/>
      </c>
    </row>
    <row r="616" spans="1:26" x14ac:dyDescent="0.3">
      <c r="A616" s="84"/>
      <c r="B616" s="100">
        <f t="shared" si="110"/>
        <v>0</v>
      </c>
      <c r="C616" s="84" t="str">
        <f t="shared" si="111"/>
        <v>January</v>
      </c>
      <c r="D616" s="85" t="str">
        <f t="shared" si="109"/>
        <v/>
      </c>
      <c r="E616" s="86"/>
      <c r="F616" s="86"/>
      <c r="G616" s="86"/>
      <c r="H616" s="86"/>
      <c r="I616" s="87" t="str">
        <f>IF(F616=0,"",IF(COUNTIF(F616,"Bao"),[1]Setup!$B$4,IF(COUNTIF(F616,"Soup Dumplings"),[1]Setup!$B$5,F616)))</f>
        <v/>
      </c>
      <c r="J616" s="88" t="str">
        <f t="shared" si="103"/>
        <v/>
      </c>
      <c r="K616" s="88"/>
      <c r="L616" s="87"/>
      <c r="M616" s="87"/>
      <c r="N616" s="87"/>
      <c r="O616" s="87"/>
      <c r="P616" s="89" t="str">
        <f t="shared" si="104"/>
        <v/>
      </c>
      <c r="Q616" s="89" t="str">
        <f t="shared" si="105"/>
        <v/>
      </c>
      <c r="R616" s="89" t="str">
        <f t="shared" si="106"/>
        <v/>
      </c>
      <c r="S616" s="88" t="str">
        <f>IF(F616="Bao",[1]Setup!$B$4,IF(F616="Soup Dumplings",[1]Setup!$B$5,""))</f>
        <v/>
      </c>
      <c r="T616" s="88" t="str">
        <f t="shared" si="107"/>
        <v/>
      </c>
      <c r="U616" s="84" t="str">
        <f t="shared" si="108"/>
        <v/>
      </c>
      <c r="V616" s="88">
        <f>IF(U616="",0,MAX(0,T616)+N616+ROUND(J616*[1]Setup!$B$9,0)+IF(O616&gt;[1]Setup!$B$10,ROUND(J616*[1]Setup!$B$11,0),0))</f>
        <v>0</v>
      </c>
      <c r="W616" s="85" t="str">
        <f>IF(L616="","Open",IF(OR(P616&lt;[1]Setup!$B$6,Q616&gt;[1]Setup!$B$7,R616&gt;[1]Setup!$B$8,O616&gt;[1]Setup!$B$10),"Review","OK"))</f>
        <v>Open</v>
      </c>
      <c r="X616" s="86"/>
      <c r="Z616" s="81" t="str">
        <f t="shared" si="112"/>
        <v/>
      </c>
    </row>
    <row r="617" spans="1:26" x14ac:dyDescent="0.3">
      <c r="A617" s="84"/>
      <c r="B617" s="100">
        <f t="shared" si="110"/>
        <v>0</v>
      </c>
      <c r="C617" s="84" t="str">
        <f t="shared" si="111"/>
        <v>January</v>
      </c>
      <c r="D617" s="85" t="str">
        <f t="shared" si="109"/>
        <v/>
      </c>
      <c r="E617" s="86"/>
      <c r="F617" s="86"/>
      <c r="G617" s="86"/>
      <c r="H617" s="86"/>
      <c r="I617" s="87" t="str">
        <f>IF(F617=0,"",IF(COUNTIF(F617,"Bao"),[1]Setup!$B$4,IF(COUNTIF(F617,"Soup Dumplings"),[1]Setup!$B$5,F617)))</f>
        <v/>
      </c>
      <c r="J617" s="88" t="str">
        <f t="shared" si="103"/>
        <v/>
      </c>
      <c r="K617" s="88"/>
      <c r="L617" s="87"/>
      <c r="M617" s="87"/>
      <c r="N617" s="87"/>
      <c r="O617" s="87"/>
      <c r="P617" s="89" t="str">
        <f t="shared" si="104"/>
        <v/>
      </c>
      <c r="Q617" s="89" t="str">
        <f t="shared" si="105"/>
        <v/>
      </c>
      <c r="R617" s="89" t="str">
        <f t="shared" si="106"/>
        <v/>
      </c>
      <c r="S617" s="88" t="str">
        <f>IF(F617="Bao",[1]Setup!$B$4,IF(F617="Soup Dumplings",[1]Setup!$B$5,""))</f>
        <v/>
      </c>
      <c r="T617" s="88" t="str">
        <f t="shared" si="107"/>
        <v/>
      </c>
      <c r="U617" s="84" t="str">
        <f t="shared" si="108"/>
        <v/>
      </c>
      <c r="V617" s="88">
        <f>IF(U617="",0,MAX(0,T617)+N617+ROUND(J617*[1]Setup!$B$9,0)+IF(O617&gt;[1]Setup!$B$10,ROUND(J617*[1]Setup!$B$11,0),0))</f>
        <v>0</v>
      </c>
      <c r="W617" s="85" t="str">
        <f>IF(L617="","Open",IF(OR(P617&lt;[1]Setup!$B$6,Q617&gt;[1]Setup!$B$7,R617&gt;[1]Setup!$B$8,O617&gt;[1]Setup!$B$10),"Review","OK"))</f>
        <v>Open</v>
      </c>
      <c r="X617" s="86"/>
      <c r="Z617" s="81" t="str">
        <f t="shared" si="112"/>
        <v/>
      </c>
    </row>
    <row r="618" spans="1:26" x14ac:dyDescent="0.3">
      <c r="A618" s="84"/>
      <c r="B618" s="100">
        <f t="shared" si="110"/>
        <v>0</v>
      </c>
      <c r="C618" s="84" t="str">
        <f t="shared" si="111"/>
        <v>January</v>
      </c>
      <c r="D618" s="85" t="str">
        <f t="shared" si="109"/>
        <v/>
      </c>
      <c r="E618" s="86"/>
      <c r="F618" s="86"/>
      <c r="G618" s="86"/>
      <c r="H618" s="86"/>
      <c r="I618" s="87" t="str">
        <f>IF(F618=0,"",IF(COUNTIF(F618,"Bao"),[1]Setup!$B$4,IF(COUNTIF(F618,"Soup Dumplings"),[1]Setup!$B$5,F618)))</f>
        <v/>
      </c>
      <c r="J618" s="88" t="str">
        <f t="shared" si="103"/>
        <v/>
      </c>
      <c r="K618" s="88"/>
      <c r="L618" s="87"/>
      <c r="M618" s="87"/>
      <c r="N618" s="87"/>
      <c r="O618" s="87"/>
      <c r="P618" s="89" t="str">
        <f t="shared" si="104"/>
        <v/>
      </c>
      <c r="Q618" s="89" t="str">
        <f t="shared" si="105"/>
        <v/>
      </c>
      <c r="R618" s="89" t="str">
        <f t="shared" si="106"/>
        <v/>
      </c>
      <c r="S618" s="88" t="str">
        <f>IF(F618="Bao",[1]Setup!$B$4,IF(F618="Soup Dumplings",[1]Setup!$B$5,""))</f>
        <v/>
      </c>
      <c r="T618" s="88" t="str">
        <f t="shared" si="107"/>
        <v/>
      </c>
      <c r="U618" s="84" t="str">
        <f t="shared" si="108"/>
        <v/>
      </c>
      <c r="V618" s="88">
        <f>IF(U618="",0,MAX(0,T618)+N618+ROUND(J618*[1]Setup!$B$9,0)+IF(O618&gt;[1]Setup!$B$10,ROUND(J618*[1]Setup!$B$11,0),0))</f>
        <v>0</v>
      </c>
      <c r="W618" s="85" t="str">
        <f>IF(L618="","Open",IF(OR(P618&lt;[1]Setup!$B$6,Q618&gt;[1]Setup!$B$7,R618&gt;[1]Setup!$B$8,O618&gt;[1]Setup!$B$10),"Review","OK"))</f>
        <v>Open</v>
      </c>
      <c r="X618" s="86"/>
      <c r="Z618" s="81" t="str">
        <f t="shared" si="112"/>
        <v/>
      </c>
    </row>
    <row r="619" spans="1:26" x14ac:dyDescent="0.3">
      <c r="A619" s="84"/>
      <c r="B619" s="100">
        <f t="shared" si="110"/>
        <v>0</v>
      </c>
      <c r="C619" s="84" t="str">
        <f t="shared" si="111"/>
        <v>January</v>
      </c>
      <c r="D619" s="85" t="str">
        <f t="shared" si="109"/>
        <v/>
      </c>
      <c r="E619" s="86"/>
      <c r="F619" s="86"/>
      <c r="G619" s="86"/>
      <c r="H619" s="86"/>
      <c r="I619" s="87" t="str">
        <f>IF(F619=0,"",IF(COUNTIF(F619,"Bao"),[1]Setup!$B$4,IF(COUNTIF(F619,"Soup Dumplings"),[1]Setup!$B$5,F619)))</f>
        <v/>
      </c>
      <c r="J619" s="88" t="str">
        <f t="shared" si="103"/>
        <v/>
      </c>
      <c r="K619" s="88"/>
      <c r="L619" s="87"/>
      <c r="M619" s="87"/>
      <c r="N619" s="87"/>
      <c r="O619" s="87"/>
      <c r="P619" s="89" t="str">
        <f t="shared" si="104"/>
        <v/>
      </c>
      <c r="Q619" s="89" t="str">
        <f t="shared" si="105"/>
        <v/>
      </c>
      <c r="R619" s="89" t="str">
        <f t="shared" si="106"/>
        <v/>
      </c>
      <c r="S619" s="88" t="str">
        <f>IF(F619="Bao",[1]Setup!$B$4,IF(F619="Soup Dumplings",[1]Setup!$B$5,""))</f>
        <v/>
      </c>
      <c r="T619" s="88" t="str">
        <f t="shared" si="107"/>
        <v/>
      </c>
      <c r="U619" s="84" t="str">
        <f t="shared" si="108"/>
        <v/>
      </c>
      <c r="V619" s="88">
        <f>IF(U619="",0,MAX(0,T619)+N619+ROUND(J619*[1]Setup!$B$9,0)+IF(O619&gt;[1]Setup!$B$10,ROUND(J619*[1]Setup!$B$11,0),0))</f>
        <v>0</v>
      </c>
      <c r="W619" s="85" t="str">
        <f>IF(L619="","Open",IF(OR(P619&lt;[1]Setup!$B$6,Q619&gt;[1]Setup!$B$7,R619&gt;[1]Setup!$B$8,O619&gt;[1]Setup!$B$10),"Review","OK"))</f>
        <v>Open</v>
      </c>
      <c r="X619" s="86"/>
      <c r="Z619" s="81" t="str">
        <f t="shared" si="112"/>
        <v/>
      </c>
    </row>
    <row r="620" spans="1:26" x14ac:dyDescent="0.3">
      <c r="A620" s="84"/>
      <c r="B620" s="100">
        <f t="shared" si="110"/>
        <v>0</v>
      </c>
      <c r="C620" s="84" t="str">
        <f t="shared" si="111"/>
        <v>January</v>
      </c>
      <c r="D620" s="85" t="str">
        <f t="shared" si="109"/>
        <v/>
      </c>
      <c r="E620" s="86"/>
      <c r="F620" s="86"/>
      <c r="G620" s="86"/>
      <c r="H620" s="86"/>
      <c r="I620" s="87" t="str">
        <f>IF(F620=0,"",IF(COUNTIF(F620,"Bao"),[1]Setup!$B$4,IF(COUNTIF(F620,"Soup Dumplings"),[1]Setup!$B$5,F620)))</f>
        <v/>
      </c>
      <c r="J620" s="88" t="str">
        <f t="shared" si="103"/>
        <v/>
      </c>
      <c r="K620" s="88"/>
      <c r="L620" s="87"/>
      <c r="M620" s="87"/>
      <c r="N620" s="87"/>
      <c r="O620" s="87"/>
      <c r="P620" s="89" t="str">
        <f t="shared" si="104"/>
        <v/>
      </c>
      <c r="Q620" s="89" t="str">
        <f t="shared" si="105"/>
        <v/>
      </c>
      <c r="R620" s="89" t="str">
        <f t="shared" si="106"/>
        <v/>
      </c>
      <c r="S620" s="88" t="str">
        <f>IF(F620="Bao",[1]Setup!$B$4,IF(F620="Soup Dumplings",[1]Setup!$B$5,""))</f>
        <v/>
      </c>
      <c r="T620" s="88" t="str">
        <f t="shared" si="107"/>
        <v/>
      </c>
      <c r="U620" s="84" t="str">
        <f t="shared" si="108"/>
        <v/>
      </c>
      <c r="V620" s="88">
        <f>IF(U620="",0,MAX(0,T620)+N620+ROUND(J620*[1]Setup!$B$9,0)+IF(O620&gt;[1]Setup!$B$10,ROUND(J620*[1]Setup!$B$11,0),0))</f>
        <v>0</v>
      </c>
      <c r="W620" s="85" t="str">
        <f>IF(L620="","Open",IF(OR(P620&lt;[1]Setup!$B$6,Q620&gt;[1]Setup!$B$7,R620&gt;[1]Setup!$B$8,O620&gt;[1]Setup!$B$10),"Review","OK"))</f>
        <v>Open</v>
      </c>
      <c r="X620" s="86"/>
      <c r="Z620" s="81" t="str">
        <f t="shared" si="112"/>
        <v/>
      </c>
    </row>
    <row r="621" spans="1:26" x14ac:dyDescent="0.3">
      <c r="A621" s="84"/>
      <c r="B621" s="100">
        <f t="shared" si="110"/>
        <v>0</v>
      </c>
      <c r="C621" s="84" t="str">
        <f t="shared" si="111"/>
        <v>January</v>
      </c>
      <c r="D621" s="85" t="str">
        <f t="shared" si="109"/>
        <v/>
      </c>
      <c r="E621" s="86"/>
      <c r="F621" s="86"/>
      <c r="G621" s="86"/>
      <c r="H621" s="86"/>
      <c r="I621" s="87" t="str">
        <f>IF(F621=0,"",IF(COUNTIF(F621,"Bao"),[1]Setup!$B$4,IF(COUNTIF(F621,"Soup Dumplings"),[1]Setup!$B$5,F621)))</f>
        <v/>
      </c>
      <c r="J621" s="88" t="str">
        <f t="shared" si="103"/>
        <v/>
      </c>
      <c r="K621" s="88"/>
      <c r="L621" s="87"/>
      <c r="M621" s="87"/>
      <c r="N621" s="87"/>
      <c r="O621" s="87"/>
      <c r="P621" s="89" t="str">
        <f t="shared" si="104"/>
        <v/>
      </c>
      <c r="Q621" s="89" t="str">
        <f t="shared" si="105"/>
        <v/>
      </c>
      <c r="R621" s="89" t="str">
        <f t="shared" si="106"/>
        <v/>
      </c>
      <c r="S621" s="88" t="str">
        <f>IF(F621="Bao",[1]Setup!$B$4,IF(F621="Soup Dumplings",[1]Setup!$B$5,""))</f>
        <v/>
      </c>
      <c r="T621" s="88" t="str">
        <f t="shared" si="107"/>
        <v/>
      </c>
      <c r="U621" s="84" t="str">
        <f t="shared" si="108"/>
        <v/>
      </c>
      <c r="V621" s="88">
        <f>IF(U621="",0,MAX(0,T621)+N621+ROUND(J621*[1]Setup!$B$9,0)+IF(O621&gt;[1]Setup!$B$10,ROUND(J621*[1]Setup!$B$11,0),0))</f>
        <v>0</v>
      </c>
      <c r="W621" s="85" t="str">
        <f>IF(L621="","Open",IF(OR(P621&lt;[1]Setup!$B$6,Q621&gt;[1]Setup!$B$7,R621&gt;[1]Setup!$B$8,O621&gt;[1]Setup!$B$10),"Review","OK"))</f>
        <v>Open</v>
      </c>
      <c r="X621" s="86"/>
      <c r="Z621" s="81" t="str">
        <f t="shared" si="112"/>
        <v/>
      </c>
    </row>
    <row r="622" spans="1:26" x14ac:dyDescent="0.3">
      <c r="A622" s="84"/>
      <c r="B622" s="100">
        <f t="shared" si="110"/>
        <v>0</v>
      </c>
      <c r="C622" s="84" t="str">
        <f t="shared" si="111"/>
        <v>January</v>
      </c>
      <c r="D622" s="85" t="str">
        <f t="shared" si="109"/>
        <v/>
      </c>
      <c r="E622" s="86"/>
      <c r="F622" s="86"/>
      <c r="G622" s="86"/>
      <c r="H622" s="86"/>
      <c r="I622" s="87" t="str">
        <f>IF(F622=0,"",IF(COUNTIF(F622,"Bao"),[1]Setup!$B$4,IF(COUNTIF(F622,"Soup Dumplings"),[1]Setup!$B$5,F622)))</f>
        <v/>
      </c>
      <c r="J622" s="88" t="str">
        <f t="shared" si="103"/>
        <v/>
      </c>
      <c r="K622" s="88"/>
      <c r="L622" s="87"/>
      <c r="M622" s="87"/>
      <c r="N622" s="87"/>
      <c r="O622" s="87"/>
      <c r="P622" s="89" t="str">
        <f t="shared" si="104"/>
        <v/>
      </c>
      <c r="Q622" s="89" t="str">
        <f t="shared" si="105"/>
        <v/>
      </c>
      <c r="R622" s="89" t="str">
        <f t="shared" si="106"/>
        <v/>
      </c>
      <c r="S622" s="88" t="str">
        <f>IF(F622="Bao",[1]Setup!$B$4,IF(F622="Soup Dumplings",[1]Setup!$B$5,""))</f>
        <v/>
      </c>
      <c r="T622" s="88" t="str">
        <f t="shared" si="107"/>
        <v/>
      </c>
      <c r="U622" s="84" t="str">
        <f t="shared" si="108"/>
        <v/>
      </c>
      <c r="V622" s="88">
        <f>IF(U622="",0,MAX(0,T622)+N622+ROUND(J622*[1]Setup!$B$9,0)+IF(O622&gt;[1]Setup!$B$10,ROUND(J622*[1]Setup!$B$11,0),0))</f>
        <v>0</v>
      </c>
      <c r="W622" s="85" t="str">
        <f>IF(L622="","Open",IF(OR(P622&lt;[1]Setup!$B$6,Q622&gt;[1]Setup!$B$7,R622&gt;[1]Setup!$B$8,O622&gt;[1]Setup!$B$10),"Review","OK"))</f>
        <v>Open</v>
      </c>
      <c r="X622" s="86"/>
      <c r="Z622" s="81" t="str">
        <f t="shared" si="112"/>
        <v/>
      </c>
    </row>
    <row r="623" spans="1:26" x14ac:dyDescent="0.3">
      <c r="A623" s="84"/>
      <c r="B623" s="100">
        <f t="shared" si="110"/>
        <v>0</v>
      </c>
      <c r="C623" s="84" t="str">
        <f t="shared" si="111"/>
        <v>January</v>
      </c>
      <c r="D623" s="85" t="str">
        <f t="shared" si="109"/>
        <v/>
      </c>
      <c r="E623" s="86"/>
      <c r="F623" s="86"/>
      <c r="G623" s="86"/>
      <c r="H623" s="86"/>
      <c r="I623" s="87" t="str">
        <f>IF(F623=0,"",IF(COUNTIF(F623,"Bao"),[1]Setup!$B$4,IF(COUNTIF(F623,"Soup Dumplings"),[1]Setup!$B$5,F623)))</f>
        <v/>
      </c>
      <c r="J623" s="88" t="str">
        <f t="shared" ref="J623:J686" si="113">IF(A623="","",
   IFERROR(
      N(I623)+SUMIFS($V$4:$V$30,$U$4:$U$30,A623,$G$4:$G$30,G623),
   0)
)</f>
        <v/>
      </c>
      <c r="K623" s="88"/>
      <c r="L623" s="87"/>
      <c r="M623" s="87"/>
      <c r="N623" s="87"/>
      <c r="O623" s="87"/>
      <c r="P623" s="89" t="str">
        <f t="shared" ref="P623:P686" si="114">IF(J623="","",IF(J623&gt;0,(L623+M623)/J623,""))</f>
        <v/>
      </c>
      <c r="Q623" s="89" t="str">
        <f t="shared" ref="Q623:Q686" si="115">IF(J623="","",IF(J623&gt;0,MAX(0,(J623-(L623+M623))/J623),""))</f>
        <v/>
      </c>
      <c r="R623" s="89" t="str">
        <f t="shared" ref="R623:R686" si="116">IF(J623="","",IF(J623&gt;0,MAX(0,(L623+M623-J623)/J623),""))</f>
        <v/>
      </c>
      <c r="S623" s="88" t="str">
        <f>IF(F623="Bao",[1]Setup!$B$4,IF(F623="Soup Dumplings",[1]Setup!$B$5,""))</f>
        <v/>
      </c>
      <c r="T623" s="88" t="str">
        <f t="shared" ref="T623:T686" si="117">IF(L623="","",S623-L623)</f>
        <v/>
      </c>
      <c r="U623" s="84" t="str">
        <f t="shared" ref="U623:U686" si="118">IF(A623="","",A623+1)</f>
        <v/>
      </c>
      <c r="V623" s="88">
        <f>IF(U623="",0,MAX(0,T623)+N623+ROUND(J623*[1]Setup!$B$9,0)+IF(O623&gt;[1]Setup!$B$10,ROUND(J623*[1]Setup!$B$11,0),0))</f>
        <v>0</v>
      </c>
      <c r="W623" s="85" t="str">
        <f>IF(L623="","Open",IF(OR(P623&lt;[1]Setup!$B$6,Q623&gt;[1]Setup!$B$7,R623&gt;[1]Setup!$B$8,O623&gt;[1]Setup!$B$10),"Review","OK"))</f>
        <v>Open</v>
      </c>
      <c r="X623" s="86"/>
      <c r="Z623" s="81" t="str">
        <f t="shared" si="112"/>
        <v/>
      </c>
    </row>
    <row r="624" spans="1:26" x14ac:dyDescent="0.3">
      <c r="A624" s="84"/>
      <c r="B624" s="100">
        <f t="shared" si="110"/>
        <v>0</v>
      </c>
      <c r="C624" s="84" t="str">
        <f t="shared" si="111"/>
        <v>January</v>
      </c>
      <c r="D624" s="85" t="str">
        <f t="shared" si="109"/>
        <v/>
      </c>
      <c r="E624" s="86"/>
      <c r="F624" s="86"/>
      <c r="G624" s="86"/>
      <c r="H624" s="86"/>
      <c r="I624" s="87" t="str">
        <f>IF(F624=0,"",IF(COUNTIF(F624,"Bao"),[1]Setup!$B$4,IF(COUNTIF(F624,"Soup Dumplings"),[1]Setup!$B$5,F624)))</f>
        <v/>
      </c>
      <c r="J624" s="88" t="str">
        <f t="shared" si="113"/>
        <v/>
      </c>
      <c r="K624" s="88"/>
      <c r="L624" s="87"/>
      <c r="M624" s="87"/>
      <c r="N624" s="87"/>
      <c r="O624" s="87"/>
      <c r="P624" s="89" t="str">
        <f t="shared" si="114"/>
        <v/>
      </c>
      <c r="Q624" s="89" t="str">
        <f t="shared" si="115"/>
        <v/>
      </c>
      <c r="R624" s="89" t="str">
        <f t="shared" si="116"/>
        <v/>
      </c>
      <c r="S624" s="88" t="str">
        <f>IF(F624="Bao",[1]Setup!$B$4,IF(F624="Soup Dumplings",[1]Setup!$B$5,""))</f>
        <v/>
      </c>
      <c r="T624" s="88" t="str">
        <f t="shared" si="117"/>
        <v/>
      </c>
      <c r="U624" s="84" t="str">
        <f t="shared" si="118"/>
        <v/>
      </c>
      <c r="V624" s="88">
        <f>IF(U624="",0,MAX(0,T624)+N624+ROUND(J624*[1]Setup!$B$9,0)+IF(O624&gt;[1]Setup!$B$10,ROUND(J624*[1]Setup!$B$11,0),0))</f>
        <v>0</v>
      </c>
      <c r="W624" s="85" t="str">
        <f>IF(L624="","Open",IF(OR(P624&lt;[1]Setup!$B$6,Q624&gt;[1]Setup!$B$7,R624&gt;[1]Setup!$B$8,O624&gt;[1]Setup!$B$10),"Review","OK"))</f>
        <v>Open</v>
      </c>
      <c r="X624" s="86"/>
      <c r="Z624" s="81" t="str">
        <f t="shared" si="112"/>
        <v/>
      </c>
    </row>
    <row r="625" spans="1:26" x14ac:dyDescent="0.3">
      <c r="A625" s="84"/>
      <c r="B625" s="100">
        <f t="shared" si="110"/>
        <v>0</v>
      </c>
      <c r="C625" s="84" t="str">
        <f t="shared" si="111"/>
        <v>January</v>
      </c>
      <c r="D625" s="85" t="str">
        <f t="shared" si="109"/>
        <v/>
      </c>
      <c r="E625" s="86"/>
      <c r="F625" s="86"/>
      <c r="G625" s="86"/>
      <c r="H625" s="86"/>
      <c r="I625" s="87" t="str">
        <f>IF(F625=0,"",IF(COUNTIF(F625,"Bao"),[1]Setup!$B$4,IF(COUNTIF(F625,"Soup Dumplings"),[1]Setup!$B$5,F625)))</f>
        <v/>
      </c>
      <c r="J625" s="88" t="str">
        <f t="shared" si="113"/>
        <v/>
      </c>
      <c r="K625" s="88"/>
      <c r="L625" s="87"/>
      <c r="M625" s="87"/>
      <c r="N625" s="87"/>
      <c r="O625" s="87"/>
      <c r="P625" s="89" t="str">
        <f t="shared" si="114"/>
        <v/>
      </c>
      <c r="Q625" s="89" t="str">
        <f t="shared" si="115"/>
        <v/>
      </c>
      <c r="R625" s="89" t="str">
        <f t="shared" si="116"/>
        <v/>
      </c>
      <c r="S625" s="88" t="str">
        <f>IF(F625="Bao",[1]Setup!$B$4,IF(F625="Soup Dumplings",[1]Setup!$B$5,""))</f>
        <v/>
      </c>
      <c r="T625" s="88" t="str">
        <f t="shared" si="117"/>
        <v/>
      </c>
      <c r="U625" s="84" t="str">
        <f t="shared" si="118"/>
        <v/>
      </c>
      <c r="V625" s="88">
        <f>IF(U625="",0,MAX(0,T625)+N625+ROUND(J625*[1]Setup!$B$9,0)+IF(O625&gt;[1]Setup!$B$10,ROUND(J625*[1]Setup!$B$11,0),0))</f>
        <v>0</v>
      </c>
      <c r="W625" s="85" t="str">
        <f>IF(L625="","Open",IF(OR(P625&lt;[1]Setup!$B$6,Q625&gt;[1]Setup!$B$7,R625&gt;[1]Setup!$B$8,O625&gt;[1]Setup!$B$10),"Review","OK"))</f>
        <v>Open</v>
      </c>
      <c r="X625" s="86"/>
      <c r="Z625" s="81" t="str">
        <f t="shared" si="112"/>
        <v/>
      </c>
    </row>
    <row r="626" spans="1:26" x14ac:dyDescent="0.3">
      <c r="A626" s="84"/>
      <c r="B626" s="100">
        <f t="shared" si="110"/>
        <v>0</v>
      </c>
      <c r="C626" s="84" t="str">
        <f t="shared" si="111"/>
        <v>January</v>
      </c>
      <c r="D626" s="85" t="str">
        <f t="shared" si="109"/>
        <v/>
      </c>
      <c r="E626" s="86"/>
      <c r="F626" s="86"/>
      <c r="G626" s="86"/>
      <c r="H626" s="86"/>
      <c r="I626" s="87" t="str">
        <f>IF(F626=0,"",IF(COUNTIF(F626,"Bao"),[1]Setup!$B$4,IF(COUNTIF(F626,"Soup Dumplings"),[1]Setup!$B$5,F626)))</f>
        <v/>
      </c>
      <c r="J626" s="88" t="str">
        <f t="shared" si="113"/>
        <v/>
      </c>
      <c r="K626" s="88"/>
      <c r="L626" s="87"/>
      <c r="M626" s="87"/>
      <c r="N626" s="87"/>
      <c r="O626" s="87"/>
      <c r="P626" s="89" t="str">
        <f t="shared" si="114"/>
        <v/>
      </c>
      <c r="Q626" s="89" t="str">
        <f t="shared" si="115"/>
        <v/>
      </c>
      <c r="R626" s="89" t="str">
        <f t="shared" si="116"/>
        <v/>
      </c>
      <c r="S626" s="88" t="str">
        <f>IF(F626="Bao",[1]Setup!$B$4,IF(F626="Soup Dumplings",[1]Setup!$B$5,""))</f>
        <v/>
      </c>
      <c r="T626" s="88" t="str">
        <f t="shared" si="117"/>
        <v/>
      </c>
      <c r="U626" s="84" t="str">
        <f t="shared" si="118"/>
        <v/>
      </c>
      <c r="V626" s="88">
        <f>IF(U626="",0,MAX(0,T626)+N626+ROUND(J626*[1]Setup!$B$9,0)+IF(O626&gt;[1]Setup!$B$10,ROUND(J626*[1]Setup!$B$11,0),0))</f>
        <v>0</v>
      </c>
      <c r="W626" s="85" t="str">
        <f>IF(L626="","Open",IF(OR(P626&lt;[1]Setup!$B$6,Q626&gt;[1]Setup!$B$7,R626&gt;[1]Setup!$B$8,O626&gt;[1]Setup!$B$10),"Review","OK"))</f>
        <v>Open</v>
      </c>
      <c r="X626" s="86"/>
      <c r="Z626" s="81" t="str">
        <f t="shared" si="112"/>
        <v/>
      </c>
    </row>
    <row r="627" spans="1:26" x14ac:dyDescent="0.3">
      <c r="A627" s="84"/>
      <c r="B627" s="100">
        <f t="shared" si="110"/>
        <v>0</v>
      </c>
      <c r="C627" s="84" t="str">
        <f t="shared" si="111"/>
        <v>January</v>
      </c>
      <c r="D627" s="85" t="str">
        <f t="shared" si="109"/>
        <v/>
      </c>
      <c r="E627" s="86"/>
      <c r="F627" s="86"/>
      <c r="G627" s="86"/>
      <c r="H627" s="86"/>
      <c r="I627" s="87" t="str">
        <f>IF(F627=0,"",IF(COUNTIF(F627,"Bao"),[1]Setup!$B$4,IF(COUNTIF(F627,"Soup Dumplings"),[1]Setup!$B$5,F627)))</f>
        <v/>
      </c>
      <c r="J627" s="88" t="str">
        <f t="shared" si="113"/>
        <v/>
      </c>
      <c r="K627" s="88"/>
      <c r="L627" s="87"/>
      <c r="M627" s="87"/>
      <c r="N627" s="87"/>
      <c r="O627" s="87"/>
      <c r="P627" s="89" t="str">
        <f t="shared" si="114"/>
        <v/>
      </c>
      <c r="Q627" s="89" t="str">
        <f t="shared" si="115"/>
        <v/>
      </c>
      <c r="R627" s="89" t="str">
        <f t="shared" si="116"/>
        <v/>
      </c>
      <c r="S627" s="88" t="str">
        <f>IF(F627="Bao",[1]Setup!$B$4,IF(F627="Soup Dumplings",[1]Setup!$B$5,""))</f>
        <v/>
      </c>
      <c r="T627" s="88" t="str">
        <f t="shared" si="117"/>
        <v/>
      </c>
      <c r="U627" s="84" t="str">
        <f t="shared" si="118"/>
        <v/>
      </c>
      <c r="V627" s="88">
        <f>IF(U627="",0,MAX(0,T627)+N627+ROUND(J627*[1]Setup!$B$9,0)+IF(O627&gt;[1]Setup!$B$10,ROUND(J627*[1]Setup!$B$11,0),0))</f>
        <v>0</v>
      </c>
      <c r="W627" s="85" t="str">
        <f>IF(L627="","Open",IF(OR(P627&lt;[1]Setup!$B$6,Q627&gt;[1]Setup!$B$7,R627&gt;[1]Setup!$B$8,O627&gt;[1]Setup!$B$10),"Review","OK"))</f>
        <v>Open</v>
      </c>
      <c r="X627" s="86"/>
      <c r="Z627" s="81" t="str">
        <f t="shared" si="112"/>
        <v/>
      </c>
    </row>
    <row r="628" spans="1:26" x14ac:dyDescent="0.3">
      <c r="A628" s="84"/>
      <c r="B628" s="100">
        <f t="shared" si="110"/>
        <v>0</v>
      </c>
      <c r="C628" s="84" t="str">
        <f t="shared" si="111"/>
        <v>January</v>
      </c>
      <c r="D628" s="85" t="str">
        <f t="shared" si="109"/>
        <v/>
      </c>
      <c r="E628" s="86"/>
      <c r="F628" s="86"/>
      <c r="G628" s="86"/>
      <c r="H628" s="86"/>
      <c r="I628" s="87" t="str">
        <f>IF(F628=0,"",IF(COUNTIF(F628,"Bao"),[1]Setup!$B$4,IF(COUNTIF(F628,"Soup Dumplings"),[1]Setup!$B$5,F628)))</f>
        <v/>
      </c>
      <c r="J628" s="88" t="str">
        <f t="shared" si="113"/>
        <v/>
      </c>
      <c r="K628" s="88"/>
      <c r="L628" s="87"/>
      <c r="M628" s="87"/>
      <c r="N628" s="87"/>
      <c r="O628" s="87"/>
      <c r="P628" s="89" t="str">
        <f t="shared" si="114"/>
        <v/>
      </c>
      <c r="Q628" s="89" t="str">
        <f t="shared" si="115"/>
        <v/>
      </c>
      <c r="R628" s="89" t="str">
        <f t="shared" si="116"/>
        <v/>
      </c>
      <c r="S628" s="88" t="str">
        <f>IF(F628="Bao",[1]Setup!$B$4,IF(F628="Soup Dumplings",[1]Setup!$B$5,""))</f>
        <v/>
      </c>
      <c r="T628" s="88" t="str">
        <f t="shared" si="117"/>
        <v/>
      </c>
      <c r="U628" s="84" t="str">
        <f t="shared" si="118"/>
        <v/>
      </c>
      <c r="V628" s="88">
        <f>IF(U628="",0,MAX(0,T628)+N628+ROUND(J628*[1]Setup!$B$9,0)+IF(O628&gt;[1]Setup!$B$10,ROUND(J628*[1]Setup!$B$11,0),0))</f>
        <v>0</v>
      </c>
      <c r="W628" s="85" t="str">
        <f>IF(L628="","Open",IF(OR(P628&lt;[1]Setup!$B$6,Q628&gt;[1]Setup!$B$7,R628&gt;[1]Setup!$B$8,O628&gt;[1]Setup!$B$10),"Review","OK"))</f>
        <v>Open</v>
      </c>
      <c r="X628" s="86"/>
      <c r="Z628" s="81" t="str">
        <f t="shared" si="112"/>
        <v/>
      </c>
    </row>
    <row r="629" spans="1:26" x14ac:dyDescent="0.3">
      <c r="A629" s="84"/>
      <c r="B629" s="100">
        <f t="shared" si="110"/>
        <v>0</v>
      </c>
      <c r="C629" s="84" t="str">
        <f t="shared" si="111"/>
        <v>January</v>
      </c>
      <c r="D629" s="85" t="str">
        <f t="shared" si="109"/>
        <v/>
      </c>
      <c r="E629" s="86"/>
      <c r="F629" s="86"/>
      <c r="G629" s="86"/>
      <c r="H629" s="86"/>
      <c r="I629" s="87" t="str">
        <f>IF(F629=0,"",IF(COUNTIF(F629,"Bao"),[1]Setup!$B$4,IF(COUNTIF(F629,"Soup Dumplings"),[1]Setup!$B$5,F629)))</f>
        <v/>
      </c>
      <c r="J629" s="88" t="str">
        <f t="shared" si="113"/>
        <v/>
      </c>
      <c r="K629" s="88"/>
      <c r="L629" s="87"/>
      <c r="M629" s="87"/>
      <c r="N629" s="87"/>
      <c r="O629" s="87"/>
      <c r="P629" s="89" t="str">
        <f t="shared" si="114"/>
        <v/>
      </c>
      <c r="Q629" s="89" t="str">
        <f t="shared" si="115"/>
        <v/>
      </c>
      <c r="R629" s="89" t="str">
        <f t="shared" si="116"/>
        <v/>
      </c>
      <c r="S629" s="88" t="str">
        <f>IF(F629="Bao",[1]Setup!$B$4,IF(F629="Soup Dumplings",[1]Setup!$B$5,""))</f>
        <v/>
      </c>
      <c r="T629" s="88" t="str">
        <f t="shared" si="117"/>
        <v/>
      </c>
      <c r="U629" s="84" t="str">
        <f t="shared" si="118"/>
        <v/>
      </c>
      <c r="V629" s="88">
        <f>IF(U629="",0,MAX(0,T629)+N629+ROUND(J629*[1]Setup!$B$9,0)+IF(O629&gt;[1]Setup!$B$10,ROUND(J629*[1]Setup!$B$11,0),0))</f>
        <v>0</v>
      </c>
      <c r="W629" s="85" t="str">
        <f>IF(L629="","Open",IF(OR(P629&lt;[1]Setup!$B$6,Q629&gt;[1]Setup!$B$7,R629&gt;[1]Setup!$B$8,O629&gt;[1]Setup!$B$10),"Review","OK"))</f>
        <v>Open</v>
      </c>
      <c r="X629" s="86"/>
      <c r="Z629" s="81" t="str">
        <f t="shared" si="112"/>
        <v/>
      </c>
    </row>
    <row r="630" spans="1:26" x14ac:dyDescent="0.3">
      <c r="A630" s="84"/>
      <c r="B630" s="100">
        <f t="shared" si="110"/>
        <v>0</v>
      </c>
      <c r="C630" s="84" t="str">
        <f t="shared" si="111"/>
        <v>January</v>
      </c>
      <c r="D630" s="85" t="str">
        <f t="shared" si="109"/>
        <v/>
      </c>
      <c r="E630" s="86"/>
      <c r="F630" s="86"/>
      <c r="G630" s="86"/>
      <c r="H630" s="86"/>
      <c r="I630" s="87" t="str">
        <f>IF(F630=0,"",IF(COUNTIF(F630,"Bao"),[1]Setup!$B$4,IF(COUNTIF(F630,"Soup Dumplings"),[1]Setup!$B$5,F630)))</f>
        <v/>
      </c>
      <c r="J630" s="88" t="str">
        <f t="shared" si="113"/>
        <v/>
      </c>
      <c r="K630" s="88"/>
      <c r="L630" s="87"/>
      <c r="M630" s="87"/>
      <c r="N630" s="87"/>
      <c r="O630" s="87"/>
      <c r="P630" s="89" t="str">
        <f t="shared" si="114"/>
        <v/>
      </c>
      <c r="Q630" s="89" t="str">
        <f t="shared" si="115"/>
        <v/>
      </c>
      <c r="R630" s="89" t="str">
        <f t="shared" si="116"/>
        <v/>
      </c>
      <c r="S630" s="88" t="str">
        <f>IF(F630="Bao",[1]Setup!$B$4,IF(F630="Soup Dumplings",[1]Setup!$B$5,""))</f>
        <v/>
      </c>
      <c r="T630" s="88" t="str">
        <f t="shared" si="117"/>
        <v/>
      </c>
      <c r="U630" s="84" t="str">
        <f t="shared" si="118"/>
        <v/>
      </c>
      <c r="V630" s="88">
        <f>IF(U630="",0,MAX(0,T630)+N630+ROUND(J630*[1]Setup!$B$9,0)+IF(O630&gt;[1]Setup!$B$10,ROUND(J630*[1]Setup!$B$11,0),0))</f>
        <v>0</v>
      </c>
      <c r="W630" s="85" t="str">
        <f>IF(L630="","Open",IF(OR(P630&lt;[1]Setup!$B$6,Q630&gt;[1]Setup!$B$7,R630&gt;[1]Setup!$B$8,O630&gt;[1]Setup!$B$10),"Review","OK"))</f>
        <v>Open</v>
      </c>
      <c r="X630" s="86"/>
      <c r="Z630" s="81" t="str">
        <f t="shared" si="112"/>
        <v/>
      </c>
    </row>
    <row r="631" spans="1:26" x14ac:dyDescent="0.3">
      <c r="A631" s="84"/>
      <c r="B631" s="100">
        <f t="shared" si="110"/>
        <v>0</v>
      </c>
      <c r="C631" s="84" t="str">
        <f t="shared" si="111"/>
        <v>January</v>
      </c>
      <c r="D631" s="85" t="str">
        <f t="shared" si="109"/>
        <v/>
      </c>
      <c r="E631" s="86"/>
      <c r="F631" s="86"/>
      <c r="G631" s="86"/>
      <c r="H631" s="86"/>
      <c r="I631" s="87" t="str">
        <f>IF(F631=0,"",IF(COUNTIF(F631,"Bao"),[1]Setup!$B$4,IF(COUNTIF(F631,"Soup Dumplings"),[1]Setup!$B$5,F631)))</f>
        <v/>
      </c>
      <c r="J631" s="88" t="str">
        <f t="shared" si="113"/>
        <v/>
      </c>
      <c r="K631" s="88"/>
      <c r="L631" s="87"/>
      <c r="M631" s="87"/>
      <c r="N631" s="87"/>
      <c r="O631" s="87"/>
      <c r="P631" s="89" t="str">
        <f t="shared" si="114"/>
        <v/>
      </c>
      <c r="Q631" s="89" t="str">
        <f t="shared" si="115"/>
        <v/>
      </c>
      <c r="R631" s="89" t="str">
        <f t="shared" si="116"/>
        <v/>
      </c>
      <c r="S631" s="88" t="str">
        <f>IF(F631="Bao",[1]Setup!$B$4,IF(F631="Soup Dumplings",[1]Setup!$B$5,""))</f>
        <v/>
      </c>
      <c r="T631" s="88" t="str">
        <f t="shared" si="117"/>
        <v/>
      </c>
      <c r="U631" s="84" t="str">
        <f t="shared" si="118"/>
        <v/>
      </c>
      <c r="V631" s="88">
        <f>IF(U631="",0,MAX(0,T631)+N631+ROUND(J631*[1]Setup!$B$9,0)+IF(O631&gt;[1]Setup!$B$10,ROUND(J631*[1]Setup!$B$11,0),0))</f>
        <v>0</v>
      </c>
      <c r="W631" s="85" t="str">
        <f>IF(L631="","Open",IF(OR(P631&lt;[1]Setup!$B$6,Q631&gt;[1]Setup!$B$7,R631&gt;[1]Setup!$B$8,O631&gt;[1]Setup!$B$10),"Review","OK"))</f>
        <v>Open</v>
      </c>
      <c r="X631" s="86"/>
      <c r="Z631" s="81" t="str">
        <f t="shared" si="112"/>
        <v/>
      </c>
    </row>
    <row r="632" spans="1:26" x14ac:dyDescent="0.3">
      <c r="A632" s="84"/>
      <c r="B632" s="100">
        <f t="shared" si="110"/>
        <v>0</v>
      </c>
      <c r="C632" s="84" t="str">
        <f t="shared" si="111"/>
        <v>January</v>
      </c>
      <c r="D632" s="85" t="str">
        <f t="shared" si="109"/>
        <v/>
      </c>
      <c r="E632" s="86"/>
      <c r="F632" s="86"/>
      <c r="G632" s="86"/>
      <c r="H632" s="86"/>
      <c r="I632" s="87" t="str">
        <f>IF(F632=0,"",IF(COUNTIF(F632,"Bao"),[1]Setup!$B$4,IF(COUNTIF(F632,"Soup Dumplings"),[1]Setup!$B$5,F632)))</f>
        <v/>
      </c>
      <c r="J632" s="88" t="str">
        <f t="shared" si="113"/>
        <v/>
      </c>
      <c r="K632" s="88"/>
      <c r="L632" s="87"/>
      <c r="M632" s="87"/>
      <c r="N632" s="87"/>
      <c r="O632" s="87"/>
      <c r="P632" s="89" t="str">
        <f t="shared" si="114"/>
        <v/>
      </c>
      <c r="Q632" s="89" t="str">
        <f t="shared" si="115"/>
        <v/>
      </c>
      <c r="R632" s="89" t="str">
        <f t="shared" si="116"/>
        <v/>
      </c>
      <c r="S632" s="88" t="str">
        <f>IF(F632="Bao",[1]Setup!$B$4,IF(F632="Soup Dumplings",[1]Setup!$B$5,""))</f>
        <v/>
      </c>
      <c r="T632" s="88" t="str">
        <f t="shared" si="117"/>
        <v/>
      </c>
      <c r="U632" s="84" t="str">
        <f t="shared" si="118"/>
        <v/>
      </c>
      <c r="V632" s="88">
        <f>IF(U632="",0,MAX(0,T632)+N632+ROUND(J632*[1]Setup!$B$9,0)+IF(O632&gt;[1]Setup!$B$10,ROUND(J632*[1]Setup!$B$11,0),0))</f>
        <v>0</v>
      </c>
      <c r="W632" s="85" t="str">
        <f>IF(L632="","Open",IF(OR(P632&lt;[1]Setup!$B$6,Q632&gt;[1]Setup!$B$7,R632&gt;[1]Setup!$B$8,O632&gt;[1]Setup!$B$10),"Review","OK"))</f>
        <v>Open</v>
      </c>
      <c r="X632" s="86"/>
      <c r="Z632" s="81" t="str">
        <f t="shared" si="112"/>
        <v/>
      </c>
    </row>
    <row r="633" spans="1:26" x14ac:dyDescent="0.3">
      <c r="A633" s="84"/>
      <c r="B633" s="100">
        <f t="shared" si="110"/>
        <v>0</v>
      </c>
      <c r="C633" s="84" t="str">
        <f t="shared" si="111"/>
        <v>January</v>
      </c>
      <c r="D633" s="85" t="str">
        <f t="shared" si="109"/>
        <v/>
      </c>
      <c r="E633" s="86"/>
      <c r="F633" s="86"/>
      <c r="G633" s="86"/>
      <c r="H633" s="86"/>
      <c r="I633" s="87" t="str">
        <f>IF(F633=0,"",IF(COUNTIF(F633,"Bao"),[1]Setup!$B$4,IF(COUNTIF(F633,"Soup Dumplings"),[1]Setup!$B$5,F633)))</f>
        <v/>
      </c>
      <c r="J633" s="88" t="str">
        <f t="shared" si="113"/>
        <v/>
      </c>
      <c r="K633" s="88"/>
      <c r="L633" s="87"/>
      <c r="M633" s="87"/>
      <c r="N633" s="87"/>
      <c r="O633" s="87"/>
      <c r="P633" s="89" t="str">
        <f t="shared" si="114"/>
        <v/>
      </c>
      <c r="Q633" s="89" t="str">
        <f t="shared" si="115"/>
        <v/>
      </c>
      <c r="R633" s="89" t="str">
        <f t="shared" si="116"/>
        <v/>
      </c>
      <c r="S633" s="88" t="str">
        <f>IF(F633="Bao",[1]Setup!$B$4,IF(F633="Soup Dumplings",[1]Setup!$B$5,""))</f>
        <v/>
      </c>
      <c r="T633" s="88" t="str">
        <f t="shared" si="117"/>
        <v/>
      </c>
      <c r="U633" s="84" t="str">
        <f t="shared" si="118"/>
        <v/>
      </c>
      <c r="V633" s="88">
        <f>IF(U633="",0,MAX(0,T633)+N633+ROUND(J633*[1]Setup!$B$9,0)+IF(O633&gt;[1]Setup!$B$10,ROUND(J633*[1]Setup!$B$11,0),0))</f>
        <v>0</v>
      </c>
      <c r="W633" s="85" t="str">
        <f>IF(L633="","Open",IF(OR(P633&lt;[1]Setup!$B$6,Q633&gt;[1]Setup!$B$7,R633&gt;[1]Setup!$B$8,O633&gt;[1]Setup!$B$10),"Review","OK"))</f>
        <v>Open</v>
      </c>
      <c r="X633" s="86"/>
      <c r="Z633" s="81" t="str">
        <f t="shared" si="112"/>
        <v/>
      </c>
    </row>
    <row r="634" spans="1:26" x14ac:dyDescent="0.3">
      <c r="A634" s="84"/>
      <c r="B634" s="100">
        <f t="shared" si="110"/>
        <v>0</v>
      </c>
      <c r="C634" s="84" t="str">
        <f t="shared" si="111"/>
        <v>January</v>
      </c>
      <c r="D634" s="85" t="str">
        <f t="shared" si="109"/>
        <v/>
      </c>
      <c r="E634" s="86"/>
      <c r="F634" s="86"/>
      <c r="G634" s="86"/>
      <c r="H634" s="86"/>
      <c r="I634" s="87" t="str">
        <f>IF(F634=0,"",IF(COUNTIF(F634,"Bao"),[1]Setup!$B$4,IF(COUNTIF(F634,"Soup Dumplings"),[1]Setup!$B$5,F634)))</f>
        <v/>
      </c>
      <c r="J634" s="88" t="str">
        <f t="shared" si="113"/>
        <v/>
      </c>
      <c r="K634" s="88"/>
      <c r="L634" s="87"/>
      <c r="M634" s="87"/>
      <c r="N634" s="87"/>
      <c r="O634" s="87"/>
      <c r="P634" s="89" t="str">
        <f t="shared" si="114"/>
        <v/>
      </c>
      <c r="Q634" s="89" t="str">
        <f t="shared" si="115"/>
        <v/>
      </c>
      <c r="R634" s="89" t="str">
        <f t="shared" si="116"/>
        <v/>
      </c>
      <c r="S634" s="88" t="str">
        <f>IF(F634="Bao",[1]Setup!$B$4,IF(F634="Soup Dumplings",[1]Setup!$B$5,""))</f>
        <v/>
      </c>
      <c r="T634" s="88" t="str">
        <f t="shared" si="117"/>
        <v/>
      </c>
      <c r="U634" s="84" t="str">
        <f t="shared" si="118"/>
        <v/>
      </c>
      <c r="V634" s="88">
        <f>IF(U634="",0,MAX(0,T634)+N634+ROUND(J634*[1]Setup!$B$9,0)+IF(O634&gt;[1]Setup!$B$10,ROUND(J634*[1]Setup!$B$11,0),0))</f>
        <v>0</v>
      </c>
      <c r="W634" s="85" t="str">
        <f>IF(L634="","Open",IF(OR(P634&lt;[1]Setup!$B$6,Q634&gt;[1]Setup!$B$7,R634&gt;[1]Setup!$B$8,O634&gt;[1]Setup!$B$10),"Review","OK"))</f>
        <v>Open</v>
      </c>
      <c r="X634" s="86"/>
      <c r="Z634" s="81" t="str">
        <f t="shared" si="112"/>
        <v/>
      </c>
    </row>
    <row r="635" spans="1:26" x14ac:dyDescent="0.3">
      <c r="A635" s="84"/>
      <c r="B635" s="100">
        <f t="shared" si="110"/>
        <v>0</v>
      </c>
      <c r="C635" s="84" t="str">
        <f t="shared" si="111"/>
        <v>January</v>
      </c>
      <c r="D635" s="85" t="str">
        <f t="shared" si="109"/>
        <v/>
      </c>
      <c r="E635" s="86"/>
      <c r="F635" s="86"/>
      <c r="G635" s="86"/>
      <c r="H635" s="86"/>
      <c r="I635" s="87" t="str">
        <f>IF(F635=0,"",IF(COUNTIF(F635,"Bao"),[1]Setup!$B$4,IF(COUNTIF(F635,"Soup Dumplings"),[1]Setup!$B$5,F635)))</f>
        <v/>
      </c>
      <c r="J635" s="88" t="str">
        <f t="shared" si="113"/>
        <v/>
      </c>
      <c r="K635" s="88"/>
      <c r="L635" s="87"/>
      <c r="M635" s="87"/>
      <c r="N635" s="87"/>
      <c r="O635" s="87"/>
      <c r="P635" s="89" t="str">
        <f t="shared" si="114"/>
        <v/>
      </c>
      <c r="Q635" s="89" t="str">
        <f t="shared" si="115"/>
        <v/>
      </c>
      <c r="R635" s="89" t="str">
        <f t="shared" si="116"/>
        <v/>
      </c>
      <c r="S635" s="88" t="str">
        <f>IF(F635="Bao",[1]Setup!$B$4,IF(F635="Soup Dumplings",[1]Setup!$B$5,""))</f>
        <v/>
      </c>
      <c r="T635" s="88" t="str">
        <f t="shared" si="117"/>
        <v/>
      </c>
      <c r="U635" s="84" t="str">
        <f t="shared" si="118"/>
        <v/>
      </c>
      <c r="V635" s="88">
        <f>IF(U635="",0,MAX(0,T635)+N635+ROUND(J635*[1]Setup!$B$9,0)+IF(O635&gt;[1]Setup!$B$10,ROUND(J635*[1]Setup!$B$11,0),0))</f>
        <v>0</v>
      </c>
      <c r="W635" s="85" t="str">
        <f>IF(L635="","Open",IF(OR(P635&lt;[1]Setup!$B$6,Q635&gt;[1]Setup!$B$7,R635&gt;[1]Setup!$B$8,O635&gt;[1]Setup!$B$10),"Review","OK"))</f>
        <v>Open</v>
      </c>
      <c r="X635" s="86"/>
      <c r="Z635" s="81" t="str">
        <f t="shared" si="112"/>
        <v/>
      </c>
    </row>
    <row r="636" spans="1:26" x14ac:dyDescent="0.3">
      <c r="A636" s="84"/>
      <c r="B636" s="100">
        <f t="shared" si="110"/>
        <v>0</v>
      </c>
      <c r="C636" s="84" t="str">
        <f t="shared" si="111"/>
        <v>January</v>
      </c>
      <c r="D636" s="85" t="str">
        <f t="shared" si="109"/>
        <v/>
      </c>
      <c r="E636" s="86"/>
      <c r="F636" s="86"/>
      <c r="G636" s="86"/>
      <c r="H636" s="86"/>
      <c r="I636" s="87" t="str">
        <f>IF(F636=0,"",IF(COUNTIF(F636,"Bao"),[1]Setup!$B$4,IF(COUNTIF(F636,"Soup Dumplings"),[1]Setup!$B$5,F636)))</f>
        <v/>
      </c>
      <c r="J636" s="88" t="str">
        <f t="shared" si="113"/>
        <v/>
      </c>
      <c r="K636" s="88"/>
      <c r="L636" s="87"/>
      <c r="M636" s="87"/>
      <c r="N636" s="87"/>
      <c r="O636" s="87"/>
      <c r="P636" s="89" t="str">
        <f t="shared" si="114"/>
        <v/>
      </c>
      <c r="Q636" s="89" t="str">
        <f t="shared" si="115"/>
        <v/>
      </c>
      <c r="R636" s="89" t="str">
        <f t="shared" si="116"/>
        <v/>
      </c>
      <c r="S636" s="88" t="str">
        <f>IF(F636="Bao",[1]Setup!$B$4,IF(F636="Soup Dumplings",[1]Setup!$B$5,""))</f>
        <v/>
      </c>
      <c r="T636" s="88" t="str">
        <f t="shared" si="117"/>
        <v/>
      </c>
      <c r="U636" s="84" t="str">
        <f t="shared" si="118"/>
        <v/>
      </c>
      <c r="V636" s="88">
        <f>IF(U636="",0,MAX(0,T636)+N636+ROUND(J636*[1]Setup!$B$9,0)+IF(O636&gt;[1]Setup!$B$10,ROUND(J636*[1]Setup!$B$11,0),0))</f>
        <v>0</v>
      </c>
      <c r="W636" s="85" t="str">
        <f>IF(L636="","Open",IF(OR(P636&lt;[1]Setup!$B$6,Q636&gt;[1]Setup!$B$7,R636&gt;[1]Setup!$B$8,O636&gt;[1]Setup!$B$10),"Review","OK"))</f>
        <v>Open</v>
      </c>
      <c r="X636" s="86"/>
      <c r="Z636" s="81" t="str">
        <f t="shared" si="112"/>
        <v/>
      </c>
    </row>
    <row r="637" spans="1:26" x14ac:dyDescent="0.3">
      <c r="A637" s="84"/>
      <c r="B637" s="100">
        <f t="shared" si="110"/>
        <v>0</v>
      </c>
      <c r="C637" s="84" t="str">
        <f t="shared" si="111"/>
        <v>January</v>
      </c>
      <c r="D637" s="85" t="str">
        <f t="shared" si="109"/>
        <v/>
      </c>
      <c r="E637" s="86"/>
      <c r="F637" s="86"/>
      <c r="G637" s="86"/>
      <c r="H637" s="86"/>
      <c r="I637" s="87" t="str">
        <f>IF(F637=0,"",IF(COUNTIF(F637,"Bao"),[1]Setup!$B$4,IF(COUNTIF(F637,"Soup Dumplings"),[1]Setup!$B$5,F637)))</f>
        <v/>
      </c>
      <c r="J637" s="88" t="str">
        <f t="shared" si="113"/>
        <v/>
      </c>
      <c r="K637" s="88"/>
      <c r="L637" s="87"/>
      <c r="M637" s="87"/>
      <c r="N637" s="87"/>
      <c r="O637" s="87"/>
      <c r="P637" s="89" t="str">
        <f t="shared" si="114"/>
        <v/>
      </c>
      <c r="Q637" s="89" t="str">
        <f t="shared" si="115"/>
        <v/>
      </c>
      <c r="R637" s="89" t="str">
        <f t="shared" si="116"/>
        <v/>
      </c>
      <c r="S637" s="88" t="str">
        <f>IF(F637="Bao",[1]Setup!$B$4,IF(F637="Soup Dumplings",[1]Setup!$B$5,""))</f>
        <v/>
      </c>
      <c r="T637" s="88" t="str">
        <f t="shared" si="117"/>
        <v/>
      </c>
      <c r="U637" s="84" t="str">
        <f t="shared" si="118"/>
        <v/>
      </c>
      <c r="V637" s="88">
        <f>IF(U637="",0,MAX(0,T637)+N637+ROUND(J637*[1]Setup!$B$9,0)+IF(O637&gt;[1]Setup!$B$10,ROUND(J637*[1]Setup!$B$11,0),0))</f>
        <v>0</v>
      </c>
      <c r="W637" s="85" t="str">
        <f>IF(L637="","Open",IF(OR(P637&lt;[1]Setup!$B$6,Q637&gt;[1]Setup!$B$7,R637&gt;[1]Setup!$B$8,O637&gt;[1]Setup!$B$10),"Review","OK"))</f>
        <v>Open</v>
      </c>
      <c r="X637" s="86"/>
      <c r="Z637" s="81" t="str">
        <f t="shared" si="112"/>
        <v/>
      </c>
    </row>
    <row r="638" spans="1:26" x14ac:dyDescent="0.3">
      <c r="A638" s="84"/>
      <c r="B638" s="100">
        <f t="shared" si="110"/>
        <v>0</v>
      </c>
      <c r="C638" s="84" t="str">
        <f t="shared" si="111"/>
        <v>January</v>
      </c>
      <c r="D638" s="85" t="str">
        <f t="shared" si="109"/>
        <v/>
      </c>
      <c r="E638" s="86"/>
      <c r="F638" s="86"/>
      <c r="G638" s="86"/>
      <c r="H638" s="86"/>
      <c r="I638" s="87" t="str">
        <f>IF(F638=0,"",IF(COUNTIF(F638,"Bao"),[1]Setup!$B$4,IF(COUNTIF(F638,"Soup Dumplings"),[1]Setup!$B$5,F638)))</f>
        <v/>
      </c>
      <c r="J638" s="88" t="str">
        <f t="shared" si="113"/>
        <v/>
      </c>
      <c r="K638" s="88"/>
      <c r="L638" s="87"/>
      <c r="M638" s="87"/>
      <c r="N638" s="87"/>
      <c r="O638" s="87"/>
      <c r="P638" s="89" t="str">
        <f t="shared" si="114"/>
        <v/>
      </c>
      <c r="Q638" s="89" t="str">
        <f t="shared" si="115"/>
        <v/>
      </c>
      <c r="R638" s="89" t="str">
        <f t="shared" si="116"/>
        <v/>
      </c>
      <c r="S638" s="88" t="str">
        <f>IF(F638="Bao",[1]Setup!$B$4,IF(F638="Soup Dumplings",[1]Setup!$B$5,""))</f>
        <v/>
      </c>
      <c r="T638" s="88" t="str">
        <f t="shared" si="117"/>
        <v/>
      </c>
      <c r="U638" s="84" t="str">
        <f t="shared" si="118"/>
        <v/>
      </c>
      <c r="V638" s="88">
        <f>IF(U638="",0,MAX(0,T638)+N638+ROUND(J638*[1]Setup!$B$9,0)+IF(O638&gt;[1]Setup!$B$10,ROUND(J638*[1]Setup!$B$11,0),0))</f>
        <v>0</v>
      </c>
      <c r="W638" s="85" t="str">
        <f>IF(L638="","Open",IF(OR(P638&lt;[1]Setup!$B$6,Q638&gt;[1]Setup!$B$7,R638&gt;[1]Setup!$B$8,O638&gt;[1]Setup!$B$10),"Review","OK"))</f>
        <v>Open</v>
      </c>
      <c r="X638" s="86"/>
      <c r="Z638" s="81" t="str">
        <f t="shared" si="112"/>
        <v/>
      </c>
    </row>
    <row r="639" spans="1:26" x14ac:dyDescent="0.3">
      <c r="A639" s="84"/>
      <c r="B639" s="100">
        <f t="shared" si="110"/>
        <v>0</v>
      </c>
      <c r="C639" s="84" t="str">
        <f t="shared" si="111"/>
        <v>January</v>
      </c>
      <c r="D639" s="85" t="str">
        <f t="shared" si="109"/>
        <v/>
      </c>
      <c r="E639" s="86"/>
      <c r="F639" s="86"/>
      <c r="G639" s="86"/>
      <c r="H639" s="86"/>
      <c r="I639" s="87" t="str">
        <f>IF(F639=0,"",IF(COUNTIF(F639,"Bao"),[1]Setup!$B$4,IF(COUNTIF(F639,"Soup Dumplings"),[1]Setup!$B$5,F639)))</f>
        <v/>
      </c>
      <c r="J639" s="88" t="str">
        <f t="shared" si="113"/>
        <v/>
      </c>
      <c r="K639" s="88"/>
      <c r="L639" s="87"/>
      <c r="M639" s="87"/>
      <c r="N639" s="87"/>
      <c r="O639" s="87"/>
      <c r="P639" s="89" t="str">
        <f t="shared" si="114"/>
        <v/>
      </c>
      <c r="Q639" s="89" t="str">
        <f t="shared" si="115"/>
        <v/>
      </c>
      <c r="R639" s="89" t="str">
        <f t="shared" si="116"/>
        <v/>
      </c>
      <c r="S639" s="88" t="str">
        <f>IF(F639="Bao",[1]Setup!$B$4,IF(F639="Soup Dumplings",[1]Setup!$B$5,""))</f>
        <v/>
      </c>
      <c r="T639" s="88" t="str">
        <f t="shared" si="117"/>
        <v/>
      </c>
      <c r="U639" s="84" t="str">
        <f t="shared" si="118"/>
        <v/>
      </c>
      <c r="V639" s="88">
        <f>IF(U639="",0,MAX(0,T639)+N639+ROUND(J639*[1]Setup!$B$9,0)+IF(O639&gt;[1]Setup!$B$10,ROUND(J639*[1]Setup!$B$11,0),0))</f>
        <v>0</v>
      </c>
      <c r="W639" s="85" t="str">
        <f>IF(L639="","Open",IF(OR(P639&lt;[1]Setup!$B$6,Q639&gt;[1]Setup!$B$7,R639&gt;[1]Setup!$B$8,O639&gt;[1]Setup!$B$10),"Review","OK"))</f>
        <v>Open</v>
      </c>
      <c r="X639" s="86"/>
      <c r="Z639" s="81" t="str">
        <f t="shared" si="112"/>
        <v/>
      </c>
    </row>
    <row r="640" spans="1:26" x14ac:dyDescent="0.3">
      <c r="A640" s="84"/>
      <c r="B640" s="100">
        <f t="shared" si="110"/>
        <v>0</v>
      </c>
      <c r="C640" s="84" t="str">
        <f t="shared" si="111"/>
        <v>January</v>
      </c>
      <c r="D640" s="85" t="str">
        <f t="shared" si="109"/>
        <v/>
      </c>
      <c r="E640" s="86"/>
      <c r="F640" s="86"/>
      <c r="G640" s="86"/>
      <c r="H640" s="86"/>
      <c r="I640" s="87" t="str">
        <f>IF(F640=0,"",IF(COUNTIF(F640,"Bao"),[1]Setup!$B$4,IF(COUNTIF(F640,"Soup Dumplings"),[1]Setup!$B$5,F640)))</f>
        <v/>
      </c>
      <c r="J640" s="88" t="str">
        <f t="shared" si="113"/>
        <v/>
      </c>
      <c r="K640" s="88"/>
      <c r="L640" s="87"/>
      <c r="M640" s="87"/>
      <c r="N640" s="87"/>
      <c r="O640" s="87"/>
      <c r="P640" s="89" t="str">
        <f t="shared" si="114"/>
        <v/>
      </c>
      <c r="Q640" s="89" t="str">
        <f t="shared" si="115"/>
        <v/>
      </c>
      <c r="R640" s="89" t="str">
        <f t="shared" si="116"/>
        <v/>
      </c>
      <c r="S640" s="88" t="str">
        <f>IF(F640="Bao",[1]Setup!$B$4,IF(F640="Soup Dumplings",[1]Setup!$B$5,""))</f>
        <v/>
      </c>
      <c r="T640" s="88" t="str">
        <f t="shared" si="117"/>
        <v/>
      </c>
      <c r="U640" s="84" t="str">
        <f t="shared" si="118"/>
        <v/>
      </c>
      <c r="V640" s="88">
        <f>IF(U640="",0,MAX(0,T640)+N640+ROUND(J640*[1]Setup!$B$9,0)+IF(O640&gt;[1]Setup!$B$10,ROUND(J640*[1]Setup!$B$11,0),0))</f>
        <v>0</v>
      </c>
      <c r="W640" s="85" t="str">
        <f>IF(L640="","Open",IF(OR(P640&lt;[1]Setup!$B$6,Q640&gt;[1]Setup!$B$7,R640&gt;[1]Setup!$B$8,O640&gt;[1]Setup!$B$10),"Review","OK"))</f>
        <v>Open</v>
      </c>
      <c r="X640" s="86"/>
      <c r="Z640" s="81" t="str">
        <f t="shared" si="112"/>
        <v/>
      </c>
    </row>
    <row r="641" spans="1:26" x14ac:dyDescent="0.3">
      <c r="A641" s="84"/>
      <c r="B641" s="100">
        <f t="shared" si="110"/>
        <v>0</v>
      </c>
      <c r="C641" s="84" t="str">
        <f t="shared" si="111"/>
        <v>January</v>
      </c>
      <c r="D641" s="85" t="str">
        <f t="shared" si="109"/>
        <v/>
      </c>
      <c r="E641" s="86"/>
      <c r="F641" s="86"/>
      <c r="G641" s="86"/>
      <c r="H641" s="86"/>
      <c r="I641" s="87" t="str">
        <f>IF(F641=0,"",IF(COUNTIF(F641,"Bao"),[1]Setup!$B$4,IF(COUNTIF(F641,"Soup Dumplings"),[1]Setup!$B$5,F641)))</f>
        <v/>
      </c>
      <c r="J641" s="88" t="str">
        <f t="shared" si="113"/>
        <v/>
      </c>
      <c r="K641" s="88"/>
      <c r="L641" s="87"/>
      <c r="M641" s="87"/>
      <c r="N641" s="87"/>
      <c r="O641" s="87"/>
      <c r="P641" s="89" t="str">
        <f t="shared" si="114"/>
        <v/>
      </c>
      <c r="Q641" s="89" t="str">
        <f t="shared" si="115"/>
        <v/>
      </c>
      <c r="R641" s="89" t="str">
        <f t="shared" si="116"/>
        <v/>
      </c>
      <c r="S641" s="88" t="str">
        <f>IF(F641="Bao",[1]Setup!$B$4,IF(F641="Soup Dumplings",[1]Setup!$B$5,""))</f>
        <v/>
      </c>
      <c r="T641" s="88" t="str">
        <f t="shared" si="117"/>
        <v/>
      </c>
      <c r="U641" s="84" t="str">
        <f t="shared" si="118"/>
        <v/>
      </c>
      <c r="V641" s="88">
        <f>IF(U641="",0,MAX(0,T641)+N641+ROUND(J641*[1]Setup!$B$9,0)+IF(O641&gt;[1]Setup!$B$10,ROUND(J641*[1]Setup!$B$11,0),0))</f>
        <v>0</v>
      </c>
      <c r="W641" s="85" t="str">
        <f>IF(L641="","Open",IF(OR(P641&lt;[1]Setup!$B$6,Q641&gt;[1]Setup!$B$7,R641&gt;[1]Setup!$B$8,O641&gt;[1]Setup!$B$10),"Review","OK"))</f>
        <v>Open</v>
      </c>
      <c r="X641" s="86"/>
      <c r="Z641" s="81" t="str">
        <f t="shared" si="112"/>
        <v/>
      </c>
    </row>
    <row r="642" spans="1:26" x14ac:dyDescent="0.3">
      <c r="A642" s="84"/>
      <c r="B642" s="100">
        <f t="shared" si="110"/>
        <v>0</v>
      </c>
      <c r="C642" s="84" t="str">
        <f t="shared" si="111"/>
        <v>January</v>
      </c>
      <c r="D642" s="85" t="str">
        <f t="shared" si="109"/>
        <v/>
      </c>
      <c r="E642" s="86"/>
      <c r="F642" s="86"/>
      <c r="G642" s="86"/>
      <c r="H642" s="86"/>
      <c r="I642" s="87" t="str">
        <f>IF(F642=0,"",IF(COUNTIF(F642,"Bao"),[1]Setup!$B$4,IF(COUNTIF(F642,"Soup Dumplings"),[1]Setup!$B$5,F642)))</f>
        <v/>
      </c>
      <c r="J642" s="88" t="str">
        <f t="shared" si="113"/>
        <v/>
      </c>
      <c r="K642" s="88"/>
      <c r="L642" s="87"/>
      <c r="M642" s="87"/>
      <c r="N642" s="87"/>
      <c r="O642" s="87"/>
      <c r="P642" s="89" t="str">
        <f t="shared" si="114"/>
        <v/>
      </c>
      <c r="Q642" s="89" t="str">
        <f t="shared" si="115"/>
        <v/>
      </c>
      <c r="R642" s="89" t="str">
        <f t="shared" si="116"/>
        <v/>
      </c>
      <c r="S642" s="88" t="str">
        <f>IF(F642="Bao",[1]Setup!$B$4,IF(F642="Soup Dumplings",[1]Setup!$B$5,""))</f>
        <v/>
      </c>
      <c r="T642" s="88" t="str">
        <f t="shared" si="117"/>
        <v/>
      </c>
      <c r="U642" s="84" t="str">
        <f t="shared" si="118"/>
        <v/>
      </c>
      <c r="V642" s="88">
        <f>IF(U642="",0,MAX(0,T642)+N642+ROUND(J642*[1]Setup!$B$9,0)+IF(O642&gt;[1]Setup!$B$10,ROUND(J642*[1]Setup!$B$11,0),0))</f>
        <v>0</v>
      </c>
      <c r="W642" s="85" t="str">
        <f>IF(L642="","Open",IF(OR(P642&lt;[1]Setup!$B$6,Q642&gt;[1]Setup!$B$7,R642&gt;[1]Setup!$B$8,O642&gt;[1]Setup!$B$10),"Review","OK"))</f>
        <v>Open</v>
      </c>
      <c r="X642" s="86"/>
      <c r="Z642" s="81" t="str">
        <f t="shared" si="112"/>
        <v/>
      </c>
    </row>
    <row r="643" spans="1:26" x14ac:dyDescent="0.3">
      <c r="A643" s="84"/>
      <c r="B643" s="100">
        <f t="shared" si="110"/>
        <v>0</v>
      </c>
      <c r="C643" s="84" t="str">
        <f t="shared" si="111"/>
        <v>January</v>
      </c>
      <c r="D643" s="85" t="str">
        <f t="shared" si="109"/>
        <v/>
      </c>
      <c r="E643" s="86"/>
      <c r="F643" s="86"/>
      <c r="G643" s="86"/>
      <c r="H643" s="86"/>
      <c r="I643" s="87" t="str">
        <f>IF(F643=0,"",IF(COUNTIF(F643,"Bao"),[1]Setup!$B$4,IF(COUNTIF(F643,"Soup Dumplings"),[1]Setup!$B$5,F643)))</f>
        <v/>
      </c>
      <c r="J643" s="88" t="str">
        <f t="shared" si="113"/>
        <v/>
      </c>
      <c r="K643" s="88"/>
      <c r="L643" s="87"/>
      <c r="M643" s="87"/>
      <c r="N643" s="87"/>
      <c r="O643" s="87"/>
      <c r="P643" s="89" t="str">
        <f t="shared" si="114"/>
        <v/>
      </c>
      <c r="Q643" s="89" t="str">
        <f t="shared" si="115"/>
        <v/>
      </c>
      <c r="R643" s="89" t="str">
        <f t="shared" si="116"/>
        <v/>
      </c>
      <c r="S643" s="88" t="str">
        <f>IF(F643="Bao",[1]Setup!$B$4,IF(F643="Soup Dumplings",[1]Setup!$B$5,""))</f>
        <v/>
      </c>
      <c r="T643" s="88" t="str">
        <f t="shared" si="117"/>
        <v/>
      </c>
      <c r="U643" s="84" t="str">
        <f t="shared" si="118"/>
        <v/>
      </c>
      <c r="V643" s="88">
        <f>IF(U643="",0,MAX(0,T643)+N643+ROUND(J643*[1]Setup!$B$9,0)+IF(O643&gt;[1]Setup!$B$10,ROUND(J643*[1]Setup!$B$11,0),0))</f>
        <v>0</v>
      </c>
      <c r="W643" s="85" t="str">
        <f>IF(L643="","Open",IF(OR(P643&lt;[1]Setup!$B$6,Q643&gt;[1]Setup!$B$7,R643&gt;[1]Setup!$B$8,O643&gt;[1]Setup!$B$10),"Review","OK"))</f>
        <v>Open</v>
      </c>
      <c r="X643" s="86"/>
      <c r="Z643" s="81" t="str">
        <f t="shared" si="112"/>
        <v/>
      </c>
    </row>
    <row r="644" spans="1:26" x14ac:dyDescent="0.3">
      <c r="A644" s="84"/>
      <c r="B644" s="100">
        <f t="shared" si="110"/>
        <v>0</v>
      </c>
      <c r="C644" s="84" t="str">
        <f t="shared" si="111"/>
        <v>January</v>
      </c>
      <c r="D644" s="85" t="str">
        <f t="shared" ref="D644:D707" si="119">IF(A644="","",TEXT(A644,"ddd"))</f>
        <v/>
      </c>
      <c r="E644" s="86"/>
      <c r="F644" s="86"/>
      <c r="G644" s="86"/>
      <c r="H644" s="86"/>
      <c r="I644" s="87" t="str">
        <f>IF(F644=0,"",IF(COUNTIF(F644,"Bao"),[1]Setup!$B$4,IF(COUNTIF(F644,"Soup Dumplings"),[1]Setup!$B$5,F644)))</f>
        <v/>
      </c>
      <c r="J644" s="88" t="str">
        <f t="shared" si="113"/>
        <v/>
      </c>
      <c r="K644" s="88"/>
      <c r="L644" s="87"/>
      <c r="M644" s="87"/>
      <c r="N644" s="87"/>
      <c r="O644" s="87"/>
      <c r="P644" s="89" t="str">
        <f t="shared" si="114"/>
        <v/>
      </c>
      <c r="Q644" s="89" t="str">
        <f t="shared" si="115"/>
        <v/>
      </c>
      <c r="R644" s="89" t="str">
        <f t="shared" si="116"/>
        <v/>
      </c>
      <c r="S644" s="88" t="str">
        <f>IF(F644="Bao",[1]Setup!$B$4,IF(F644="Soup Dumplings",[1]Setup!$B$5,""))</f>
        <v/>
      </c>
      <c r="T644" s="88" t="str">
        <f t="shared" si="117"/>
        <v/>
      </c>
      <c r="U644" s="84" t="str">
        <f t="shared" si="118"/>
        <v/>
      </c>
      <c r="V644" s="88">
        <f>IF(U644="",0,MAX(0,T644)+N644+ROUND(J644*[1]Setup!$B$9,0)+IF(O644&gt;[1]Setup!$B$10,ROUND(J644*[1]Setup!$B$11,0),0))</f>
        <v>0</v>
      </c>
      <c r="W644" s="85" t="str">
        <f>IF(L644="","Open",IF(OR(P644&lt;[1]Setup!$B$6,Q644&gt;[1]Setup!$B$7,R644&gt;[1]Setup!$B$8,O644&gt;[1]Setup!$B$10),"Review","OK"))</f>
        <v>Open</v>
      </c>
      <c r="X644" s="86"/>
      <c r="Z644" s="81" t="str">
        <f t="shared" si="112"/>
        <v/>
      </c>
    </row>
    <row r="645" spans="1:26" x14ac:dyDescent="0.3">
      <c r="A645" s="84"/>
      <c r="B645" s="100">
        <f t="shared" ref="B645:B708" si="120">+WEEKNUM(A645)</f>
        <v>0</v>
      </c>
      <c r="C645" s="84" t="str">
        <f t="shared" ref="C645:C708" si="121">+TEXT(A645,"mmmm")</f>
        <v>January</v>
      </c>
      <c r="D645" s="85" t="str">
        <f t="shared" si="119"/>
        <v/>
      </c>
      <c r="E645" s="86"/>
      <c r="F645" s="86"/>
      <c r="G645" s="86"/>
      <c r="H645" s="86"/>
      <c r="I645" s="87" t="str">
        <f>IF(F645=0,"",IF(COUNTIF(F645,"Bao"),[1]Setup!$B$4,IF(COUNTIF(F645,"Soup Dumplings"),[1]Setup!$B$5,F645)))</f>
        <v/>
      </c>
      <c r="J645" s="88" t="str">
        <f t="shared" si="113"/>
        <v/>
      </c>
      <c r="K645" s="88"/>
      <c r="L645" s="87"/>
      <c r="M645" s="87"/>
      <c r="N645" s="87"/>
      <c r="O645" s="87"/>
      <c r="P645" s="89" t="str">
        <f t="shared" si="114"/>
        <v/>
      </c>
      <c r="Q645" s="89" t="str">
        <f t="shared" si="115"/>
        <v/>
      </c>
      <c r="R645" s="89" t="str">
        <f t="shared" si="116"/>
        <v/>
      </c>
      <c r="S645" s="88" t="str">
        <f>IF(F645="Bao",[1]Setup!$B$4,IF(F645="Soup Dumplings",[1]Setup!$B$5,""))</f>
        <v/>
      </c>
      <c r="T645" s="88" t="str">
        <f t="shared" si="117"/>
        <v/>
      </c>
      <c r="U645" s="84" t="str">
        <f t="shared" si="118"/>
        <v/>
      </c>
      <c r="V645" s="88">
        <f>IF(U645="",0,MAX(0,T645)+N645+ROUND(J645*[1]Setup!$B$9,0)+IF(O645&gt;[1]Setup!$B$10,ROUND(J645*[1]Setup!$B$11,0),0))</f>
        <v>0</v>
      </c>
      <c r="W645" s="85" t="str">
        <f>IF(L645="","Open",IF(OR(P645&lt;[1]Setup!$B$6,Q645&gt;[1]Setup!$B$7,R645&gt;[1]Setup!$B$8,O645&gt;[1]Setup!$B$10),"Review","OK"))</f>
        <v>Open</v>
      </c>
      <c r="X645" s="86"/>
      <c r="Z645" s="81" t="str">
        <f t="shared" ref="Z645:Z708" si="122">+LEFT(F645,3)</f>
        <v/>
      </c>
    </row>
    <row r="646" spans="1:26" x14ac:dyDescent="0.3">
      <c r="A646" s="84"/>
      <c r="B646" s="100">
        <f t="shared" si="120"/>
        <v>0</v>
      </c>
      <c r="C646" s="84" t="str">
        <f t="shared" si="121"/>
        <v>January</v>
      </c>
      <c r="D646" s="85" t="str">
        <f t="shared" si="119"/>
        <v/>
      </c>
      <c r="E646" s="86"/>
      <c r="F646" s="86"/>
      <c r="G646" s="86"/>
      <c r="H646" s="86"/>
      <c r="I646" s="87" t="str">
        <f>IF(F646=0,"",IF(COUNTIF(F646,"Bao"),[1]Setup!$B$4,IF(COUNTIF(F646,"Soup Dumplings"),[1]Setup!$B$5,F646)))</f>
        <v/>
      </c>
      <c r="J646" s="88" t="str">
        <f t="shared" si="113"/>
        <v/>
      </c>
      <c r="K646" s="88"/>
      <c r="L646" s="87"/>
      <c r="M646" s="87"/>
      <c r="N646" s="87"/>
      <c r="O646" s="87"/>
      <c r="P646" s="89" t="str">
        <f t="shared" si="114"/>
        <v/>
      </c>
      <c r="Q646" s="89" t="str">
        <f t="shared" si="115"/>
        <v/>
      </c>
      <c r="R646" s="89" t="str">
        <f t="shared" si="116"/>
        <v/>
      </c>
      <c r="S646" s="88" t="str">
        <f>IF(F646="Bao",[1]Setup!$B$4,IF(F646="Soup Dumplings",[1]Setup!$B$5,""))</f>
        <v/>
      </c>
      <c r="T646" s="88" t="str">
        <f t="shared" si="117"/>
        <v/>
      </c>
      <c r="U646" s="84" t="str">
        <f t="shared" si="118"/>
        <v/>
      </c>
      <c r="V646" s="88">
        <f>IF(U646="",0,MAX(0,T646)+N646+ROUND(J646*[1]Setup!$B$9,0)+IF(O646&gt;[1]Setup!$B$10,ROUND(J646*[1]Setup!$B$11,0),0))</f>
        <v>0</v>
      </c>
      <c r="W646" s="85" t="str">
        <f>IF(L646="","Open",IF(OR(P646&lt;[1]Setup!$B$6,Q646&gt;[1]Setup!$B$7,R646&gt;[1]Setup!$B$8,O646&gt;[1]Setup!$B$10),"Review","OK"))</f>
        <v>Open</v>
      </c>
      <c r="X646" s="86"/>
      <c r="Z646" s="81" t="str">
        <f t="shared" si="122"/>
        <v/>
      </c>
    </row>
    <row r="647" spans="1:26" x14ac:dyDescent="0.3">
      <c r="A647" s="84"/>
      <c r="B647" s="100">
        <f t="shared" si="120"/>
        <v>0</v>
      </c>
      <c r="C647" s="84" t="str">
        <f t="shared" si="121"/>
        <v>January</v>
      </c>
      <c r="D647" s="85" t="str">
        <f t="shared" si="119"/>
        <v/>
      </c>
      <c r="E647" s="86"/>
      <c r="F647" s="86"/>
      <c r="G647" s="86"/>
      <c r="H647" s="86"/>
      <c r="I647" s="87" t="str">
        <f>IF(F647=0,"",IF(COUNTIF(F647,"Bao"),[1]Setup!$B$4,IF(COUNTIF(F647,"Soup Dumplings"),[1]Setup!$B$5,F647)))</f>
        <v/>
      </c>
      <c r="J647" s="88" t="str">
        <f t="shared" si="113"/>
        <v/>
      </c>
      <c r="K647" s="88"/>
      <c r="L647" s="87"/>
      <c r="M647" s="87"/>
      <c r="N647" s="87"/>
      <c r="O647" s="87"/>
      <c r="P647" s="89" t="str">
        <f t="shared" si="114"/>
        <v/>
      </c>
      <c r="Q647" s="89" t="str">
        <f t="shared" si="115"/>
        <v/>
      </c>
      <c r="R647" s="89" t="str">
        <f t="shared" si="116"/>
        <v/>
      </c>
      <c r="S647" s="88" t="str">
        <f>IF(F647="Bao",[1]Setup!$B$4,IF(F647="Soup Dumplings",[1]Setup!$B$5,""))</f>
        <v/>
      </c>
      <c r="T647" s="88" t="str">
        <f t="shared" si="117"/>
        <v/>
      </c>
      <c r="U647" s="84" t="str">
        <f t="shared" si="118"/>
        <v/>
      </c>
      <c r="V647" s="88">
        <f>IF(U647="",0,MAX(0,T647)+N647+ROUND(J647*[1]Setup!$B$9,0)+IF(O647&gt;[1]Setup!$B$10,ROUND(J647*[1]Setup!$B$11,0),0))</f>
        <v>0</v>
      </c>
      <c r="W647" s="85" t="str">
        <f>IF(L647="","Open",IF(OR(P647&lt;[1]Setup!$B$6,Q647&gt;[1]Setup!$B$7,R647&gt;[1]Setup!$B$8,O647&gt;[1]Setup!$B$10),"Review","OK"))</f>
        <v>Open</v>
      </c>
      <c r="X647" s="86"/>
      <c r="Z647" s="81" t="str">
        <f t="shared" si="122"/>
        <v/>
      </c>
    </row>
    <row r="648" spans="1:26" x14ac:dyDescent="0.3">
      <c r="A648" s="84"/>
      <c r="B648" s="100">
        <f t="shared" si="120"/>
        <v>0</v>
      </c>
      <c r="C648" s="84" t="str">
        <f t="shared" si="121"/>
        <v>January</v>
      </c>
      <c r="D648" s="85" t="str">
        <f t="shared" si="119"/>
        <v/>
      </c>
      <c r="E648" s="86"/>
      <c r="F648" s="86"/>
      <c r="G648" s="86"/>
      <c r="H648" s="86"/>
      <c r="I648" s="87" t="str">
        <f>IF(F648=0,"",IF(COUNTIF(F648,"Bao"),[1]Setup!$B$4,IF(COUNTIF(F648,"Soup Dumplings"),[1]Setup!$B$5,F648)))</f>
        <v/>
      </c>
      <c r="J648" s="88" t="str">
        <f t="shared" si="113"/>
        <v/>
      </c>
      <c r="K648" s="88"/>
      <c r="L648" s="87"/>
      <c r="M648" s="87"/>
      <c r="N648" s="87"/>
      <c r="O648" s="87"/>
      <c r="P648" s="89" t="str">
        <f t="shared" si="114"/>
        <v/>
      </c>
      <c r="Q648" s="89" t="str">
        <f t="shared" si="115"/>
        <v/>
      </c>
      <c r="R648" s="89" t="str">
        <f t="shared" si="116"/>
        <v/>
      </c>
      <c r="S648" s="88" t="str">
        <f>IF(F648="Bao",[1]Setup!$B$4,IF(F648="Soup Dumplings",[1]Setup!$B$5,""))</f>
        <v/>
      </c>
      <c r="T648" s="88" t="str">
        <f t="shared" si="117"/>
        <v/>
      </c>
      <c r="U648" s="84" t="str">
        <f t="shared" si="118"/>
        <v/>
      </c>
      <c r="V648" s="88">
        <f>IF(U648="",0,MAX(0,T648)+N648+ROUND(J648*[1]Setup!$B$9,0)+IF(O648&gt;[1]Setup!$B$10,ROUND(J648*[1]Setup!$B$11,0),0))</f>
        <v>0</v>
      </c>
      <c r="W648" s="85" t="str">
        <f>IF(L648="","Open",IF(OR(P648&lt;[1]Setup!$B$6,Q648&gt;[1]Setup!$B$7,R648&gt;[1]Setup!$B$8,O648&gt;[1]Setup!$B$10),"Review","OK"))</f>
        <v>Open</v>
      </c>
      <c r="X648" s="86"/>
      <c r="Z648" s="81" t="str">
        <f t="shared" si="122"/>
        <v/>
      </c>
    </row>
    <row r="649" spans="1:26" x14ac:dyDescent="0.3">
      <c r="A649" s="84"/>
      <c r="B649" s="100">
        <f t="shared" si="120"/>
        <v>0</v>
      </c>
      <c r="C649" s="84" t="str">
        <f t="shared" si="121"/>
        <v>January</v>
      </c>
      <c r="D649" s="85" t="str">
        <f t="shared" si="119"/>
        <v/>
      </c>
      <c r="E649" s="86"/>
      <c r="F649" s="86"/>
      <c r="G649" s="86"/>
      <c r="H649" s="86"/>
      <c r="I649" s="87" t="str">
        <f>IF(F649=0,"",IF(COUNTIF(F649,"Bao"),[1]Setup!$B$4,IF(COUNTIF(F649,"Soup Dumplings"),[1]Setup!$B$5,F649)))</f>
        <v/>
      </c>
      <c r="J649" s="88" t="str">
        <f t="shared" si="113"/>
        <v/>
      </c>
      <c r="K649" s="88"/>
      <c r="L649" s="87"/>
      <c r="M649" s="87"/>
      <c r="N649" s="87"/>
      <c r="O649" s="87"/>
      <c r="P649" s="89" t="str">
        <f t="shared" si="114"/>
        <v/>
      </c>
      <c r="Q649" s="89" t="str">
        <f t="shared" si="115"/>
        <v/>
      </c>
      <c r="R649" s="89" t="str">
        <f t="shared" si="116"/>
        <v/>
      </c>
      <c r="S649" s="88" t="str">
        <f>IF(F649="Bao",[1]Setup!$B$4,IF(F649="Soup Dumplings",[1]Setup!$B$5,""))</f>
        <v/>
      </c>
      <c r="T649" s="88" t="str">
        <f t="shared" si="117"/>
        <v/>
      </c>
      <c r="U649" s="84" t="str">
        <f t="shared" si="118"/>
        <v/>
      </c>
      <c r="V649" s="88">
        <f>IF(U649="",0,MAX(0,T649)+N649+ROUND(J649*[1]Setup!$B$9,0)+IF(O649&gt;[1]Setup!$B$10,ROUND(J649*[1]Setup!$B$11,0),0))</f>
        <v>0</v>
      </c>
      <c r="W649" s="85" t="str">
        <f>IF(L649="","Open",IF(OR(P649&lt;[1]Setup!$B$6,Q649&gt;[1]Setup!$B$7,R649&gt;[1]Setup!$B$8,O649&gt;[1]Setup!$B$10),"Review","OK"))</f>
        <v>Open</v>
      </c>
      <c r="X649" s="86"/>
      <c r="Z649" s="81" t="str">
        <f t="shared" si="122"/>
        <v/>
      </c>
    </row>
    <row r="650" spans="1:26" x14ac:dyDescent="0.3">
      <c r="A650" s="84"/>
      <c r="B650" s="100">
        <f t="shared" si="120"/>
        <v>0</v>
      </c>
      <c r="C650" s="84" t="str">
        <f t="shared" si="121"/>
        <v>January</v>
      </c>
      <c r="D650" s="85" t="str">
        <f t="shared" si="119"/>
        <v/>
      </c>
      <c r="E650" s="86"/>
      <c r="F650" s="86"/>
      <c r="G650" s="86"/>
      <c r="H650" s="86"/>
      <c r="I650" s="87" t="str">
        <f>IF(F650=0,"",IF(COUNTIF(F650,"Bao"),[1]Setup!$B$4,IF(COUNTIF(F650,"Soup Dumplings"),[1]Setup!$B$5,F650)))</f>
        <v/>
      </c>
      <c r="J650" s="88" t="str">
        <f t="shared" si="113"/>
        <v/>
      </c>
      <c r="K650" s="88"/>
      <c r="L650" s="87"/>
      <c r="M650" s="87"/>
      <c r="N650" s="87"/>
      <c r="O650" s="87"/>
      <c r="P650" s="89" t="str">
        <f t="shared" si="114"/>
        <v/>
      </c>
      <c r="Q650" s="89" t="str">
        <f t="shared" si="115"/>
        <v/>
      </c>
      <c r="R650" s="89" t="str">
        <f t="shared" si="116"/>
        <v/>
      </c>
      <c r="S650" s="88" t="str">
        <f>IF(F650="Bao",[1]Setup!$B$4,IF(F650="Soup Dumplings",[1]Setup!$B$5,""))</f>
        <v/>
      </c>
      <c r="T650" s="88" t="str">
        <f t="shared" si="117"/>
        <v/>
      </c>
      <c r="U650" s="84" t="str">
        <f t="shared" si="118"/>
        <v/>
      </c>
      <c r="V650" s="88">
        <f>IF(U650="",0,MAX(0,T650)+N650+ROUND(J650*[1]Setup!$B$9,0)+IF(O650&gt;[1]Setup!$B$10,ROUND(J650*[1]Setup!$B$11,0),0))</f>
        <v>0</v>
      </c>
      <c r="W650" s="85" t="str">
        <f>IF(L650="","Open",IF(OR(P650&lt;[1]Setup!$B$6,Q650&gt;[1]Setup!$B$7,R650&gt;[1]Setup!$B$8,O650&gt;[1]Setup!$B$10),"Review","OK"))</f>
        <v>Open</v>
      </c>
      <c r="X650" s="86"/>
      <c r="Z650" s="81" t="str">
        <f t="shared" si="122"/>
        <v/>
      </c>
    </row>
    <row r="651" spans="1:26" x14ac:dyDescent="0.3">
      <c r="A651" s="84"/>
      <c r="B651" s="100">
        <f t="shared" si="120"/>
        <v>0</v>
      </c>
      <c r="C651" s="84" t="str">
        <f t="shared" si="121"/>
        <v>January</v>
      </c>
      <c r="D651" s="85" t="str">
        <f t="shared" si="119"/>
        <v/>
      </c>
      <c r="E651" s="86"/>
      <c r="F651" s="86"/>
      <c r="G651" s="86"/>
      <c r="H651" s="86"/>
      <c r="I651" s="87" t="str">
        <f>IF(F651=0,"",IF(COUNTIF(F651,"Bao"),[1]Setup!$B$4,IF(COUNTIF(F651,"Soup Dumplings"),[1]Setup!$B$5,F651)))</f>
        <v/>
      </c>
      <c r="J651" s="88" t="str">
        <f t="shared" si="113"/>
        <v/>
      </c>
      <c r="K651" s="88"/>
      <c r="L651" s="87"/>
      <c r="M651" s="87"/>
      <c r="N651" s="87"/>
      <c r="O651" s="87"/>
      <c r="P651" s="89" t="str">
        <f t="shared" si="114"/>
        <v/>
      </c>
      <c r="Q651" s="89" t="str">
        <f t="shared" si="115"/>
        <v/>
      </c>
      <c r="R651" s="89" t="str">
        <f t="shared" si="116"/>
        <v/>
      </c>
      <c r="S651" s="88" t="str">
        <f>IF(F651="Bao",[1]Setup!$B$4,IF(F651="Soup Dumplings",[1]Setup!$B$5,""))</f>
        <v/>
      </c>
      <c r="T651" s="88" t="str">
        <f t="shared" si="117"/>
        <v/>
      </c>
      <c r="U651" s="84" t="str">
        <f t="shared" si="118"/>
        <v/>
      </c>
      <c r="V651" s="88">
        <f>IF(U651="",0,MAX(0,T651)+N651+ROUND(J651*[1]Setup!$B$9,0)+IF(O651&gt;[1]Setup!$B$10,ROUND(J651*[1]Setup!$B$11,0),0))</f>
        <v>0</v>
      </c>
      <c r="W651" s="85" t="str">
        <f>IF(L651="","Open",IF(OR(P651&lt;[1]Setup!$B$6,Q651&gt;[1]Setup!$B$7,R651&gt;[1]Setup!$B$8,O651&gt;[1]Setup!$B$10),"Review","OK"))</f>
        <v>Open</v>
      </c>
      <c r="X651" s="86"/>
      <c r="Z651" s="81" t="str">
        <f t="shared" si="122"/>
        <v/>
      </c>
    </row>
    <row r="652" spans="1:26" x14ac:dyDescent="0.3">
      <c r="A652" s="84"/>
      <c r="B652" s="100">
        <f t="shared" si="120"/>
        <v>0</v>
      </c>
      <c r="C652" s="84" t="str">
        <f t="shared" si="121"/>
        <v>January</v>
      </c>
      <c r="D652" s="85" t="str">
        <f t="shared" si="119"/>
        <v/>
      </c>
      <c r="E652" s="86"/>
      <c r="F652" s="86"/>
      <c r="G652" s="86"/>
      <c r="H652" s="86"/>
      <c r="I652" s="87" t="str">
        <f>IF(F652=0,"",IF(COUNTIF(F652,"Bao"),[1]Setup!$B$4,IF(COUNTIF(F652,"Soup Dumplings"),[1]Setup!$B$5,F652)))</f>
        <v/>
      </c>
      <c r="J652" s="88" t="str">
        <f t="shared" si="113"/>
        <v/>
      </c>
      <c r="K652" s="88"/>
      <c r="L652" s="87"/>
      <c r="M652" s="87"/>
      <c r="N652" s="87"/>
      <c r="O652" s="87"/>
      <c r="P652" s="89" t="str">
        <f t="shared" si="114"/>
        <v/>
      </c>
      <c r="Q652" s="89" t="str">
        <f t="shared" si="115"/>
        <v/>
      </c>
      <c r="R652" s="89" t="str">
        <f t="shared" si="116"/>
        <v/>
      </c>
      <c r="S652" s="88" t="str">
        <f>IF(F652="Bao",[1]Setup!$B$4,IF(F652="Soup Dumplings",[1]Setup!$B$5,""))</f>
        <v/>
      </c>
      <c r="T652" s="88" t="str">
        <f t="shared" si="117"/>
        <v/>
      </c>
      <c r="U652" s="84" t="str">
        <f t="shared" si="118"/>
        <v/>
      </c>
      <c r="V652" s="88">
        <f>IF(U652="",0,MAX(0,T652)+N652+ROUND(J652*[1]Setup!$B$9,0)+IF(O652&gt;[1]Setup!$B$10,ROUND(J652*[1]Setup!$B$11,0),0))</f>
        <v>0</v>
      </c>
      <c r="W652" s="85" t="str">
        <f>IF(L652="","Open",IF(OR(P652&lt;[1]Setup!$B$6,Q652&gt;[1]Setup!$B$7,R652&gt;[1]Setup!$B$8,O652&gt;[1]Setup!$B$10),"Review","OK"))</f>
        <v>Open</v>
      </c>
      <c r="X652" s="86"/>
      <c r="Z652" s="81" t="str">
        <f t="shared" si="122"/>
        <v/>
      </c>
    </row>
    <row r="653" spans="1:26" x14ac:dyDescent="0.3">
      <c r="A653" s="84"/>
      <c r="B653" s="100">
        <f t="shared" si="120"/>
        <v>0</v>
      </c>
      <c r="C653" s="84" t="str">
        <f t="shared" si="121"/>
        <v>January</v>
      </c>
      <c r="D653" s="85" t="str">
        <f t="shared" si="119"/>
        <v/>
      </c>
      <c r="E653" s="86"/>
      <c r="F653" s="86"/>
      <c r="G653" s="86"/>
      <c r="H653" s="86"/>
      <c r="I653" s="87" t="str">
        <f>IF(F653=0,"",IF(COUNTIF(F653,"Bao"),[1]Setup!$B$4,IF(COUNTIF(F653,"Soup Dumplings"),[1]Setup!$B$5,F653)))</f>
        <v/>
      </c>
      <c r="J653" s="88" t="str">
        <f t="shared" si="113"/>
        <v/>
      </c>
      <c r="K653" s="88"/>
      <c r="L653" s="87"/>
      <c r="M653" s="87"/>
      <c r="N653" s="87"/>
      <c r="O653" s="87"/>
      <c r="P653" s="89" t="str">
        <f t="shared" si="114"/>
        <v/>
      </c>
      <c r="Q653" s="89" t="str">
        <f t="shared" si="115"/>
        <v/>
      </c>
      <c r="R653" s="89" t="str">
        <f t="shared" si="116"/>
        <v/>
      </c>
      <c r="S653" s="88" t="str">
        <f>IF(F653="Bao",[1]Setup!$B$4,IF(F653="Soup Dumplings",[1]Setup!$B$5,""))</f>
        <v/>
      </c>
      <c r="T653" s="88" t="str">
        <f t="shared" si="117"/>
        <v/>
      </c>
      <c r="U653" s="84" t="str">
        <f t="shared" si="118"/>
        <v/>
      </c>
      <c r="V653" s="88">
        <f>IF(U653="",0,MAX(0,T653)+N653+ROUND(J653*[1]Setup!$B$9,0)+IF(O653&gt;[1]Setup!$B$10,ROUND(J653*[1]Setup!$B$11,0),0))</f>
        <v>0</v>
      </c>
      <c r="W653" s="85" t="str">
        <f>IF(L653="","Open",IF(OR(P653&lt;[1]Setup!$B$6,Q653&gt;[1]Setup!$B$7,R653&gt;[1]Setup!$B$8,O653&gt;[1]Setup!$B$10),"Review","OK"))</f>
        <v>Open</v>
      </c>
      <c r="X653" s="86"/>
      <c r="Z653" s="81" t="str">
        <f t="shared" si="122"/>
        <v/>
      </c>
    </row>
    <row r="654" spans="1:26" x14ac:dyDescent="0.3">
      <c r="A654" s="84"/>
      <c r="B654" s="100">
        <f t="shared" si="120"/>
        <v>0</v>
      </c>
      <c r="C654" s="84" t="str">
        <f t="shared" si="121"/>
        <v>January</v>
      </c>
      <c r="D654" s="85" t="str">
        <f t="shared" si="119"/>
        <v/>
      </c>
      <c r="E654" s="86"/>
      <c r="F654" s="86"/>
      <c r="G654" s="86"/>
      <c r="H654" s="86"/>
      <c r="I654" s="87" t="str">
        <f>IF(F654=0,"",IF(COUNTIF(F654,"Bao"),[1]Setup!$B$4,IF(COUNTIF(F654,"Soup Dumplings"),[1]Setup!$B$5,F654)))</f>
        <v/>
      </c>
      <c r="J654" s="88" t="str">
        <f t="shared" si="113"/>
        <v/>
      </c>
      <c r="K654" s="88"/>
      <c r="L654" s="87"/>
      <c r="M654" s="87"/>
      <c r="N654" s="87"/>
      <c r="O654" s="87"/>
      <c r="P654" s="89" t="str">
        <f t="shared" si="114"/>
        <v/>
      </c>
      <c r="Q654" s="89" t="str">
        <f t="shared" si="115"/>
        <v/>
      </c>
      <c r="R654" s="89" t="str">
        <f t="shared" si="116"/>
        <v/>
      </c>
      <c r="S654" s="88" t="str">
        <f>IF(F654="Bao",[1]Setup!$B$4,IF(F654="Soup Dumplings",[1]Setup!$B$5,""))</f>
        <v/>
      </c>
      <c r="T654" s="88" t="str">
        <f t="shared" si="117"/>
        <v/>
      </c>
      <c r="U654" s="84" t="str">
        <f t="shared" si="118"/>
        <v/>
      </c>
      <c r="V654" s="88">
        <f>IF(U654="",0,MAX(0,T654)+N654+ROUND(J654*[1]Setup!$B$9,0)+IF(O654&gt;[1]Setup!$B$10,ROUND(J654*[1]Setup!$B$11,0),0))</f>
        <v>0</v>
      </c>
      <c r="W654" s="85" t="str">
        <f>IF(L654="","Open",IF(OR(P654&lt;[1]Setup!$B$6,Q654&gt;[1]Setup!$B$7,R654&gt;[1]Setup!$B$8,O654&gt;[1]Setup!$B$10),"Review","OK"))</f>
        <v>Open</v>
      </c>
      <c r="X654" s="86"/>
      <c r="Z654" s="81" t="str">
        <f t="shared" si="122"/>
        <v/>
      </c>
    </row>
    <row r="655" spans="1:26" x14ac:dyDescent="0.3">
      <c r="A655" s="84"/>
      <c r="B655" s="100">
        <f t="shared" si="120"/>
        <v>0</v>
      </c>
      <c r="C655" s="84" t="str">
        <f t="shared" si="121"/>
        <v>January</v>
      </c>
      <c r="D655" s="85" t="str">
        <f t="shared" si="119"/>
        <v/>
      </c>
      <c r="E655" s="86"/>
      <c r="F655" s="86"/>
      <c r="G655" s="86"/>
      <c r="H655" s="86"/>
      <c r="I655" s="87" t="str">
        <f>IF(F655=0,"",IF(COUNTIF(F655,"Bao"),[1]Setup!$B$4,IF(COUNTIF(F655,"Soup Dumplings"),[1]Setup!$B$5,F655)))</f>
        <v/>
      </c>
      <c r="J655" s="88" t="str">
        <f t="shared" si="113"/>
        <v/>
      </c>
      <c r="K655" s="88"/>
      <c r="L655" s="87"/>
      <c r="M655" s="87"/>
      <c r="N655" s="87"/>
      <c r="O655" s="87"/>
      <c r="P655" s="89" t="str">
        <f t="shared" si="114"/>
        <v/>
      </c>
      <c r="Q655" s="89" t="str">
        <f t="shared" si="115"/>
        <v/>
      </c>
      <c r="R655" s="89" t="str">
        <f t="shared" si="116"/>
        <v/>
      </c>
      <c r="S655" s="88" t="str">
        <f>IF(F655="Bao",[1]Setup!$B$4,IF(F655="Soup Dumplings",[1]Setup!$B$5,""))</f>
        <v/>
      </c>
      <c r="T655" s="88" t="str">
        <f t="shared" si="117"/>
        <v/>
      </c>
      <c r="U655" s="84" t="str">
        <f t="shared" si="118"/>
        <v/>
      </c>
      <c r="V655" s="88">
        <f>IF(U655="",0,MAX(0,T655)+N655+ROUND(J655*[1]Setup!$B$9,0)+IF(O655&gt;[1]Setup!$B$10,ROUND(J655*[1]Setup!$B$11,0),0))</f>
        <v>0</v>
      </c>
      <c r="W655" s="85" t="str">
        <f>IF(L655="","Open",IF(OR(P655&lt;[1]Setup!$B$6,Q655&gt;[1]Setup!$B$7,R655&gt;[1]Setup!$B$8,O655&gt;[1]Setup!$B$10),"Review","OK"))</f>
        <v>Open</v>
      </c>
      <c r="X655" s="86"/>
      <c r="Z655" s="81" t="str">
        <f t="shared" si="122"/>
        <v/>
      </c>
    </row>
    <row r="656" spans="1:26" x14ac:dyDescent="0.3">
      <c r="A656" s="84"/>
      <c r="B656" s="100">
        <f t="shared" si="120"/>
        <v>0</v>
      </c>
      <c r="C656" s="84" t="str">
        <f t="shared" si="121"/>
        <v>January</v>
      </c>
      <c r="D656" s="85" t="str">
        <f t="shared" si="119"/>
        <v/>
      </c>
      <c r="E656" s="86"/>
      <c r="F656" s="86"/>
      <c r="G656" s="86"/>
      <c r="H656" s="86"/>
      <c r="I656" s="87" t="str">
        <f>IF(F656=0,"",IF(COUNTIF(F656,"Bao"),[1]Setup!$B$4,IF(COUNTIF(F656,"Soup Dumplings"),[1]Setup!$B$5,F656)))</f>
        <v/>
      </c>
      <c r="J656" s="88" t="str">
        <f t="shared" si="113"/>
        <v/>
      </c>
      <c r="K656" s="88"/>
      <c r="L656" s="87"/>
      <c r="M656" s="87"/>
      <c r="N656" s="87"/>
      <c r="O656" s="87"/>
      <c r="P656" s="89" t="str">
        <f t="shared" si="114"/>
        <v/>
      </c>
      <c r="Q656" s="89" t="str">
        <f t="shared" si="115"/>
        <v/>
      </c>
      <c r="R656" s="89" t="str">
        <f t="shared" si="116"/>
        <v/>
      </c>
      <c r="S656" s="88" t="str">
        <f>IF(F656="Bao",[1]Setup!$B$4,IF(F656="Soup Dumplings",[1]Setup!$B$5,""))</f>
        <v/>
      </c>
      <c r="T656" s="88" t="str">
        <f t="shared" si="117"/>
        <v/>
      </c>
      <c r="U656" s="84" t="str">
        <f t="shared" si="118"/>
        <v/>
      </c>
      <c r="V656" s="88">
        <f>IF(U656="",0,MAX(0,T656)+N656+ROUND(J656*[1]Setup!$B$9,0)+IF(O656&gt;[1]Setup!$B$10,ROUND(J656*[1]Setup!$B$11,0),0))</f>
        <v>0</v>
      </c>
      <c r="W656" s="85" t="str">
        <f>IF(L656="","Open",IF(OR(P656&lt;[1]Setup!$B$6,Q656&gt;[1]Setup!$B$7,R656&gt;[1]Setup!$B$8,O656&gt;[1]Setup!$B$10),"Review","OK"))</f>
        <v>Open</v>
      </c>
      <c r="X656" s="86"/>
      <c r="Z656" s="81" t="str">
        <f t="shared" si="122"/>
        <v/>
      </c>
    </row>
    <row r="657" spans="1:26" x14ac:dyDescent="0.3">
      <c r="A657" s="84"/>
      <c r="B657" s="100">
        <f t="shared" si="120"/>
        <v>0</v>
      </c>
      <c r="C657" s="84" t="str">
        <f t="shared" si="121"/>
        <v>January</v>
      </c>
      <c r="D657" s="85" t="str">
        <f t="shared" si="119"/>
        <v/>
      </c>
      <c r="E657" s="86"/>
      <c r="F657" s="86"/>
      <c r="G657" s="86"/>
      <c r="H657" s="86"/>
      <c r="I657" s="87" t="str">
        <f>IF(F657=0,"",IF(COUNTIF(F657,"Bao"),[1]Setup!$B$4,IF(COUNTIF(F657,"Soup Dumplings"),[1]Setup!$B$5,F657)))</f>
        <v/>
      </c>
      <c r="J657" s="88" t="str">
        <f t="shared" si="113"/>
        <v/>
      </c>
      <c r="K657" s="88"/>
      <c r="L657" s="87"/>
      <c r="M657" s="87"/>
      <c r="N657" s="87"/>
      <c r="O657" s="87"/>
      <c r="P657" s="89" t="str">
        <f t="shared" si="114"/>
        <v/>
      </c>
      <c r="Q657" s="89" t="str">
        <f t="shared" si="115"/>
        <v/>
      </c>
      <c r="R657" s="89" t="str">
        <f t="shared" si="116"/>
        <v/>
      </c>
      <c r="S657" s="88" t="str">
        <f>IF(F657="Bao",[1]Setup!$B$4,IF(F657="Soup Dumplings",[1]Setup!$B$5,""))</f>
        <v/>
      </c>
      <c r="T657" s="88" t="str">
        <f t="shared" si="117"/>
        <v/>
      </c>
      <c r="U657" s="84" t="str">
        <f t="shared" si="118"/>
        <v/>
      </c>
      <c r="V657" s="88">
        <f>IF(U657="",0,MAX(0,T657)+N657+ROUND(J657*[1]Setup!$B$9,0)+IF(O657&gt;[1]Setup!$B$10,ROUND(J657*[1]Setup!$B$11,0),0))</f>
        <v>0</v>
      </c>
      <c r="W657" s="85" t="str">
        <f>IF(L657="","Open",IF(OR(P657&lt;[1]Setup!$B$6,Q657&gt;[1]Setup!$B$7,R657&gt;[1]Setup!$B$8,O657&gt;[1]Setup!$B$10),"Review","OK"))</f>
        <v>Open</v>
      </c>
      <c r="X657" s="86"/>
      <c r="Z657" s="81" t="str">
        <f t="shared" si="122"/>
        <v/>
      </c>
    </row>
    <row r="658" spans="1:26" x14ac:dyDescent="0.3">
      <c r="A658" s="84"/>
      <c r="B658" s="100">
        <f t="shared" si="120"/>
        <v>0</v>
      </c>
      <c r="C658" s="84" t="str">
        <f t="shared" si="121"/>
        <v>January</v>
      </c>
      <c r="D658" s="85" t="str">
        <f t="shared" si="119"/>
        <v/>
      </c>
      <c r="E658" s="86"/>
      <c r="F658" s="86"/>
      <c r="G658" s="86"/>
      <c r="H658" s="86"/>
      <c r="I658" s="87" t="str">
        <f>IF(F658=0,"",IF(COUNTIF(F658,"Bao"),[1]Setup!$B$4,IF(COUNTIF(F658,"Soup Dumplings"),[1]Setup!$B$5,F658)))</f>
        <v/>
      </c>
      <c r="J658" s="88" t="str">
        <f t="shared" si="113"/>
        <v/>
      </c>
      <c r="K658" s="88"/>
      <c r="L658" s="87"/>
      <c r="M658" s="87"/>
      <c r="N658" s="87"/>
      <c r="O658" s="87"/>
      <c r="P658" s="89" t="str">
        <f t="shared" si="114"/>
        <v/>
      </c>
      <c r="Q658" s="89" t="str">
        <f t="shared" si="115"/>
        <v/>
      </c>
      <c r="R658" s="89" t="str">
        <f t="shared" si="116"/>
        <v/>
      </c>
      <c r="S658" s="88" t="str">
        <f>IF(F658="Bao",[1]Setup!$B$4,IF(F658="Soup Dumplings",[1]Setup!$B$5,""))</f>
        <v/>
      </c>
      <c r="T658" s="88" t="str">
        <f t="shared" si="117"/>
        <v/>
      </c>
      <c r="U658" s="84" t="str">
        <f t="shared" si="118"/>
        <v/>
      </c>
      <c r="V658" s="88">
        <f>IF(U658="",0,MAX(0,T658)+N658+ROUND(J658*[1]Setup!$B$9,0)+IF(O658&gt;[1]Setup!$B$10,ROUND(J658*[1]Setup!$B$11,0),0))</f>
        <v>0</v>
      </c>
      <c r="W658" s="85" t="str">
        <f>IF(L658="","Open",IF(OR(P658&lt;[1]Setup!$B$6,Q658&gt;[1]Setup!$B$7,R658&gt;[1]Setup!$B$8,O658&gt;[1]Setup!$B$10),"Review","OK"))</f>
        <v>Open</v>
      </c>
      <c r="X658" s="86"/>
      <c r="Z658" s="81" t="str">
        <f t="shared" si="122"/>
        <v/>
      </c>
    </row>
    <row r="659" spans="1:26" x14ac:dyDescent="0.3">
      <c r="A659" s="84"/>
      <c r="B659" s="100">
        <f t="shared" si="120"/>
        <v>0</v>
      </c>
      <c r="C659" s="84" t="str">
        <f t="shared" si="121"/>
        <v>January</v>
      </c>
      <c r="D659" s="85" t="str">
        <f t="shared" si="119"/>
        <v/>
      </c>
      <c r="E659" s="86"/>
      <c r="F659" s="86"/>
      <c r="G659" s="86"/>
      <c r="H659" s="86"/>
      <c r="I659" s="87" t="str">
        <f>IF(F659=0,"",IF(COUNTIF(F659,"Bao"),[1]Setup!$B$4,IF(COUNTIF(F659,"Soup Dumplings"),[1]Setup!$B$5,F659)))</f>
        <v/>
      </c>
      <c r="J659" s="88" t="str">
        <f t="shared" si="113"/>
        <v/>
      </c>
      <c r="K659" s="88"/>
      <c r="L659" s="87"/>
      <c r="M659" s="87"/>
      <c r="N659" s="87"/>
      <c r="O659" s="87"/>
      <c r="P659" s="89" t="str">
        <f t="shared" si="114"/>
        <v/>
      </c>
      <c r="Q659" s="89" t="str">
        <f t="shared" si="115"/>
        <v/>
      </c>
      <c r="R659" s="89" t="str">
        <f t="shared" si="116"/>
        <v/>
      </c>
      <c r="S659" s="88" t="str">
        <f>IF(F659="Bao",[1]Setup!$B$4,IF(F659="Soup Dumplings",[1]Setup!$B$5,""))</f>
        <v/>
      </c>
      <c r="T659" s="88" t="str">
        <f t="shared" si="117"/>
        <v/>
      </c>
      <c r="U659" s="84" t="str">
        <f t="shared" si="118"/>
        <v/>
      </c>
      <c r="V659" s="88">
        <f>IF(U659="",0,MAX(0,T659)+N659+ROUND(J659*[1]Setup!$B$9,0)+IF(O659&gt;[1]Setup!$B$10,ROUND(J659*[1]Setup!$B$11,0),0))</f>
        <v>0</v>
      </c>
      <c r="W659" s="85" t="str">
        <f>IF(L659="","Open",IF(OR(P659&lt;[1]Setup!$B$6,Q659&gt;[1]Setup!$B$7,R659&gt;[1]Setup!$B$8,O659&gt;[1]Setup!$B$10),"Review","OK"))</f>
        <v>Open</v>
      </c>
      <c r="X659" s="86"/>
      <c r="Z659" s="81" t="str">
        <f t="shared" si="122"/>
        <v/>
      </c>
    </row>
    <row r="660" spans="1:26" x14ac:dyDescent="0.3">
      <c r="A660" s="84"/>
      <c r="B660" s="100">
        <f t="shared" si="120"/>
        <v>0</v>
      </c>
      <c r="C660" s="84" t="str">
        <f t="shared" si="121"/>
        <v>January</v>
      </c>
      <c r="D660" s="85" t="str">
        <f t="shared" si="119"/>
        <v/>
      </c>
      <c r="E660" s="86"/>
      <c r="F660" s="86"/>
      <c r="G660" s="86"/>
      <c r="H660" s="86"/>
      <c r="I660" s="87" t="str">
        <f>IF(F660=0,"",IF(COUNTIF(F660,"Bao"),[1]Setup!$B$4,IF(COUNTIF(F660,"Soup Dumplings"),[1]Setup!$B$5,F660)))</f>
        <v/>
      </c>
      <c r="J660" s="88" t="str">
        <f t="shared" si="113"/>
        <v/>
      </c>
      <c r="K660" s="88"/>
      <c r="L660" s="87"/>
      <c r="M660" s="87"/>
      <c r="N660" s="87"/>
      <c r="O660" s="87"/>
      <c r="P660" s="89" t="str">
        <f t="shared" si="114"/>
        <v/>
      </c>
      <c r="Q660" s="89" t="str">
        <f t="shared" si="115"/>
        <v/>
      </c>
      <c r="R660" s="89" t="str">
        <f t="shared" si="116"/>
        <v/>
      </c>
      <c r="S660" s="88" t="str">
        <f>IF(F660="Bao",[1]Setup!$B$4,IF(F660="Soup Dumplings",[1]Setup!$B$5,""))</f>
        <v/>
      </c>
      <c r="T660" s="88" t="str">
        <f t="shared" si="117"/>
        <v/>
      </c>
      <c r="U660" s="84" t="str">
        <f t="shared" si="118"/>
        <v/>
      </c>
      <c r="V660" s="88">
        <f>IF(U660="",0,MAX(0,T660)+N660+ROUND(J660*[1]Setup!$B$9,0)+IF(O660&gt;[1]Setup!$B$10,ROUND(J660*[1]Setup!$B$11,0),0))</f>
        <v>0</v>
      </c>
      <c r="W660" s="85" t="str">
        <f>IF(L660="","Open",IF(OR(P660&lt;[1]Setup!$B$6,Q660&gt;[1]Setup!$B$7,R660&gt;[1]Setup!$B$8,O660&gt;[1]Setup!$B$10),"Review","OK"))</f>
        <v>Open</v>
      </c>
      <c r="X660" s="86"/>
      <c r="Z660" s="81" t="str">
        <f t="shared" si="122"/>
        <v/>
      </c>
    </row>
    <row r="661" spans="1:26" x14ac:dyDescent="0.3">
      <c r="A661" s="84"/>
      <c r="B661" s="100">
        <f t="shared" si="120"/>
        <v>0</v>
      </c>
      <c r="C661" s="84" t="str">
        <f t="shared" si="121"/>
        <v>January</v>
      </c>
      <c r="D661" s="85" t="str">
        <f t="shared" si="119"/>
        <v/>
      </c>
      <c r="E661" s="86"/>
      <c r="F661" s="86"/>
      <c r="G661" s="86"/>
      <c r="H661" s="86"/>
      <c r="I661" s="87" t="str">
        <f>IF(F661=0,"",IF(COUNTIF(F661,"Bao"),[1]Setup!$B$4,IF(COUNTIF(F661,"Soup Dumplings"),[1]Setup!$B$5,F661)))</f>
        <v/>
      </c>
      <c r="J661" s="88" t="str">
        <f t="shared" si="113"/>
        <v/>
      </c>
      <c r="K661" s="88"/>
      <c r="L661" s="87"/>
      <c r="M661" s="87"/>
      <c r="N661" s="87"/>
      <c r="O661" s="87"/>
      <c r="P661" s="89" t="str">
        <f t="shared" si="114"/>
        <v/>
      </c>
      <c r="Q661" s="89" t="str">
        <f t="shared" si="115"/>
        <v/>
      </c>
      <c r="R661" s="89" t="str">
        <f t="shared" si="116"/>
        <v/>
      </c>
      <c r="S661" s="88" t="str">
        <f>IF(F661="Bao",[1]Setup!$B$4,IF(F661="Soup Dumplings",[1]Setup!$B$5,""))</f>
        <v/>
      </c>
      <c r="T661" s="88" t="str">
        <f t="shared" si="117"/>
        <v/>
      </c>
      <c r="U661" s="84" t="str">
        <f t="shared" si="118"/>
        <v/>
      </c>
      <c r="V661" s="88">
        <f>IF(U661="",0,MAX(0,T661)+N661+ROUND(J661*[1]Setup!$B$9,0)+IF(O661&gt;[1]Setup!$B$10,ROUND(J661*[1]Setup!$B$11,0),0))</f>
        <v>0</v>
      </c>
      <c r="W661" s="85" t="str">
        <f>IF(L661="","Open",IF(OR(P661&lt;[1]Setup!$B$6,Q661&gt;[1]Setup!$B$7,R661&gt;[1]Setup!$B$8,O661&gt;[1]Setup!$B$10),"Review","OK"))</f>
        <v>Open</v>
      </c>
      <c r="X661" s="86"/>
      <c r="Z661" s="81" t="str">
        <f t="shared" si="122"/>
        <v/>
      </c>
    </row>
    <row r="662" spans="1:26" x14ac:dyDescent="0.3">
      <c r="A662" s="84"/>
      <c r="B662" s="100">
        <f t="shared" si="120"/>
        <v>0</v>
      </c>
      <c r="C662" s="84" t="str">
        <f t="shared" si="121"/>
        <v>January</v>
      </c>
      <c r="D662" s="85" t="str">
        <f t="shared" si="119"/>
        <v/>
      </c>
      <c r="E662" s="86"/>
      <c r="F662" s="86"/>
      <c r="G662" s="86"/>
      <c r="H662" s="86"/>
      <c r="I662" s="87" t="str">
        <f>IF(F662=0,"",IF(COUNTIF(F662,"Bao"),[1]Setup!$B$4,IF(COUNTIF(F662,"Soup Dumplings"),[1]Setup!$B$5,F662)))</f>
        <v/>
      </c>
      <c r="J662" s="88" t="str">
        <f t="shared" si="113"/>
        <v/>
      </c>
      <c r="K662" s="88"/>
      <c r="L662" s="87"/>
      <c r="M662" s="87"/>
      <c r="N662" s="87"/>
      <c r="O662" s="87"/>
      <c r="P662" s="89" t="str">
        <f t="shared" si="114"/>
        <v/>
      </c>
      <c r="Q662" s="89" t="str">
        <f t="shared" si="115"/>
        <v/>
      </c>
      <c r="R662" s="89" t="str">
        <f t="shared" si="116"/>
        <v/>
      </c>
      <c r="S662" s="88" t="str">
        <f>IF(F662="Bao",[1]Setup!$B$4,IF(F662="Soup Dumplings",[1]Setup!$B$5,""))</f>
        <v/>
      </c>
      <c r="T662" s="88" t="str">
        <f t="shared" si="117"/>
        <v/>
      </c>
      <c r="U662" s="84" t="str">
        <f t="shared" si="118"/>
        <v/>
      </c>
      <c r="V662" s="88">
        <f>IF(U662="",0,MAX(0,T662)+N662+ROUND(J662*[1]Setup!$B$9,0)+IF(O662&gt;[1]Setup!$B$10,ROUND(J662*[1]Setup!$B$11,0),0))</f>
        <v>0</v>
      </c>
      <c r="W662" s="85" t="str">
        <f>IF(L662="","Open",IF(OR(P662&lt;[1]Setup!$B$6,Q662&gt;[1]Setup!$B$7,R662&gt;[1]Setup!$B$8,O662&gt;[1]Setup!$B$10),"Review","OK"))</f>
        <v>Open</v>
      </c>
      <c r="X662" s="86"/>
      <c r="Z662" s="81" t="str">
        <f t="shared" si="122"/>
        <v/>
      </c>
    </row>
    <row r="663" spans="1:26" x14ac:dyDescent="0.3">
      <c r="A663" s="84"/>
      <c r="B663" s="100">
        <f t="shared" si="120"/>
        <v>0</v>
      </c>
      <c r="C663" s="84" t="str">
        <f t="shared" si="121"/>
        <v>January</v>
      </c>
      <c r="D663" s="85" t="str">
        <f t="shared" si="119"/>
        <v/>
      </c>
      <c r="E663" s="86"/>
      <c r="F663" s="86"/>
      <c r="G663" s="86"/>
      <c r="H663" s="86"/>
      <c r="I663" s="87" t="str">
        <f>IF(F663=0,"",IF(COUNTIF(F663,"Bao"),[1]Setup!$B$4,IF(COUNTIF(F663,"Soup Dumplings"),[1]Setup!$B$5,F663)))</f>
        <v/>
      </c>
      <c r="J663" s="88" t="str">
        <f t="shared" si="113"/>
        <v/>
      </c>
      <c r="K663" s="88"/>
      <c r="L663" s="87"/>
      <c r="M663" s="87"/>
      <c r="N663" s="87"/>
      <c r="O663" s="87"/>
      <c r="P663" s="89" t="str">
        <f t="shared" si="114"/>
        <v/>
      </c>
      <c r="Q663" s="89" t="str">
        <f t="shared" si="115"/>
        <v/>
      </c>
      <c r="R663" s="89" t="str">
        <f t="shared" si="116"/>
        <v/>
      </c>
      <c r="S663" s="88" t="str">
        <f>IF(F663="Bao",[1]Setup!$B$4,IF(F663="Soup Dumplings",[1]Setup!$B$5,""))</f>
        <v/>
      </c>
      <c r="T663" s="88" t="str">
        <f t="shared" si="117"/>
        <v/>
      </c>
      <c r="U663" s="84" t="str">
        <f t="shared" si="118"/>
        <v/>
      </c>
      <c r="V663" s="88">
        <f>IF(U663="",0,MAX(0,T663)+N663+ROUND(J663*[1]Setup!$B$9,0)+IF(O663&gt;[1]Setup!$B$10,ROUND(J663*[1]Setup!$B$11,0),0))</f>
        <v>0</v>
      </c>
      <c r="W663" s="85" t="str">
        <f>IF(L663="","Open",IF(OR(P663&lt;[1]Setup!$B$6,Q663&gt;[1]Setup!$B$7,R663&gt;[1]Setup!$B$8,O663&gt;[1]Setup!$B$10),"Review","OK"))</f>
        <v>Open</v>
      </c>
      <c r="X663" s="86"/>
      <c r="Z663" s="81" t="str">
        <f t="shared" si="122"/>
        <v/>
      </c>
    </row>
    <row r="664" spans="1:26" x14ac:dyDescent="0.3">
      <c r="A664" s="84"/>
      <c r="B664" s="100">
        <f t="shared" si="120"/>
        <v>0</v>
      </c>
      <c r="C664" s="84" t="str">
        <f t="shared" si="121"/>
        <v>January</v>
      </c>
      <c r="D664" s="85" t="str">
        <f t="shared" si="119"/>
        <v/>
      </c>
      <c r="E664" s="86"/>
      <c r="F664" s="86"/>
      <c r="G664" s="86"/>
      <c r="H664" s="86"/>
      <c r="I664" s="87" t="str">
        <f>IF(F664=0,"",IF(COUNTIF(F664,"Bao"),[1]Setup!$B$4,IF(COUNTIF(F664,"Soup Dumplings"),[1]Setup!$B$5,F664)))</f>
        <v/>
      </c>
      <c r="J664" s="88" t="str">
        <f t="shared" si="113"/>
        <v/>
      </c>
      <c r="K664" s="88"/>
      <c r="L664" s="87"/>
      <c r="M664" s="87"/>
      <c r="N664" s="87"/>
      <c r="O664" s="87"/>
      <c r="P664" s="89" t="str">
        <f t="shared" si="114"/>
        <v/>
      </c>
      <c r="Q664" s="89" t="str">
        <f t="shared" si="115"/>
        <v/>
      </c>
      <c r="R664" s="89" t="str">
        <f t="shared" si="116"/>
        <v/>
      </c>
      <c r="S664" s="88" t="str">
        <f>IF(F664="Bao",[1]Setup!$B$4,IF(F664="Soup Dumplings",[1]Setup!$B$5,""))</f>
        <v/>
      </c>
      <c r="T664" s="88" t="str">
        <f t="shared" si="117"/>
        <v/>
      </c>
      <c r="U664" s="84" t="str">
        <f t="shared" si="118"/>
        <v/>
      </c>
      <c r="V664" s="88">
        <f>IF(U664="",0,MAX(0,T664)+N664+ROUND(J664*[1]Setup!$B$9,0)+IF(O664&gt;[1]Setup!$B$10,ROUND(J664*[1]Setup!$B$11,0),0))</f>
        <v>0</v>
      </c>
      <c r="W664" s="85" t="str">
        <f>IF(L664="","Open",IF(OR(P664&lt;[1]Setup!$B$6,Q664&gt;[1]Setup!$B$7,R664&gt;[1]Setup!$B$8,O664&gt;[1]Setup!$B$10),"Review","OK"))</f>
        <v>Open</v>
      </c>
      <c r="X664" s="86"/>
      <c r="Z664" s="81" t="str">
        <f t="shared" si="122"/>
        <v/>
      </c>
    </row>
    <row r="665" spans="1:26" x14ac:dyDescent="0.3">
      <c r="A665" s="84"/>
      <c r="B665" s="100">
        <f t="shared" si="120"/>
        <v>0</v>
      </c>
      <c r="C665" s="84" t="str">
        <f t="shared" si="121"/>
        <v>January</v>
      </c>
      <c r="D665" s="85" t="str">
        <f t="shared" si="119"/>
        <v/>
      </c>
      <c r="E665" s="86"/>
      <c r="F665" s="86"/>
      <c r="G665" s="86"/>
      <c r="H665" s="86"/>
      <c r="I665" s="87" t="str">
        <f>IF(F665=0,"",IF(COUNTIF(F665,"Bao"),[1]Setup!$B$4,IF(COUNTIF(F665,"Soup Dumplings"),[1]Setup!$B$5,F665)))</f>
        <v/>
      </c>
      <c r="J665" s="88" t="str">
        <f t="shared" si="113"/>
        <v/>
      </c>
      <c r="K665" s="88"/>
      <c r="L665" s="87"/>
      <c r="M665" s="87"/>
      <c r="N665" s="87"/>
      <c r="O665" s="87"/>
      <c r="P665" s="89" t="str">
        <f t="shared" si="114"/>
        <v/>
      </c>
      <c r="Q665" s="89" t="str">
        <f t="shared" si="115"/>
        <v/>
      </c>
      <c r="R665" s="89" t="str">
        <f t="shared" si="116"/>
        <v/>
      </c>
      <c r="S665" s="88" t="str">
        <f>IF(F665="Bao",[1]Setup!$B$4,IF(F665="Soup Dumplings",[1]Setup!$B$5,""))</f>
        <v/>
      </c>
      <c r="T665" s="88" t="str">
        <f t="shared" si="117"/>
        <v/>
      </c>
      <c r="U665" s="84" t="str">
        <f t="shared" si="118"/>
        <v/>
      </c>
      <c r="V665" s="88">
        <f>IF(U665="",0,MAX(0,T665)+N665+ROUND(J665*[1]Setup!$B$9,0)+IF(O665&gt;[1]Setup!$B$10,ROUND(J665*[1]Setup!$B$11,0),0))</f>
        <v>0</v>
      </c>
      <c r="W665" s="85" t="str">
        <f>IF(L665="","Open",IF(OR(P665&lt;[1]Setup!$B$6,Q665&gt;[1]Setup!$B$7,R665&gt;[1]Setup!$B$8,O665&gt;[1]Setup!$B$10),"Review","OK"))</f>
        <v>Open</v>
      </c>
      <c r="X665" s="86"/>
      <c r="Z665" s="81" t="str">
        <f t="shared" si="122"/>
        <v/>
      </c>
    </row>
    <row r="666" spans="1:26" x14ac:dyDescent="0.3">
      <c r="A666" s="84"/>
      <c r="B666" s="100">
        <f t="shared" si="120"/>
        <v>0</v>
      </c>
      <c r="C666" s="84" t="str">
        <f t="shared" si="121"/>
        <v>January</v>
      </c>
      <c r="D666" s="85" t="str">
        <f t="shared" si="119"/>
        <v/>
      </c>
      <c r="E666" s="86"/>
      <c r="F666" s="86"/>
      <c r="G666" s="86"/>
      <c r="H666" s="86"/>
      <c r="I666" s="87" t="str">
        <f>IF(F666=0,"",IF(COUNTIF(F666,"Bao"),[1]Setup!$B$4,IF(COUNTIF(F666,"Soup Dumplings"),[1]Setup!$B$5,F666)))</f>
        <v/>
      </c>
      <c r="J666" s="88" t="str">
        <f t="shared" si="113"/>
        <v/>
      </c>
      <c r="K666" s="88"/>
      <c r="L666" s="87"/>
      <c r="M666" s="87"/>
      <c r="N666" s="87"/>
      <c r="O666" s="87"/>
      <c r="P666" s="89" t="str">
        <f t="shared" si="114"/>
        <v/>
      </c>
      <c r="Q666" s="89" t="str">
        <f t="shared" si="115"/>
        <v/>
      </c>
      <c r="R666" s="89" t="str">
        <f t="shared" si="116"/>
        <v/>
      </c>
      <c r="S666" s="88" t="str">
        <f>IF(F666="Bao",[1]Setup!$B$4,IF(F666="Soup Dumplings",[1]Setup!$B$5,""))</f>
        <v/>
      </c>
      <c r="T666" s="88" t="str">
        <f t="shared" si="117"/>
        <v/>
      </c>
      <c r="U666" s="84" t="str">
        <f t="shared" si="118"/>
        <v/>
      </c>
      <c r="V666" s="88">
        <f>IF(U666="",0,MAX(0,T666)+N666+ROUND(J666*[1]Setup!$B$9,0)+IF(O666&gt;[1]Setup!$B$10,ROUND(J666*[1]Setup!$B$11,0),0))</f>
        <v>0</v>
      </c>
      <c r="W666" s="85" t="str">
        <f>IF(L666="","Open",IF(OR(P666&lt;[1]Setup!$B$6,Q666&gt;[1]Setup!$B$7,R666&gt;[1]Setup!$B$8,O666&gt;[1]Setup!$B$10),"Review","OK"))</f>
        <v>Open</v>
      </c>
      <c r="X666" s="86"/>
      <c r="Z666" s="81" t="str">
        <f t="shared" si="122"/>
        <v/>
      </c>
    </row>
    <row r="667" spans="1:26" x14ac:dyDescent="0.3">
      <c r="A667" s="84"/>
      <c r="B667" s="100">
        <f t="shared" si="120"/>
        <v>0</v>
      </c>
      <c r="C667" s="84" t="str">
        <f t="shared" si="121"/>
        <v>January</v>
      </c>
      <c r="D667" s="85" t="str">
        <f t="shared" si="119"/>
        <v/>
      </c>
      <c r="E667" s="86"/>
      <c r="F667" s="86"/>
      <c r="G667" s="86"/>
      <c r="H667" s="86"/>
      <c r="I667" s="87" t="str">
        <f>IF(F667=0,"",IF(COUNTIF(F667,"Bao"),[1]Setup!$B$4,IF(COUNTIF(F667,"Soup Dumplings"),[1]Setup!$B$5,F667)))</f>
        <v/>
      </c>
      <c r="J667" s="88" t="str">
        <f t="shared" si="113"/>
        <v/>
      </c>
      <c r="K667" s="88"/>
      <c r="L667" s="87"/>
      <c r="M667" s="87"/>
      <c r="N667" s="87"/>
      <c r="O667" s="87"/>
      <c r="P667" s="89" t="str">
        <f t="shared" si="114"/>
        <v/>
      </c>
      <c r="Q667" s="89" t="str">
        <f t="shared" si="115"/>
        <v/>
      </c>
      <c r="R667" s="89" t="str">
        <f t="shared" si="116"/>
        <v/>
      </c>
      <c r="S667" s="88" t="str">
        <f>IF(F667="Bao",[1]Setup!$B$4,IF(F667="Soup Dumplings",[1]Setup!$B$5,""))</f>
        <v/>
      </c>
      <c r="T667" s="88" t="str">
        <f t="shared" si="117"/>
        <v/>
      </c>
      <c r="U667" s="84" t="str">
        <f t="shared" si="118"/>
        <v/>
      </c>
      <c r="V667" s="88">
        <f>IF(U667="",0,MAX(0,T667)+N667+ROUND(J667*[1]Setup!$B$9,0)+IF(O667&gt;[1]Setup!$B$10,ROUND(J667*[1]Setup!$B$11,0),0))</f>
        <v>0</v>
      </c>
      <c r="W667" s="85" t="str">
        <f>IF(L667="","Open",IF(OR(P667&lt;[1]Setup!$B$6,Q667&gt;[1]Setup!$B$7,R667&gt;[1]Setup!$B$8,O667&gt;[1]Setup!$B$10),"Review","OK"))</f>
        <v>Open</v>
      </c>
      <c r="X667" s="86"/>
      <c r="Z667" s="81" t="str">
        <f t="shared" si="122"/>
        <v/>
      </c>
    </row>
    <row r="668" spans="1:26" x14ac:dyDescent="0.3">
      <c r="A668" s="84"/>
      <c r="B668" s="100">
        <f t="shared" si="120"/>
        <v>0</v>
      </c>
      <c r="C668" s="84" t="str">
        <f t="shared" si="121"/>
        <v>January</v>
      </c>
      <c r="D668" s="85" t="str">
        <f t="shared" si="119"/>
        <v/>
      </c>
      <c r="E668" s="86"/>
      <c r="F668" s="86"/>
      <c r="G668" s="86"/>
      <c r="H668" s="86"/>
      <c r="I668" s="87" t="str">
        <f>IF(F668=0,"",IF(COUNTIF(F668,"Bao"),[1]Setup!$B$4,IF(COUNTIF(F668,"Soup Dumplings"),[1]Setup!$B$5,F668)))</f>
        <v/>
      </c>
      <c r="J668" s="88" t="str">
        <f t="shared" si="113"/>
        <v/>
      </c>
      <c r="K668" s="88"/>
      <c r="L668" s="87"/>
      <c r="M668" s="87"/>
      <c r="N668" s="87"/>
      <c r="O668" s="87"/>
      <c r="P668" s="89" t="str">
        <f t="shared" si="114"/>
        <v/>
      </c>
      <c r="Q668" s="89" t="str">
        <f t="shared" si="115"/>
        <v/>
      </c>
      <c r="R668" s="89" t="str">
        <f t="shared" si="116"/>
        <v/>
      </c>
      <c r="S668" s="88" t="str">
        <f>IF(F668="Bao",[1]Setup!$B$4,IF(F668="Soup Dumplings",[1]Setup!$B$5,""))</f>
        <v/>
      </c>
      <c r="T668" s="88" t="str">
        <f t="shared" si="117"/>
        <v/>
      </c>
      <c r="U668" s="84" t="str">
        <f t="shared" si="118"/>
        <v/>
      </c>
      <c r="V668" s="88">
        <f>IF(U668="",0,MAX(0,T668)+N668+ROUND(J668*[1]Setup!$B$9,0)+IF(O668&gt;[1]Setup!$B$10,ROUND(J668*[1]Setup!$B$11,0),0))</f>
        <v>0</v>
      </c>
      <c r="W668" s="85" t="str">
        <f>IF(L668="","Open",IF(OR(P668&lt;[1]Setup!$B$6,Q668&gt;[1]Setup!$B$7,R668&gt;[1]Setup!$B$8,O668&gt;[1]Setup!$B$10),"Review","OK"))</f>
        <v>Open</v>
      </c>
      <c r="X668" s="86"/>
      <c r="Z668" s="81" t="str">
        <f t="shared" si="122"/>
        <v/>
      </c>
    </row>
    <row r="669" spans="1:26" x14ac:dyDescent="0.3">
      <c r="A669" s="84"/>
      <c r="B669" s="100">
        <f t="shared" si="120"/>
        <v>0</v>
      </c>
      <c r="C669" s="84" t="str">
        <f t="shared" si="121"/>
        <v>January</v>
      </c>
      <c r="D669" s="85" t="str">
        <f t="shared" si="119"/>
        <v/>
      </c>
      <c r="E669" s="86"/>
      <c r="F669" s="86"/>
      <c r="G669" s="86"/>
      <c r="H669" s="86"/>
      <c r="I669" s="87" t="str">
        <f>IF(F669=0,"",IF(COUNTIF(F669,"Bao"),[1]Setup!$B$4,IF(COUNTIF(F669,"Soup Dumplings"),[1]Setup!$B$5,F669)))</f>
        <v/>
      </c>
      <c r="J669" s="88" t="str">
        <f t="shared" si="113"/>
        <v/>
      </c>
      <c r="K669" s="88"/>
      <c r="L669" s="87"/>
      <c r="M669" s="87"/>
      <c r="N669" s="87"/>
      <c r="O669" s="87"/>
      <c r="P669" s="89" t="str">
        <f t="shared" si="114"/>
        <v/>
      </c>
      <c r="Q669" s="89" t="str">
        <f t="shared" si="115"/>
        <v/>
      </c>
      <c r="R669" s="89" t="str">
        <f t="shared" si="116"/>
        <v/>
      </c>
      <c r="S669" s="88" t="str">
        <f>IF(F669="Bao",[1]Setup!$B$4,IF(F669="Soup Dumplings",[1]Setup!$B$5,""))</f>
        <v/>
      </c>
      <c r="T669" s="88" t="str">
        <f t="shared" si="117"/>
        <v/>
      </c>
      <c r="U669" s="84" t="str">
        <f t="shared" si="118"/>
        <v/>
      </c>
      <c r="V669" s="88">
        <f>IF(U669="",0,MAX(0,T669)+N669+ROUND(J669*[1]Setup!$B$9,0)+IF(O669&gt;[1]Setup!$B$10,ROUND(J669*[1]Setup!$B$11,0),0))</f>
        <v>0</v>
      </c>
      <c r="W669" s="85" t="str">
        <f>IF(L669="","Open",IF(OR(P669&lt;[1]Setup!$B$6,Q669&gt;[1]Setup!$B$7,R669&gt;[1]Setup!$B$8,O669&gt;[1]Setup!$B$10),"Review","OK"))</f>
        <v>Open</v>
      </c>
      <c r="X669" s="86"/>
      <c r="Z669" s="81" t="str">
        <f t="shared" si="122"/>
        <v/>
      </c>
    </row>
    <row r="670" spans="1:26" x14ac:dyDescent="0.3">
      <c r="A670" s="84"/>
      <c r="B670" s="100">
        <f t="shared" si="120"/>
        <v>0</v>
      </c>
      <c r="C670" s="84" t="str">
        <f t="shared" si="121"/>
        <v>January</v>
      </c>
      <c r="D670" s="85" t="str">
        <f t="shared" si="119"/>
        <v/>
      </c>
      <c r="E670" s="86"/>
      <c r="F670" s="86"/>
      <c r="G670" s="86"/>
      <c r="H670" s="86"/>
      <c r="I670" s="87" t="str">
        <f>IF(F670=0,"",IF(COUNTIF(F670,"Bao"),[1]Setup!$B$4,IF(COUNTIF(F670,"Soup Dumplings"),[1]Setup!$B$5,F670)))</f>
        <v/>
      </c>
      <c r="J670" s="88" t="str">
        <f t="shared" si="113"/>
        <v/>
      </c>
      <c r="K670" s="88"/>
      <c r="L670" s="87"/>
      <c r="M670" s="87"/>
      <c r="N670" s="87"/>
      <c r="O670" s="87"/>
      <c r="P670" s="89" t="str">
        <f t="shared" si="114"/>
        <v/>
      </c>
      <c r="Q670" s="89" t="str">
        <f t="shared" si="115"/>
        <v/>
      </c>
      <c r="R670" s="89" t="str">
        <f t="shared" si="116"/>
        <v/>
      </c>
      <c r="S670" s="88" t="str">
        <f>IF(F670="Bao",[1]Setup!$B$4,IF(F670="Soup Dumplings",[1]Setup!$B$5,""))</f>
        <v/>
      </c>
      <c r="T670" s="88" t="str">
        <f t="shared" si="117"/>
        <v/>
      </c>
      <c r="U670" s="84" t="str">
        <f t="shared" si="118"/>
        <v/>
      </c>
      <c r="V670" s="88">
        <f>IF(U670="",0,MAX(0,T670)+N670+ROUND(J670*[1]Setup!$B$9,0)+IF(O670&gt;[1]Setup!$B$10,ROUND(J670*[1]Setup!$B$11,0),0))</f>
        <v>0</v>
      </c>
      <c r="W670" s="85" t="str">
        <f>IF(L670="","Open",IF(OR(P670&lt;[1]Setup!$B$6,Q670&gt;[1]Setup!$B$7,R670&gt;[1]Setup!$B$8,O670&gt;[1]Setup!$B$10),"Review","OK"))</f>
        <v>Open</v>
      </c>
      <c r="X670" s="86"/>
      <c r="Z670" s="81" t="str">
        <f t="shared" si="122"/>
        <v/>
      </c>
    </row>
    <row r="671" spans="1:26" x14ac:dyDescent="0.3">
      <c r="A671" s="84"/>
      <c r="B671" s="100">
        <f t="shared" si="120"/>
        <v>0</v>
      </c>
      <c r="C671" s="84" t="str">
        <f t="shared" si="121"/>
        <v>January</v>
      </c>
      <c r="D671" s="85" t="str">
        <f t="shared" si="119"/>
        <v/>
      </c>
      <c r="E671" s="86"/>
      <c r="F671" s="86"/>
      <c r="G671" s="86"/>
      <c r="H671" s="86"/>
      <c r="I671" s="87" t="str">
        <f>IF(F671=0,"",IF(COUNTIF(F671,"Bao"),[1]Setup!$B$4,IF(COUNTIF(F671,"Soup Dumplings"),[1]Setup!$B$5,F671)))</f>
        <v/>
      </c>
      <c r="J671" s="88" t="str">
        <f t="shared" si="113"/>
        <v/>
      </c>
      <c r="K671" s="88"/>
      <c r="L671" s="87"/>
      <c r="M671" s="87"/>
      <c r="N671" s="87"/>
      <c r="O671" s="87"/>
      <c r="P671" s="89" t="str">
        <f t="shared" si="114"/>
        <v/>
      </c>
      <c r="Q671" s="89" t="str">
        <f t="shared" si="115"/>
        <v/>
      </c>
      <c r="R671" s="89" t="str">
        <f t="shared" si="116"/>
        <v/>
      </c>
      <c r="S671" s="88" t="str">
        <f>IF(F671="Bao",[1]Setup!$B$4,IF(F671="Soup Dumplings",[1]Setup!$B$5,""))</f>
        <v/>
      </c>
      <c r="T671" s="88" t="str">
        <f t="shared" si="117"/>
        <v/>
      </c>
      <c r="U671" s="84" t="str">
        <f t="shared" si="118"/>
        <v/>
      </c>
      <c r="V671" s="88">
        <f>IF(U671="",0,MAX(0,T671)+N671+ROUND(J671*[1]Setup!$B$9,0)+IF(O671&gt;[1]Setup!$B$10,ROUND(J671*[1]Setup!$B$11,0),0))</f>
        <v>0</v>
      </c>
      <c r="W671" s="85" t="str">
        <f>IF(L671="","Open",IF(OR(P671&lt;[1]Setup!$B$6,Q671&gt;[1]Setup!$B$7,R671&gt;[1]Setup!$B$8,O671&gt;[1]Setup!$B$10),"Review","OK"))</f>
        <v>Open</v>
      </c>
      <c r="X671" s="86"/>
      <c r="Z671" s="81" t="str">
        <f t="shared" si="122"/>
        <v/>
      </c>
    </row>
    <row r="672" spans="1:26" x14ac:dyDescent="0.3">
      <c r="A672" s="84"/>
      <c r="B672" s="100">
        <f t="shared" si="120"/>
        <v>0</v>
      </c>
      <c r="C672" s="84" t="str">
        <f t="shared" si="121"/>
        <v>January</v>
      </c>
      <c r="D672" s="85" t="str">
        <f t="shared" si="119"/>
        <v/>
      </c>
      <c r="E672" s="86"/>
      <c r="F672" s="86"/>
      <c r="G672" s="86"/>
      <c r="H672" s="86"/>
      <c r="I672" s="87" t="str">
        <f>IF(F672=0,"",IF(COUNTIF(F672,"Bao"),[1]Setup!$B$4,IF(COUNTIF(F672,"Soup Dumplings"),[1]Setup!$B$5,F672)))</f>
        <v/>
      </c>
      <c r="J672" s="88" t="str">
        <f t="shared" si="113"/>
        <v/>
      </c>
      <c r="K672" s="88"/>
      <c r="L672" s="87"/>
      <c r="M672" s="87"/>
      <c r="N672" s="87"/>
      <c r="O672" s="87"/>
      <c r="P672" s="89" t="str">
        <f t="shared" si="114"/>
        <v/>
      </c>
      <c r="Q672" s="89" t="str">
        <f t="shared" si="115"/>
        <v/>
      </c>
      <c r="R672" s="89" t="str">
        <f t="shared" si="116"/>
        <v/>
      </c>
      <c r="S672" s="88" t="str">
        <f>IF(F672="Bao",[1]Setup!$B$4,IF(F672="Soup Dumplings",[1]Setup!$B$5,""))</f>
        <v/>
      </c>
      <c r="T672" s="88" t="str">
        <f t="shared" si="117"/>
        <v/>
      </c>
      <c r="U672" s="84" t="str">
        <f t="shared" si="118"/>
        <v/>
      </c>
      <c r="V672" s="88">
        <f>IF(U672="",0,MAX(0,T672)+N672+ROUND(J672*[1]Setup!$B$9,0)+IF(O672&gt;[1]Setup!$B$10,ROUND(J672*[1]Setup!$B$11,0),0))</f>
        <v>0</v>
      </c>
      <c r="W672" s="85" t="str">
        <f>IF(L672="","Open",IF(OR(P672&lt;[1]Setup!$B$6,Q672&gt;[1]Setup!$B$7,R672&gt;[1]Setup!$B$8,O672&gt;[1]Setup!$B$10),"Review","OK"))</f>
        <v>Open</v>
      </c>
      <c r="X672" s="86"/>
      <c r="Z672" s="81" t="str">
        <f t="shared" si="122"/>
        <v/>
      </c>
    </row>
    <row r="673" spans="1:26" x14ac:dyDescent="0.3">
      <c r="A673" s="84"/>
      <c r="B673" s="100">
        <f t="shared" si="120"/>
        <v>0</v>
      </c>
      <c r="C673" s="84" t="str">
        <f t="shared" si="121"/>
        <v>January</v>
      </c>
      <c r="D673" s="85" t="str">
        <f t="shared" si="119"/>
        <v/>
      </c>
      <c r="E673" s="86"/>
      <c r="F673" s="86"/>
      <c r="G673" s="86"/>
      <c r="H673" s="86"/>
      <c r="I673" s="87" t="str">
        <f>IF(F673=0,"",IF(COUNTIF(F673,"Bao"),[1]Setup!$B$4,IF(COUNTIF(F673,"Soup Dumplings"),[1]Setup!$B$5,F673)))</f>
        <v/>
      </c>
      <c r="J673" s="88" t="str">
        <f t="shared" si="113"/>
        <v/>
      </c>
      <c r="K673" s="88"/>
      <c r="L673" s="87"/>
      <c r="M673" s="87"/>
      <c r="N673" s="87"/>
      <c r="O673" s="87"/>
      <c r="P673" s="89" t="str">
        <f t="shared" si="114"/>
        <v/>
      </c>
      <c r="Q673" s="89" t="str">
        <f t="shared" si="115"/>
        <v/>
      </c>
      <c r="R673" s="89" t="str">
        <f t="shared" si="116"/>
        <v/>
      </c>
      <c r="S673" s="88" t="str">
        <f>IF(F673="Bao",[1]Setup!$B$4,IF(F673="Soup Dumplings",[1]Setup!$B$5,""))</f>
        <v/>
      </c>
      <c r="T673" s="88" t="str">
        <f t="shared" si="117"/>
        <v/>
      </c>
      <c r="U673" s="84" t="str">
        <f t="shared" si="118"/>
        <v/>
      </c>
      <c r="V673" s="88">
        <f>IF(U673="",0,MAX(0,T673)+N673+ROUND(J673*[1]Setup!$B$9,0)+IF(O673&gt;[1]Setup!$B$10,ROUND(J673*[1]Setup!$B$11,0),0))</f>
        <v>0</v>
      </c>
      <c r="W673" s="85" t="str">
        <f>IF(L673="","Open",IF(OR(P673&lt;[1]Setup!$B$6,Q673&gt;[1]Setup!$B$7,R673&gt;[1]Setup!$B$8,O673&gt;[1]Setup!$B$10),"Review","OK"))</f>
        <v>Open</v>
      </c>
      <c r="X673" s="86"/>
      <c r="Z673" s="81" t="str">
        <f t="shared" si="122"/>
        <v/>
      </c>
    </row>
    <row r="674" spans="1:26" x14ac:dyDescent="0.3">
      <c r="A674" s="84"/>
      <c r="B674" s="100">
        <f t="shared" si="120"/>
        <v>0</v>
      </c>
      <c r="C674" s="84" t="str">
        <f t="shared" si="121"/>
        <v>January</v>
      </c>
      <c r="D674" s="85" t="str">
        <f t="shared" si="119"/>
        <v/>
      </c>
      <c r="E674" s="86"/>
      <c r="F674" s="86"/>
      <c r="G674" s="86"/>
      <c r="H674" s="86"/>
      <c r="I674" s="87" t="str">
        <f>IF(F674=0,"",IF(COUNTIF(F674,"Bao"),[1]Setup!$B$4,IF(COUNTIF(F674,"Soup Dumplings"),[1]Setup!$B$5,F674)))</f>
        <v/>
      </c>
      <c r="J674" s="88" t="str">
        <f t="shared" si="113"/>
        <v/>
      </c>
      <c r="K674" s="88"/>
      <c r="L674" s="87"/>
      <c r="M674" s="87"/>
      <c r="N674" s="87"/>
      <c r="O674" s="87"/>
      <c r="P674" s="89" t="str">
        <f t="shared" si="114"/>
        <v/>
      </c>
      <c r="Q674" s="89" t="str">
        <f t="shared" si="115"/>
        <v/>
      </c>
      <c r="R674" s="89" t="str">
        <f t="shared" si="116"/>
        <v/>
      </c>
      <c r="S674" s="88" t="str">
        <f>IF(F674="Bao",[1]Setup!$B$4,IF(F674="Soup Dumplings",[1]Setup!$B$5,""))</f>
        <v/>
      </c>
      <c r="T674" s="88" t="str">
        <f t="shared" si="117"/>
        <v/>
      </c>
      <c r="U674" s="84" t="str">
        <f t="shared" si="118"/>
        <v/>
      </c>
      <c r="V674" s="88">
        <f>IF(U674="",0,MAX(0,T674)+N674+ROUND(J674*[1]Setup!$B$9,0)+IF(O674&gt;[1]Setup!$B$10,ROUND(J674*[1]Setup!$B$11,0),0))</f>
        <v>0</v>
      </c>
      <c r="W674" s="85" t="str">
        <f>IF(L674="","Open",IF(OR(P674&lt;[1]Setup!$B$6,Q674&gt;[1]Setup!$B$7,R674&gt;[1]Setup!$B$8,O674&gt;[1]Setup!$B$10),"Review","OK"))</f>
        <v>Open</v>
      </c>
      <c r="X674" s="86"/>
      <c r="Z674" s="81" t="str">
        <f t="shared" si="122"/>
        <v/>
      </c>
    </row>
    <row r="675" spans="1:26" x14ac:dyDescent="0.3">
      <c r="A675" s="84"/>
      <c r="B675" s="100">
        <f t="shared" si="120"/>
        <v>0</v>
      </c>
      <c r="C675" s="84" t="str">
        <f t="shared" si="121"/>
        <v>January</v>
      </c>
      <c r="D675" s="85" t="str">
        <f t="shared" si="119"/>
        <v/>
      </c>
      <c r="E675" s="86"/>
      <c r="F675" s="86"/>
      <c r="G675" s="86"/>
      <c r="H675" s="86"/>
      <c r="I675" s="87" t="str">
        <f>IF(F675=0,"",IF(COUNTIF(F675,"Bao"),[1]Setup!$B$4,IF(COUNTIF(F675,"Soup Dumplings"),[1]Setup!$B$5,F675)))</f>
        <v/>
      </c>
      <c r="J675" s="88" t="str">
        <f t="shared" si="113"/>
        <v/>
      </c>
      <c r="K675" s="88"/>
      <c r="L675" s="87"/>
      <c r="M675" s="87"/>
      <c r="N675" s="87"/>
      <c r="O675" s="87"/>
      <c r="P675" s="89" t="str">
        <f t="shared" si="114"/>
        <v/>
      </c>
      <c r="Q675" s="89" t="str">
        <f t="shared" si="115"/>
        <v/>
      </c>
      <c r="R675" s="89" t="str">
        <f t="shared" si="116"/>
        <v/>
      </c>
      <c r="S675" s="88" t="str">
        <f>IF(F675="Bao",[1]Setup!$B$4,IF(F675="Soup Dumplings",[1]Setup!$B$5,""))</f>
        <v/>
      </c>
      <c r="T675" s="88" t="str">
        <f t="shared" si="117"/>
        <v/>
      </c>
      <c r="U675" s="84" t="str">
        <f t="shared" si="118"/>
        <v/>
      </c>
      <c r="V675" s="88">
        <f>IF(U675="",0,MAX(0,T675)+N675+ROUND(J675*[1]Setup!$B$9,0)+IF(O675&gt;[1]Setup!$B$10,ROUND(J675*[1]Setup!$B$11,0),0))</f>
        <v>0</v>
      </c>
      <c r="W675" s="85" t="str">
        <f>IF(L675="","Open",IF(OR(P675&lt;[1]Setup!$B$6,Q675&gt;[1]Setup!$B$7,R675&gt;[1]Setup!$B$8,O675&gt;[1]Setup!$B$10),"Review","OK"))</f>
        <v>Open</v>
      </c>
      <c r="X675" s="86"/>
      <c r="Z675" s="81" t="str">
        <f t="shared" si="122"/>
        <v/>
      </c>
    </row>
    <row r="676" spans="1:26" x14ac:dyDescent="0.3">
      <c r="A676" s="84"/>
      <c r="B676" s="100">
        <f t="shared" si="120"/>
        <v>0</v>
      </c>
      <c r="C676" s="84" t="str">
        <f t="shared" si="121"/>
        <v>January</v>
      </c>
      <c r="D676" s="85" t="str">
        <f t="shared" si="119"/>
        <v/>
      </c>
      <c r="E676" s="86"/>
      <c r="F676" s="86"/>
      <c r="G676" s="86"/>
      <c r="H676" s="86"/>
      <c r="I676" s="87" t="str">
        <f>IF(F676=0,"",IF(COUNTIF(F676,"Bao"),[1]Setup!$B$4,IF(COUNTIF(F676,"Soup Dumplings"),[1]Setup!$B$5,F676)))</f>
        <v/>
      </c>
      <c r="J676" s="88" t="str">
        <f t="shared" si="113"/>
        <v/>
      </c>
      <c r="K676" s="88"/>
      <c r="L676" s="87"/>
      <c r="M676" s="87"/>
      <c r="N676" s="87"/>
      <c r="O676" s="87"/>
      <c r="P676" s="89" t="str">
        <f t="shared" si="114"/>
        <v/>
      </c>
      <c r="Q676" s="89" t="str">
        <f t="shared" si="115"/>
        <v/>
      </c>
      <c r="R676" s="89" t="str">
        <f t="shared" si="116"/>
        <v/>
      </c>
      <c r="S676" s="88" t="str">
        <f>IF(F676="Bao",[1]Setup!$B$4,IF(F676="Soup Dumplings",[1]Setup!$B$5,""))</f>
        <v/>
      </c>
      <c r="T676" s="88" t="str">
        <f t="shared" si="117"/>
        <v/>
      </c>
      <c r="U676" s="84" t="str">
        <f t="shared" si="118"/>
        <v/>
      </c>
      <c r="V676" s="88">
        <f>IF(U676="",0,MAX(0,T676)+N676+ROUND(J676*[1]Setup!$B$9,0)+IF(O676&gt;[1]Setup!$B$10,ROUND(J676*[1]Setup!$B$11,0),0))</f>
        <v>0</v>
      </c>
      <c r="W676" s="85" t="str">
        <f>IF(L676="","Open",IF(OR(P676&lt;[1]Setup!$B$6,Q676&gt;[1]Setup!$B$7,R676&gt;[1]Setup!$B$8,O676&gt;[1]Setup!$B$10),"Review","OK"))</f>
        <v>Open</v>
      </c>
      <c r="X676" s="86"/>
      <c r="Z676" s="81" t="str">
        <f t="shared" si="122"/>
        <v/>
      </c>
    </row>
    <row r="677" spans="1:26" x14ac:dyDescent="0.3">
      <c r="A677" s="84"/>
      <c r="B677" s="100">
        <f t="shared" si="120"/>
        <v>0</v>
      </c>
      <c r="C677" s="84" t="str">
        <f t="shared" si="121"/>
        <v>January</v>
      </c>
      <c r="D677" s="85" t="str">
        <f t="shared" si="119"/>
        <v/>
      </c>
      <c r="E677" s="86"/>
      <c r="F677" s="86"/>
      <c r="G677" s="86"/>
      <c r="H677" s="86"/>
      <c r="I677" s="87" t="str">
        <f>IF(F677=0,"",IF(COUNTIF(F677,"Bao"),[1]Setup!$B$4,IF(COUNTIF(F677,"Soup Dumplings"),[1]Setup!$B$5,F677)))</f>
        <v/>
      </c>
      <c r="J677" s="88" t="str">
        <f t="shared" si="113"/>
        <v/>
      </c>
      <c r="K677" s="88"/>
      <c r="L677" s="87"/>
      <c r="M677" s="87"/>
      <c r="N677" s="87"/>
      <c r="O677" s="87"/>
      <c r="P677" s="89" t="str">
        <f t="shared" si="114"/>
        <v/>
      </c>
      <c r="Q677" s="89" t="str">
        <f t="shared" si="115"/>
        <v/>
      </c>
      <c r="R677" s="89" t="str">
        <f t="shared" si="116"/>
        <v/>
      </c>
      <c r="S677" s="88" t="str">
        <f>IF(F677="Bao",[1]Setup!$B$4,IF(F677="Soup Dumplings",[1]Setup!$B$5,""))</f>
        <v/>
      </c>
      <c r="T677" s="88" t="str">
        <f t="shared" si="117"/>
        <v/>
      </c>
      <c r="U677" s="84" t="str">
        <f t="shared" si="118"/>
        <v/>
      </c>
      <c r="V677" s="88">
        <f>IF(U677="",0,MAX(0,T677)+N677+ROUND(J677*[1]Setup!$B$9,0)+IF(O677&gt;[1]Setup!$B$10,ROUND(J677*[1]Setup!$B$11,0),0))</f>
        <v>0</v>
      </c>
      <c r="W677" s="85" t="str">
        <f>IF(L677="","Open",IF(OR(P677&lt;[1]Setup!$B$6,Q677&gt;[1]Setup!$B$7,R677&gt;[1]Setup!$B$8,O677&gt;[1]Setup!$B$10),"Review","OK"))</f>
        <v>Open</v>
      </c>
      <c r="X677" s="86"/>
      <c r="Z677" s="81" t="str">
        <f t="shared" si="122"/>
        <v/>
      </c>
    </row>
    <row r="678" spans="1:26" x14ac:dyDescent="0.3">
      <c r="A678" s="84"/>
      <c r="B678" s="100">
        <f t="shared" si="120"/>
        <v>0</v>
      </c>
      <c r="C678" s="84" t="str">
        <f t="shared" si="121"/>
        <v>January</v>
      </c>
      <c r="D678" s="85" t="str">
        <f t="shared" si="119"/>
        <v/>
      </c>
      <c r="E678" s="86"/>
      <c r="F678" s="86"/>
      <c r="G678" s="86"/>
      <c r="H678" s="86"/>
      <c r="I678" s="87" t="str">
        <f>IF(F678=0,"",IF(COUNTIF(F678,"Bao"),[1]Setup!$B$4,IF(COUNTIF(F678,"Soup Dumplings"),[1]Setup!$B$5,F678)))</f>
        <v/>
      </c>
      <c r="J678" s="88" t="str">
        <f t="shared" si="113"/>
        <v/>
      </c>
      <c r="K678" s="88"/>
      <c r="L678" s="87"/>
      <c r="M678" s="87"/>
      <c r="N678" s="87"/>
      <c r="O678" s="87"/>
      <c r="P678" s="89" t="str">
        <f t="shared" si="114"/>
        <v/>
      </c>
      <c r="Q678" s="89" t="str">
        <f t="shared" si="115"/>
        <v/>
      </c>
      <c r="R678" s="89" t="str">
        <f t="shared" si="116"/>
        <v/>
      </c>
      <c r="S678" s="88" t="str">
        <f>IF(F678="Bao",[1]Setup!$B$4,IF(F678="Soup Dumplings",[1]Setup!$B$5,""))</f>
        <v/>
      </c>
      <c r="T678" s="88" t="str">
        <f t="shared" si="117"/>
        <v/>
      </c>
      <c r="U678" s="84" t="str">
        <f t="shared" si="118"/>
        <v/>
      </c>
      <c r="V678" s="88">
        <f>IF(U678="",0,MAX(0,T678)+N678+ROUND(J678*[1]Setup!$B$9,0)+IF(O678&gt;[1]Setup!$B$10,ROUND(J678*[1]Setup!$B$11,0),0))</f>
        <v>0</v>
      </c>
      <c r="W678" s="85" t="str">
        <f>IF(L678="","Open",IF(OR(P678&lt;[1]Setup!$B$6,Q678&gt;[1]Setup!$B$7,R678&gt;[1]Setup!$B$8,O678&gt;[1]Setup!$B$10),"Review","OK"))</f>
        <v>Open</v>
      </c>
      <c r="X678" s="86"/>
      <c r="Z678" s="81" t="str">
        <f t="shared" si="122"/>
        <v/>
      </c>
    </row>
    <row r="679" spans="1:26" x14ac:dyDescent="0.3">
      <c r="A679" s="84"/>
      <c r="B679" s="100">
        <f t="shared" si="120"/>
        <v>0</v>
      </c>
      <c r="C679" s="84" t="str">
        <f t="shared" si="121"/>
        <v>January</v>
      </c>
      <c r="D679" s="85" t="str">
        <f t="shared" si="119"/>
        <v/>
      </c>
      <c r="E679" s="86"/>
      <c r="F679" s="86"/>
      <c r="G679" s="86"/>
      <c r="H679" s="86"/>
      <c r="I679" s="87" t="str">
        <f>IF(F679=0,"",IF(COUNTIF(F679,"Bao"),[1]Setup!$B$4,IF(COUNTIF(F679,"Soup Dumplings"),[1]Setup!$B$5,F679)))</f>
        <v/>
      </c>
      <c r="J679" s="88" t="str">
        <f t="shared" si="113"/>
        <v/>
      </c>
      <c r="K679" s="88"/>
      <c r="L679" s="87"/>
      <c r="M679" s="87"/>
      <c r="N679" s="87"/>
      <c r="O679" s="87"/>
      <c r="P679" s="89" t="str">
        <f t="shared" si="114"/>
        <v/>
      </c>
      <c r="Q679" s="89" t="str">
        <f t="shared" si="115"/>
        <v/>
      </c>
      <c r="R679" s="89" t="str">
        <f t="shared" si="116"/>
        <v/>
      </c>
      <c r="S679" s="88" t="str">
        <f>IF(F679="Bao",[1]Setup!$B$4,IF(F679="Soup Dumplings",[1]Setup!$B$5,""))</f>
        <v/>
      </c>
      <c r="T679" s="88" t="str">
        <f t="shared" si="117"/>
        <v/>
      </c>
      <c r="U679" s="84" t="str">
        <f t="shared" si="118"/>
        <v/>
      </c>
      <c r="V679" s="88">
        <f>IF(U679="",0,MAX(0,T679)+N679+ROUND(J679*[1]Setup!$B$9,0)+IF(O679&gt;[1]Setup!$B$10,ROUND(J679*[1]Setup!$B$11,0),0))</f>
        <v>0</v>
      </c>
      <c r="W679" s="85" t="str">
        <f>IF(L679="","Open",IF(OR(P679&lt;[1]Setup!$B$6,Q679&gt;[1]Setup!$B$7,R679&gt;[1]Setup!$B$8,O679&gt;[1]Setup!$B$10),"Review","OK"))</f>
        <v>Open</v>
      </c>
      <c r="X679" s="86"/>
      <c r="Z679" s="81" t="str">
        <f t="shared" si="122"/>
        <v/>
      </c>
    </row>
    <row r="680" spans="1:26" x14ac:dyDescent="0.3">
      <c r="A680" s="84"/>
      <c r="B680" s="100">
        <f t="shared" si="120"/>
        <v>0</v>
      </c>
      <c r="C680" s="84" t="str">
        <f t="shared" si="121"/>
        <v>January</v>
      </c>
      <c r="D680" s="85" t="str">
        <f t="shared" si="119"/>
        <v/>
      </c>
      <c r="E680" s="86"/>
      <c r="F680" s="86"/>
      <c r="G680" s="86"/>
      <c r="H680" s="86"/>
      <c r="I680" s="87" t="str">
        <f>IF(F680=0,"",IF(COUNTIF(F680,"Bao"),[1]Setup!$B$4,IF(COUNTIF(F680,"Soup Dumplings"),[1]Setup!$B$5,F680)))</f>
        <v/>
      </c>
      <c r="J680" s="88" t="str">
        <f t="shared" si="113"/>
        <v/>
      </c>
      <c r="K680" s="88"/>
      <c r="L680" s="87"/>
      <c r="M680" s="87"/>
      <c r="N680" s="87"/>
      <c r="O680" s="87"/>
      <c r="P680" s="89" t="str">
        <f t="shared" si="114"/>
        <v/>
      </c>
      <c r="Q680" s="89" t="str">
        <f t="shared" si="115"/>
        <v/>
      </c>
      <c r="R680" s="89" t="str">
        <f t="shared" si="116"/>
        <v/>
      </c>
      <c r="S680" s="88" t="str">
        <f>IF(F680="Bao",[1]Setup!$B$4,IF(F680="Soup Dumplings",[1]Setup!$B$5,""))</f>
        <v/>
      </c>
      <c r="T680" s="88" t="str">
        <f t="shared" si="117"/>
        <v/>
      </c>
      <c r="U680" s="84" t="str">
        <f t="shared" si="118"/>
        <v/>
      </c>
      <c r="V680" s="88">
        <f>IF(U680="",0,MAX(0,T680)+N680+ROUND(J680*[1]Setup!$B$9,0)+IF(O680&gt;[1]Setup!$B$10,ROUND(J680*[1]Setup!$B$11,0),0))</f>
        <v>0</v>
      </c>
      <c r="W680" s="85" t="str">
        <f>IF(L680="","Open",IF(OR(P680&lt;[1]Setup!$B$6,Q680&gt;[1]Setup!$B$7,R680&gt;[1]Setup!$B$8,O680&gt;[1]Setup!$B$10),"Review","OK"))</f>
        <v>Open</v>
      </c>
      <c r="X680" s="86"/>
      <c r="Z680" s="81" t="str">
        <f t="shared" si="122"/>
        <v/>
      </c>
    </row>
    <row r="681" spans="1:26" x14ac:dyDescent="0.3">
      <c r="A681" s="84"/>
      <c r="B681" s="100">
        <f t="shared" si="120"/>
        <v>0</v>
      </c>
      <c r="C681" s="84" t="str">
        <f t="shared" si="121"/>
        <v>January</v>
      </c>
      <c r="D681" s="85" t="str">
        <f t="shared" si="119"/>
        <v/>
      </c>
      <c r="E681" s="86"/>
      <c r="F681" s="86"/>
      <c r="G681" s="86"/>
      <c r="H681" s="86"/>
      <c r="I681" s="87" t="str">
        <f>IF(F681=0,"",IF(COUNTIF(F681,"Bao"),[1]Setup!$B$4,IF(COUNTIF(F681,"Soup Dumplings"),[1]Setup!$B$5,F681)))</f>
        <v/>
      </c>
      <c r="J681" s="88" t="str">
        <f t="shared" si="113"/>
        <v/>
      </c>
      <c r="K681" s="88"/>
      <c r="L681" s="87"/>
      <c r="M681" s="87"/>
      <c r="N681" s="87"/>
      <c r="O681" s="87"/>
      <c r="P681" s="89" t="str">
        <f t="shared" si="114"/>
        <v/>
      </c>
      <c r="Q681" s="89" t="str">
        <f t="shared" si="115"/>
        <v/>
      </c>
      <c r="R681" s="89" t="str">
        <f t="shared" si="116"/>
        <v/>
      </c>
      <c r="S681" s="88" t="str">
        <f>IF(F681="Bao",[1]Setup!$B$4,IF(F681="Soup Dumplings",[1]Setup!$B$5,""))</f>
        <v/>
      </c>
      <c r="T681" s="88" t="str">
        <f t="shared" si="117"/>
        <v/>
      </c>
      <c r="U681" s="84" t="str">
        <f t="shared" si="118"/>
        <v/>
      </c>
      <c r="V681" s="88">
        <f>IF(U681="",0,MAX(0,T681)+N681+ROUND(J681*[1]Setup!$B$9,0)+IF(O681&gt;[1]Setup!$B$10,ROUND(J681*[1]Setup!$B$11,0),0))</f>
        <v>0</v>
      </c>
      <c r="W681" s="85" t="str">
        <f>IF(L681="","Open",IF(OR(P681&lt;[1]Setup!$B$6,Q681&gt;[1]Setup!$B$7,R681&gt;[1]Setup!$B$8,O681&gt;[1]Setup!$B$10),"Review","OK"))</f>
        <v>Open</v>
      </c>
      <c r="X681" s="86"/>
      <c r="Z681" s="81" t="str">
        <f t="shared" si="122"/>
        <v/>
      </c>
    </row>
    <row r="682" spans="1:26" x14ac:dyDescent="0.3">
      <c r="A682" s="84"/>
      <c r="B682" s="100">
        <f t="shared" si="120"/>
        <v>0</v>
      </c>
      <c r="C682" s="84" t="str">
        <f t="shared" si="121"/>
        <v>January</v>
      </c>
      <c r="D682" s="85" t="str">
        <f t="shared" si="119"/>
        <v/>
      </c>
      <c r="E682" s="86"/>
      <c r="F682" s="86"/>
      <c r="G682" s="86"/>
      <c r="H682" s="86"/>
      <c r="I682" s="87" t="str">
        <f>IF(F682=0,"",IF(COUNTIF(F682,"Bao"),[1]Setup!$B$4,IF(COUNTIF(F682,"Soup Dumplings"),[1]Setup!$B$5,F682)))</f>
        <v/>
      </c>
      <c r="J682" s="88" t="str">
        <f t="shared" si="113"/>
        <v/>
      </c>
      <c r="K682" s="88"/>
      <c r="L682" s="87"/>
      <c r="M682" s="87"/>
      <c r="N682" s="87"/>
      <c r="O682" s="87"/>
      <c r="P682" s="89" t="str">
        <f t="shared" si="114"/>
        <v/>
      </c>
      <c r="Q682" s="89" t="str">
        <f t="shared" si="115"/>
        <v/>
      </c>
      <c r="R682" s="89" t="str">
        <f t="shared" si="116"/>
        <v/>
      </c>
      <c r="S682" s="88" t="str">
        <f>IF(F682="Bao",[1]Setup!$B$4,IF(F682="Soup Dumplings",[1]Setup!$B$5,""))</f>
        <v/>
      </c>
      <c r="T682" s="88" t="str">
        <f t="shared" si="117"/>
        <v/>
      </c>
      <c r="U682" s="84" t="str">
        <f t="shared" si="118"/>
        <v/>
      </c>
      <c r="V682" s="88">
        <f>IF(U682="",0,MAX(0,T682)+N682+ROUND(J682*[1]Setup!$B$9,0)+IF(O682&gt;[1]Setup!$B$10,ROUND(J682*[1]Setup!$B$11,0),0))</f>
        <v>0</v>
      </c>
      <c r="W682" s="85" t="str">
        <f>IF(L682="","Open",IF(OR(P682&lt;[1]Setup!$B$6,Q682&gt;[1]Setup!$B$7,R682&gt;[1]Setup!$B$8,O682&gt;[1]Setup!$B$10),"Review","OK"))</f>
        <v>Open</v>
      </c>
      <c r="X682" s="86"/>
      <c r="Z682" s="81" t="str">
        <f t="shared" si="122"/>
        <v/>
      </c>
    </row>
    <row r="683" spans="1:26" x14ac:dyDescent="0.3">
      <c r="A683" s="84"/>
      <c r="B683" s="100">
        <f t="shared" si="120"/>
        <v>0</v>
      </c>
      <c r="C683" s="84" t="str">
        <f t="shared" si="121"/>
        <v>January</v>
      </c>
      <c r="D683" s="85" t="str">
        <f t="shared" si="119"/>
        <v/>
      </c>
      <c r="E683" s="86"/>
      <c r="F683" s="86"/>
      <c r="G683" s="86"/>
      <c r="H683" s="86"/>
      <c r="I683" s="87" t="str">
        <f>IF(F683=0,"",IF(COUNTIF(F683,"Bao"),[1]Setup!$B$4,IF(COUNTIF(F683,"Soup Dumplings"),[1]Setup!$B$5,F683)))</f>
        <v/>
      </c>
      <c r="J683" s="88" t="str">
        <f t="shared" si="113"/>
        <v/>
      </c>
      <c r="K683" s="88"/>
      <c r="L683" s="87"/>
      <c r="M683" s="87"/>
      <c r="N683" s="87"/>
      <c r="O683" s="87"/>
      <c r="P683" s="89" t="str">
        <f t="shared" si="114"/>
        <v/>
      </c>
      <c r="Q683" s="89" t="str">
        <f t="shared" si="115"/>
        <v/>
      </c>
      <c r="R683" s="89" t="str">
        <f t="shared" si="116"/>
        <v/>
      </c>
      <c r="S683" s="88" t="str">
        <f>IF(F683="Bao",[1]Setup!$B$4,IF(F683="Soup Dumplings",[1]Setup!$B$5,""))</f>
        <v/>
      </c>
      <c r="T683" s="88" t="str">
        <f t="shared" si="117"/>
        <v/>
      </c>
      <c r="U683" s="84" t="str">
        <f t="shared" si="118"/>
        <v/>
      </c>
      <c r="V683" s="88">
        <f>IF(U683="",0,MAX(0,T683)+N683+ROUND(J683*[1]Setup!$B$9,0)+IF(O683&gt;[1]Setup!$B$10,ROUND(J683*[1]Setup!$B$11,0),0))</f>
        <v>0</v>
      </c>
      <c r="W683" s="85" t="str">
        <f>IF(L683="","Open",IF(OR(P683&lt;[1]Setup!$B$6,Q683&gt;[1]Setup!$B$7,R683&gt;[1]Setup!$B$8,O683&gt;[1]Setup!$B$10),"Review","OK"))</f>
        <v>Open</v>
      </c>
      <c r="X683" s="86"/>
      <c r="Z683" s="81" t="str">
        <f t="shared" si="122"/>
        <v/>
      </c>
    </row>
    <row r="684" spans="1:26" x14ac:dyDescent="0.3">
      <c r="A684" s="84"/>
      <c r="B684" s="100">
        <f t="shared" si="120"/>
        <v>0</v>
      </c>
      <c r="C684" s="84" t="str">
        <f t="shared" si="121"/>
        <v>January</v>
      </c>
      <c r="D684" s="85" t="str">
        <f t="shared" si="119"/>
        <v/>
      </c>
      <c r="E684" s="86"/>
      <c r="F684" s="86"/>
      <c r="G684" s="86"/>
      <c r="H684" s="86"/>
      <c r="I684" s="87" t="str">
        <f>IF(F684=0,"",IF(COUNTIF(F684,"Bao"),[1]Setup!$B$4,IF(COUNTIF(F684,"Soup Dumplings"),[1]Setup!$B$5,F684)))</f>
        <v/>
      </c>
      <c r="J684" s="88" t="str">
        <f t="shared" si="113"/>
        <v/>
      </c>
      <c r="K684" s="88"/>
      <c r="L684" s="87"/>
      <c r="M684" s="87"/>
      <c r="N684" s="87"/>
      <c r="O684" s="87"/>
      <c r="P684" s="89" t="str">
        <f t="shared" si="114"/>
        <v/>
      </c>
      <c r="Q684" s="89" t="str">
        <f t="shared" si="115"/>
        <v/>
      </c>
      <c r="R684" s="89" t="str">
        <f t="shared" si="116"/>
        <v/>
      </c>
      <c r="S684" s="88" t="str">
        <f>IF(F684="Bao",[1]Setup!$B$4,IF(F684="Soup Dumplings",[1]Setup!$B$5,""))</f>
        <v/>
      </c>
      <c r="T684" s="88" t="str">
        <f t="shared" si="117"/>
        <v/>
      </c>
      <c r="U684" s="84" t="str">
        <f t="shared" si="118"/>
        <v/>
      </c>
      <c r="V684" s="88">
        <f>IF(U684="",0,MAX(0,T684)+N684+ROUND(J684*[1]Setup!$B$9,0)+IF(O684&gt;[1]Setup!$B$10,ROUND(J684*[1]Setup!$B$11,0),0))</f>
        <v>0</v>
      </c>
      <c r="W684" s="85" t="str">
        <f>IF(L684="","Open",IF(OR(P684&lt;[1]Setup!$B$6,Q684&gt;[1]Setup!$B$7,R684&gt;[1]Setup!$B$8,O684&gt;[1]Setup!$B$10),"Review","OK"))</f>
        <v>Open</v>
      </c>
      <c r="X684" s="86"/>
      <c r="Z684" s="81" t="str">
        <f t="shared" si="122"/>
        <v/>
      </c>
    </row>
    <row r="685" spans="1:26" x14ac:dyDescent="0.3">
      <c r="A685" s="84"/>
      <c r="B685" s="100">
        <f t="shared" si="120"/>
        <v>0</v>
      </c>
      <c r="C685" s="84" t="str">
        <f t="shared" si="121"/>
        <v>January</v>
      </c>
      <c r="D685" s="85" t="str">
        <f t="shared" si="119"/>
        <v/>
      </c>
      <c r="E685" s="86"/>
      <c r="F685" s="86"/>
      <c r="G685" s="86"/>
      <c r="H685" s="86"/>
      <c r="I685" s="87" t="str">
        <f>IF(F685=0,"",IF(COUNTIF(F685,"Bao"),[1]Setup!$B$4,IF(COUNTIF(F685,"Soup Dumplings"),[1]Setup!$B$5,F685)))</f>
        <v/>
      </c>
      <c r="J685" s="88" t="str">
        <f t="shared" si="113"/>
        <v/>
      </c>
      <c r="K685" s="88"/>
      <c r="L685" s="87"/>
      <c r="M685" s="87"/>
      <c r="N685" s="87"/>
      <c r="O685" s="87"/>
      <c r="P685" s="89" t="str">
        <f t="shared" si="114"/>
        <v/>
      </c>
      <c r="Q685" s="89" t="str">
        <f t="shared" si="115"/>
        <v/>
      </c>
      <c r="R685" s="89" t="str">
        <f t="shared" si="116"/>
        <v/>
      </c>
      <c r="S685" s="88" t="str">
        <f>IF(F685="Bao",[1]Setup!$B$4,IF(F685="Soup Dumplings",[1]Setup!$B$5,""))</f>
        <v/>
      </c>
      <c r="T685" s="88" t="str">
        <f t="shared" si="117"/>
        <v/>
      </c>
      <c r="U685" s="84" t="str">
        <f t="shared" si="118"/>
        <v/>
      </c>
      <c r="V685" s="88">
        <f>IF(U685="",0,MAX(0,T685)+N685+ROUND(J685*[1]Setup!$B$9,0)+IF(O685&gt;[1]Setup!$B$10,ROUND(J685*[1]Setup!$B$11,0),0))</f>
        <v>0</v>
      </c>
      <c r="W685" s="85" t="str">
        <f>IF(L685="","Open",IF(OR(P685&lt;[1]Setup!$B$6,Q685&gt;[1]Setup!$B$7,R685&gt;[1]Setup!$B$8,O685&gt;[1]Setup!$B$10),"Review","OK"))</f>
        <v>Open</v>
      </c>
      <c r="X685" s="86"/>
      <c r="Z685" s="81" t="str">
        <f t="shared" si="122"/>
        <v/>
      </c>
    </row>
    <row r="686" spans="1:26" x14ac:dyDescent="0.3">
      <c r="A686" s="84"/>
      <c r="B686" s="100">
        <f t="shared" si="120"/>
        <v>0</v>
      </c>
      <c r="C686" s="84" t="str">
        <f t="shared" si="121"/>
        <v>January</v>
      </c>
      <c r="D686" s="85" t="str">
        <f t="shared" si="119"/>
        <v/>
      </c>
      <c r="E686" s="86"/>
      <c r="F686" s="86"/>
      <c r="G686" s="86"/>
      <c r="H686" s="86"/>
      <c r="I686" s="87" t="str">
        <f>IF(F686=0,"",IF(COUNTIF(F686,"Bao"),[1]Setup!$B$4,IF(COUNTIF(F686,"Soup Dumplings"),[1]Setup!$B$5,F686)))</f>
        <v/>
      </c>
      <c r="J686" s="88" t="str">
        <f t="shared" si="113"/>
        <v/>
      </c>
      <c r="K686" s="88"/>
      <c r="L686" s="87"/>
      <c r="M686" s="87"/>
      <c r="N686" s="87"/>
      <c r="O686" s="87"/>
      <c r="P686" s="89" t="str">
        <f t="shared" si="114"/>
        <v/>
      </c>
      <c r="Q686" s="89" t="str">
        <f t="shared" si="115"/>
        <v/>
      </c>
      <c r="R686" s="89" t="str">
        <f t="shared" si="116"/>
        <v/>
      </c>
      <c r="S686" s="88" t="str">
        <f>IF(F686="Bao",[1]Setup!$B$4,IF(F686="Soup Dumplings",[1]Setup!$B$5,""))</f>
        <v/>
      </c>
      <c r="T686" s="88" t="str">
        <f t="shared" si="117"/>
        <v/>
      </c>
      <c r="U686" s="84" t="str">
        <f t="shared" si="118"/>
        <v/>
      </c>
      <c r="V686" s="88">
        <f>IF(U686="",0,MAX(0,T686)+N686+ROUND(J686*[1]Setup!$B$9,0)+IF(O686&gt;[1]Setup!$B$10,ROUND(J686*[1]Setup!$B$11,0),0))</f>
        <v>0</v>
      </c>
      <c r="W686" s="85" t="str">
        <f>IF(L686="","Open",IF(OR(P686&lt;[1]Setup!$B$6,Q686&gt;[1]Setup!$B$7,R686&gt;[1]Setup!$B$8,O686&gt;[1]Setup!$B$10),"Review","OK"))</f>
        <v>Open</v>
      </c>
      <c r="X686" s="86"/>
      <c r="Z686" s="81" t="str">
        <f t="shared" si="122"/>
        <v/>
      </c>
    </row>
    <row r="687" spans="1:26" x14ac:dyDescent="0.3">
      <c r="A687" s="84"/>
      <c r="B687" s="100">
        <f t="shared" si="120"/>
        <v>0</v>
      </c>
      <c r="C687" s="84" t="str">
        <f t="shared" si="121"/>
        <v>January</v>
      </c>
      <c r="D687" s="85" t="str">
        <f t="shared" si="119"/>
        <v/>
      </c>
      <c r="E687" s="86"/>
      <c r="F687" s="86"/>
      <c r="G687" s="86"/>
      <c r="H687" s="86"/>
      <c r="I687" s="87" t="str">
        <f>IF(F687=0,"",IF(COUNTIF(F687,"Bao"),[1]Setup!$B$4,IF(COUNTIF(F687,"Soup Dumplings"),[1]Setup!$B$5,F687)))</f>
        <v/>
      </c>
      <c r="J687" s="88" t="str">
        <f t="shared" ref="J687:J750" si="123">IF(A687="","",
   IFERROR(
      N(I687)+SUMIFS($V$4:$V$30,$U$4:$U$30,A687,$G$4:$G$30,G687),
   0)
)</f>
        <v/>
      </c>
      <c r="K687" s="88"/>
      <c r="L687" s="87"/>
      <c r="M687" s="87"/>
      <c r="N687" s="87"/>
      <c r="O687" s="87"/>
      <c r="P687" s="89" t="str">
        <f t="shared" ref="P687:P750" si="124">IF(J687="","",IF(J687&gt;0,(L687+M687)/J687,""))</f>
        <v/>
      </c>
      <c r="Q687" s="89" t="str">
        <f t="shared" ref="Q687:Q750" si="125">IF(J687="","",IF(J687&gt;0,MAX(0,(J687-(L687+M687))/J687),""))</f>
        <v/>
      </c>
      <c r="R687" s="89" t="str">
        <f t="shared" ref="R687:R750" si="126">IF(J687="","",IF(J687&gt;0,MAX(0,(L687+M687-J687)/J687),""))</f>
        <v/>
      </c>
      <c r="S687" s="88" t="str">
        <f>IF(F687="Bao",[1]Setup!$B$4,IF(F687="Soup Dumplings",[1]Setup!$B$5,""))</f>
        <v/>
      </c>
      <c r="T687" s="88" t="str">
        <f t="shared" ref="T687:T750" si="127">IF(L687="","",S687-L687)</f>
        <v/>
      </c>
      <c r="U687" s="84" t="str">
        <f t="shared" ref="U687:U750" si="128">IF(A687="","",A687+1)</f>
        <v/>
      </c>
      <c r="V687" s="88">
        <f>IF(U687="",0,MAX(0,T687)+N687+ROUND(J687*[1]Setup!$B$9,0)+IF(O687&gt;[1]Setup!$B$10,ROUND(J687*[1]Setup!$B$11,0),0))</f>
        <v>0</v>
      </c>
      <c r="W687" s="85" t="str">
        <f>IF(L687="","Open",IF(OR(P687&lt;[1]Setup!$B$6,Q687&gt;[1]Setup!$B$7,R687&gt;[1]Setup!$B$8,O687&gt;[1]Setup!$B$10),"Review","OK"))</f>
        <v>Open</v>
      </c>
      <c r="X687" s="86"/>
      <c r="Z687" s="81" t="str">
        <f t="shared" si="122"/>
        <v/>
      </c>
    </row>
    <row r="688" spans="1:26" x14ac:dyDescent="0.3">
      <c r="A688" s="84"/>
      <c r="B688" s="100">
        <f t="shared" si="120"/>
        <v>0</v>
      </c>
      <c r="C688" s="84" t="str">
        <f t="shared" si="121"/>
        <v>January</v>
      </c>
      <c r="D688" s="85" t="str">
        <f t="shared" si="119"/>
        <v/>
      </c>
      <c r="E688" s="86"/>
      <c r="F688" s="86"/>
      <c r="G688" s="86"/>
      <c r="H688" s="86"/>
      <c r="I688" s="87" t="str">
        <f>IF(F688=0,"",IF(COUNTIF(F688,"Bao"),[1]Setup!$B$4,IF(COUNTIF(F688,"Soup Dumplings"),[1]Setup!$B$5,F688)))</f>
        <v/>
      </c>
      <c r="J688" s="88" t="str">
        <f t="shared" si="123"/>
        <v/>
      </c>
      <c r="K688" s="88"/>
      <c r="L688" s="87"/>
      <c r="M688" s="87"/>
      <c r="N688" s="87"/>
      <c r="O688" s="87"/>
      <c r="P688" s="89" t="str">
        <f t="shared" si="124"/>
        <v/>
      </c>
      <c r="Q688" s="89" t="str">
        <f t="shared" si="125"/>
        <v/>
      </c>
      <c r="R688" s="89" t="str">
        <f t="shared" si="126"/>
        <v/>
      </c>
      <c r="S688" s="88" t="str">
        <f>IF(F688="Bao",[1]Setup!$B$4,IF(F688="Soup Dumplings",[1]Setup!$B$5,""))</f>
        <v/>
      </c>
      <c r="T688" s="88" t="str">
        <f t="shared" si="127"/>
        <v/>
      </c>
      <c r="U688" s="84" t="str">
        <f t="shared" si="128"/>
        <v/>
      </c>
      <c r="V688" s="88">
        <f>IF(U688="",0,MAX(0,T688)+N688+ROUND(J688*[1]Setup!$B$9,0)+IF(O688&gt;[1]Setup!$B$10,ROUND(J688*[1]Setup!$B$11,0),0))</f>
        <v>0</v>
      </c>
      <c r="W688" s="85" t="str">
        <f>IF(L688="","Open",IF(OR(P688&lt;[1]Setup!$B$6,Q688&gt;[1]Setup!$B$7,R688&gt;[1]Setup!$B$8,O688&gt;[1]Setup!$B$10),"Review","OK"))</f>
        <v>Open</v>
      </c>
      <c r="X688" s="86"/>
      <c r="Z688" s="81" t="str">
        <f t="shared" si="122"/>
        <v/>
      </c>
    </row>
    <row r="689" spans="1:26" x14ac:dyDescent="0.3">
      <c r="A689" s="84"/>
      <c r="B689" s="100">
        <f t="shared" si="120"/>
        <v>0</v>
      </c>
      <c r="C689" s="84" t="str">
        <f t="shared" si="121"/>
        <v>January</v>
      </c>
      <c r="D689" s="85" t="str">
        <f t="shared" si="119"/>
        <v/>
      </c>
      <c r="E689" s="86"/>
      <c r="F689" s="86"/>
      <c r="G689" s="86"/>
      <c r="H689" s="86"/>
      <c r="I689" s="87" t="str">
        <f>IF(F689=0,"",IF(COUNTIF(F689,"Bao"),[1]Setup!$B$4,IF(COUNTIF(F689,"Soup Dumplings"),[1]Setup!$B$5,F689)))</f>
        <v/>
      </c>
      <c r="J689" s="88" t="str">
        <f t="shared" si="123"/>
        <v/>
      </c>
      <c r="K689" s="88"/>
      <c r="L689" s="87"/>
      <c r="M689" s="87"/>
      <c r="N689" s="87"/>
      <c r="O689" s="87"/>
      <c r="P689" s="89" t="str">
        <f t="shared" si="124"/>
        <v/>
      </c>
      <c r="Q689" s="89" t="str">
        <f t="shared" si="125"/>
        <v/>
      </c>
      <c r="R689" s="89" t="str">
        <f t="shared" si="126"/>
        <v/>
      </c>
      <c r="S689" s="88" t="str">
        <f>IF(F689="Bao",[1]Setup!$B$4,IF(F689="Soup Dumplings",[1]Setup!$B$5,""))</f>
        <v/>
      </c>
      <c r="T689" s="88" t="str">
        <f t="shared" si="127"/>
        <v/>
      </c>
      <c r="U689" s="84" t="str">
        <f t="shared" si="128"/>
        <v/>
      </c>
      <c r="V689" s="88">
        <f>IF(U689="",0,MAX(0,T689)+N689+ROUND(J689*[1]Setup!$B$9,0)+IF(O689&gt;[1]Setup!$B$10,ROUND(J689*[1]Setup!$B$11,0),0))</f>
        <v>0</v>
      </c>
      <c r="W689" s="85" t="str">
        <f>IF(L689="","Open",IF(OR(P689&lt;[1]Setup!$B$6,Q689&gt;[1]Setup!$B$7,R689&gt;[1]Setup!$B$8,O689&gt;[1]Setup!$B$10),"Review","OK"))</f>
        <v>Open</v>
      </c>
      <c r="X689" s="86"/>
      <c r="Z689" s="81" t="str">
        <f t="shared" si="122"/>
        <v/>
      </c>
    </row>
    <row r="690" spans="1:26" x14ac:dyDescent="0.3">
      <c r="A690" s="84"/>
      <c r="B690" s="100">
        <f t="shared" si="120"/>
        <v>0</v>
      </c>
      <c r="C690" s="84" t="str">
        <f t="shared" si="121"/>
        <v>January</v>
      </c>
      <c r="D690" s="85" t="str">
        <f t="shared" si="119"/>
        <v/>
      </c>
      <c r="E690" s="86"/>
      <c r="F690" s="86"/>
      <c r="G690" s="86"/>
      <c r="H690" s="86"/>
      <c r="I690" s="87" t="str">
        <f>IF(F690=0,"",IF(COUNTIF(F690,"Bao"),[1]Setup!$B$4,IF(COUNTIF(F690,"Soup Dumplings"),[1]Setup!$B$5,F690)))</f>
        <v/>
      </c>
      <c r="J690" s="88" t="str">
        <f t="shared" si="123"/>
        <v/>
      </c>
      <c r="K690" s="88"/>
      <c r="L690" s="87"/>
      <c r="M690" s="87"/>
      <c r="N690" s="87"/>
      <c r="O690" s="87"/>
      <c r="P690" s="89" t="str">
        <f t="shared" si="124"/>
        <v/>
      </c>
      <c r="Q690" s="89" t="str">
        <f t="shared" si="125"/>
        <v/>
      </c>
      <c r="R690" s="89" t="str">
        <f t="shared" si="126"/>
        <v/>
      </c>
      <c r="S690" s="88" t="str">
        <f>IF(F690="Bao",[1]Setup!$B$4,IF(F690="Soup Dumplings",[1]Setup!$B$5,""))</f>
        <v/>
      </c>
      <c r="T690" s="88" t="str">
        <f t="shared" si="127"/>
        <v/>
      </c>
      <c r="U690" s="84" t="str">
        <f t="shared" si="128"/>
        <v/>
      </c>
      <c r="V690" s="88">
        <f>IF(U690="",0,MAX(0,T690)+N690+ROUND(J690*[1]Setup!$B$9,0)+IF(O690&gt;[1]Setup!$B$10,ROUND(J690*[1]Setup!$B$11,0),0))</f>
        <v>0</v>
      </c>
      <c r="W690" s="85" t="str">
        <f>IF(L690="","Open",IF(OR(P690&lt;[1]Setup!$B$6,Q690&gt;[1]Setup!$B$7,R690&gt;[1]Setup!$B$8,O690&gt;[1]Setup!$B$10),"Review","OK"))</f>
        <v>Open</v>
      </c>
      <c r="X690" s="86"/>
      <c r="Z690" s="81" t="str">
        <f t="shared" si="122"/>
        <v/>
      </c>
    </row>
    <row r="691" spans="1:26" x14ac:dyDescent="0.3">
      <c r="A691" s="84"/>
      <c r="B691" s="100">
        <f t="shared" si="120"/>
        <v>0</v>
      </c>
      <c r="C691" s="84" t="str">
        <f t="shared" si="121"/>
        <v>January</v>
      </c>
      <c r="D691" s="85" t="str">
        <f t="shared" si="119"/>
        <v/>
      </c>
      <c r="E691" s="86"/>
      <c r="F691" s="86"/>
      <c r="G691" s="86"/>
      <c r="H691" s="86"/>
      <c r="I691" s="87" t="str">
        <f>IF(F691=0,"",IF(COUNTIF(F691,"Bao"),[1]Setup!$B$4,IF(COUNTIF(F691,"Soup Dumplings"),[1]Setup!$B$5,F691)))</f>
        <v/>
      </c>
      <c r="J691" s="88" t="str">
        <f t="shared" si="123"/>
        <v/>
      </c>
      <c r="K691" s="88"/>
      <c r="L691" s="87"/>
      <c r="M691" s="87"/>
      <c r="N691" s="87"/>
      <c r="O691" s="87"/>
      <c r="P691" s="89" t="str">
        <f t="shared" si="124"/>
        <v/>
      </c>
      <c r="Q691" s="89" t="str">
        <f t="shared" si="125"/>
        <v/>
      </c>
      <c r="R691" s="89" t="str">
        <f t="shared" si="126"/>
        <v/>
      </c>
      <c r="S691" s="88" t="str">
        <f>IF(F691="Bao",[1]Setup!$B$4,IF(F691="Soup Dumplings",[1]Setup!$B$5,""))</f>
        <v/>
      </c>
      <c r="T691" s="88" t="str">
        <f t="shared" si="127"/>
        <v/>
      </c>
      <c r="U691" s="84" t="str">
        <f t="shared" si="128"/>
        <v/>
      </c>
      <c r="V691" s="88">
        <f>IF(U691="",0,MAX(0,T691)+N691+ROUND(J691*[1]Setup!$B$9,0)+IF(O691&gt;[1]Setup!$B$10,ROUND(J691*[1]Setup!$B$11,0),0))</f>
        <v>0</v>
      </c>
      <c r="W691" s="85" t="str">
        <f>IF(L691="","Open",IF(OR(P691&lt;[1]Setup!$B$6,Q691&gt;[1]Setup!$B$7,R691&gt;[1]Setup!$B$8,O691&gt;[1]Setup!$B$10),"Review","OK"))</f>
        <v>Open</v>
      </c>
      <c r="X691" s="86"/>
      <c r="Z691" s="81" t="str">
        <f t="shared" si="122"/>
        <v/>
      </c>
    </row>
    <row r="692" spans="1:26" x14ac:dyDescent="0.3">
      <c r="A692" s="84"/>
      <c r="B692" s="100">
        <f t="shared" si="120"/>
        <v>0</v>
      </c>
      <c r="C692" s="84" t="str">
        <f t="shared" si="121"/>
        <v>January</v>
      </c>
      <c r="D692" s="85" t="str">
        <f t="shared" si="119"/>
        <v/>
      </c>
      <c r="E692" s="86"/>
      <c r="F692" s="86"/>
      <c r="G692" s="86"/>
      <c r="H692" s="86"/>
      <c r="I692" s="87" t="str">
        <f>IF(F692=0,"",IF(COUNTIF(F692,"Bao"),[1]Setup!$B$4,IF(COUNTIF(F692,"Soup Dumplings"),[1]Setup!$B$5,F692)))</f>
        <v/>
      </c>
      <c r="J692" s="88" t="str">
        <f t="shared" si="123"/>
        <v/>
      </c>
      <c r="K692" s="88"/>
      <c r="L692" s="87"/>
      <c r="M692" s="87"/>
      <c r="N692" s="87"/>
      <c r="O692" s="87"/>
      <c r="P692" s="89" t="str">
        <f t="shared" si="124"/>
        <v/>
      </c>
      <c r="Q692" s="89" t="str">
        <f t="shared" si="125"/>
        <v/>
      </c>
      <c r="R692" s="89" t="str">
        <f t="shared" si="126"/>
        <v/>
      </c>
      <c r="S692" s="88" t="str">
        <f>IF(F692="Bao",[1]Setup!$B$4,IF(F692="Soup Dumplings",[1]Setup!$B$5,""))</f>
        <v/>
      </c>
      <c r="T692" s="88" t="str">
        <f t="shared" si="127"/>
        <v/>
      </c>
      <c r="U692" s="84" t="str">
        <f t="shared" si="128"/>
        <v/>
      </c>
      <c r="V692" s="88">
        <f>IF(U692="",0,MAX(0,T692)+N692+ROUND(J692*[1]Setup!$B$9,0)+IF(O692&gt;[1]Setup!$B$10,ROUND(J692*[1]Setup!$B$11,0),0))</f>
        <v>0</v>
      </c>
      <c r="W692" s="85" t="str">
        <f>IF(L692="","Open",IF(OR(P692&lt;[1]Setup!$B$6,Q692&gt;[1]Setup!$B$7,R692&gt;[1]Setup!$B$8,O692&gt;[1]Setup!$B$10),"Review","OK"))</f>
        <v>Open</v>
      </c>
      <c r="X692" s="86"/>
      <c r="Z692" s="81" t="str">
        <f t="shared" si="122"/>
        <v/>
      </c>
    </row>
    <row r="693" spans="1:26" x14ac:dyDescent="0.3">
      <c r="A693" s="84"/>
      <c r="B693" s="100">
        <f t="shared" si="120"/>
        <v>0</v>
      </c>
      <c r="C693" s="84" t="str">
        <f t="shared" si="121"/>
        <v>January</v>
      </c>
      <c r="D693" s="85" t="str">
        <f t="shared" si="119"/>
        <v/>
      </c>
      <c r="E693" s="86"/>
      <c r="F693" s="86"/>
      <c r="G693" s="86"/>
      <c r="H693" s="86"/>
      <c r="I693" s="87" t="str">
        <f>IF(F693=0,"",IF(COUNTIF(F693,"Bao"),[1]Setup!$B$4,IF(COUNTIF(F693,"Soup Dumplings"),[1]Setup!$B$5,F693)))</f>
        <v/>
      </c>
      <c r="J693" s="88" t="str">
        <f t="shared" si="123"/>
        <v/>
      </c>
      <c r="K693" s="88"/>
      <c r="L693" s="87"/>
      <c r="M693" s="87"/>
      <c r="N693" s="87"/>
      <c r="O693" s="87"/>
      <c r="P693" s="89" t="str">
        <f t="shared" si="124"/>
        <v/>
      </c>
      <c r="Q693" s="89" t="str">
        <f t="shared" si="125"/>
        <v/>
      </c>
      <c r="R693" s="89" t="str">
        <f t="shared" si="126"/>
        <v/>
      </c>
      <c r="S693" s="88" t="str">
        <f>IF(F693="Bao",[1]Setup!$B$4,IF(F693="Soup Dumplings",[1]Setup!$B$5,""))</f>
        <v/>
      </c>
      <c r="T693" s="88" t="str">
        <f t="shared" si="127"/>
        <v/>
      </c>
      <c r="U693" s="84" t="str">
        <f t="shared" si="128"/>
        <v/>
      </c>
      <c r="V693" s="88">
        <f>IF(U693="",0,MAX(0,T693)+N693+ROUND(J693*[1]Setup!$B$9,0)+IF(O693&gt;[1]Setup!$B$10,ROUND(J693*[1]Setup!$B$11,0),0))</f>
        <v>0</v>
      </c>
      <c r="W693" s="85" t="str">
        <f>IF(L693="","Open",IF(OR(P693&lt;[1]Setup!$B$6,Q693&gt;[1]Setup!$B$7,R693&gt;[1]Setup!$B$8,O693&gt;[1]Setup!$B$10),"Review","OK"))</f>
        <v>Open</v>
      </c>
      <c r="X693" s="86"/>
      <c r="Z693" s="81" t="str">
        <f t="shared" si="122"/>
        <v/>
      </c>
    </row>
    <row r="694" spans="1:26" x14ac:dyDescent="0.3">
      <c r="A694" s="84"/>
      <c r="B694" s="100">
        <f t="shared" si="120"/>
        <v>0</v>
      </c>
      <c r="C694" s="84" t="str">
        <f t="shared" si="121"/>
        <v>January</v>
      </c>
      <c r="D694" s="85" t="str">
        <f t="shared" si="119"/>
        <v/>
      </c>
      <c r="E694" s="86"/>
      <c r="F694" s="86"/>
      <c r="G694" s="86"/>
      <c r="H694" s="86"/>
      <c r="I694" s="87" t="str">
        <f>IF(F694=0,"",IF(COUNTIF(F694,"Bao"),[1]Setup!$B$4,IF(COUNTIF(F694,"Soup Dumplings"),[1]Setup!$B$5,F694)))</f>
        <v/>
      </c>
      <c r="J694" s="88" t="str">
        <f t="shared" si="123"/>
        <v/>
      </c>
      <c r="K694" s="88"/>
      <c r="L694" s="87"/>
      <c r="M694" s="87"/>
      <c r="N694" s="87"/>
      <c r="O694" s="87"/>
      <c r="P694" s="89" t="str">
        <f t="shared" si="124"/>
        <v/>
      </c>
      <c r="Q694" s="89" t="str">
        <f t="shared" si="125"/>
        <v/>
      </c>
      <c r="R694" s="89" t="str">
        <f t="shared" si="126"/>
        <v/>
      </c>
      <c r="S694" s="88" t="str">
        <f>IF(F694="Bao",[1]Setup!$B$4,IF(F694="Soup Dumplings",[1]Setup!$B$5,""))</f>
        <v/>
      </c>
      <c r="T694" s="88" t="str">
        <f t="shared" si="127"/>
        <v/>
      </c>
      <c r="U694" s="84" t="str">
        <f t="shared" si="128"/>
        <v/>
      </c>
      <c r="V694" s="88">
        <f>IF(U694="",0,MAX(0,T694)+N694+ROUND(J694*[1]Setup!$B$9,0)+IF(O694&gt;[1]Setup!$B$10,ROUND(J694*[1]Setup!$B$11,0),0))</f>
        <v>0</v>
      </c>
      <c r="W694" s="85" t="str">
        <f>IF(L694="","Open",IF(OR(P694&lt;[1]Setup!$B$6,Q694&gt;[1]Setup!$B$7,R694&gt;[1]Setup!$B$8,O694&gt;[1]Setup!$B$10),"Review","OK"))</f>
        <v>Open</v>
      </c>
      <c r="X694" s="86"/>
      <c r="Z694" s="81" t="str">
        <f t="shared" si="122"/>
        <v/>
      </c>
    </row>
    <row r="695" spans="1:26" x14ac:dyDescent="0.3">
      <c r="A695" s="84"/>
      <c r="B695" s="100">
        <f t="shared" si="120"/>
        <v>0</v>
      </c>
      <c r="C695" s="84" t="str">
        <f t="shared" si="121"/>
        <v>January</v>
      </c>
      <c r="D695" s="85" t="str">
        <f t="shared" si="119"/>
        <v/>
      </c>
      <c r="E695" s="86"/>
      <c r="F695" s="86"/>
      <c r="G695" s="86"/>
      <c r="H695" s="86"/>
      <c r="I695" s="87" t="str">
        <f>IF(F695=0,"",IF(COUNTIF(F695,"Bao"),[1]Setup!$B$4,IF(COUNTIF(F695,"Soup Dumplings"),[1]Setup!$B$5,F695)))</f>
        <v/>
      </c>
      <c r="J695" s="88" t="str">
        <f t="shared" si="123"/>
        <v/>
      </c>
      <c r="K695" s="88"/>
      <c r="L695" s="87"/>
      <c r="M695" s="87"/>
      <c r="N695" s="87"/>
      <c r="O695" s="87"/>
      <c r="P695" s="89" t="str">
        <f t="shared" si="124"/>
        <v/>
      </c>
      <c r="Q695" s="89" t="str">
        <f t="shared" si="125"/>
        <v/>
      </c>
      <c r="R695" s="89" t="str">
        <f t="shared" si="126"/>
        <v/>
      </c>
      <c r="S695" s="88" t="str">
        <f>IF(F695="Bao",[1]Setup!$B$4,IF(F695="Soup Dumplings",[1]Setup!$B$5,""))</f>
        <v/>
      </c>
      <c r="T695" s="88" t="str">
        <f t="shared" si="127"/>
        <v/>
      </c>
      <c r="U695" s="84" t="str">
        <f t="shared" si="128"/>
        <v/>
      </c>
      <c r="V695" s="88">
        <f>IF(U695="",0,MAX(0,T695)+N695+ROUND(J695*[1]Setup!$B$9,0)+IF(O695&gt;[1]Setup!$B$10,ROUND(J695*[1]Setup!$B$11,0),0))</f>
        <v>0</v>
      </c>
      <c r="W695" s="85" t="str">
        <f>IF(L695="","Open",IF(OR(P695&lt;[1]Setup!$B$6,Q695&gt;[1]Setup!$B$7,R695&gt;[1]Setup!$B$8,O695&gt;[1]Setup!$B$10),"Review","OK"))</f>
        <v>Open</v>
      </c>
      <c r="X695" s="86"/>
      <c r="Z695" s="81" t="str">
        <f t="shared" si="122"/>
        <v/>
      </c>
    </row>
    <row r="696" spans="1:26" x14ac:dyDescent="0.3">
      <c r="A696" s="84"/>
      <c r="B696" s="100">
        <f t="shared" si="120"/>
        <v>0</v>
      </c>
      <c r="C696" s="84" t="str">
        <f t="shared" si="121"/>
        <v>January</v>
      </c>
      <c r="D696" s="85" t="str">
        <f t="shared" si="119"/>
        <v/>
      </c>
      <c r="E696" s="86"/>
      <c r="F696" s="86"/>
      <c r="G696" s="86"/>
      <c r="H696" s="86"/>
      <c r="I696" s="87" t="str">
        <f>IF(F696=0,"",IF(COUNTIF(F696,"Bao"),[1]Setup!$B$4,IF(COUNTIF(F696,"Soup Dumplings"),[1]Setup!$B$5,F696)))</f>
        <v/>
      </c>
      <c r="J696" s="88" t="str">
        <f t="shared" si="123"/>
        <v/>
      </c>
      <c r="K696" s="88"/>
      <c r="L696" s="87"/>
      <c r="M696" s="87"/>
      <c r="N696" s="87"/>
      <c r="O696" s="87"/>
      <c r="P696" s="89" t="str">
        <f t="shared" si="124"/>
        <v/>
      </c>
      <c r="Q696" s="89" t="str">
        <f t="shared" si="125"/>
        <v/>
      </c>
      <c r="R696" s="89" t="str">
        <f t="shared" si="126"/>
        <v/>
      </c>
      <c r="S696" s="88" t="str">
        <f>IF(F696="Bao",[1]Setup!$B$4,IF(F696="Soup Dumplings",[1]Setup!$B$5,""))</f>
        <v/>
      </c>
      <c r="T696" s="88" t="str">
        <f t="shared" si="127"/>
        <v/>
      </c>
      <c r="U696" s="84" t="str">
        <f t="shared" si="128"/>
        <v/>
      </c>
      <c r="V696" s="88">
        <f>IF(U696="",0,MAX(0,T696)+N696+ROUND(J696*[1]Setup!$B$9,0)+IF(O696&gt;[1]Setup!$B$10,ROUND(J696*[1]Setup!$B$11,0),0))</f>
        <v>0</v>
      </c>
      <c r="W696" s="85" t="str">
        <f>IF(L696="","Open",IF(OR(P696&lt;[1]Setup!$B$6,Q696&gt;[1]Setup!$B$7,R696&gt;[1]Setup!$B$8,O696&gt;[1]Setup!$B$10),"Review","OK"))</f>
        <v>Open</v>
      </c>
      <c r="X696" s="86"/>
      <c r="Z696" s="81" t="str">
        <f t="shared" si="122"/>
        <v/>
      </c>
    </row>
    <row r="697" spans="1:26" x14ac:dyDescent="0.3">
      <c r="A697" s="84"/>
      <c r="B697" s="100">
        <f t="shared" si="120"/>
        <v>0</v>
      </c>
      <c r="C697" s="84" t="str">
        <f t="shared" si="121"/>
        <v>January</v>
      </c>
      <c r="D697" s="85" t="str">
        <f t="shared" si="119"/>
        <v/>
      </c>
      <c r="E697" s="86"/>
      <c r="F697" s="86"/>
      <c r="G697" s="86"/>
      <c r="H697" s="86"/>
      <c r="I697" s="87" t="str">
        <f>IF(F697=0,"",IF(COUNTIF(F697,"Bao"),[1]Setup!$B$4,IF(COUNTIF(F697,"Soup Dumplings"),[1]Setup!$B$5,F697)))</f>
        <v/>
      </c>
      <c r="J697" s="88" t="str">
        <f t="shared" si="123"/>
        <v/>
      </c>
      <c r="K697" s="88"/>
      <c r="L697" s="87"/>
      <c r="M697" s="87"/>
      <c r="N697" s="87"/>
      <c r="O697" s="87"/>
      <c r="P697" s="89" t="str">
        <f t="shared" si="124"/>
        <v/>
      </c>
      <c r="Q697" s="89" t="str">
        <f t="shared" si="125"/>
        <v/>
      </c>
      <c r="R697" s="89" t="str">
        <f t="shared" si="126"/>
        <v/>
      </c>
      <c r="S697" s="88" t="str">
        <f>IF(F697="Bao",[1]Setup!$B$4,IF(F697="Soup Dumplings",[1]Setup!$B$5,""))</f>
        <v/>
      </c>
      <c r="T697" s="88" t="str">
        <f t="shared" si="127"/>
        <v/>
      </c>
      <c r="U697" s="84" t="str">
        <f t="shared" si="128"/>
        <v/>
      </c>
      <c r="V697" s="88">
        <f>IF(U697="",0,MAX(0,T697)+N697+ROUND(J697*[1]Setup!$B$9,0)+IF(O697&gt;[1]Setup!$B$10,ROUND(J697*[1]Setup!$B$11,0),0))</f>
        <v>0</v>
      </c>
      <c r="W697" s="85" t="str">
        <f>IF(L697="","Open",IF(OR(P697&lt;[1]Setup!$B$6,Q697&gt;[1]Setup!$B$7,R697&gt;[1]Setup!$B$8,O697&gt;[1]Setup!$B$10),"Review","OK"))</f>
        <v>Open</v>
      </c>
      <c r="X697" s="86"/>
      <c r="Z697" s="81" t="str">
        <f t="shared" si="122"/>
        <v/>
      </c>
    </row>
    <row r="698" spans="1:26" x14ac:dyDescent="0.3">
      <c r="A698" s="84"/>
      <c r="B698" s="100">
        <f t="shared" si="120"/>
        <v>0</v>
      </c>
      <c r="C698" s="84" t="str">
        <f t="shared" si="121"/>
        <v>January</v>
      </c>
      <c r="D698" s="85" t="str">
        <f t="shared" si="119"/>
        <v/>
      </c>
      <c r="E698" s="86"/>
      <c r="F698" s="86"/>
      <c r="G698" s="86"/>
      <c r="H698" s="86"/>
      <c r="I698" s="87" t="str">
        <f>IF(F698=0,"",IF(COUNTIF(F698,"Bao"),[1]Setup!$B$4,IF(COUNTIF(F698,"Soup Dumplings"),[1]Setup!$B$5,F698)))</f>
        <v/>
      </c>
      <c r="J698" s="88" t="str">
        <f t="shared" si="123"/>
        <v/>
      </c>
      <c r="K698" s="88"/>
      <c r="L698" s="87"/>
      <c r="M698" s="87"/>
      <c r="N698" s="87"/>
      <c r="O698" s="87"/>
      <c r="P698" s="89" t="str">
        <f t="shared" si="124"/>
        <v/>
      </c>
      <c r="Q698" s="89" t="str">
        <f t="shared" si="125"/>
        <v/>
      </c>
      <c r="R698" s="89" t="str">
        <f t="shared" si="126"/>
        <v/>
      </c>
      <c r="S698" s="88" t="str">
        <f>IF(F698="Bao",[1]Setup!$B$4,IF(F698="Soup Dumplings",[1]Setup!$B$5,""))</f>
        <v/>
      </c>
      <c r="T698" s="88" t="str">
        <f t="shared" si="127"/>
        <v/>
      </c>
      <c r="U698" s="84" t="str">
        <f t="shared" si="128"/>
        <v/>
      </c>
      <c r="V698" s="88">
        <f>IF(U698="",0,MAX(0,T698)+N698+ROUND(J698*[1]Setup!$B$9,0)+IF(O698&gt;[1]Setup!$B$10,ROUND(J698*[1]Setup!$B$11,0),0))</f>
        <v>0</v>
      </c>
      <c r="W698" s="85" t="str">
        <f>IF(L698="","Open",IF(OR(P698&lt;[1]Setup!$B$6,Q698&gt;[1]Setup!$B$7,R698&gt;[1]Setup!$B$8,O698&gt;[1]Setup!$B$10),"Review","OK"))</f>
        <v>Open</v>
      </c>
      <c r="X698" s="86"/>
      <c r="Z698" s="81" t="str">
        <f t="shared" si="122"/>
        <v/>
      </c>
    </row>
    <row r="699" spans="1:26" x14ac:dyDescent="0.3">
      <c r="A699" s="84"/>
      <c r="B699" s="100">
        <f t="shared" si="120"/>
        <v>0</v>
      </c>
      <c r="C699" s="84" t="str">
        <f t="shared" si="121"/>
        <v>January</v>
      </c>
      <c r="D699" s="85" t="str">
        <f t="shared" si="119"/>
        <v/>
      </c>
      <c r="E699" s="86"/>
      <c r="F699" s="86"/>
      <c r="G699" s="86"/>
      <c r="H699" s="86"/>
      <c r="I699" s="87" t="str">
        <f>IF(F699=0,"",IF(COUNTIF(F699,"Bao"),[1]Setup!$B$4,IF(COUNTIF(F699,"Soup Dumplings"),[1]Setup!$B$5,F699)))</f>
        <v/>
      </c>
      <c r="J699" s="88" t="str">
        <f t="shared" si="123"/>
        <v/>
      </c>
      <c r="K699" s="88"/>
      <c r="L699" s="87"/>
      <c r="M699" s="87"/>
      <c r="N699" s="87"/>
      <c r="O699" s="87"/>
      <c r="P699" s="89" t="str">
        <f t="shared" si="124"/>
        <v/>
      </c>
      <c r="Q699" s="89" t="str">
        <f t="shared" si="125"/>
        <v/>
      </c>
      <c r="R699" s="89" t="str">
        <f t="shared" si="126"/>
        <v/>
      </c>
      <c r="S699" s="88" t="str">
        <f>IF(F699="Bao",[1]Setup!$B$4,IF(F699="Soup Dumplings",[1]Setup!$B$5,""))</f>
        <v/>
      </c>
      <c r="T699" s="88" t="str">
        <f t="shared" si="127"/>
        <v/>
      </c>
      <c r="U699" s="84" t="str">
        <f t="shared" si="128"/>
        <v/>
      </c>
      <c r="V699" s="88">
        <f>IF(U699="",0,MAX(0,T699)+N699+ROUND(J699*[1]Setup!$B$9,0)+IF(O699&gt;[1]Setup!$B$10,ROUND(J699*[1]Setup!$B$11,0),0))</f>
        <v>0</v>
      </c>
      <c r="W699" s="85" t="str">
        <f>IF(L699="","Open",IF(OR(P699&lt;[1]Setup!$B$6,Q699&gt;[1]Setup!$B$7,R699&gt;[1]Setup!$B$8,O699&gt;[1]Setup!$B$10),"Review","OK"))</f>
        <v>Open</v>
      </c>
      <c r="X699" s="86"/>
      <c r="Z699" s="81" t="str">
        <f t="shared" si="122"/>
        <v/>
      </c>
    </row>
    <row r="700" spans="1:26" x14ac:dyDescent="0.3">
      <c r="A700" s="84"/>
      <c r="B700" s="100">
        <f t="shared" si="120"/>
        <v>0</v>
      </c>
      <c r="C700" s="84" t="str">
        <f t="shared" si="121"/>
        <v>January</v>
      </c>
      <c r="D700" s="85" t="str">
        <f t="shared" si="119"/>
        <v/>
      </c>
      <c r="E700" s="86"/>
      <c r="F700" s="86"/>
      <c r="G700" s="86"/>
      <c r="H700" s="86"/>
      <c r="I700" s="87" t="str">
        <f>IF(F700=0,"",IF(COUNTIF(F700,"Bao"),[1]Setup!$B$4,IF(COUNTIF(F700,"Soup Dumplings"),[1]Setup!$B$5,F700)))</f>
        <v/>
      </c>
      <c r="J700" s="88" t="str">
        <f t="shared" si="123"/>
        <v/>
      </c>
      <c r="K700" s="88"/>
      <c r="L700" s="87"/>
      <c r="M700" s="87"/>
      <c r="N700" s="87"/>
      <c r="O700" s="87"/>
      <c r="P700" s="89" t="str">
        <f t="shared" si="124"/>
        <v/>
      </c>
      <c r="Q700" s="89" t="str">
        <f t="shared" si="125"/>
        <v/>
      </c>
      <c r="R700" s="89" t="str">
        <f t="shared" si="126"/>
        <v/>
      </c>
      <c r="S700" s="88" t="str">
        <f>IF(F700="Bao",[1]Setup!$B$4,IF(F700="Soup Dumplings",[1]Setup!$B$5,""))</f>
        <v/>
      </c>
      <c r="T700" s="88" t="str">
        <f t="shared" si="127"/>
        <v/>
      </c>
      <c r="U700" s="84" t="str">
        <f t="shared" si="128"/>
        <v/>
      </c>
      <c r="V700" s="88">
        <f>IF(U700="",0,MAX(0,T700)+N700+ROUND(J700*[1]Setup!$B$9,0)+IF(O700&gt;[1]Setup!$B$10,ROUND(J700*[1]Setup!$B$11,0),0))</f>
        <v>0</v>
      </c>
      <c r="W700" s="85" t="str">
        <f>IF(L700="","Open",IF(OR(P700&lt;[1]Setup!$B$6,Q700&gt;[1]Setup!$B$7,R700&gt;[1]Setup!$B$8,O700&gt;[1]Setup!$B$10),"Review","OK"))</f>
        <v>Open</v>
      </c>
      <c r="X700" s="86"/>
      <c r="Z700" s="81" t="str">
        <f t="shared" si="122"/>
        <v/>
      </c>
    </row>
    <row r="701" spans="1:26" x14ac:dyDescent="0.3">
      <c r="A701" s="84"/>
      <c r="B701" s="100">
        <f t="shared" si="120"/>
        <v>0</v>
      </c>
      <c r="C701" s="84" t="str">
        <f t="shared" si="121"/>
        <v>January</v>
      </c>
      <c r="D701" s="85" t="str">
        <f t="shared" si="119"/>
        <v/>
      </c>
      <c r="E701" s="86"/>
      <c r="F701" s="86"/>
      <c r="G701" s="86"/>
      <c r="H701" s="86"/>
      <c r="I701" s="87" t="str">
        <f>IF(F701=0,"",IF(COUNTIF(F701,"Bao"),[1]Setup!$B$4,IF(COUNTIF(F701,"Soup Dumplings"),[1]Setup!$B$5,F701)))</f>
        <v/>
      </c>
      <c r="J701" s="88" t="str">
        <f t="shared" si="123"/>
        <v/>
      </c>
      <c r="K701" s="88"/>
      <c r="L701" s="87"/>
      <c r="M701" s="87"/>
      <c r="N701" s="87"/>
      <c r="O701" s="87"/>
      <c r="P701" s="89" t="str">
        <f t="shared" si="124"/>
        <v/>
      </c>
      <c r="Q701" s="89" t="str">
        <f t="shared" si="125"/>
        <v/>
      </c>
      <c r="R701" s="89" t="str">
        <f t="shared" si="126"/>
        <v/>
      </c>
      <c r="S701" s="88" t="str">
        <f>IF(F701="Bao",[1]Setup!$B$4,IF(F701="Soup Dumplings",[1]Setup!$B$5,""))</f>
        <v/>
      </c>
      <c r="T701" s="88" t="str">
        <f t="shared" si="127"/>
        <v/>
      </c>
      <c r="U701" s="84" t="str">
        <f t="shared" si="128"/>
        <v/>
      </c>
      <c r="V701" s="88">
        <f>IF(U701="",0,MAX(0,T701)+N701+ROUND(J701*[1]Setup!$B$9,0)+IF(O701&gt;[1]Setup!$B$10,ROUND(J701*[1]Setup!$B$11,0),0))</f>
        <v>0</v>
      </c>
      <c r="W701" s="85" t="str">
        <f>IF(L701="","Open",IF(OR(P701&lt;[1]Setup!$B$6,Q701&gt;[1]Setup!$B$7,R701&gt;[1]Setup!$B$8,O701&gt;[1]Setup!$B$10),"Review","OK"))</f>
        <v>Open</v>
      </c>
      <c r="X701" s="86"/>
      <c r="Z701" s="81" t="str">
        <f t="shared" si="122"/>
        <v/>
      </c>
    </row>
    <row r="702" spans="1:26" x14ac:dyDescent="0.3">
      <c r="A702" s="84"/>
      <c r="B702" s="100">
        <f t="shared" si="120"/>
        <v>0</v>
      </c>
      <c r="C702" s="84" t="str">
        <f t="shared" si="121"/>
        <v>January</v>
      </c>
      <c r="D702" s="85" t="str">
        <f t="shared" si="119"/>
        <v/>
      </c>
      <c r="E702" s="86"/>
      <c r="F702" s="86"/>
      <c r="G702" s="86"/>
      <c r="H702" s="86"/>
      <c r="I702" s="87" t="str">
        <f>IF(F702=0,"",IF(COUNTIF(F702,"Bao"),[1]Setup!$B$4,IF(COUNTIF(F702,"Soup Dumplings"),[1]Setup!$B$5,F702)))</f>
        <v/>
      </c>
      <c r="J702" s="88" t="str">
        <f t="shared" si="123"/>
        <v/>
      </c>
      <c r="K702" s="88"/>
      <c r="L702" s="87"/>
      <c r="M702" s="87"/>
      <c r="N702" s="87"/>
      <c r="O702" s="87"/>
      <c r="P702" s="89" t="str">
        <f t="shared" si="124"/>
        <v/>
      </c>
      <c r="Q702" s="89" t="str">
        <f t="shared" si="125"/>
        <v/>
      </c>
      <c r="R702" s="89" t="str">
        <f t="shared" si="126"/>
        <v/>
      </c>
      <c r="S702" s="88" t="str">
        <f>IF(F702="Bao",[1]Setup!$B$4,IF(F702="Soup Dumplings",[1]Setup!$B$5,""))</f>
        <v/>
      </c>
      <c r="T702" s="88" t="str">
        <f t="shared" si="127"/>
        <v/>
      </c>
      <c r="U702" s="84" t="str">
        <f t="shared" si="128"/>
        <v/>
      </c>
      <c r="V702" s="88">
        <f>IF(U702="",0,MAX(0,T702)+N702+ROUND(J702*[1]Setup!$B$9,0)+IF(O702&gt;[1]Setup!$B$10,ROUND(J702*[1]Setup!$B$11,0),0))</f>
        <v>0</v>
      </c>
      <c r="W702" s="85" t="str">
        <f>IF(L702="","Open",IF(OR(P702&lt;[1]Setup!$B$6,Q702&gt;[1]Setup!$B$7,R702&gt;[1]Setup!$B$8,O702&gt;[1]Setup!$B$10),"Review","OK"))</f>
        <v>Open</v>
      </c>
      <c r="X702" s="86"/>
      <c r="Z702" s="81" t="str">
        <f t="shared" si="122"/>
        <v/>
      </c>
    </row>
    <row r="703" spans="1:26" x14ac:dyDescent="0.3">
      <c r="A703" s="84"/>
      <c r="B703" s="100">
        <f t="shared" si="120"/>
        <v>0</v>
      </c>
      <c r="C703" s="84" t="str">
        <f t="shared" si="121"/>
        <v>January</v>
      </c>
      <c r="D703" s="85" t="str">
        <f t="shared" si="119"/>
        <v/>
      </c>
      <c r="E703" s="86"/>
      <c r="F703" s="86"/>
      <c r="G703" s="86"/>
      <c r="H703" s="86"/>
      <c r="I703" s="87" t="str">
        <f>IF(F703=0,"",IF(COUNTIF(F703,"Bao"),[1]Setup!$B$4,IF(COUNTIF(F703,"Soup Dumplings"),[1]Setup!$B$5,F703)))</f>
        <v/>
      </c>
      <c r="J703" s="88" t="str">
        <f t="shared" si="123"/>
        <v/>
      </c>
      <c r="K703" s="88"/>
      <c r="L703" s="87"/>
      <c r="M703" s="87"/>
      <c r="N703" s="87"/>
      <c r="O703" s="87"/>
      <c r="P703" s="89" t="str">
        <f t="shared" si="124"/>
        <v/>
      </c>
      <c r="Q703" s="89" t="str">
        <f t="shared" si="125"/>
        <v/>
      </c>
      <c r="R703" s="89" t="str">
        <f t="shared" si="126"/>
        <v/>
      </c>
      <c r="S703" s="88" t="str">
        <f>IF(F703="Bao",[1]Setup!$B$4,IF(F703="Soup Dumplings",[1]Setup!$B$5,""))</f>
        <v/>
      </c>
      <c r="T703" s="88" t="str">
        <f t="shared" si="127"/>
        <v/>
      </c>
      <c r="U703" s="84" t="str">
        <f t="shared" si="128"/>
        <v/>
      </c>
      <c r="V703" s="88">
        <f>IF(U703="",0,MAX(0,T703)+N703+ROUND(J703*[1]Setup!$B$9,0)+IF(O703&gt;[1]Setup!$B$10,ROUND(J703*[1]Setup!$B$11,0),0))</f>
        <v>0</v>
      </c>
      <c r="W703" s="85" t="str">
        <f>IF(L703="","Open",IF(OR(P703&lt;[1]Setup!$B$6,Q703&gt;[1]Setup!$B$7,R703&gt;[1]Setup!$B$8,O703&gt;[1]Setup!$B$10),"Review","OK"))</f>
        <v>Open</v>
      </c>
      <c r="X703" s="86"/>
      <c r="Z703" s="81" t="str">
        <f t="shared" si="122"/>
        <v/>
      </c>
    </row>
    <row r="704" spans="1:26" x14ac:dyDescent="0.3">
      <c r="A704" s="84"/>
      <c r="B704" s="100">
        <f t="shared" si="120"/>
        <v>0</v>
      </c>
      <c r="C704" s="84" t="str">
        <f t="shared" si="121"/>
        <v>January</v>
      </c>
      <c r="D704" s="85" t="str">
        <f t="shared" si="119"/>
        <v/>
      </c>
      <c r="E704" s="86"/>
      <c r="F704" s="86"/>
      <c r="G704" s="86"/>
      <c r="H704" s="86"/>
      <c r="I704" s="87" t="str">
        <f>IF(F704=0,"",IF(COUNTIF(F704,"Bao"),[1]Setup!$B$4,IF(COUNTIF(F704,"Soup Dumplings"),[1]Setup!$B$5,F704)))</f>
        <v/>
      </c>
      <c r="J704" s="88" t="str">
        <f t="shared" si="123"/>
        <v/>
      </c>
      <c r="K704" s="88"/>
      <c r="L704" s="87"/>
      <c r="M704" s="87"/>
      <c r="N704" s="87"/>
      <c r="O704" s="87"/>
      <c r="P704" s="89" t="str">
        <f t="shared" si="124"/>
        <v/>
      </c>
      <c r="Q704" s="89" t="str">
        <f t="shared" si="125"/>
        <v/>
      </c>
      <c r="R704" s="89" t="str">
        <f t="shared" si="126"/>
        <v/>
      </c>
      <c r="S704" s="88" t="str">
        <f>IF(F704="Bao",[1]Setup!$B$4,IF(F704="Soup Dumplings",[1]Setup!$B$5,""))</f>
        <v/>
      </c>
      <c r="T704" s="88" t="str">
        <f t="shared" si="127"/>
        <v/>
      </c>
      <c r="U704" s="84" t="str">
        <f t="shared" si="128"/>
        <v/>
      </c>
      <c r="V704" s="88">
        <f>IF(U704="",0,MAX(0,T704)+N704+ROUND(J704*[1]Setup!$B$9,0)+IF(O704&gt;[1]Setup!$B$10,ROUND(J704*[1]Setup!$B$11,0),0))</f>
        <v>0</v>
      </c>
      <c r="W704" s="85" t="str">
        <f>IF(L704="","Open",IF(OR(P704&lt;[1]Setup!$B$6,Q704&gt;[1]Setup!$B$7,R704&gt;[1]Setup!$B$8,O704&gt;[1]Setup!$B$10),"Review","OK"))</f>
        <v>Open</v>
      </c>
      <c r="X704" s="86"/>
      <c r="Z704" s="81" t="str">
        <f t="shared" si="122"/>
        <v/>
      </c>
    </row>
    <row r="705" spans="1:26" x14ac:dyDescent="0.3">
      <c r="A705" s="84"/>
      <c r="B705" s="100">
        <f t="shared" si="120"/>
        <v>0</v>
      </c>
      <c r="C705" s="84" t="str">
        <f t="shared" si="121"/>
        <v>January</v>
      </c>
      <c r="D705" s="85" t="str">
        <f t="shared" si="119"/>
        <v/>
      </c>
      <c r="E705" s="86"/>
      <c r="F705" s="86"/>
      <c r="G705" s="86"/>
      <c r="H705" s="86"/>
      <c r="I705" s="87" t="str">
        <f>IF(F705=0,"",IF(COUNTIF(F705,"Bao"),[1]Setup!$B$4,IF(COUNTIF(F705,"Soup Dumplings"),[1]Setup!$B$5,F705)))</f>
        <v/>
      </c>
      <c r="J705" s="88" t="str">
        <f t="shared" si="123"/>
        <v/>
      </c>
      <c r="K705" s="88"/>
      <c r="L705" s="87"/>
      <c r="M705" s="87"/>
      <c r="N705" s="87"/>
      <c r="O705" s="87"/>
      <c r="P705" s="89" t="str">
        <f t="shared" si="124"/>
        <v/>
      </c>
      <c r="Q705" s="89" t="str">
        <f t="shared" si="125"/>
        <v/>
      </c>
      <c r="R705" s="89" t="str">
        <f t="shared" si="126"/>
        <v/>
      </c>
      <c r="S705" s="88" t="str">
        <f>IF(F705="Bao",[1]Setup!$B$4,IF(F705="Soup Dumplings",[1]Setup!$B$5,""))</f>
        <v/>
      </c>
      <c r="T705" s="88" t="str">
        <f t="shared" si="127"/>
        <v/>
      </c>
      <c r="U705" s="84" t="str">
        <f t="shared" si="128"/>
        <v/>
      </c>
      <c r="V705" s="88">
        <f>IF(U705="",0,MAX(0,T705)+N705+ROUND(J705*[1]Setup!$B$9,0)+IF(O705&gt;[1]Setup!$B$10,ROUND(J705*[1]Setup!$B$11,0),0))</f>
        <v>0</v>
      </c>
      <c r="W705" s="85" t="str">
        <f>IF(L705="","Open",IF(OR(P705&lt;[1]Setup!$B$6,Q705&gt;[1]Setup!$B$7,R705&gt;[1]Setup!$B$8,O705&gt;[1]Setup!$B$10),"Review","OK"))</f>
        <v>Open</v>
      </c>
      <c r="X705" s="86"/>
      <c r="Z705" s="81" t="str">
        <f t="shared" si="122"/>
        <v/>
      </c>
    </row>
    <row r="706" spans="1:26" x14ac:dyDescent="0.3">
      <c r="A706" s="84"/>
      <c r="B706" s="100">
        <f t="shared" si="120"/>
        <v>0</v>
      </c>
      <c r="C706" s="84" t="str">
        <f t="shared" si="121"/>
        <v>January</v>
      </c>
      <c r="D706" s="85" t="str">
        <f t="shared" si="119"/>
        <v/>
      </c>
      <c r="E706" s="86"/>
      <c r="F706" s="86"/>
      <c r="G706" s="86"/>
      <c r="H706" s="86"/>
      <c r="I706" s="87" t="str">
        <f>IF(F706=0,"",IF(COUNTIF(F706,"Bao"),[1]Setup!$B$4,IF(COUNTIF(F706,"Soup Dumplings"),[1]Setup!$B$5,F706)))</f>
        <v/>
      </c>
      <c r="J706" s="88" t="str">
        <f t="shared" si="123"/>
        <v/>
      </c>
      <c r="K706" s="88"/>
      <c r="L706" s="87"/>
      <c r="M706" s="87"/>
      <c r="N706" s="87"/>
      <c r="O706" s="87"/>
      <c r="P706" s="89" t="str">
        <f t="shared" si="124"/>
        <v/>
      </c>
      <c r="Q706" s="89" t="str">
        <f t="shared" si="125"/>
        <v/>
      </c>
      <c r="R706" s="89" t="str">
        <f t="shared" si="126"/>
        <v/>
      </c>
      <c r="S706" s="88" t="str">
        <f>IF(F706="Bao",[1]Setup!$B$4,IF(F706="Soup Dumplings",[1]Setup!$B$5,""))</f>
        <v/>
      </c>
      <c r="T706" s="88" t="str">
        <f t="shared" si="127"/>
        <v/>
      </c>
      <c r="U706" s="84" t="str">
        <f t="shared" si="128"/>
        <v/>
      </c>
      <c r="V706" s="88">
        <f>IF(U706="",0,MAX(0,T706)+N706+ROUND(J706*[1]Setup!$B$9,0)+IF(O706&gt;[1]Setup!$B$10,ROUND(J706*[1]Setup!$B$11,0),0))</f>
        <v>0</v>
      </c>
      <c r="W706" s="85" t="str">
        <f>IF(L706="","Open",IF(OR(P706&lt;[1]Setup!$B$6,Q706&gt;[1]Setup!$B$7,R706&gt;[1]Setup!$B$8,O706&gt;[1]Setup!$B$10),"Review","OK"))</f>
        <v>Open</v>
      </c>
      <c r="X706" s="86"/>
      <c r="Z706" s="81" t="str">
        <f t="shared" si="122"/>
        <v/>
      </c>
    </row>
    <row r="707" spans="1:26" x14ac:dyDescent="0.3">
      <c r="A707" s="84"/>
      <c r="B707" s="100">
        <f t="shared" si="120"/>
        <v>0</v>
      </c>
      <c r="C707" s="84" t="str">
        <f t="shared" si="121"/>
        <v>January</v>
      </c>
      <c r="D707" s="85" t="str">
        <f t="shared" si="119"/>
        <v/>
      </c>
      <c r="E707" s="86"/>
      <c r="F707" s="86"/>
      <c r="G707" s="86"/>
      <c r="H707" s="86"/>
      <c r="I707" s="87" t="str">
        <f>IF(F707=0,"",IF(COUNTIF(F707,"Bao"),[1]Setup!$B$4,IF(COUNTIF(F707,"Soup Dumplings"),[1]Setup!$B$5,F707)))</f>
        <v/>
      </c>
      <c r="J707" s="88" t="str">
        <f t="shared" si="123"/>
        <v/>
      </c>
      <c r="K707" s="88"/>
      <c r="L707" s="87"/>
      <c r="M707" s="87"/>
      <c r="N707" s="87"/>
      <c r="O707" s="87"/>
      <c r="P707" s="89" t="str">
        <f t="shared" si="124"/>
        <v/>
      </c>
      <c r="Q707" s="89" t="str">
        <f t="shared" si="125"/>
        <v/>
      </c>
      <c r="R707" s="89" t="str">
        <f t="shared" si="126"/>
        <v/>
      </c>
      <c r="S707" s="88" t="str">
        <f>IF(F707="Bao",[1]Setup!$B$4,IF(F707="Soup Dumplings",[1]Setup!$B$5,""))</f>
        <v/>
      </c>
      <c r="T707" s="88" t="str">
        <f t="shared" si="127"/>
        <v/>
      </c>
      <c r="U707" s="84" t="str">
        <f t="shared" si="128"/>
        <v/>
      </c>
      <c r="V707" s="88">
        <f>IF(U707="",0,MAX(0,T707)+N707+ROUND(J707*[1]Setup!$B$9,0)+IF(O707&gt;[1]Setup!$B$10,ROUND(J707*[1]Setup!$B$11,0),0))</f>
        <v>0</v>
      </c>
      <c r="W707" s="85" t="str">
        <f>IF(L707="","Open",IF(OR(P707&lt;[1]Setup!$B$6,Q707&gt;[1]Setup!$B$7,R707&gt;[1]Setup!$B$8,O707&gt;[1]Setup!$B$10),"Review","OK"))</f>
        <v>Open</v>
      </c>
      <c r="X707" s="86"/>
      <c r="Z707" s="81" t="str">
        <f t="shared" si="122"/>
        <v/>
      </c>
    </row>
    <row r="708" spans="1:26" x14ac:dyDescent="0.3">
      <c r="A708" s="84"/>
      <c r="B708" s="100">
        <f t="shared" si="120"/>
        <v>0</v>
      </c>
      <c r="C708" s="84" t="str">
        <f t="shared" si="121"/>
        <v>January</v>
      </c>
      <c r="D708" s="85" t="str">
        <f t="shared" ref="D708:D771" si="129">IF(A708="","",TEXT(A708,"ddd"))</f>
        <v/>
      </c>
      <c r="E708" s="86"/>
      <c r="F708" s="86"/>
      <c r="G708" s="86"/>
      <c r="H708" s="86"/>
      <c r="I708" s="87" t="str">
        <f>IF(F708=0,"",IF(COUNTIF(F708,"Bao"),[1]Setup!$B$4,IF(COUNTIF(F708,"Soup Dumplings"),[1]Setup!$B$5,F708)))</f>
        <v/>
      </c>
      <c r="J708" s="88" t="str">
        <f t="shared" si="123"/>
        <v/>
      </c>
      <c r="K708" s="88"/>
      <c r="L708" s="87"/>
      <c r="M708" s="87"/>
      <c r="N708" s="87"/>
      <c r="O708" s="87"/>
      <c r="P708" s="89" t="str">
        <f t="shared" si="124"/>
        <v/>
      </c>
      <c r="Q708" s="89" t="str">
        <f t="shared" si="125"/>
        <v/>
      </c>
      <c r="R708" s="89" t="str">
        <f t="shared" si="126"/>
        <v/>
      </c>
      <c r="S708" s="88" t="str">
        <f>IF(F708="Bao",[1]Setup!$B$4,IF(F708="Soup Dumplings",[1]Setup!$B$5,""))</f>
        <v/>
      </c>
      <c r="T708" s="88" t="str">
        <f t="shared" si="127"/>
        <v/>
      </c>
      <c r="U708" s="84" t="str">
        <f t="shared" si="128"/>
        <v/>
      </c>
      <c r="V708" s="88">
        <f>IF(U708="",0,MAX(0,T708)+N708+ROUND(J708*[1]Setup!$B$9,0)+IF(O708&gt;[1]Setup!$B$10,ROUND(J708*[1]Setup!$B$11,0),0))</f>
        <v>0</v>
      </c>
      <c r="W708" s="85" t="str">
        <f>IF(L708="","Open",IF(OR(P708&lt;[1]Setup!$B$6,Q708&gt;[1]Setup!$B$7,R708&gt;[1]Setup!$B$8,O708&gt;[1]Setup!$B$10),"Review","OK"))</f>
        <v>Open</v>
      </c>
      <c r="X708" s="86"/>
      <c r="Z708" s="81" t="str">
        <f t="shared" si="122"/>
        <v/>
      </c>
    </row>
    <row r="709" spans="1:26" x14ac:dyDescent="0.3">
      <c r="A709" s="84"/>
      <c r="B709" s="100">
        <f t="shared" ref="B709:B772" si="130">+WEEKNUM(A709)</f>
        <v>0</v>
      </c>
      <c r="C709" s="84" t="str">
        <f t="shared" ref="C709:C772" si="131">+TEXT(A709,"mmmm")</f>
        <v>January</v>
      </c>
      <c r="D709" s="85" t="str">
        <f t="shared" si="129"/>
        <v/>
      </c>
      <c r="E709" s="86"/>
      <c r="F709" s="86"/>
      <c r="G709" s="86"/>
      <c r="H709" s="86"/>
      <c r="I709" s="87" t="str">
        <f>IF(F709=0,"",IF(COUNTIF(F709,"Bao"),[1]Setup!$B$4,IF(COUNTIF(F709,"Soup Dumplings"),[1]Setup!$B$5,F709)))</f>
        <v/>
      </c>
      <c r="J709" s="88" t="str">
        <f t="shared" si="123"/>
        <v/>
      </c>
      <c r="K709" s="88"/>
      <c r="L709" s="87"/>
      <c r="M709" s="87"/>
      <c r="N709" s="87"/>
      <c r="O709" s="87"/>
      <c r="P709" s="89" t="str">
        <f t="shared" si="124"/>
        <v/>
      </c>
      <c r="Q709" s="89" t="str">
        <f t="shared" si="125"/>
        <v/>
      </c>
      <c r="R709" s="89" t="str">
        <f t="shared" si="126"/>
        <v/>
      </c>
      <c r="S709" s="88" t="str">
        <f>IF(F709="Bao",[1]Setup!$B$4,IF(F709="Soup Dumplings",[1]Setup!$B$5,""))</f>
        <v/>
      </c>
      <c r="T709" s="88" t="str">
        <f t="shared" si="127"/>
        <v/>
      </c>
      <c r="U709" s="84" t="str">
        <f t="shared" si="128"/>
        <v/>
      </c>
      <c r="V709" s="88">
        <f>IF(U709="",0,MAX(0,T709)+N709+ROUND(J709*[1]Setup!$B$9,0)+IF(O709&gt;[1]Setup!$B$10,ROUND(J709*[1]Setup!$B$11,0),0))</f>
        <v>0</v>
      </c>
      <c r="W709" s="85" t="str">
        <f>IF(L709="","Open",IF(OR(P709&lt;[1]Setup!$B$6,Q709&gt;[1]Setup!$B$7,R709&gt;[1]Setup!$B$8,O709&gt;[1]Setup!$B$10),"Review","OK"))</f>
        <v>Open</v>
      </c>
      <c r="X709" s="86"/>
      <c r="Z709" s="81" t="str">
        <f t="shared" ref="Z709:Z772" si="132">+LEFT(F709,3)</f>
        <v/>
      </c>
    </row>
    <row r="710" spans="1:26" x14ac:dyDescent="0.3">
      <c r="A710" s="84"/>
      <c r="B710" s="100">
        <f t="shared" si="130"/>
        <v>0</v>
      </c>
      <c r="C710" s="84" t="str">
        <f t="shared" si="131"/>
        <v>January</v>
      </c>
      <c r="D710" s="85" t="str">
        <f t="shared" si="129"/>
        <v/>
      </c>
      <c r="E710" s="86"/>
      <c r="F710" s="86"/>
      <c r="G710" s="86"/>
      <c r="H710" s="86"/>
      <c r="I710" s="87" t="str">
        <f>IF(F710=0,"",IF(COUNTIF(F710,"Bao"),[1]Setup!$B$4,IF(COUNTIF(F710,"Soup Dumplings"),[1]Setup!$B$5,F710)))</f>
        <v/>
      </c>
      <c r="J710" s="88" t="str">
        <f t="shared" si="123"/>
        <v/>
      </c>
      <c r="K710" s="88"/>
      <c r="L710" s="87"/>
      <c r="M710" s="87"/>
      <c r="N710" s="87"/>
      <c r="O710" s="87"/>
      <c r="P710" s="89" t="str">
        <f t="shared" si="124"/>
        <v/>
      </c>
      <c r="Q710" s="89" t="str">
        <f t="shared" si="125"/>
        <v/>
      </c>
      <c r="R710" s="89" t="str">
        <f t="shared" si="126"/>
        <v/>
      </c>
      <c r="S710" s="88" t="str">
        <f>IF(F710="Bao",[1]Setup!$B$4,IF(F710="Soup Dumplings",[1]Setup!$B$5,""))</f>
        <v/>
      </c>
      <c r="T710" s="88" t="str">
        <f t="shared" si="127"/>
        <v/>
      </c>
      <c r="U710" s="84" t="str">
        <f t="shared" si="128"/>
        <v/>
      </c>
      <c r="V710" s="88">
        <f>IF(U710="",0,MAX(0,T710)+N710+ROUND(J710*[1]Setup!$B$9,0)+IF(O710&gt;[1]Setup!$B$10,ROUND(J710*[1]Setup!$B$11,0),0))</f>
        <v>0</v>
      </c>
      <c r="W710" s="85" t="str">
        <f>IF(L710="","Open",IF(OR(P710&lt;[1]Setup!$B$6,Q710&gt;[1]Setup!$B$7,R710&gt;[1]Setup!$B$8,O710&gt;[1]Setup!$B$10),"Review","OK"))</f>
        <v>Open</v>
      </c>
      <c r="X710" s="86"/>
      <c r="Z710" s="81" t="str">
        <f t="shared" si="132"/>
        <v/>
      </c>
    </row>
    <row r="711" spans="1:26" x14ac:dyDescent="0.3">
      <c r="A711" s="84"/>
      <c r="B711" s="100">
        <f t="shared" si="130"/>
        <v>0</v>
      </c>
      <c r="C711" s="84" t="str">
        <f t="shared" si="131"/>
        <v>January</v>
      </c>
      <c r="D711" s="85" t="str">
        <f t="shared" si="129"/>
        <v/>
      </c>
      <c r="E711" s="86"/>
      <c r="F711" s="86"/>
      <c r="G711" s="86"/>
      <c r="H711" s="86"/>
      <c r="I711" s="87" t="str">
        <f>IF(F711=0,"",IF(COUNTIF(F711,"Bao"),[1]Setup!$B$4,IF(COUNTIF(F711,"Soup Dumplings"),[1]Setup!$B$5,F711)))</f>
        <v/>
      </c>
      <c r="J711" s="88" t="str">
        <f t="shared" si="123"/>
        <v/>
      </c>
      <c r="K711" s="88"/>
      <c r="L711" s="87"/>
      <c r="M711" s="87"/>
      <c r="N711" s="87"/>
      <c r="O711" s="87"/>
      <c r="P711" s="89" t="str">
        <f t="shared" si="124"/>
        <v/>
      </c>
      <c r="Q711" s="89" t="str">
        <f t="shared" si="125"/>
        <v/>
      </c>
      <c r="R711" s="89" t="str">
        <f t="shared" si="126"/>
        <v/>
      </c>
      <c r="S711" s="88" t="str">
        <f>IF(F711="Bao",[1]Setup!$B$4,IF(F711="Soup Dumplings",[1]Setup!$B$5,""))</f>
        <v/>
      </c>
      <c r="T711" s="88" t="str">
        <f t="shared" si="127"/>
        <v/>
      </c>
      <c r="U711" s="84" t="str">
        <f t="shared" si="128"/>
        <v/>
      </c>
      <c r="V711" s="88">
        <f>IF(U711="",0,MAX(0,T711)+N711+ROUND(J711*[1]Setup!$B$9,0)+IF(O711&gt;[1]Setup!$B$10,ROUND(J711*[1]Setup!$B$11,0),0))</f>
        <v>0</v>
      </c>
      <c r="W711" s="85" t="str">
        <f>IF(L711="","Open",IF(OR(P711&lt;[1]Setup!$B$6,Q711&gt;[1]Setup!$B$7,R711&gt;[1]Setup!$B$8,O711&gt;[1]Setup!$B$10),"Review","OK"))</f>
        <v>Open</v>
      </c>
      <c r="X711" s="86"/>
      <c r="Z711" s="81" t="str">
        <f t="shared" si="132"/>
        <v/>
      </c>
    </row>
    <row r="712" spans="1:26" x14ac:dyDescent="0.3">
      <c r="A712" s="84"/>
      <c r="B712" s="100">
        <f t="shared" si="130"/>
        <v>0</v>
      </c>
      <c r="C712" s="84" t="str">
        <f t="shared" si="131"/>
        <v>January</v>
      </c>
      <c r="D712" s="85" t="str">
        <f t="shared" si="129"/>
        <v/>
      </c>
      <c r="E712" s="86"/>
      <c r="F712" s="86"/>
      <c r="G712" s="86"/>
      <c r="H712" s="86"/>
      <c r="I712" s="87" t="str">
        <f>IF(F712=0,"",IF(COUNTIF(F712,"Bao"),[1]Setup!$B$4,IF(COUNTIF(F712,"Soup Dumplings"),[1]Setup!$B$5,F712)))</f>
        <v/>
      </c>
      <c r="J712" s="88" t="str">
        <f t="shared" si="123"/>
        <v/>
      </c>
      <c r="K712" s="88"/>
      <c r="L712" s="87"/>
      <c r="M712" s="87"/>
      <c r="N712" s="87"/>
      <c r="O712" s="87"/>
      <c r="P712" s="89" t="str">
        <f t="shared" si="124"/>
        <v/>
      </c>
      <c r="Q712" s="89" t="str">
        <f t="shared" si="125"/>
        <v/>
      </c>
      <c r="R712" s="89" t="str">
        <f t="shared" si="126"/>
        <v/>
      </c>
      <c r="S712" s="88" t="str">
        <f>IF(F712="Bao",[1]Setup!$B$4,IF(F712="Soup Dumplings",[1]Setup!$B$5,""))</f>
        <v/>
      </c>
      <c r="T712" s="88" t="str">
        <f t="shared" si="127"/>
        <v/>
      </c>
      <c r="U712" s="84" t="str">
        <f t="shared" si="128"/>
        <v/>
      </c>
      <c r="V712" s="88">
        <f>IF(U712="",0,MAX(0,T712)+N712+ROUND(J712*[1]Setup!$B$9,0)+IF(O712&gt;[1]Setup!$B$10,ROUND(J712*[1]Setup!$B$11,0),0))</f>
        <v>0</v>
      </c>
      <c r="W712" s="85" t="str">
        <f>IF(L712="","Open",IF(OR(P712&lt;[1]Setup!$B$6,Q712&gt;[1]Setup!$B$7,R712&gt;[1]Setup!$B$8,O712&gt;[1]Setup!$B$10),"Review","OK"))</f>
        <v>Open</v>
      </c>
      <c r="X712" s="86"/>
      <c r="Z712" s="81" t="str">
        <f t="shared" si="132"/>
        <v/>
      </c>
    </row>
    <row r="713" spans="1:26" x14ac:dyDescent="0.3">
      <c r="A713" s="84"/>
      <c r="B713" s="100">
        <f t="shared" si="130"/>
        <v>0</v>
      </c>
      <c r="C713" s="84" t="str">
        <f t="shared" si="131"/>
        <v>January</v>
      </c>
      <c r="D713" s="85" t="str">
        <f t="shared" si="129"/>
        <v/>
      </c>
      <c r="E713" s="86"/>
      <c r="F713" s="86"/>
      <c r="G713" s="86"/>
      <c r="H713" s="86"/>
      <c r="I713" s="87" t="str">
        <f>IF(F713=0,"",IF(COUNTIF(F713,"Bao"),[1]Setup!$B$4,IF(COUNTIF(F713,"Soup Dumplings"),[1]Setup!$B$5,F713)))</f>
        <v/>
      </c>
      <c r="J713" s="88" t="str">
        <f t="shared" si="123"/>
        <v/>
      </c>
      <c r="K713" s="88"/>
      <c r="L713" s="87"/>
      <c r="M713" s="87"/>
      <c r="N713" s="87"/>
      <c r="O713" s="87"/>
      <c r="P713" s="89" t="str">
        <f t="shared" si="124"/>
        <v/>
      </c>
      <c r="Q713" s="89" t="str">
        <f t="shared" si="125"/>
        <v/>
      </c>
      <c r="R713" s="89" t="str">
        <f t="shared" si="126"/>
        <v/>
      </c>
      <c r="S713" s="88" t="str">
        <f>IF(F713="Bao",[1]Setup!$B$4,IF(F713="Soup Dumplings",[1]Setup!$B$5,""))</f>
        <v/>
      </c>
      <c r="T713" s="88" t="str">
        <f t="shared" si="127"/>
        <v/>
      </c>
      <c r="U713" s="84" t="str">
        <f t="shared" si="128"/>
        <v/>
      </c>
      <c r="V713" s="88">
        <f>IF(U713="",0,MAX(0,T713)+N713+ROUND(J713*[1]Setup!$B$9,0)+IF(O713&gt;[1]Setup!$B$10,ROUND(J713*[1]Setup!$B$11,0),0))</f>
        <v>0</v>
      </c>
      <c r="W713" s="85" t="str">
        <f>IF(L713="","Open",IF(OR(P713&lt;[1]Setup!$B$6,Q713&gt;[1]Setup!$B$7,R713&gt;[1]Setup!$B$8,O713&gt;[1]Setup!$B$10),"Review","OK"))</f>
        <v>Open</v>
      </c>
      <c r="X713" s="86"/>
      <c r="Z713" s="81" t="str">
        <f t="shared" si="132"/>
        <v/>
      </c>
    </row>
    <row r="714" spans="1:26" x14ac:dyDescent="0.3">
      <c r="A714" s="84"/>
      <c r="B714" s="100">
        <f t="shared" si="130"/>
        <v>0</v>
      </c>
      <c r="C714" s="84" t="str">
        <f t="shared" si="131"/>
        <v>January</v>
      </c>
      <c r="D714" s="85" t="str">
        <f t="shared" si="129"/>
        <v/>
      </c>
      <c r="E714" s="86"/>
      <c r="F714" s="86"/>
      <c r="G714" s="86"/>
      <c r="H714" s="86"/>
      <c r="I714" s="87" t="str">
        <f>IF(F714=0,"",IF(COUNTIF(F714,"Bao"),[1]Setup!$B$4,IF(COUNTIF(F714,"Soup Dumplings"),[1]Setup!$B$5,F714)))</f>
        <v/>
      </c>
      <c r="J714" s="88" t="str">
        <f t="shared" si="123"/>
        <v/>
      </c>
      <c r="K714" s="88"/>
      <c r="L714" s="87"/>
      <c r="M714" s="87"/>
      <c r="N714" s="87"/>
      <c r="O714" s="87"/>
      <c r="P714" s="89" t="str">
        <f t="shared" si="124"/>
        <v/>
      </c>
      <c r="Q714" s="89" t="str">
        <f t="shared" si="125"/>
        <v/>
      </c>
      <c r="R714" s="89" t="str">
        <f t="shared" si="126"/>
        <v/>
      </c>
      <c r="S714" s="88" t="str">
        <f>IF(F714="Bao",[1]Setup!$B$4,IF(F714="Soup Dumplings",[1]Setup!$B$5,""))</f>
        <v/>
      </c>
      <c r="T714" s="88" t="str">
        <f t="shared" si="127"/>
        <v/>
      </c>
      <c r="U714" s="84" t="str">
        <f t="shared" si="128"/>
        <v/>
      </c>
      <c r="V714" s="88">
        <f>IF(U714="",0,MAX(0,T714)+N714+ROUND(J714*[1]Setup!$B$9,0)+IF(O714&gt;[1]Setup!$B$10,ROUND(J714*[1]Setup!$B$11,0),0))</f>
        <v>0</v>
      </c>
      <c r="W714" s="85" t="str">
        <f>IF(L714="","Open",IF(OR(P714&lt;[1]Setup!$B$6,Q714&gt;[1]Setup!$B$7,R714&gt;[1]Setup!$B$8,O714&gt;[1]Setup!$B$10),"Review","OK"))</f>
        <v>Open</v>
      </c>
      <c r="X714" s="86"/>
      <c r="Z714" s="81" t="str">
        <f t="shared" si="132"/>
        <v/>
      </c>
    </row>
    <row r="715" spans="1:26" x14ac:dyDescent="0.3">
      <c r="A715" s="84"/>
      <c r="B715" s="100">
        <f t="shared" si="130"/>
        <v>0</v>
      </c>
      <c r="C715" s="84" t="str">
        <f t="shared" si="131"/>
        <v>January</v>
      </c>
      <c r="D715" s="85" t="str">
        <f t="shared" si="129"/>
        <v/>
      </c>
      <c r="E715" s="86"/>
      <c r="F715" s="86"/>
      <c r="G715" s="86"/>
      <c r="H715" s="86"/>
      <c r="I715" s="87" t="str">
        <f>IF(F715=0,"",IF(COUNTIF(F715,"Bao"),[1]Setup!$B$4,IF(COUNTIF(F715,"Soup Dumplings"),[1]Setup!$B$5,F715)))</f>
        <v/>
      </c>
      <c r="J715" s="88" t="str">
        <f t="shared" si="123"/>
        <v/>
      </c>
      <c r="K715" s="88"/>
      <c r="L715" s="87"/>
      <c r="M715" s="87"/>
      <c r="N715" s="87"/>
      <c r="O715" s="87"/>
      <c r="P715" s="89" t="str">
        <f t="shared" si="124"/>
        <v/>
      </c>
      <c r="Q715" s="89" t="str">
        <f t="shared" si="125"/>
        <v/>
      </c>
      <c r="R715" s="89" t="str">
        <f t="shared" si="126"/>
        <v/>
      </c>
      <c r="S715" s="88" t="str">
        <f>IF(F715="Bao",[1]Setup!$B$4,IF(F715="Soup Dumplings",[1]Setup!$B$5,""))</f>
        <v/>
      </c>
      <c r="T715" s="88" t="str">
        <f t="shared" si="127"/>
        <v/>
      </c>
      <c r="U715" s="84" t="str">
        <f t="shared" si="128"/>
        <v/>
      </c>
      <c r="V715" s="88">
        <f>IF(U715="",0,MAX(0,T715)+N715+ROUND(J715*[1]Setup!$B$9,0)+IF(O715&gt;[1]Setup!$B$10,ROUND(J715*[1]Setup!$B$11,0),0))</f>
        <v>0</v>
      </c>
      <c r="W715" s="85" t="str">
        <f>IF(L715="","Open",IF(OR(P715&lt;[1]Setup!$B$6,Q715&gt;[1]Setup!$B$7,R715&gt;[1]Setup!$B$8,O715&gt;[1]Setup!$B$10),"Review","OK"))</f>
        <v>Open</v>
      </c>
      <c r="X715" s="86"/>
      <c r="Z715" s="81" t="str">
        <f t="shared" si="132"/>
        <v/>
      </c>
    </row>
    <row r="716" spans="1:26" x14ac:dyDescent="0.3">
      <c r="A716" s="84"/>
      <c r="B716" s="100">
        <f t="shared" si="130"/>
        <v>0</v>
      </c>
      <c r="C716" s="84" t="str">
        <f t="shared" si="131"/>
        <v>January</v>
      </c>
      <c r="D716" s="85" t="str">
        <f t="shared" si="129"/>
        <v/>
      </c>
      <c r="E716" s="86"/>
      <c r="F716" s="86"/>
      <c r="G716" s="86"/>
      <c r="H716" s="86"/>
      <c r="I716" s="87" t="str">
        <f>IF(F716=0,"",IF(COUNTIF(F716,"Bao"),[1]Setup!$B$4,IF(COUNTIF(F716,"Soup Dumplings"),[1]Setup!$B$5,F716)))</f>
        <v/>
      </c>
      <c r="J716" s="88" t="str">
        <f t="shared" si="123"/>
        <v/>
      </c>
      <c r="K716" s="88"/>
      <c r="L716" s="87"/>
      <c r="M716" s="87"/>
      <c r="N716" s="87"/>
      <c r="O716" s="87"/>
      <c r="P716" s="89" t="str">
        <f t="shared" si="124"/>
        <v/>
      </c>
      <c r="Q716" s="89" t="str">
        <f t="shared" si="125"/>
        <v/>
      </c>
      <c r="R716" s="89" t="str">
        <f t="shared" si="126"/>
        <v/>
      </c>
      <c r="S716" s="88" t="str">
        <f>IF(F716="Bao",[1]Setup!$B$4,IF(F716="Soup Dumplings",[1]Setup!$B$5,""))</f>
        <v/>
      </c>
      <c r="T716" s="88" t="str">
        <f t="shared" si="127"/>
        <v/>
      </c>
      <c r="U716" s="84" t="str">
        <f t="shared" si="128"/>
        <v/>
      </c>
      <c r="V716" s="88">
        <f>IF(U716="",0,MAX(0,T716)+N716+ROUND(J716*[1]Setup!$B$9,0)+IF(O716&gt;[1]Setup!$B$10,ROUND(J716*[1]Setup!$B$11,0),0))</f>
        <v>0</v>
      </c>
      <c r="W716" s="85" t="str">
        <f>IF(L716="","Open",IF(OR(P716&lt;[1]Setup!$B$6,Q716&gt;[1]Setup!$B$7,R716&gt;[1]Setup!$B$8,O716&gt;[1]Setup!$B$10),"Review","OK"))</f>
        <v>Open</v>
      </c>
      <c r="X716" s="86"/>
      <c r="Z716" s="81" t="str">
        <f t="shared" si="132"/>
        <v/>
      </c>
    </row>
    <row r="717" spans="1:26" x14ac:dyDescent="0.3">
      <c r="A717" s="84"/>
      <c r="B717" s="100">
        <f t="shared" si="130"/>
        <v>0</v>
      </c>
      <c r="C717" s="84" t="str">
        <f t="shared" si="131"/>
        <v>January</v>
      </c>
      <c r="D717" s="85" t="str">
        <f t="shared" si="129"/>
        <v/>
      </c>
      <c r="E717" s="86"/>
      <c r="F717" s="86"/>
      <c r="G717" s="86"/>
      <c r="H717" s="86"/>
      <c r="I717" s="87" t="str">
        <f>IF(F717=0,"",IF(COUNTIF(F717,"Bao"),[1]Setup!$B$4,IF(COUNTIF(F717,"Soup Dumplings"),[1]Setup!$B$5,F717)))</f>
        <v/>
      </c>
      <c r="J717" s="88" t="str">
        <f t="shared" si="123"/>
        <v/>
      </c>
      <c r="K717" s="88"/>
      <c r="L717" s="87"/>
      <c r="M717" s="87"/>
      <c r="N717" s="87"/>
      <c r="O717" s="87"/>
      <c r="P717" s="89" t="str">
        <f t="shared" si="124"/>
        <v/>
      </c>
      <c r="Q717" s="89" t="str">
        <f t="shared" si="125"/>
        <v/>
      </c>
      <c r="R717" s="89" t="str">
        <f t="shared" si="126"/>
        <v/>
      </c>
      <c r="S717" s="88" t="str">
        <f>IF(F717="Bao",[1]Setup!$B$4,IF(F717="Soup Dumplings",[1]Setup!$B$5,""))</f>
        <v/>
      </c>
      <c r="T717" s="88" t="str">
        <f t="shared" si="127"/>
        <v/>
      </c>
      <c r="U717" s="84" t="str">
        <f t="shared" si="128"/>
        <v/>
      </c>
      <c r="V717" s="88">
        <f>IF(U717="",0,MAX(0,T717)+N717+ROUND(J717*[1]Setup!$B$9,0)+IF(O717&gt;[1]Setup!$B$10,ROUND(J717*[1]Setup!$B$11,0),0))</f>
        <v>0</v>
      </c>
      <c r="W717" s="85" t="str">
        <f>IF(L717="","Open",IF(OR(P717&lt;[1]Setup!$B$6,Q717&gt;[1]Setup!$B$7,R717&gt;[1]Setup!$B$8,O717&gt;[1]Setup!$B$10),"Review","OK"))</f>
        <v>Open</v>
      </c>
      <c r="X717" s="86"/>
      <c r="Z717" s="81" t="str">
        <f t="shared" si="132"/>
        <v/>
      </c>
    </row>
    <row r="718" spans="1:26" x14ac:dyDescent="0.3">
      <c r="A718" s="84"/>
      <c r="B718" s="100">
        <f t="shared" si="130"/>
        <v>0</v>
      </c>
      <c r="C718" s="84" t="str">
        <f t="shared" si="131"/>
        <v>January</v>
      </c>
      <c r="D718" s="85" t="str">
        <f t="shared" si="129"/>
        <v/>
      </c>
      <c r="E718" s="86"/>
      <c r="F718" s="86"/>
      <c r="G718" s="86"/>
      <c r="H718" s="86"/>
      <c r="I718" s="87" t="str">
        <f>IF(F718=0,"",IF(COUNTIF(F718,"Bao"),[1]Setup!$B$4,IF(COUNTIF(F718,"Soup Dumplings"),[1]Setup!$B$5,F718)))</f>
        <v/>
      </c>
      <c r="J718" s="88" t="str">
        <f t="shared" si="123"/>
        <v/>
      </c>
      <c r="K718" s="88"/>
      <c r="L718" s="87"/>
      <c r="M718" s="87"/>
      <c r="N718" s="87"/>
      <c r="O718" s="87"/>
      <c r="P718" s="89" t="str">
        <f t="shared" si="124"/>
        <v/>
      </c>
      <c r="Q718" s="89" t="str">
        <f t="shared" si="125"/>
        <v/>
      </c>
      <c r="R718" s="89" t="str">
        <f t="shared" si="126"/>
        <v/>
      </c>
      <c r="S718" s="88" t="str">
        <f>IF(F718="Bao",[1]Setup!$B$4,IF(F718="Soup Dumplings",[1]Setup!$B$5,""))</f>
        <v/>
      </c>
      <c r="T718" s="88" t="str">
        <f t="shared" si="127"/>
        <v/>
      </c>
      <c r="U718" s="84" t="str">
        <f t="shared" si="128"/>
        <v/>
      </c>
      <c r="V718" s="88">
        <f>IF(U718="",0,MAX(0,T718)+N718+ROUND(J718*[1]Setup!$B$9,0)+IF(O718&gt;[1]Setup!$B$10,ROUND(J718*[1]Setup!$B$11,0),0))</f>
        <v>0</v>
      </c>
      <c r="W718" s="85" t="str">
        <f>IF(L718="","Open",IF(OR(P718&lt;[1]Setup!$B$6,Q718&gt;[1]Setup!$B$7,R718&gt;[1]Setup!$B$8,O718&gt;[1]Setup!$B$10),"Review","OK"))</f>
        <v>Open</v>
      </c>
      <c r="X718" s="86"/>
      <c r="Z718" s="81" t="str">
        <f t="shared" si="132"/>
        <v/>
      </c>
    </row>
    <row r="719" spans="1:26" x14ac:dyDescent="0.3">
      <c r="A719" s="84"/>
      <c r="B719" s="100">
        <f t="shared" si="130"/>
        <v>0</v>
      </c>
      <c r="C719" s="84" t="str">
        <f t="shared" si="131"/>
        <v>January</v>
      </c>
      <c r="D719" s="85" t="str">
        <f t="shared" si="129"/>
        <v/>
      </c>
      <c r="E719" s="86"/>
      <c r="F719" s="86"/>
      <c r="G719" s="86"/>
      <c r="H719" s="86"/>
      <c r="I719" s="87" t="str">
        <f>IF(F719=0,"",IF(COUNTIF(F719,"Bao"),[1]Setup!$B$4,IF(COUNTIF(F719,"Soup Dumplings"),[1]Setup!$B$5,F719)))</f>
        <v/>
      </c>
      <c r="J719" s="88" t="str">
        <f t="shared" si="123"/>
        <v/>
      </c>
      <c r="K719" s="88"/>
      <c r="L719" s="87"/>
      <c r="M719" s="87"/>
      <c r="N719" s="87"/>
      <c r="O719" s="87"/>
      <c r="P719" s="89" t="str">
        <f t="shared" si="124"/>
        <v/>
      </c>
      <c r="Q719" s="89" t="str">
        <f t="shared" si="125"/>
        <v/>
      </c>
      <c r="R719" s="89" t="str">
        <f t="shared" si="126"/>
        <v/>
      </c>
      <c r="S719" s="88" t="str">
        <f>IF(F719="Bao",[1]Setup!$B$4,IF(F719="Soup Dumplings",[1]Setup!$B$5,""))</f>
        <v/>
      </c>
      <c r="T719" s="88" t="str">
        <f t="shared" si="127"/>
        <v/>
      </c>
      <c r="U719" s="84" t="str">
        <f t="shared" si="128"/>
        <v/>
      </c>
      <c r="V719" s="88">
        <f>IF(U719="",0,MAX(0,T719)+N719+ROUND(J719*[1]Setup!$B$9,0)+IF(O719&gt;[1]Setup!$B$10,ROUND(J719*[1]Setup!$B$11,0),0))</f>
        <v>0</v>
      </c>
      <c r="W719" s="85" t="str">
        <f>IF(L719="","Open",IF(OR(P719&lt;[1]Setup!$B$6,Q719&gt;[1]Setup!$B$7,R719&gt;[1]Setup!$B$8,O719&gt;[1]Setup!$B$10),"Review","OK"))</f>
        <v>Open</v>
      </c>
      <c r="X719" s="86"/>
      <c r="Z719" s="81" t="str">
        <f t="shared" si="132"/>
        <v/>
      </c>
    </row>
    <row r="720" spans="1:26" x14ac:dyDescent="0.3">
      <c r="A720" s="84"/>
      <c r="B720" s="100">
        <f t="shared" si="130"/>
        <v>0</v>
      </c>
      <c r="C720" s="84" t="str">
        <f t="shared" si="131"/>
        <v>January</v>
      </c>
      <c r="D720" s="85" t="str">
        <f t="shared" si="129"/>
        <v/>
      </c>
      <c r="E720" s="86"/>
      <c r="F720" s="86"/>
      <c r="G720" s="86"/>
      <c r="H720" s="86"/>
      <c r="I720" s="87" t="str">
        <f>IF(F720=0,"",IF(COUNTIF(F720,"Bao"),[1]Setup!$B$4,IF(COUNTIF(F720,"Soup Dumplings"),[1]Setup!$B$5,F720)))</f>
        <v/>
      </c>
      <c r="J720" s="88" t="str">
        <f t="shared" si="123"/>
        <v/>
      </c>
      <c r="K720" s="88"/>
      <c r="L720" s="87"/>
      <c r="M720" s="87"/>
      <c r="N720" s="87"/>
      <c r="O720" s="87"/>
      <c r="P720" s="89" t="str">
        <f t="shared" si="124"/>
        <v/>
      </c>
      <c r="Q720" s="89" t="str">
        <f t="shared" si="125"/>
        <v/>
      </c>
      <c r="R720" s="89" t="str">
        <f t="shared" si="126"/>
        <v/>
      </c>
      <c r="S720" s="88" t="str">
        <f>IF(F720="Bao",[1]Setup!$B$4,IF(F720="Soup Dumplings",[1]Setup!$B$5,""))</f>
        <v/>
      </c>
      <c r="T720" s="88" t="str">
        <f t="shared" si="127"/>
        <v/>
      </c>
      <c r="U720" s="84" t="str">
        <f t="shared" si="128"/>
        <v/>
      </c>
      <c r="V720" s="88">
        <f>IF(U720="",0,MAX(0,T720)+N720+ROUND(J720*[1]Setup!$B$9,0)+IF(O720&gt;[1]Setup!$B$10,ROUND(J720*[1]Setup!$B$11,0),0))</f>
        <v>0</v>
      </c>
      <c r="W720" s="85" t="str">
        <f>IF(L720="","Open",IF(OR(P720&lt;[1]Setup!$B$6,Q720&gt;[1]Setup!$B$7,R720&gt;[1]Setup!$B$8,O720&gt;[1]Setup!$B$10),"Review","OK"))</f>
        <v>Open</v>
      </c>
      <c r="X720" s="86"/>
      <c r="Z720" s="81" t="str">
        <f t="shared" si="132"/>
        <v/>
      </c>
    </row>
    <row r="721" spans="1:26" x14ac:dyDescent="0.3">
      <c r="A721" s="84"/>
      <c r="B721" s="100">
        <f t="shared" si="130"/>
        <v>0</v>
      </c>
      <c r="C721" s="84" t="str">
        <f t="shared" si="131"/>
        <v>January</v>
      </c>
      <c r="D721" s="85" t="str">
        <f t="shared" si="129"/>
        <v/>
      </c>
      <c r="E721" s="86"/>
      <c r="F721" s="86"/>
      <c r="G721" s="86"/>
      <c r="H721" s="86"/>
      <c r="I721" s="87" t="str">
        <f>IF(F721=0,"",IF(COUNTIF(F721,"Bao"),[1]Setup!$B$4,IF(COUNTIF(F721,"Soup Dumplings"),[1]Setup!$B$5,F721)))</f>
        <v/>
      </c>
      <c r="J721" s="88" t="str">
        <f t="shared" si="123"/>
        <v/>
      </c>
      <c r="K721" s="88"/>
      <c r="L721" s="87"/>
      <c r="M721" s="87"/>
      <c r="N721" s="87"/>
      <c r="O721" s="87"/>
      <c r="P721" s="89" t="str">
        <f t="shared" si="124"/>
        <v/>
      </c>
      <c r="Q721" s="89" t="str">
        <f t="shared" si="125"/>
        <v/>
      </c>
      <c r="R721" s="89" t="str">
        <f t="shared" si="126"/>
        <v/>
      </c>
      <c r="S721" s="88" t="str">
        <f>IF(F721="Bao",[1]Setup!$B$4,IF(F721="Soup Dumplings",[1]Setup!$B$5,""))</f>
        <v/>
      </c>
      <c r="T721" s="88" t="str">
        <f t="shared" si="127"/>
        <v/>
      </c>
      <c r="U721" s="84" t="str">
        <f t="shared" si="128"/>
        <v/>
      </c>
      <c r="V721" s="88">
        <f>IF(U721="",0,MAX(0,T721)+N721+ROUND(J721*[1]Setup!$B$9,0)+IF(O721&gt;[1]Setup!$B$10,ROUND(J721*[1]Setup!$B$11,0),0))</f>
        <v>0</v>
      </c>
      <c r="W721" s="85" t="str">
        <f>IF(L721="","Open",IF(OR(P721&lt;[1]Setup!$B$6,Q721&gt;[1]Setup!$B$7,R721&gt;[1]Setup!$B$8,O721&gt;[1]Setup!$B$10),"Review","OK"))</f>
        <v>Open</v>
      </c>
      <c r="X721" s="86"/>
      <c r="Z721" s="81" t="str">
        <f t="shared" si="132"/>
        <v/>
      </c>
    </row>
    <row r="722" spans="1:26" x14ac:dyDescent="0.3">
      <c r="A722" s="84"/>
      <c r="B722" s="100">
        <f t="shared" si="130"/>
        <v>0</v>
      </c>
      <c r="C722" s="84" t="str">
        <f t="shared" si="131"/>
        <v>January</v>
      </c>
      <c r="D722" s="85" t="str">
        <f t="shared" si="129"/>
        <v/>
      </c>
      <c r="E722" s="86"/>
      <c r="F722" s="86"/>
      <c r="G722" s="86"/>
      <c r="H722" s="86"/>
      <c r="I722" s="87" t="str">
        <f>IF(F722=0,"",IF(COUNTIF(F722,"Bao"),[1]Setup!$B$4,IF(COUNTIF(F722,"Soup Dumplings"),[1]Setup!$B$5,F722)))</f>
        <v/>
      </c>
      <c r="J722" s="88" t="str">
        <f t="shared" si="123"/>
        <v/>
      </c>
      <c r="K722" s="88"/>
      <c r="L722" s="87"/>
      <c r="M722" s="87"/>
      <c r="N722" s="87"/>
      <c r="O722" s="87"/>
      <c r="P722" s="89" t="str">
        <f t="shared" si="124"/>
        <v/>
      </c>
      <c r="Q722" s="89" t="str">
        <f t="shared" si="125"/>
        <v/>
      </c>
      <c r="R722" s="89" t="str">
        <f t="shared" si="126"/>
        <v/>
      </c>
      <c r="S722" s="88" t="str">
        <f>IF(F722="Bao",[1]Setup!$B$4,IF(F722="Soup Dumplings",[1]Setup!$B$5,""))</f>
        <v/>
      </c>
      <c r="T722" s="88" t="str">
        <f t="shared" si="127"/>
        <v/>
      </c>
      <c r="U722" s="84" t="str">
        <f t="shared" si="128"/>
        <v/>
      </c>
      <c r="V722" s="88">
        <f>IF(U722="",0,MAX(0,T722)+N722+ROUND(J722*[1]Setup!$B$9,0)+IF(O722&gt;[1]Setup!$B$10,ROUND(J722*[1]Setup!$B$11,0),0))</f>
        <v>0</v>
      </c>
      <c r="W722" s="85" t="str">
        <f>IF(L722="","Open",IF(OR(P722&lt;[1]Setup!$B$6,Q722&gt;[1]Setup!$B$7,R722&gt;[1]Setup!$B$8,O722&gt;[1]Setup!$B$10),"Review","OK"))</f>
        <v>Open</v>
      </c>
      <c r="X722" s="86"/>
      <c r="Z722" s="81" t="str">
        <f t="shared" si="132"/>
        <v/>
      </c>
    </row>
    <row r="723" spans="1:26" x14ac:dyDescent="0.3">
      <c r="A723" s="84"/>
      <c r="B723" s="100">
        <f t="shared" si="130"/>
        <v>0</v>
      </c>
      <c r="C723" s="84" t="str">
        <f t="shared" si="131"/>
        <v>January</v>
      </c>
      <c r="D723" s="85" t="str">
        <f t="shared" si="129"/>
        <v/>
      </c>
      <c r="E723" s="86"/>
      <c r="F723" s="86"/>
      <c r="G723" s="86"/>
      <c r="H723" s="86"/>
      <c r="I723" s="87" t="str">
        <f>IF(F723=0,"",IF(COUNTIF(F723,"Bao"),[1]Setup!$B$4,IF(COUNTIF(F723,"Soup Dumplings"),[1]Setup!$B$5,F723)))</f>
        <v/>
      </c>
      <c r="J723" s="88" t="str">
        <f t="shared" si="123"/>
        <v/>
      </c>
      <c r="K723" s="88"/>
      <c r="L723" s="87"/>
      <c r="M723" s="87"/>
      <c r="N723" s="87"/>
      <c r="O723" s="87"/>
      <c r="P723" s="89" t="str">
        <f t="shared" si="124"/>
        <v/>
      </c>
      <c r="Q723" s="89" t="str">
        <f t="shared" si="125"/>
        <v/>
      </c>
      <c r="R723" s="89" t="str">
        <f t="shared" si="126"/>
        <v/>
      </c>
      <c r="S723" s="88" t="str">
        <f>IF(F723="Bao",[1]Setup!$B$4,IF(F723="Soup Dumplings",[1]Setup!$B$5,""))</f>
        <v/>
      </c>
      <c r="T723" s="88" t="str">
        <f t="shared" si="127"/>
        <v/>
      </c>
      <c r="U723" s="84" t="str">
        <f t="shared" si="128"/>
        <v/>
      </c>
      <c r="V723" s="88">
        <f>IF(U723="",0,MAX(0,T723)+N723+ROUND(J723*[1]Setup!$B$9,0)+IF(O723&gt;[1]Setup!$B$10,ROUND(J723*[1]Setup!$B$11,0),0))</f>
        <v>0</v>
      </c>
      <c r="W723" s="85" t="str">
        <f>IF(L723="","Open",IF(OR(P723&lt;[1]Setup!$B$6,Q723&gt;[1]Setup!$B$7,R723&gt;[1]Setup!$B$8,O723&gt;[1]Setup!$B$10),"Review","OK"))</f>
        <v>Open</v>
      </c>
      <c r="X723" s="86"/>
      <c r="Z723" s="81" t="str">
        <f t="shared" si="132"/>
        <v/>
      </c>
    </row>
    <row r="724" spans="1:26" x14ac:dyDescent="0.3">
      <c r="A724" s="84"/>
      <c r="B724" s="100">
        <f t="shared" si="130"/>
        <v>0</v>
      </c>
      <c r="C724" s="84" t="str">
        <f t="shared" si="131"/>
        <v>January</v>
      </c>
      <c r="D724" s="85" t="str">
        <f t="shared" si="129"/>
        <v/>
      </c>
      <c r="E724" s="86"/>
      <c r="F724" s="86"/>
      <c r="G724" s="86"/>
      <c r="H724" s="86"/>
      <c r="I724" s="87" t="str">
        <f>IF(F724=0,"",IF(COUNTIF(F724,"Bao"),[1]Setup!$B$4,IF(COUNTIF(F724,"Soup Dumplings"),[1]Setup!$B$5,F724)))</f>
        <v/>
      </c>
      <c r="J724" s="88" t="str">
        <f t="shared" si="123"/>
        <v/>
      </c>
      <c r="K724" s="88"/>
      <c r="L724" s="87"/>
      <c r="M724" s="87"/>
      <c r="N724" s="87"/>
      <c r="O724" s="87"/>
      <c r="P724" s="89" t="str">
        <f t="shared" si="124"/>
        <v/>
      </c>
      <c r="Q724" s="89" t="str">
        <f t="shared" si="125"/>
        <v/>
      </c>
      <c r="R724" s="89" t="str">
        <f t="shared" si="126"/>
        <v/>
      </c>
      <c r="S724" s="88" t="str">
        <f>IF(F724="Bao",[1]Setup!$B$4,IF(F724="Soup Dumplings",[1]Setup!$B$5,""))</f>
        <v/>
      </c>
      <c r="T724" s="88" t="str">
        <f t="shared" si="127"/>
        <v/>
      </c>
      <c r="U724" s="84" t="str">
        <f t="shared" si="128"/>
        <v/>
      </c>
      <c r="V724" s="88">
        <f>IF(U724="",0,MAX(0,T724)+N724+ROUND(J724*[1]Setup!$B$9,0)+IF(O724&gt;[1]Setup!$B$10,ROUND(J724*[1]Setup!$B$11,0),0))</f>
        <v>0</v>
      </c>
      <c r="W724" s="85" t="str">
        <f>IF(L724="","Open",IF(OR(P724&lt;[1]Setup!$B$6,Q724&gt;[1]Setup!$B$7,R724&gt;[1]Setup!$B$8,O724&gt;[1]Setup!$B$10),"Review","OK"))</f>
        <v>Open</v>
      </c>
      <c r="X724" s="86"/>
      <c r="Z724" s="81" t="str">
        <f t="shared" si="132"/>
        <v/>
      </c>
    </row>
    <row r="725" spans="1:26" x14ac:dyDescent="0.3">
      <c r="A725" s="84"/>
      <c r="B725" s="100">
        <f t="shared" si="130"/>
        <v>0</v>
      </c>
      <c r="C725" s="84" t="str">
        <f t="shared" si="131"/>
        <v>January</v>
      </c>
      <c r="D725" s="85" t="str">
        <f t="shared" si="129"/>
        <v/>
      </c>
      <c r="E725" s="86"/>
      <c r="F725" s="86"/>
      <c r="G725" s="86"/>
      <c r="H725" s="86"/>
      <c r="I725" s="87" t="str">
        <f>IF(F725=0,"",IF(COUNTIF(F725,"Bao"),[1]Setup!$B$4,IF(COUNTIF(F725,"Soup Dumplings"),[1]Setup!$B$5,F725)))</f>
        <v/>
      </c>
      <c r="J725" s="88" t="str">
        <f t="shared" si="123"/>
        <v/>
      </c>
      <c r="K725" s="88"/>
      <c r="L725" s="87"/>
      <c r="M725" s="87"/>
      <c r="N725" s="87"/>
      <c r="O725" s="87"/>
      <c r="P725" s="89" t="str">
        <f t="shared" si="124"/>
        <v/>
      </c>
      <c r="Q725" s="89" t="str">
        <f t="shared" si="125"/>
        <v/>
      </c>
      <c r="R725" s="89" t="str">
        <f t="shared" si="126"/>
        <v/>
      </c>
      <c r="S725" s="88" t="str">
        <f>IF(F725="Bao",[1]Setup!$B$4,IF(F725="Soup Dumplings",[1]Setup!$B$5,""))</f>
        <v/>
      </c>
      <c r="T725" s="88" t="str">
        <f t="shared" si="127"/>
        <v/>
      </c>
      <c r="U725" s="84" t="str">
        <f t="shared" si="128"/>
        <v/>
      </c>
      <c r="V725" s="88">
        <f>IF(U725="",0,MAX(0,T725)+N725+ROUND(J725*[1]Setup!$B$9,0)+IF(O725&gt;[1]Setup!$B$10,ROUND(J725*[1]Setup!$B$11,0),0))</f>
        <v>0</v>
      </c>
      <c r="W725" s="85" t="str">
        <f>IF(L725="","Open",IF(OR(P725&lt;[1]Setup!$B$6,Q725&gt;[1]Setup!$B$7,R725&gt;[1]Setup!$B$8,O725&gt;[1]Setup!$B$10),"Review","OK"))</f>
        <v>Open</v>
      </c>
      <c r="X725" s="86"/>
      <c r="Z725" s="81" t="str">
        <f t="shared" si="132"/>
        <v/>
      </c>
    </row>
    <row r="726" spans="1:26" x14ac:dyDescent="0.3">
      <c r="A726" s="84"/>
      <c r="B726" s="100">
        <f t="shared" si="130"/>
        <v>0</v>
      </c>
      <c r="C726" s="84" t="str">
        <f t="shared" si="131"/>
        <v>January</v>
      </c>
      <c r="D726" s="85" t="str">
        <f t="shared" si="129"/>
        <v/>
      </c>
      <c r="E726" s="86"/>
      <c r="F726" s="86"/>
      <c r="G726" s="86"/>
      <c r="H726" s="86"/>
      <c r="I726" s="87" t="str">
        <f>IF(F726=0,"",IF(COUNTIF(F726,"Bao"),[1]Setup!$B$4,IF(COUNTIF(F726,"Soup Dumplings"),[1]Setup!$B$5,F726)))</f>
        <v/>
      </c>
      <c r="J726" s="88" t="str">
        <f t="shared" si="123"/>
        <v/>
      </c>
      <c r="K726" s="88"/>
      <c r="L726" s="87"/>
      <c r="M726" s="87"/>
      <c r="N726" s="87"/>
      <c r="O726" s="87"/>
      <c r="P726" s="89" t="str">
        <f t="shared" si="124"/>
        <v/>
      </c>
      <c r="Q726" s="89" t="str">
        <f t="shared" si="125"/>
        <v/>
      </c>
      <c r="R726" s="89" t="str">
        <f t="shared" si="126"/>
        <v/>
      </c>
      <c r="S726" s="88" t="str">
        <f>IF(F726="Bao",[1]Setup!$B$4,IF(F726="Soup Dumplings",[1]Setup!$B$5,""))</f>
        <v/>
      </c>
      <c r="T726" s="88" t="str">
        <f t="shared" si="127"/>
        <v/>
      </c>
      <c r="U726" s="84" t="str">
        <f t="shared" si="128"/>
        <v/>
      </c>
      <c r="V726" s="88">
        <f>IF(U726="",0,MAX(0,T726)+N726+ROUND(J726*[1]Setup!$B$9,0)+IF(O726&gt;[1]Setup!$B$10,ROUND(J726*[1]Setup!$B$11,0),0))</f>
        <v>0</v>
      </c>
      <c r="W726" s="85" t="str">
        <f>IF(L726="","Open",IF(OR(P726&lt;[1]Setup!$B$6,Q726&gt;[1]Setup!$B$7,R726&gt;[1]Setup!$B$8,O726&gt;[1]Setup!$B$10),"Review","OK"))</f>
        <v>Open</v>
      </c>
      <c r="X726" s="86"/>
      <c r="Z726" s="81" t="str">
        <f t="shared" si="132"/>
        <v/>
      </c>
    </row>
    <row r="727" spans="1:26" x14ac:dyDescent="0.3">
      <c r="A727" s="84"/>
      <c r="B727" s="100">
        <f t="shared" si="130"/>
        <v>0</v>
      </c>
      <c r="C727" s="84" t="str">
        <f t="shared" si="131"/>
        <v>January</v>
      </c>
      <c r="D727" s="85" t="str">
        <f t="shared" si="129"/>
        <v/>
      </c>
      <c r="E727" s="86"/>
      <c r="F727" s="86"/>
      <c r="G727" s="86"/>
      <c r="H727" s="86"/>
      <c r="I727" s="87" t="str">
        <f>IF(F727=0,"",IF(COUNTIF(F727,"Bao"),[1]Setup!$B$4,IF(COUNTIF(F727,"Soup Dumplings"),[1]Setup!$B$5,F727)))</f>
        <v/>
      </c>
      <c r="J727" s="88" t="str">
        <f t="shared" si="123"/>
        <v/>
      </c>
      <c r="K727" s="88"/>
      <c r="L727" s="87"/>
      <c r="M727" s="87"/>
      <c r="N727" s="87"/>
      <c r="O727" s="87"/>
      <c r="P727" s="89" t="str">
        <f t="shared" si="124"/>
        <v/>
      </c>
      <c r="Q727" s="89" t="str">
        <f t="shared" si="125"/>
        <v/>
      </c>
      <c r="R727" s="89" t="str">
        <f t="shared" si="126"/>
        <v/>
      </c>
      <c r="S727" s="88" t="str">
        <f>IF(F727="Bao",[1]Setup!$B$4,IF(F727="Soup Dumplings",[1]Setup!$B$5,""))</f>
        <v/>
      </c>
      <c r="T727" s="88" t="str">
        <f t="shared" si="127"/>
        <v/>
      </c>
      <c r="U727" s="84" t="str">
        <f t="shared" si="128"/>
        <v/>
      </c>
      <c r="V727" s="88">
        <f>IF(U727="",0,MAX(0,T727)+N727+ROUND(J727*[1]Setup!$B$9,0)+IF(O727&gt;[1]Setup!$B$10,ROUND(J727*[1]Setup!$B$11,0),0))</f>
        <v>0</v>
      </c>
      <c r="W727" s="85" t="str">
        <f>IF(L727="","Open",IF(OR(P727&lt;[1]Setup!$B$6,Q727&gt;[1]Setup!$B$7,R727&gt;[1]Setup!$B$8,O727&gt;[1]Setup!$B$10),"Review","OK"))</f>
        <v>Open</v>
      </c>
      <c r="X727" s="86"/>
      <c r="Z727" s="81" t="str">
        <f t="shared" si="132"/>
        <v/>
      </c>
    </row>
    <row r="728" spans="1:26" x14ac:dyDescent="0.3">
      <c r="A728" s="84"/>
      <c r="B728" s="100">
        <f t="shared" si="130"/>
        <v>0</v>
      </c>
      <c r="C728" s="84" t="str">
        <f t="shared" si="131"/>
        <v>January</v>
      </c>
      <c r="D728" s="85" t="str">
        <f t="shared" si="129"/>
        <v/>
      </c>
      <c r="E728" s="86"/>
      <c r="F728" s="86"/>
      <c r="G728" s="86"/>
      <c r="H728" s="86"/>
      <c r="I728" s="87" t="str">
        <f>IF(F728=0,"",IF(COUNTIF(F728,"Bao"),[1]Setup!$B$4,IF(COUNTIF(F728,"Soup Dumplings"),[1]Setup!$B$5,F728)))</f>
        <v/>
      </c>
      <c r="J728" s="88" t="str">
        <f t="shared" si="123"/>
        <v/>
      </c>
      <c r="K728" s="88"/>
      <c r="L728" s="87"/>
      <c r="M728" s="87"/>
      <c r="N728" s="87"/>
      <c r="O728" s="87"/>
      <c r="P728" s="89" t="str">
        <f t="shared" si="124"/>
        <v/>
      </c>
      <c r="Q728" s="89" t="str">
        <f t="shared" si="125"/>
        <v/>
      </c>
      <c r="R728" s="89" t="str">
        <f t="shared" si="126"/>
        <v/>
      </c>
      <c r="S728" s="88" t="str">
        <f>IF(F728="Bao",[1]Setup!$B$4,IF(F728="Soup Dumplings",[1]Setup!$B$5,""))</f>
        <v/>
      </c>
      <c r="T728" s="88" t="str">
        <f t="shared" si="127"/>
        <v/>
      </c>
      <c r="U728" s="84" t="str">
        <f t="shared" si="128"/>
        <v/>
      </c>
      <c r="V728" s="88">
        <f>IF(U728="",0,MAX(0,T728)+N728+ROUND(J728*[1]Setup!$B$9,0)+IF(O728&gt;[1]Setup!$B$10,ROUND(J728*[1]Setup!$B$11,0),0))</f>
        <v>0</v>
      </c>
      <c r="W728" s="85" t="str">
        <f>IF(L728="","Open",IF(OR(P728&lt;[1]Setup!$B$6,Q728&gt;[1]Setup!$B$7,R728&gt;[1]Setup!$B$8,O728&gt;[1]Setup!$B$10),"Review","OK"))</f>
        <v>Open</v>
      </c>
      <c r="X728" s="86"/>
      <c r="Z728" s="81" t="str">
        <f t="shared" si="132"/>
        <v/>
      </c>
    </row>
    <row r="729" spans="1:26" x14ac:dyDescent="0.3">
      <c r="A729" s="84"/>
      <c r="B729" s="100">
        <f t="shared" si="130"/>
        <v>0</v>
      </c>
      <c r="C729" s="84" t="str">
        <f t="shared" si="131"/>
        <v>January</v>
      </c>
      <c r="D729" s="85" t="str">
        <f t="shared" si="129"/>
        <v/>
      </c>
      <c r="E729" s="86"/>
      <c r="F729" s="86"/>
      <c r="G729" s="86"/>
      <c r="H729" s="86"/>
      <c r="I729" s="87" t="str">
        <f>IF(F729=0,"",IF(COUNTIF(F729,"Bao"),[1]Setup!$B$4,IF(COUNTIF(F729,"Soup Dumplings"),[1]Setup!$B$5,F729)))</f>
        <v/>
      </c>
      <c r="J729" s="88" t="str">
        <f t="shared" si="123"/>
        <v/>
      </c>
      <c r="K729" s="88"/>
      <c r="L729" s="87"/>
      <c r="M729" s="87"/>
      <c r="N729" s="87"/>
      <c r="O729" s="87"/>
      <c r="P729" s="89" t="str">
        <f t="shared" si="124"/>
        <v/>
      </c>
      <c r="Q729" s="89" t="str">
        <f t="shared" si="125"/>
        <v/>
      </c>
      <c r="R729" s="89" t="str">
        <f t="shared" si="126"/>
        <v/>
      </c>
      <c r="S729" s="88" t="str">
        <f>IF(F729="Bao",[1]Setup!$B$4,IF(F729="Soup Dumplings",[1]Setup!$B$5,""))</f>
        <v/>
      </c>
      <c r="T729" s="88" t="str">
        <f t="shared" si="127"/>
        <v/>
      </c>
      <c r="U729" s="84" t="str">
        <f t="shared" si="128"/>
        <v/>
      </c>
      <c r="V729" s="88">
        <f>IF(U729="",0,MAX(0,T729)+N729+ROUND(J729*[1]Setup!$B$9,0)+IF(O729&gt;[1]Setup!$B$10,ROUND(J729*[1]Setup!$B$11,0),0))</f>
        <v>0</v>
      </c>
      <c r="W729" s="85" t="str">
        <f>IF(L729="","Open",IF(OR(P729&lt;[1]Setup!$B$6,Q729&gt;[1]Setup!$B$7,R729&gt;[1]Setup!$B$8,O729&gt;[1]Setup!$B$10),"Review","OK"))</f>
        <v>Open</v>
      </c>
      <c r="X729" s="86"/>
      <c r="Z729" s="81" t="str">
        <f t="shared" si="132"/>
        <v/>
      </c>
    </row>
    <row r="730" spans="1:26" x14ac:dyDescent="0.3">
      <c r="A730" s="84"/>
      <c r="B730" s="100">
        <f t="shared" si="130"/>
        <v>0</v>
      </c>
      <c r="C730" s="84" t="str">
        <f t="shared" si="131"/>
        <v>January</v>
      </c>
      <c r="D730" s="85" t="str">
        <f t="shared" si="129"/>
        <v/>
      </c>
      <c r="E730" s="86"/>
      <c r="F730" s="86"/>
      <c r="G730" s="86"/>
      <c r="H730" s="86"/>
      <c r="I730" s="87" t="str">
        <f>IF(F730=0,"",IF(COUNTIF(F730,"Bao"),[1]Setup!$B$4,IF(COUNTIF(F730,"Soup Dumplings"),[1]Setup!$B$5,F730)))</f>
        <v/>
      </c>
      <c r="J730" s="88" t="str">
        <f t="shared" si="123"/>
        <v/>
      </c>
      <c r="K730" s="88"/>
      <c r="L730" s="87"/>
      <c r="M730" s="87"/>
      <c r="N730" s="87"/>
      <c r="O730" s="87"/>
      <c r="P730" s="89" t="str">
        <f t="shared" si="124"/>
        <v/>
      </c>
      <c r="Q730" s="89" t="str">
        <f t="shared" si="125"/>
        <v/>
      </c>
      <c r="R730" s="89" t="str">
        <f t="shared" si="126"/>
        <v/>
      </c>
      <c r="S730" s="88" t="str">
        <f>IF(F730="Bao",[1]Setup!$B$4,IF(F730="Soup Dumplings",[1]Setup!$B$5,""))</f>
        <v/>
      </c>
      <c r="T730" s="88" t="str">
        <f t="shared" si="127"/>
        <v/>
      </c>
      <c r="U730" s="84" t="str">
        <f t="shared" si="128"/>
        <v/>
      </c>
      <c r="V730" s="88">
        <f>IF(U730="",0,MAX(0,T730)+N730+ROUND(J730*[1]Setup!$B$9,0)+IF(O730&gt;[1]Setup!$B$10,ROUND(J730*[1]Setup!$B$11,0),0))</f>
        <v>0</v>
      </c>
      <c r="W730" s="85" t="str">
        <f>IF(L730="","Open",IF(OR(P730&lt;[1]Setup!$B$6,Q730&gt;[1]Setup!$B$7,R730&gt;[1]Setup!$B$8,O730&gt;[1]Setup!$B$10),"Review","OK"))</f>
        <v>Open</v>
      </c>
      <c r="X730" s="86"/>
      <c r="Z730" s="81" t="str">
        <f t="shared" si="132"/>
        <v/>
      </c>
    </row>
    <row r="731" spans="1:26" x14ac:dyDescent="0.3">
      <c r="A731" s="84"/>
      <c r="B731" s="100">
        <f t="shared" si="130"/>
        <v>0</v>
      </c>
      <c r="C731" s="84" t="str">
        <f t="shared" si="131"/>
        <v>January</v>
      </c>
      <c r="D731" s="85" t="str">
        <f t="shared" si="129"/>
        <v/>
      </c>
      <c r="E731" s="86"/>
      <c r="F731" s="86"/>
      <c r="G731" s="86"/>
      <c r="H731" s="86"/>
      <c r="I731" s="87" t="str">
        <f>IF(F731=0,"",IF(COUNTIF(F731,"Bao"),[1]Setup!$B$4,IF(COUNTIF(F731,"Soup Dumplings"),[1]Setup!$B$5,F731)))</f>
        <v/>
      </c>
      <c r="J731" s="88" t="str">
        <f t="shared" si="123"/>
        <v/>
      </c>
      <c r="K731" s="88"/>
      <c r="L731" s="87"/>
      <c r="M731" s="87"/>
      <c r="N731" s="87"/>
      <c r="O731" s="87"/>
      <c r="P731" s="89" t="str">
        <f t="shared" si="124"/>
        <v/>
      </c>
      <c r="Q731" s="89" t="str">
        <f t="shared" si="125"/>
        <v/>
      </c>
      <c r="R731" s="89" t="str">
        <f t="shared" si="126"/>
        <v/>
      </c>
      <c r="S731" s="88" t="str">
        <f>IF(F731="Bao",[1]Setup!$B$4,IF(F731="Soup Dumplings",[1]Setup!$B$5,""))</f>
        <v/>
      </c>
      <c r="T731" s="88" t="str">
        <f t="shared" si="127"/>
        <v/>
      </c>
      <c r="U731" s="84" t="str">
        <f t="shared" si="128"/>
        <v/>
      </c>
      <c r="V731" s="88">
        <f>IF(U731="",0,MAX(0,T731)+N731+ROUND(J731*[1]Setup!$B$9,0)+IF(O731&gt;[1]Setup!$B$10,ROUND(J731*[1]Setup!$B$11,0),0))</f>
        <v>0</v>
      </c>
      <c r="W731" s="85" t="str">
        <f>IF(L731="","Open",IF(OR(P731&lt;[1]Setup!$B$6,Q731&gt;[1]Setup!$B$7,R731&gt;[1]Setup!$B$8,O731&gt;[1]Setup!$B$10),"Review","OK"))</f>
        <v>Open</v>
      </c>
      <c r="X731" s="86"/>
      <c r="Z731" s="81" t="str">
        <f t="shared" si="132"/>
        <v/>
      </c>
    </row>
    <row r="732" spans="1:26" x14ac:dyDescent="0.3">
      <c r="A732" s="84"/>
      <c r="B732" s="100">
        <f t="shared" si="130"/>
        <v>0</v>
      </c>
      <c r="C732" s="84" t="str">
        <f t="shared" si="131"/>
        <v>January</v>
      </c>
      <c r="D732" s="85" t="str">
        <f t="shared" si="129"/>
        <v/>
      </c>
      <c r="E732" s="86"/>
      <c r="F732" s="86"/>
      <c r="G732" s="86"/>
      <c r="H732" s="86"/>
      <c r="I732" s="87" t="str">
        <f>IF(F732=0,"",IF(COUNTIF(F732,"Bao"),[1]Setup!$B$4,IF(COUNTIF(F732,"Soup Dumplings"),[1]Setup!$B$5,F732)))</f>
        <v/>
      </c>
      <c r="J732" s="88" t="str">
        <f t="shared" si="123"/>
        <v/>
      </c>
      <c r="K732" s="88"/>
      <c r="L732" s="87"/>
      <c r="M732" s="87"/>
      <c r="N732" s="87"/>
      <c r="O732" s="87"/>
      <c r="P732" s="89" t="str">
        <f t="shared" si="124"/>
        <v/>
      </c>
      <c r="Q732" s="89" t="str">
        <f t="shared" si="125"/>
        <v/>
      </c>
      <c r="R732" s="89" t="str">
        <f t="shared" si="126"/>
        <v/>
      </c>
      <c r="S732" s="88" t="str">
        <f>IF(F732="Bao",[1]Setup!$B$4,IF(F732="Soup Dumplings",[1]Setup!$B$5,""))</f>
        <v/>
      </c>
      <c r="T732" s="88" t="str">
        <f t="shared" si="127"/>
        <v/>
      </c>
      <c r="U732" s="84" t="str">
        <f t="shared" si="128"/>
        <v/>
      </c>
      <c r="V732" s="88">
        <f>IF(U732="",0,MAX(0,T732)+N732+ROUND(J732*[1]Setup!$B$9,0)+IF(O732&gt;[1]Setup!$B$10,ROUND(J732*[1]Setup!$B$11,0),0))</f>
        <v>0</v>
      </c>
      <c r="W732" s="85" t="str">
        <f>IF(L732="","Open",IF(OR(P732&lt;[1]Setup!$B$6,Q732&gt;[1]Setup!$B$7,R732&gt;[1]Setup!$B$8,O732&gt;[1]Setup!$B$10),"Review","OK"))</f>
        <v>Open</v>
      </c>
      <c r="X732" s="86"/>
      <c r="Z732" s="81" t="str">
        <f t="shared" si="132"/>
        <v/>
      </c>
    </row>
    <row r="733" spans="1:26" x14ac:dyDescent="0.3">
      <c r="A733" s="84"/>
      <c r="B733" s="100">
        <f t="shared" si="130"/>
        <v>0</v>
      </c>
      <c r="C733" s="84" t="str">
        <f t="shared" si="131"/>
        <v>January</v>
      </c>
      <c r="D733" s="85" t="str">
        <f t="shared" si="129"/>
        <v/>
      </c>
      <c r="E733" s="86"/>
      <c r="F733" s="86"/>
      <c r="G733" s="86"/>
      <c r="H733" s="86"/>
      <c r="I733" s="87" t="str">
        <f>IF(F733=0,"",IF(COUNTIF(F733,"Bao"),[1]Setup!$B$4,IF(COUNTIF(F733,"Soup Dumplings"),[1]Setup!$B$5,F733)))</f>
        <v/>
      </c>
      <c r="J733" s="88" t="str">
        <f t="shared" si="123"/>
        <v/>
      </c>
      <c r="K733" s="88"/>
      <c r="L733" s="87"/>
      <c r="M733" s="87"/>
      <c r="N733" s="87"/>
      <c r="O733" s="87"/>
      <c r="P733" s="89" t="str">
        <f t="shared" si="124"/>
        <v/>
      </c>
      <c r="Q733" s="89" t="str">
        <f t="shared" si="125"/>
        <v/>
      </c>
      <c r="R733" s="89" t="str">
        <f t="shared" si="126"/>
        <v/>
      </c>
      <c r="S733" s="88" t="str">
        <f>IF(F733="Bao",[1]Setup!$B$4,IF(F733="Soup Dumplings",[1]Setup!$B$5,""))</f>
        <v/>
      </c>
      <c r="T733" s="88" t="str">
        <f t="shared" si="127"/>
        <v/>
      </c>
      <c r="U733" s="84" t="str">
        <f t="shared" si="128"/>
        <v/>
      </c>
      <c r="V733" s="88">
        <f>IF(U733="",0,MAX(0,T733)+N733+ROUND(J733*[1]Setup!$B$9,0)+IF(O733&gt;[1]Setup!$B$10,ROUND(J733*[1]Setup!$B$11,0),0))</f>
        <v>0</v>
      </c>
      <c r="W733" s="85" t="str">
        <f>IF(L733="","Open",IF(OR(P733&lt;[1]Setup!$B$6,Q733&gt;[1]Setup!$B$7,R733&gt;[1]Setup!$B$8,O733&gt;[1]Setup!$B$10),"Review","OK"))</f>
        <v>Open</v>
      </c>
      <c r="X733" s="86"/>
      <c r="Z733" s="81" t="str">
        <f t="shared" si="132"/>
        <v/>
      </c>
    </row>
    <row r="734" spans="1:26" x14ac:dyDescent="0.3">
      <c r="A734" s="84"/>
      <c r="B734" s="100">
        <f t="shared" si="130"/>
        <v>0</v>
      </c>
      <c r="C734" s="84" t="str">
        <f t="shared" si="131"/>
        <v>January</v>
      </c>
      <c r="D734" s="85" t="str">
        <f t="shared" si="129"/>
        <v/>
      </c>
      <c r="E734" s="86"/>
      <c r="F734" s="86"/>
      <c r="G734" s="86"/>
      <c r="H734" s="86"/>
      <c r="I734" s="87" t="str">
        <f>IF(F734=0,"",IF(COUNTIF(F734,"Bao"),[1]Setup!$B$4,IF(COUNTIF(F734,"Soup Dumplings"),[1]Setup!$B$5,F734)))</f>
        <v/>
      </c>
      <c r="J734" s="88" t="str">
        <f t="shared" si="123"/>
        <v/>
      </c>
      <c r="K734" s="88"/>
      <c r="L734" s="87"/>
      <c r="M734" s="87"/>
      <c r="N734" s="87"/>
      <c r="O734" s="87"/>
      <c r="P734" s="89" t="str">
        <f t="shared" si="124"/>
        <v/>
      </c>
      <c r="Q734" s="89" t="str">
        <f t="shared" si="125"/>
        <v/>
      </c>
      <c r="R734" s="89" t="str">
        <f t="shared" si="126"/>
        <v/>
      </c>
      <c r="S734" s="88" t="str">
        <f>IF(F734="Bao",[1]Setup!$B$4,IF(F734="Soup Dumplings",[1]Setup!$B$5,""))</f>
        <v/>
      </c>
      <c r="T734" s="88" t="str">
        <f t="shared" si="127"/>
        <v/>
      </c>
      <c r="U734" s="84" t="str">
        <f t="shared" si="128"/>
        <v/>
      </c>
      <c r="V734" s="88">
        <f>IF(U734="",0,MAX(0,T734)+N734+ROUND(J734*[1]Setup!$B$9,0)+IF(O734&gt;[1]Setup!$B$10,ROUND(J734*[1]Setup!$B$11,0),0))</f>
        <v>0</v>
      </c>
      <c r="W734" s="85" t="str">
        <f>IF(L734="","Open",IF(OR(P734&lt;[1]Setup!$B$6,Q734&gt;[1]Setup!$B$7,R734&gt;[1]Setup!$B$8,O734&gt;[1]Setup!$B$10),"Review","OK"))</f>
        <v>Open</v>
      </c>
      <c r="X734" s="86"/>
      <c r="Z734" s="81" t="str">
        <f t="shared" si="132"/>
        <v/>
      </c>
    </row>
    <row r="735" spans="1:26" x14ac:dyDescent="0.3">
      <c r="A735" s="84"/>
      <c r="B735" s="100">
        <f t="shared" si="130"/>
        <v>0</v>
      </c>
      <c r="C735" s="84" t="str">
        <f t="shared" si="131"/>
        <v>January</v>
      </c>
      <c r="D735" s="85" t="str">
        <f t="shared" si="129"/>
        <v/>
      </c>
      <c r="E735" s="86"/>
      <c r="F735" s="86"/>
      <c r="G735" s="86"/>
      <c r="H735" s="86"/>
      <c r="I735" s="87" t="str">
        <f>IF(F735=0,"",IF(COUNTIF(F735,"Bao"),[1]Setup!$B$4,IF(COUNTIF(F735,"Soup Dumplings"),[1]Setup!$B$5,F735)))</f>
        <v/>
      </c>
      <c r="J735" s="88" t="str">
        <f t="shared" si="123"/>
        <v/>
      </c>
      <c r="K735" s="88"/>
      <c r="L735" s="87"/>
      <c r="M735" s="87"/>
      <c r="N735" s="87"/>
      <c r="O735" s="87"/>
      <c r="P735" s="89" t="str">
        <f t="shared" si="124"/>
        <v/>
      </c>
      <c r="Q735" s="89" t="str">
        <f t="shared" si="125"/>
        <v/>
      </c>
      <c r="R735" s="89" t="str">
        <f t="shared" si="126"/>
        <v/>
      </c>
      <c r="S735" s="88" t="str">
        <f>IF(F735="Bao",[1]Setup!$B$4,IF(F735="Soup Dumplings",[1]Setup!$B$5,""))</f>
        <v/>
      </c>
      <c r="T735" s="88" t="str">
        <f t="shared" si="127"/>
        <v/>
      </c>
      <c r="U735" s="84" t="str">
        <f t="shared" si="128"/>
        <v/>
      </c>
      <c r="V735" s="88">
        <f>IF(U735="",0,MAX(0,T735)+N735+ROUND(J735*[1]Setup!$B$9,0)+IF(O735&gt;[1]Setup!$B$10,ROUND(J735*[1]Setup!$B$11,0),0))</f>
        <v>0</v>
      </c>
      <c r="W735" s="85" t="str">
        <f>IF(L735="","Open",IF(OR(P735&lt;[1]Setup!$B$6,Q735&gt;[1]Setup!$B$7,R735&gt;[1]Setup!$B$8,O735&gt;[1]Setup!$B$10),"Review","OK"))</f>
        <v>Open</v>
      </c>
      <c r="X735" s="86"/>
      <c r="Z735" s="81" t="str">
        <f t="shared" si="132"/>
        <v/>
      </c>
    </row>
    <row r="736" spans="1:26" x14ac:dyDescent="0.3">
      <c r="A736" s="84"/>
      <c r="B736" s="100">
        <f t="shared" si="130"/>
        <v>0</v>
      </c>
      <c r="C736" s="84" t="str">
        <f t="shared" si="131"/>
        <v>January</v>
      </c>
      <c r="D736" s="85" t="str">
        <f t="shared" si="129"/>
        <v/>
      </c>
      <c r="E736" s="86"/>
      <c r="F736" s="86"/>
      <c r="G736" s="86"/>
      <c r="H736" s="86"/>
      <c r="I736" s="87" t="str">
        <f>IF(F736=0,"",IF(COUNTIF(F736,"Bao"),[1]Setup!$B$4,IF(COUNTIF(F736,"Soup Dumplings"),[1]Setup!$B$5,F736)))</f>
        <v/>
      </c>
      <c r="J736" s="88" t="str">
        <f t="shared" si="123"/>
        <v/>
      </c>
      <c r="K736" s="88"/>
      <c r="L736" s="87"/>
      <c r="M736" s="87"/>
      <c r="N736" s="87"/>
      <c r="O736" s="87"/>
      <c r="P736" s="89" t="str">
        <f t="shared" si="124"/>
        <v/>
      </c>
      <c r="Q736" s="89" t="str">
        <f t="shared" si="125"/>
        <v/>
      </c>
      <c r="R736" s="89" t="str">
        <f t="shared" si="126"/>
        <v/>
      </c>
      <c r="S736" s="88" t="str">
        <f>IF(F736="Bao",[1]Setup!$B$4,IF(F736="Soup Dumplings",[1]Setup!$B$5,""))</f>
        <v/>
      </c>
      <c r="T736" s="88" t="str">
        <f t="shared" si="127"/>
        <v/>
      </c>
      <c r="U736" s="84" t="str">
        <f t="shared" si="128"/>
        <v/>
      </c>
      <c r="V736" s="88">
        <f>IF(U736="",0,MAX(0,T736)+N736+ROUND(J736*[1]Setup!$B$9,0)+IF(O736&gt;[1]Setup!$B$10,ROUND(J736*[1]Setup!$B$11,0),0))</f>
        <v>0</v>
      </c>
      <c r="W736" s="85" t="str">
        <f>IF(L736="","Open",IF(OR(P736&lt;[1]Setup!$B$6,Q736&gt;[1]Setup!$B$7,R736&gt;[1]Setup!$B$8,O736&gt;[1]Setup!$B$10),"Review","OK"))</f>
        <v>Open</v>
      </c>
      <c r="X736" s="86"/>
      <c r="Z736" s="81" t="str">
        <f t="shared" si="132"/>
        <v/>
      </c>
    </row>
    <row r="737" spans="1:26" x14ac:dyDescent="0.3">
      <c r="A737" s="84"/>
      <c r="B737" s="100">
        <f t="shared" si="130"/>
        <v>0</v>
      </c>
      <c r="C737" s="84" t="str">
        <f t="shared" si="131"/>
        <v>January</v>
      </c>
      <c r="D737" s="85" t="str">
        <f t="shared" si="129"/>
        <v/>
      </c>
      <c r="E737" s="86"/>
      <c r="F737" s="86"/>
      <c r="G737" s="86"/>
      <c r="H737" s="86"/>
      <c r="I737" s="87" t="str">
        <f>IF(F737=0,"",IF(COUNTIF(F737,"Bao"),[1]Setup!$B$4,IF(COUNTIF(F737,"Soup Dumplings"),[1]Setup!$B$5,F737)))</f>
        <v/>
      </c>
      <c r="J737" s="88" t="str">
        <f t="shared" si="123"/>
        <v/>
      </c>
      <c r="K737" s="88"/>
      <c r="L737" s="87"/>
      <c r="M737" s="87"/>
      <c r="N737" s="87"/>
      <c r="O737" s="87"/>
      <c r="P737" s="89" t="str">
        <f t="shared" si="124"/>
        <v/>
      </c>
      <c r="Q737" s="89" t="str">
        <f t="shared" si="125"/>
        <v/>
      </c>
      <c r="R737" s="89" t="str">
        <f t="shared" si="126"/>
        <v/>
      </c>
      <c r="S737" s="88" t="str">
        <f>IF(F737="Bao",[1]Setup!$B$4,IF(F737="Soup Dumplings",[1]Setup!$B$5,""))</f>
        <v/>
      </c>
      <c r="T737" s="88" t="str">
        <f t="shared" si="127"/>
        <v/>
      </c>
      <c r="U737" s="84" t="str">
        <f t="shared" si="128"/>
        <v/>
      </c>
      <c r="V737" s="88">
        <f>IF(U737="",0,MAX(0,T737)+N737+ROUND(J737*[1]Setup!$B$9,0)+IF(O737&gt;[1]Setup!$B$10,ROUND(J737*[1]Setup!$B$11,0),0))</f>
        <v>0</v>
      </c>
      <c r="W737" s="85" t="str">
        <f>IF(L737="","Open",IF(OR(P737&lt;[1]Setup!$B$6,Q737&gt;[1]Setup!$B$7,R737&gt;[1]Setup!$B$8,O737&gt;[1]Setup!$B$10),"Review","OK"))</f>
        <v>Open</v>
      </c>
      <c r="X737" s="86"/>
      <c r="Z737" s="81" t="str">
        <f t="shared" si="132"/>
        <v/>
      </c>
    </row>
    <row r="738" spans="1:26" x14ac:dyDescent="0.3">
      <c r="A738" s="84"/>
      <c r="B738" s="100">
        <f t="shared" si="130"/>
        <v>0</v>
      </c>
      <c r="C738" s="84" t="str">
        <f t="shared" si="131"/>
        <v>January</v>
      </c>
      <c r="D738" s="85" t="str">
        <f t="shared" si="129"/>
        <v/>
      </c>
      <c r="E738" s="86"/>
      <c r="F738" s="86"/>
      <c r="G738" s="86"/>
      <c r="H738" s="86"/>
      <c r="I738" s="87" t="str">
        <f>IF(F738=0,"",IF(COUNTIF(F738,"Bao"),[1]Setup!$B$4,IF(COUNTIF(F738,"Soup Dumplings"),[1]Setup!$B$5,F738)))</f>
        <v/>
      </c>
      <c r="J738" s="88" t="str">
        <f t="shared" si="123"/>
        <v/>
      </c>
      <c r="K738" s="88"/>
      <c r="L738" s="87"/>
      <c r="M738" s="87"/>
      <c r="N738" s="87"/>
      <c r="O738" s="87"/>
      <c r="P738" s="89" t="str">
        <f t="shared" si="124"/>
        <v/>
      </c>
      <c r="Q738" s="89" t="str">
        <f t="shared" si="125"/>
        <v/>
      </c>
      <c r="R738" s="89" t="str">
        <f t="shared" si="126"/>
        <v/>
      </c>
      <c r="S738" s="88" t="str">
        <f>IF(F738="Bao",[1]Setup!$B$4,IF(F738="Soup Dumplings",[1]Setup!$B$5,""))</f>
        <v/>
      </c>
      <c r="T738" s="88" t="str">
        <f t="shared" si="127"/>
        <v/>
      </c>
      <c r="U738" s="84" t="str">
        <f t="shared" si="128"/>
        <v/>
      </c>
      <c r="V738" s="88">
        <f>IF(U738="",0,MAX(0,T738)+N738+ROUND(J738*[1]Setup!$B$9,0)+IF(O738&gt;[1]Setup!$B$10,ROUND(J738*[1]Setup!$B$11,0),0))</f>
        <v>0</v>
      </c>
      <c r="W738" s="85" t="str">
        <f>IF(L738="","Open",IF(OR(P738&lt;[1]Setup!$B$6,Q738&gt;[1]Setup!$B$7,R738&gt;[1]Setup!$B$8,O738&gt;[1]Setup!$B$10),"Review","OK"))</f>
        <v>Open</v>
      </c>
      <c r="X738" s="86"/>
      <c r="Z738" s="81" t="str">
        <f t="shared" si="132"/>
        <v/>
      </c>
    </row>
    <row r="739" spans="1:26" x14ac:dyDescent="0.3">
      <c r="A739" s="84"/>
      <c r="B739" s="100">
        <f t="shared" si="130"/>
        <v>0</v>
      </c>
      <c r="C739" s="84" t="str">
        <f t="shared" si="131"/>
        <v>January</v>
      </c>
      <c r="D739" s="85" t="str">
        <f t="shared" si="129"/>
        <v/>
      </c>
      <c r="E739" s="86"/>
      <c r="F739" s="86"/>
      <c r="G739" s="86"/>
      <c r="H739" s="86"/>
      <c r="I739" s="87" t="str">
        <f>IF(F739=0,"",IF(COUNTIF(F739,"Bao"),[1]Setup!$B$4,IF(COUNTIF(F739,"Soup Dumplings"),[1]Setup!$B$5,F739)))</f>
        <v/>
      </c>
      <c r="J739" s="88" t="str">
        <f t="shared" si="123"/>
        <v/>
      </c>
      <c r="K739" s="88"/>
      <c r="L739" s="87"/>
      <c r="M739" s="87"/>
      <c r="N739" s="87"/>
      <c r="O739" s="87"/>
      <c r="P739" s="89" t="str">
        <f t="shared" si="124"/>
        <v/>
      </c>
      <c r="Q739" s="89" t="str">
        <f t="shared" si="125"/>
        <v/>
      </c>
      <c r="R739" s="89" t="str">
        <f t="shared" si="126"/>
        <v/>
      </c>
      <c r="S739" s="88" t="str">
        <f>IF(F739="Bao",[1]Setup!$B$4,IF(F739="Soup Dumplings",[1]Setup!$B$5,""))</f>
        <v/>
      </c>
      <c r="T739" s="88" t="str">
        <f t="shared" si="127"/>
        <v/>
      </c>
      <c r="U739" s="84" t="str">
        <f t="shared" si="128"/>
        <v/>
      </c>
      <c r="V739" s="88">
        <f>IF(U739="",0,MAX(0,T739)+N739+ROUND(J739*[1]Setup!$B$9,0)+IF(O739&gt;[1]Setup!$B$10,ROUND(J739*[1]Setup!$B$11,0),0))</f>
        <v>0</v>
      </c>
      <c r="W739" s="85" t="str">
        <f>IF(L739="","Open",IF(OR(P739&lt;[1]Setup!$B$6,Q739&gt;[1]Setup!$B$7,R739&gt;[1]Setup!$B$8,O739&gt;[1]Setup!$B$10),"Review","OK"))</f>
        <v>Open</v>
      </c>
      <c r="X739" s="86"/>
      <c r="Z739" s="81" t="str">
        <f t="shared" si="132"/>
        <v/>
      </c>
    </row>
    <row r="740" spans="1:26" x14ac:dyDescent="0.3">
      <c r="A740" s="84"/>
      <c r="B740" s="100">
        <f t="shared" si="130"/>
        <v>0</v>
      </c>
      <c r="C740" s="84" t="str">
        <f t="shared" si="131"/>
        <v>January</v>
      </c>
      <c r="D740" s="85" t="str">
        <f t="shared" si="129"/>
        <v/>
      </c>
      <c r="E740" s="86"/>
      <c r="F740" s="86"/>
      <c r="G740" s="86"/>
      <c r="H740" s="86"/>
      <c r="I740" s="87" t="str">
        <f>IF(F740=0,"",IF(COUNTIF(F740,"Bao"),[1]Setup!$B$4,IF(COUNTIF(F740,"Soup Dumplings"),[1]Setup!$B$5,F740)))</f>
        <v/>
      </c>
      <c r="J740" s="88" t="str">
        <f t="shared" si="123"/>
        <v/>
      </c>
      <c r="K740" s="88"/>
      <c r="L740" s="87"/>
      <c r="M740" s="87"/>
      <c r="N740" s="87"/>
      <c r="O740" s="87"/>
      <c r="P740" s="89" t="str">
        <f t="shared" si="124"/>
        <v/>
      </c>
      <c r="Q740" s="89" t="str">
        <f t="shared" si="125"/>
        <v/>
      </c>
      <c r="R740" s="89" t="str">
        <f t="shared" si="126"/>
        <v/>
      </c>
      <c r="S740" s="88" t="str">
        <f>IF(F740="Bao",[1]Setup!$B$4,IF(F740="Soup Dumplings",[1]Setup!$B$5,""))</f>
        <v/>
      </c>
      <c r="T740" s="88" t="str">
        <f t="shared" si="127"/>
        <v/>
      </c>
      <c r="U740" s="84" t="str">
        <f t="shared" si="128"/>
        <v/>
      </c>
      <c r="V740" s="88">
        <f>IF(U740="",0,MAX(0,T740)+N740+ROUND(J740*[1]Setup!$B$9,0)+IF(O740&gt;[1]Setup!$B$10,ROUND(J740*[1]Setup!$B$11,0),0))</f>
        <v>0</v>
      </c>
      <c r="W740" s="85" t="str">
        <f>IF(L740="","Open",IF(OR(P740&lt;[1]Setup!$B$6,Q740&gt;[1]Setup!$B$7,R740&gt;[1]Setup!$B$8,O740&gt;[1]Setup!$B$10),"Review","OK"))</f>
        <v>Open</v>
      </c>
      <c r="X740" s="86"/>
      <c r="Z740" s="81" t="str">
        <f t="shared" si="132"/>
        <v/>
      </c>
    </row>
    <row r="741" spans="1:26" x14ac:dyDescent="0.3">
      <c r="A741" s="84"/>
      <c r="B741" s="100">
        <f t="shared" si="130"/>
        <v>0</v>
      </c>
      <c r="C741" s="84" t="str">
        <f t="shared" si="131"/>
        <v>January</v>
      </c>
      <c r="D741" s="85" t="str">
        <f t="shared" si="129"/>
        <v/>
      </c>
      <c r="E741" s="86"/>
      <c r="F741" s="86"/>
      <c r="G741" s="86"/>
      <c r="H741" s="86"/>
      <c r="I741" s="87" t="str">
        <f>IF(F741=0,"",IF(COUNTIF(F741,"Bao"),[1]Setup!$B$4,IF(COUNTIF(F741,"Soup Dumplings"),[1]Setup!$B$5,F741)))</f>
        <v/>
      </c>
      <c r="J741" s="88" t="str">
        <f t="shared" si="123"/>
        <v/>
      </c>
      <c r="K741" s="88"/>
      <c r="L741" s="87"/>
      <c r="M741" s="87"/>
      <c r="N741" s="87"/>
      <c r="O741" s="87"/>
      <c r="P741" s="89" t="str">
        <f t="shared" si="124"/>
        <v/>
      </c>
      <c r="Q741" s="89" t="str">
        <f t="shared" si="125"/>
        <v/>
      </c>
      <c r="R741" s="89" t="str">
        <f t="shared" si="126"/>
        <v/>
      </c>
      <c r="S741" s="88" t="str">
        <f>IF(F741="Bao",[1]Setup!$B$4,IF(F741="Soup Dumplings",[1]Setup!$B$5,""))</f>
        <v/>
      </c>
      <c r="T741" s="88" t="str">
        <f t="shared" si="127"/>
        <v/>
      </c>
      <c r="U741" s="84" t="str">
        <f t="shared" si="128"/>
        <v/>
      </c>
      <c r="V741" s="88">
        <f>IF(U741="",0,MAX(0,T741)+N741+ROUND(J741*[1]Setup!$B$9,0)+IF(O741&gt;[1]Setup!$B$10,ROUND(J741*[1]Setup!$B$11,0),0))</f>
        <v>0</v>
      </c>
      <c r="W741" s="85" t="str">
        <f>IF(L741="","Open",IF(OR(P741&lt;[1]Setup!$B$6,Q741&gt;[1]Setup!$B$7,R741&gt;[1]Setup!$B$8,O741&gt;[1]Setup!$B$10),"Review","OK"))</f>
        <v>Open</v>
      </c>
      <c r="X741" s="86"/>
      <c r="Z741" s="81" t="str">
        <f t="shared" si="132"/>
        <v/>
      </c>
    </row>
    <row r="742" spans="1:26" x14ac:dyDescent="0.3">
      <c r="A742" s="84"/>
      <c r="B742" s="100">
        <f t="shared" si="130"/>
        <v>0</v>
      </c>
      <c r="C742" s="84" t="str">
        <f t="shared" si="131"/>
        <v>January</v>
      </c>
      <c r="D742" s="85" t="str">
        <f t="shared" si="129"/>
        <v/>
      </c>
      <c r="E742" s="86"/>
      <c r="F742" s="86"/>
      <c r="G742" s="86"/>
      <c r="H742" s="86"/>
      <c r="I742" s="87" t="str">
        <f>IF(F742=0,"",IF(COUNTIF(F742,"Bao"),[1]Setup!$B$4,IF(COUNTIF(F742,"Soup Dumplings"),[1]Setup!$B$5,F742)))</f>
        <v/>
      </c>
      <c r="J742" s="88" t="str">
        <f t="shared" si="123"/>
        <v/>
      </c>
      <c r="K742" s="88"/>
      <c r="L742" s="87"/>
      <c r="M742" s="87"/>
      <c r="N742" s="87"/>
      <c r="O742" s="87"/>
      <c r="P742" s="89" t="str">
        <f t="shared" si="124"/>
        <v/>
      </c>
      <c r="Q742" s="89" t="str">
        <f t="shared" si="125"/>
        <v/>
      </c>
      <c r="R742" s="89" t="str">
        <f t="shared" si="126"/>
        <v/>
      </c>
      <c r="S742" s="88" t="str">
        <f>IF(F742="Bao",[1]Setup!$B$4,IF(F742="Soup Dumplings",[1]Setup!$B$5,""))</f>
        <v/>
      </c>
      <c r="T742" s="88" t="str">
        <f t="shared" si="127"/>
        <v/>
      </c>
      <c r="U742" s="84" t="str">
        <f t="shared" si="128"/>
        <v/>
      </c>
      <c r="V742" s="88">
        <f>IF(U742="",0,MAX(0,T742)+N742+ROUND(J742*[1]Setup!$B$9,0)+IF(O742&gt;[1]Setup!$B$10,ROUND(J742*[1]Setup!$B$11,0),0))</f>
        <v>0</v>
      </c>
      <c r="W742" s="85" t="str">
        <f>IF(L742="","Open",IF(OR(P742&lt;[1]Setup!$B$6,Q742&gt;[1]Setup!$B$7,R742&gt;[1]Setup!$B$8,O742&gt;[1]Setup!$B$10),"Review","OK"))</f>
        <v>Open</v>
      </c>
      <c r="X742" s="86"/>
      <c r="Z742" s="81" t="str">
        <f t="shared" si="132"/>
        <v/>
      </c>
    </row>
    <row r="743" spans="1:26" x14ac:dyDescent="0.3">
      <c r="A743" s="84"/>
      <c r="B743" s="100">
        <f t="shared" si="130"/>
        <v>0</v>
      </c>
      <c r="C743" s="84" t="str">
        <f t="shared" si="131"/>
        <v>January</v>
      </c>
      <c r="D743" s="85" t="str">
        <f t="shared" si="129"/>
        <v/>
      </c>
      <c r="E743" s="86"/>
      <c r="F743" s="86"/>
      <c r="G743" s="86"/>
      <c r="H743" s="86"/>
      <c r="I743" s="87" t="str">
        <f>IF(F743=0,"",IF(COUNTIF(F743,"Bao"),[1]Setup!$B$4,IF(COUNTIF(F743,"Soup Dumplings"),[1]Setup!$B$5,F743)))</f>
        <v/>
      </c>
      <c r="J743" s="88" t="str">
        <f t="shared" si="123"/>
        <v/>
      </c>
      <c r="K743" s="88"/>
      <c r="L743" s="87"/>
      <c r="M743" s="87"/>
      <c r="N743" s="87"/>
      <c r="O743" s="87"/>
      <c r="P743" s="89" t="str">
        <f t="shared" si="124"/>
        <v/>
      </c>
      <c r="Q743" s="89" t="str">
        <f t="shared" si="125"/>
        <v/>
      </c>
      <c r="R743" s="89" t="str">
        <f t="shared" si="126"/>
        <v/>
      </c>
      <c r="S743" s="88" t="str">
        <f>IF(F743="Bao",[1]Setup!$B$4,IF(F743="Soup Dumplings",[1]Setup!$B$5,""))</f>
        <v/>
      </c>
      <c r="T743" s="88" t="str">
        <f t="shared" si="127"/>
        <v/>
      </c>
      <c r="U743" s="84" t="str">
        <f t="shared" si="128"/>
        <v/>
      </c>
      <c r="V743" s="88">
        <f>IF(U743="",0,MAX(0,T743)+N743+ROUND(J743*[1]Setup!$B$9,0)+IF(O743&gt;[1]Setup!$B$10,ROUND(J743*[1]Setup!$B$11,0),0))</f>
        <v>0</v>
      </c>
      <c r="W743" s="85" t="str">
        <f>IF(L743="","Open",IF(OR(P743&lt;[1]Setup!$B$6,Q743&gt;[1]Setup!$B$7,R743&gt;[1]Setup!$B$8,O743&gt;[1]Setup!$B$10),"Review","OK"))</f>
        <v>Open</v>
      </c>
      <c r="X743" s="86"/>
      <c r="Z743" s="81" t="str">
        <f t="shared" si="132"/>
        <v/>
      </c>
    </row>
    <row r="744" spans="1:26" x14ac:dyDescent="0.3">
      <c r="A744" s="84"/>
      <c r="B744" s="100">
        <f t="shared" si="130"/>
        <v>0</v>
      </c>
      <c r="C744" s="84" t="str">
        <f t="shared" si="131"/>
        <v>January</v>
      </c>
      <c r="D744" s="85" t="str">
        <f t="shared" si="129"/>
        <v/>
      </c>
      <c r="E744" s="86"/>
      <c r="F744" s="86"/>
      <c r="G744" s="86"/>
      <c r="H744" s="86"/>
      <c r="I744" s="87" t="str">
        <f>IF(F744=0,"",IF(COUNTIF(F744,"Bao"),[1]Setup!$B$4,IF(COUNTIF(F744,"Soup Dumplings"),[1]Setup!$B$5,F744)))</f>
        <v/>
      </c>
      <c r="J744" s="88" t="str">
        <f t="shared" si="123"/>
        <v/>
      </c>
      <c r="K744" s="88"/>
      <c r="L744" s="87"/>
      <c r="M744" s="87"/>
      <c r="N744" s="87"/>
      <c r="O744" s="87"/>
      <c r="P744" s="89" t="str">
        <f t="shared" si="124"/>
        <v/>
      </c>
      <c r="Q744" s="89" t="str">
        <f t="shared" si="125"/>
        <v/>
      </c>
      <c r="R744" s="89" t="str">
        <f t="shared" si="126"/>
        <v/>
      </c>
      <c r="S744" s="88" t="str">
        <f>IF(F744="Bao",[1]Setup!$B$4,IF(F744="Soup Dumplings",[1]Setup!$B$5,""))</f>
        <v/>
      </c>
      <c r="T744" s="88" t="str">
        <f t="shared" si="127"/>
        <v/>
      </c>
      <c r="U744" s="84" t="str">
        <f t="shared" si="128"/>
        <v/>
      </c>
      <c r="V744" s="88">
        <f>IF(U744="",0,MAX(0,T744)+N744+ROUND(J744*[1]Setup!$B$9,0)+IF(O744&gt;[1]Setup!$B$10,ROUND(J744*[1]Setup!$B$11,0),0))</f>
        <v>0</v>
      </c>
      <c r="W744" s="85" t="str">
        <f>IF(L744="","Open",IF(OR(P744&lt;[1]Setup!$B$6,Q744&gt;[1]Setup!$B$7,R744&gt;[1]Setup!$B$8,O744&gt;[1]Setup!$B$10),"Review","OK"))</f>
        <v>Open</v>
      </c>
      <c r="X744" s="86"/>
      <c r="Z744" s="81" t="str">
        <f t="shared" si="132"/>
        <v/>
      </c>
    </row>
    <row r="745" spans="1:26" x14ac:dyDescent="0.3">
      <c r="A745" s="84"/>
      <c r="B745" s="100">
        <f t="shared" si="130"/>
        <v>0</v>
      </c>
      <c r="C745" s="84" t="str">
        <f t="shared" si="131"/>
        <v>January</v>
      </c>
      <c r="D745" s="85" t="str">
        <f t="shared" si="129"/>
        <v/>
      </c>
      <c r="E745" s="86"/>
      <c r="F745" s="86"/>
      <c r="G745" s="86"/>
      <c r="H745" s="86"/>
      <c r="I745" s="87" t="str">
        <f>IF(F745=0,"",IF(COUNTIF(F745,"Bao"),[1]Setup!$B$4,IF(COUNTIF(F745,"Soup Dumplings"),[1]Setup!$B$5,F745)))</f>
        <v/>
      </c>
      <c r="J745" s="88" t="str">
        <f t="shared" si="123"/>
        <v/>
      </c>
      <c r="K745" s="88"/>
      <c r="L745" s="87"/>
      <c r="M745" s="87"/>
      <c r="N745" s="87"/>
      <c r="O745" s="87"/>
      <c r="P745" s="89" t="str">
        <f t="shared" si="124"/>
        <v/>
      </c>
      <c r="Q745" s="89" t="str">
        <f t="shared" si="125"/>
        <v/>
      </c>
      <c r="R745" s="89" t="str">
        <f t="shared" si="126"/>
        <v/>
      </c>
      <c r="S745" s="88" t="str">
        <f>IF(F745="Bao",[1]Setup!$B$4,IF(F745="Soup Dumplings",[1]Setup!$B$5,""))</f>
        <v/>
      </c>
      <c r="T745" s="88" t="str">
        <f t="shared" si="127"/>
        <v/>
      </c>
      <c r="U745" s="84" t="str">
        <f t="shared" si="128"/>
        <v/>
      </c>
      <c r="V745" s="88">
        <f>IF(U745="",0,MAX(0,T745)+N745+ROUND(J745*[1]Setup!$B$9,0)+IF(O745&gt;[1]Setup!$B$10,ROUND(J745*[1]Setup!$B$11,0),0))</f>
        <v>0</v>
      </c>
      <c r="W745" s="85" t="str">
        <f>IF(L745="","Open",IF(OR(P745&lt;[1]Setup!$B$6,Q745&gt;[1]Setup!$B$7,R745&gt;[1]Setup!$B$8,O745&gt;[1]Setup!$B$10),"Review","OK"))</f>
        <v>Open</v>
      </c>
      <c r="X745" s="86"/>
      <c r="Z745" s="81" t="str">
        <f t="shared" si="132"/>
        <v/>
      </c>
    </row>
    <row r="746" spans="1:26" x14ac:dyDescent="0.3">
      <c r="A746" s="84"/>
      <c r="B746" s="100">
        <f t="shared" si="130"/>
        <v>0</v>
      </c>
      <c r="C746" s="84" t="str">
        <f t="shared" si="131"/>
        <v>January</v>
      </c>
      <c r="D746" s="85" t="str">
        <f t="shared" si="129"/>
        <v/>
      </c>
      <c r="E746" s="86"/>
      <c r="F746" s="86"/>
      <c r="G746" s="86"/>
      <c r="H746" s="86"/>
      <c r="I746" s="87" t="str">
        <f>IF(F746=0,"",IF(COUNTIF(F746,"Bao"),[1]Setup!$B$4,IF(COUNTIF(F746,"Soup Dumplings"),[1]Setup!$B$5,F746)))</f>
        <v/>
      </c>
      <c r="J746" s="88" t="str">
        <f t="shared" si="123"/>
        <v/>
      </c>
      <c r="K746" s="88"/>
      <c r="L746" s="87"/>
      <c r="M746" s="87"/>
      <c r="N746" s="87"/>
      <c r="O746" s="87"/>
      <c r="P746" s="89" t="str">
        <f t="shared" si="124"/>
        <v/>
      </c>
      <c r="Q746" s="89" t="str">
        <f t="shared" si="125"/>
        <v/>
      </c>
      <c r="R746" s="89" t="str">
        <f t="shared" si="126"/>
        <v/>
      </c>
      <c r="S746" s="88" t="str">
        <f>IF(F746="Bao",[1]Setup!$B$4,IF(F746="Soup Dumplings",[1]Setup!$B$5,""))</f>
        <v/>
      </c>
      <c r="T746" s="88" t="str">
        <f t="shared" si="127"/>
        <v/>
      </c>
      <c r="U746" s="84" t="str">
        <f t="shared" si="128"/>
        <v/>
      </c>
      <c r="V746" s="88">
        <f>IF(U746="",0,MAX(0,T746)+N746+ROUND(J746*[1]Setup!$B$9,0)+IF(O746&gt;[1]Setup!$B$10,ROUND(J746*[1]Setup!$B$11,0),0))</f>
        <v>0</v>
      </c>
      <c r="W746" s="85" t="str">
        <f>IF(L746="","Open",IF(OR(P746&lt;[1]Setup!$B$6,Q746&gt;[1]Setup!$B$7,R746&gt;[1]Setup!$B$8,O746&gt;[1]Setup!$B$10),"Review","OK"))</f>
        <v>Open</v>
      </c>
      <c r="X746" s="86"/>
      <c r="Z746" s="81" t="str">
        <f t="shared" si="132"/>
        <v/>
      </c>
    </row>
    <row r="747" spans="1:26" x14ac:dyDescent="0.3">
      <c r="A747" s="84"/>
      <c r="B747" s="100">
        <f t="shared" si="130"/>
        <v>0</v>
      </c>
      <c r="C747" s="84" t="str">
        <f t="shared" si="131"/>
        <v>January</v>
      </c>
      <c r="D747" s="85" t="str">
        <f t="shared" si="129"/>
        <v/>
      </c>
      <c r="E747" s="86"/>
      <c r="F747" s="86"/>
      <c r="G747" s="86"/>
      <c r="H747" s="86"/>
      <c r="I747" s="87" t="str">
        <f>IF(F747=0,"",IF(COUNTIF(F747,"Bao"),[1]Setup!$B$4,IF(COUNTIF(F747,"Soup Dumplings"),[1]Setup!$B$5,F747)))</f>
        <v/>
      </c>
      <c r="J747" s="88" t="str">
        <f t="shared" si="123"/>
        <v/>
      </c>
      <c r="K747" s="88"/>
      <c r="L747" s="87"/>
      <c r="M747" s="87"/>
      <c r="N747" s="87"/>
      <c r="O747" s="87"/>
      <c r="P747" s="89" t="str">
        <f t="shared" si="124"/>
        <v/>
      </c>
      <c r="Q747" s="89" t="str">
        <f t="shared" si="125"/>
        <v/>
      </c>
      <c r="R747" s="89" t="str">
        <f t="shared" si="126"/>
        <v/>
      </c>
      <c r="S747" s="88" t="str">
        <f>IF(F747="Bao",[1]Setup!$B$4,IF(F747="Soup Dumplings",[1]Setup!$B$5,""))</f>
        <v/>
      </c>
      <c r="T747" s="88" t="str">
        <f t="shared" si="127"/>
        <v/>
      </c>
      <c r="U747" s="84" t="str">
        <f t="shared" si="128"/>
        <v/>
      </c>
      <c r="V747" s="88">
        <f>IF(U747="",0,MAX(0,T747)+N747+ROUND(J747*[1]Setup!$B$9,0)+IF(O747&gt;[1]Setup!$B$10,ROUND(J747*[1]Setup!$B$11,0),0))</f>
        <v>0</v>
      </c>
      <c r="W747" s="85" t="str">
        <f>IF(L747="","Open",IF(OR(P747&lt;[1]Setup!$B$6,Q747&gt;[1]Setup!$B$7,R747&gt;[1]Setup!$B$8,O747&gt;[1]Setup!$B$10),"Review","OK"))</f>
        <v>Open</v>
      </c>
      <c r="X747" s="86"/>
      <c r="Z747" s="81" t="str">
        <f t="shared" si="132"/>
        <v/>
      </c>
    </row>
    <row r="748" spans="1:26" x14ac:dyDescent="0.3">
      <c r="A748" s="84"/>
      <c r="B748" s="100">
        <f t="shared" si="130"/>
        <v>0</v>
      </c>
      <c r="C748" s="84" t="str">
        <f t="shared" si="131"/>
        <v>January</v>
      </c>
      <c r="D748" s="85" t="str">
        <f t="shared" si="129"/>
        <v/>
      </c>
      <c r="E748" s="86"/>
      <c r="F748" s="86"/>
      <c r="G748" s="86"/>
      <c r="H748" s="86"/>
      <c r="I748" s="87" t="str">
        <f>IF(F748=0,"",IF(COUNTIF(F748,"Bao"),[1]Setup!$B$4,IF(COUNTIF(F748,"Soup Dumplings"),[1]Setup!$B$5,F748)))</f>
        <v/>
      </c>
      <c r="J748" s="88" t="str">
        <f t="shared" si="123"/>
        <v/>
      </c>
      <c r="K748" s="88"/>
      <c r="L748" s="87"/>
      <c r="M748" s="87"/>
      <c r="N748" s="87"/>
      <c r="O748" s="87"/>
      <c r="P748" s="89" t="str">
        <f t="shared" si="124"/>
        <v/>
      </c>
      <c r="Q748" s="89" t="str">
        <f t="shared" si="125"/>
        <v/>
      </c>
      <c r="R748" s="89" t="str">
        <f t="shared" si="126"/>
        <v/>
      </c>
      <c r="S748" s="88" t="str">
        <f>IF(F748="Bao",[1]Setup!$B$4,IF(F748="Soup Dumplings",[1]Setup!$B$5,""))</f>
        <v/>
      </c>
      <c r="T748" s="88" t="str">
        <f t="shared" si="127"/>
        <v/>
      </c>
      <c r="U748" s="84" t="str">
        <f t="shared" si="128"/>
        <v/>
      </c>
      <c r="V748" s="88">
        <f>IF(U748="",0,MAX(0,T748)+N748+ROUND(J748*[1]Setup!$B$9,0)+IF(O748&gt;[1]Setup!$B$10,ROUND(J748*[1]Setup!$B$11,0),0))</f>
        <v>0</v>
      </c>
      <c r="W748" s="85" t="str">
        <f>IF(L748="","Open",IF(OR(P748&lt;[1]Setup!$B$6,Q748&gt;[1]Setup!$B$7,R748&gt;[1]Setup!$B$8,O748&gt;[1]Setup!$B$10),"Review","OK"))</f>
        <v>Open</v>
      </c>
      <c r="X748" s="86"/>
      <c r="Z748" s="81" t="str">
        <f t="shared" si="132"/>
        <v/>
      </c>
    </row>
    <row r="749" spans="1:26" x14ac:dyDescent="0.3">
      <c r="A749" s="84"/>
      <c r="B749" s="100">
        <f t="shared" si="130"/>
        <v>0</v>
      </c>
      <c r="C749" s="84" t="str">
        <f t="shared" si="131"/>
        <v>January</v>
      </c>
      <c r="D749" s="85" t="str">
        <f t="shared" si="129"/>
        <v/>
      </c>
      <c r="E749" s="86"/>
      <c r="F749" s="86"/>
      <c r="G749" s="86"/>
      <c r="H749" s="86"/>
      <c r="I749" s="87" t="str">
        <f>IF(F749=0,"",IF(COUNTIF(F749,"Bao"),[1]Setup!$B$4,IF(COUNTIF(F749,"Soup Dumplings"),[1]Setup!$B$5,F749)))</f>
        <v/>
      </c>
      <c r="J749" s="88" t="str">
        <f t="shared" si="123"/>
        <v/>
      </c>
      <c r="K749" s="88"/>
      <c r="L749" s="87"/>
      <c r="M749" s="87"/>
      <c r="N749" s="87"/>
      <c r="O749" s="87"/>
      <c r="P749" s="89" t="str">
        <f t="shared" si="124"/>
        <v/>
      </c>
      <c r="Q749" s="89" t="str">
        <f t="shared" si="125"/>
        <v/>
      </c>
      <c r="R749" s="89" t="str">
        <f t="shared" si="126"/>
        <v/>
      </c>
      <c r="S749" s="88" t="str">
        <f>IF(F749="Bao",[1]Setup!$B$4,IF(F749="Soup Dumplings",[1]Setup!$B$5,""))</f>
        <v/>
      </c>
      <c r="T749" s="88" t="str">
        <f t="shared" si="127"/>
        <v/>
      </c>
      <c r="U749" s="84" t="str">
        <f t="shared" si="128"/>
        <v/>
      </c>
      <c r="V749" s="88">
        <f>IF(U749="",0,MAX(0,T749)+N749+ROUND(J749*[1]Setup!$B$9,0)+IF(O749&gt;[1]Setup!$B$10,ROUND(J749*[1]Setup!$B$11,0),0))</f>
        <v>0</v>
      </c>
      <c r="W749" s="85" t="str">
        <f>IF(L749="","Open",IF(OR(P749&lt;[1]Setup!$B$6,Q749&gt;[1]Setup!$B$7,R749&gt;[1]Setup!$B$8,O749&gt;[1]Setup!$B$10),"Review","OK"))</f>
        <v>Open</v>
      </c>
      <c r="X749" s="86"/>
      <c r="Z749" s="81" t="str">
        <f t="shared" si="132"/>
        <v/>
      </c>
    </row>
    <row r="750" spans="1:26" x14ac:dyDescent="0.3">
      <c r="A750" s="84"/>
      <c r="B750" s="100">
        <f t="shared" si="130"/>
        <v>0</v>
      </c>
      <c r="C750" s="84" t="str">
        <f t="shared" si="131"/>
        <v>January</v>
      </c>
      <c r="D750" s="85" t="str">
        <f t="shared" si="129"/>
        <v/>
      </c>
      <c r="E750" s="86"/>
      <c r="F750" s="86"/>
      <c r="G750" s="86"/>
      <c r="H750" s="86"/>
      <c r="I750" s="87" t="str">
        <f>IF(F750=0,"",IF(COUNTIF(F750,"Bao"),[1]Setup!$B$4,IF(COUNTIF(F750,"Soup Dumplings"),[1]Setup!$B$5,F750)))</f>
        <v/>
      </c>
      <c r="J750" s="88" t="str">
        <f t="shared" si="123"/>
        <v/>
      </c>
      <c r="K750" s="88"/>
      <c r="L750" s="87"/>
      <c r="M750" s="87"/>
      <c r="N750" s="87"/>
      <c r="O750" s="87"/>
      <c r="P750" s="89" t="str">
        <f t="shared" si="124"/>
        <v/>
      </c>
      <c r="Q750" s="89" t="str">
        <f t="shared" si="125"/>
        <v/>
      </c>
      <c r="R750" s="89" t="str">
        <f t="shared" si="126"/>
        <v/>
      </c>
      <c r="S750" s="88" t="str">
        <f>IF(F750="Bao",[1]Setup!$B$4,IF(F750="Soup Dumplings",[1]Setup!$B$5,""))</f>
        <v/>
      </c>
      <c r="T750" s="88" t="str">
        <f t="shared" si="127"/>
        <v/>
      </c>
      <c r="U750" s="84" t="str">
        <f t="shared" si="128"/>
        <v/>
      </c>
      <c r="V750" s="88">
        <f>IF(U750="",0,MAX(0,T750)+N750+ROUND(J750*[1]Setup!$B$9,0)+IF(O750&gt;[1]Setup!$B$10,ROUND(J750*[1]Setup!$B$11,0),0))</f>
        <v>0</v>
      </c>
      <c r="W750" s="85" t="str">
        <f>IF(L750="","Open",IF(OR(P750&lt;[1]Setup!$B$6,Q750&gt;[1]Setup!$B$7,R750&gt;[1]Setup!$B$8,O750&gt;[1]Setup!$B$10),"Review","OK"))</f>
        <v>Open</v>
      </c>
      <c r="X750" s="86"/>
      <c r="Z750" s="81" t="str">
        <f t="shared" si="132"/>
        <v/>
      </c>
    </row>
    <row r="751" spans="1:26" x14ac:dyDescent="0.3">
      <c r="A751" s="84"/>
      <c r="B751" s="100">
        <f t="shared" si="130"/>
        <v>0</v>
      </c>
      <c r="C751" s="84" t="str">
        <f t="shared" si="131"/>
        <v>January</v>
      </c>
      <c r="D751" s="85" t="str">
        <f t="shared" si="129"/>
        <v/>
      </c>
      <c r="E751" s="86"/>
      <c r="F751" s="86"/>
      <c r="G751" s="86"/>
      <c r="H751" s="86"/>
      <c r="I751" s="87" t="str">
        <f>IF(F751=0,"",IF(COUNTIF(F751,"Bao"),[1]Setup!$B$4,IF(COUNTIF(F751,"Soup Dumplings"),[1]Setup!$B$5,F751)))</f>
        <v/>
      </c>
      <c r="J751" s="88" t="str">
        <f t="shared" ref="J751:J814" si="133">IF(A751="","",
   IFERROR(
      N(I751)+SUMIFS($V$4:$V$30,$U$4:$U$30,A751,$G$4:$G$30,G751),
   0)
)</f>
        <v/>
      </c>
      <c r="K751" s="88"/>
      <c r="L751" s="87"/>
      <c r="M751" s="87"/>
      <c r="N751" s="87"/>
      <c r="O751" s="87"/>
      <c r="P751" s="89" t="str">
        <f t="shared" ref="P751:P814" si="134">IF(J751="","",IF(J751&gt;0,(L751+M751)/J751,""))</f>
        <v/>
      </c>
      <c r="Q751" s="89" t="str">
        <f t="shared" ref="Q751:Q814" si="135">IF(J751="","",IF(J751&gt;0,MAX(0,(J751-(L751+M751))/J751),""))</f>
        <v/>
      </c>
      <c r="R751" s="89" t="str">
        <f t="shared" ref="R751:R814" si="136">IF(J751="","",IF(J751&gt;0,MAX(0,(L751+M751-J751)/J751),""))</f>
        <v/>
      </c>
      <c r="S751" s="88" t="str">
        <f>IF(F751="Bao",[1]Setup!$B$4,IF(F751="Soup Dumplings",[1]Setup!$B$5,""))</f>
        <v/>
      </c>
      <c r="T751" s="88" t="str">
        <f t="shared" ref="T751:T814" si="137">IF(L751="","",S751-L751)</f>
        <v/>
      </c>
      <c r="U751" s="84" t="str">
        <f t="shared" ref="U751:U814" si="138">IF(A751="","",A751+1)</f>
        <v/>
      </c>
      <c r="V751" s="88">
        <f>IF(U751="",0,MAX(0,T751)+N751+ROUND(J751*[1]Setup!$B$9,0)+IF(O751&gt;[1]Setup!$B$10,ROUND(J751*[1]Setup!$B$11,0),0))</f>
        <v>0</v>
      </c>
      <c r="W751" s="85" t="str">
        <f>IF(L751="","Open",IF(OR(P751&lt;[1]Setup!$B$6,Q751&gt;[1]Setup!$B$7,R751&gt;[1]Setup!$B$8,O751&gt;[1]Setup!$B$10),"Review","OK"))</f>
        <v>Open</v>
      </c>
      <c r="X751" s="86"/>
      <c r="Z751" s="81" t="str">
        <f t="shared" si="132"/>
        <v/>
      </c>
    </row>
    <row r="752" spans="1:26" x14ac:dyDescent="0.3">
      <c r="A752" s="84"/>
      <c r="B752" s="100">
        <f t="shared" si="130"/>
        <v>0</v>
      </c>
      <c r="C752" s="84" t="str">
        <f t="shared" si="131"/>
        <v>January</v>
      </c>
      <c r="D752" s="85" t="str">
        <f t="shared" si="129"/>
        <v/>
      </c>
      <c r="E752" s="86"/>
      <c r="F752" s="86"/>
      <c r="G752" s="86"/>
      <c r="H752" s="86"/>
      <c r="I752" s="87" t="str">
        <f>IF(F752=0,"",IF(COUNTIF(F752,"Bao"),[1]Setup!$B$4,IF(COUNTIF(F752,"Soup Dumplings"),[1]Setup!$B$5,F752)))</f>
        <v/>
      </c>
      <c r="J752" s="88" t="str">
        <f t="shared" si="133"/>
        <v/>
      </c>
      <c r="K752" s="88"/>
      <c r="L752" s="87"/>
      <c r="M752" s="87"/>
      <c r="N752" s="87"/>
      <c r="O752" s="87"/>
      <c r="P752" s="89" t="str">
        <f t="shared" si="134"/>
        <v/>
      </c>
      <c r="Q752" s="89" t="str">
        <f t="shared" si="135"/>
        <v/>
      </c>
      <c r="R752" s="89" t="str">
        <f t="shared" si="136"/>
        <v/>
      </c>
      <c r="S752" s="88" t="str">
        <f>IF(F752="Bao",[1]Setup!$B$4,IF(F752="Soup Dumplings",[1]Setup!$B$5,""))</f>
        <v/>
      </c>
      <c r="T752" s="88" t="str">
        <f t="shared" si="137"/>
        <v/>
      </c>
      <c r="U752" s="84" t="str">
        <f t="shared" si="138"/>
        <v/>
      </c>
      <c r="V752" s="88">
        <f>IF(U752="",0,MAX(0,T752)+N752+ROUND(J752*[1]Setup!$B$9,0)+IF(O752&gt;[1]Setup!$B$10,ROUND(J752*[1]Setup!$B$11,0),0))</f>
        <v>0</v>
      </c>
      <c r="W752" s="85" t="str">
        <f>IF(L752="","Open",IF(OR(P752&lt;[1]Setup!$B$6,Q752&gt;[1]Setup!$B$7,R752&gt;[1]Setup!$B$8,O752&gt;[1]Setup!$B$10),"Review","OK"))</f>
        <v>Open</v>
      </c>
      <c r="X752" s="86"/>
      <c r="Z752" s="81" t="str">
        <f t="shared" si="132"/>
        <v/>
      </c>
    </row>
    <row r="753" spans="1:26" x14ac:dyDescent="0.3">
      <c r="A753" s="84"/>
      <c r="B753" s="100">
        <f t="shared" si="130"/>
        <v>0</v>
      </c>
      <c r="C753" s="84" t="str">
        <f t="shared" si="131"/>
        <v>January</v>
      </c>
      <c r="D753" s="85" t="str">
        <f t="shared" si="129"/>
        <v/>
      </c>
      <c r="E753" s="86"/>
      <c r="F753" s="86"/>
      <c r="G753" s="86"/>
      <c r="H753" s="86"/>
      <c r="I753" s="87" t="str">
        <f>IF(F753=0,"",IF(COUNTIF(F753,"Bao"),[1]Setup!$B$4,IF(COUNTIF(F753,"Soup Dumplings"),[1]Setup!$B$5,F753)))</f>
        <v/>
      </c>
      <c r="J753" s="88" t="str">
        <f t="shared" si="133"/>
        <v/>
      </c>
      <c r="K753" s="88"/>
      <c r="L753" s="87"/>
      <c r="M753" s="87"/>
      <c r="N753" s="87"/>
      <c r="O753" s="87"/>
      <c r="P753" s="89" t="str">
        <f t="shared" si="134"/>
        <v/>
      </c>
      <c r="Q753" s="89" t="str">
        <f t="shared" si="135"/>
        <v/>
      </c>
      <c r="R753" s="89" t="str">
        <f t="shared" si="136"/>
        <v/>
      </c>
      <c r="S753" s="88" t="str">
        <f>IF(F753="Bao",[1]Setup!$B$4,IF(F753="Soup Dumplings",[1]Setup!$B$5,""))</f>
        <v/>
      </c>
      <c r="T753" s="88" t="str">
        <f t="shared" si="137"/>
        <v/>
      </c>
      <c r="U753" s="84" t="str">
        <f t="shared" si="138"/>
        <v/>
      </c>
      <c r="V753" s="88">
        <f>IF(U753="",0,MAX(0,T753)+N753+ROUND(J753*[1]Setup!$B$9,0)+IF(O753&gt;[1]Setup!$B$10,ROUND(J753*[1]Setup!$B$11,0),0))</f>
        <v>0</v>
      </c>
      <c r="W753" s="85" t="str">
        <f>IF(L753="","Open",IF(OR(P753&lt;[1]Setup!$B$6,Q753&gt;[1]Setup!$B$7,R753&gt;[1]Setup!$B$8,O753&gt;[1]Setup!$B$10),"Review","OK"))</f>
        <v>Open</v>
      </c>
      <c r="X753" s="86"/>
      <c r="Z753" s="81" t="str">
        <f t="shared" si="132"/>
        <v/>
      </c>
    </row>
    <row r="754" spans="1:26" x14ac:dyDescent="0.3">
      <c r="A754" s="84"/>
      <c r="B754" s="100">
        <f t="shared" si="130"/>
        <v>0</v>
      </c>
      <c r="C754" s="84" t="str">
        <f t="shared" si="131"/>
        <v>January</v>
      </c>
      <c r="D754" s="85" t="str">
        <f t="shared" si="129"/>
        <v/>
      </c>
      <c r="E754" s="86"/>
      <c r="F754" s="86"/>
      <c r="G754" s="86"/>
      <c r="H754" s="86"/>
      <c r="I754" s="87" t="str">
        <f>IF(F754=0,"",IF(COUNTIF(F754,"Bao"),[1]Setup!$B$4,IF(COUNTIF(F754,"Soup Dumplings"),[1]Setup!$B$5,F754)))</f>
        <v/>
      </c>
      <c r="J754" s="88" t="str">
        <f t="shared" si="133"/>
        <v/>
      </c>
      <c r="K754" s="88"/>
      <c r="L754" s="87"/>
      <c r="M754" s="87"/>
      <c r="N754" s="87"/>
      <c r="O754" s="87"/>
      <c r="P754" s="89" t="str">
        <f t="shared" si="134"/>
        <v/>
      </c>
      <c r="Q754" s="89" t="str">
        <f t="shared" si="135"/>
        <v/>
      </c>
      <c r="R754" s="89" t="str">
        <f t="shared" si="136"/>
        <v/>
      </c>
      <c r="S754" s="88" t="str">
        <f>IF(F754="Bao",[1]Setup!$B$4,IF(F754="Soup Dumplings",[1]Setup!$B$5,""))</f>
        <v/>
      </c>
      <c r="T754" s="88" t="str">
        <f t="shared" si="137"/>
        <v/>
      </c>
      <c r="U754" s="84" t="str">
        <f t="shared" si="138"/>
        <v/>
      </c>
      <c r="V754" s="88">
        <f>IF(U754="",0,MAX(0,T754)+N754+ROUND(J754*[1]Setup!$B$9,0)+IF(O754&gt;[1]Setup!$B$10,ROUND(J754*[1]Setup!$B$11,0),0))</f>
        <v>0</v>
      </c>
      <c r="W754" s="85" t="str">
        <f>IF(L754="","Open",IF(OR(P754&lt;[1]Setup!$B$6,Q754&gt;[1]Setup!$B$7,R754&gt;[1]Setup!$B$8,O754&gt;[1]Setup!$B$10),"Review","OK"))</f>
        <v>Open</v>
      </c>
      <c r="X754" s="86"/>
      <c r="Z754" s="81" t="str">
        <f t="shared" si="132"/>
        <v/>
      </c>
    </row>
    <row r="755" spans="1:26" x14ac:dyDescent="0.3">
      <c r="A755" s="84"/>
      <c r="B755" s="100">
        <f t="shared" si="130"/>
        <v>0</v>
      </c>
      <c r="C755" s="84" t="str">
        <f t="shared" si="131"/>
        <v>January</v>
      </c>
      <c r="D755" s="85" t="str">
        <f t="shared" si="129"/>
        <v/>
      </c>
      <c r="E755" s="86"/>
      <c r="F755" s="86"/>
      <c r="G755" s="86"/>
      <c r="H755" s="86"/>
      <c r="I755" s="87" t="str">
        <f>IF(F755=0,"",IF(COUNTIF(F755,"Bao"),[1]Setup!$B$4,IF(COUNTIF(F755,"Soup Dumplings"),[1]Setup!$B$5,F755)))</f>
        <v/>
      </c>
      <c r="J755" s="88" t="str">
        <f t="shared" si="133"/>
        <v/>
      </c>
      <c r="K755" s="88"/>
      <c r="L755" s="87"/>
      <c r="M755" s="87"/>
      <c r="N755" s="87"/>
      <c r="O755" s="87"/>
      <c r="P755" s="89" t="str">
        <f t="shared" si="134"/>
        <v/>
      </c>
      <c r="Q755" s="89" t="str">
        <f t="shared" si="135"/>
        <v/>
      </c>
      <c r="R755" s="89" t="str">
        <f t="shared" si="136"/>
        <v/>
      </c>
      <c r="S755" s="88" t="str">
        <f>IF(F755="Bao",[1]Setup!$B$4,IF(F755="Soup Dumplings",[1]Setup!$B$5,""))</f>
        <v/>
      </c>
      <c r="T755" s="88" t="str">
        <f t="shared" si="137"/>
        <v/>
      </c>
      <c r="U755" s="84" t="str">
        <f t="shared" si="138"/>
        <v/>
      </c>
      <c r="V755" s="88">
        <f>IF(U755="",0,MAX(0,T755)+N755+ROUND(J755*[1]Setup!$B$9,0)+IF(O755&gt;[1]Setup!$B$10,ROUND(J755*[1]Setup!$B$11,0),0))</f>
        <v>0</v>
      </c>
      <c r="W755" s="85" t="str">
        <f>IF(L755="","Open",IF(OR(P755&lt;[1]Setup!$B$6,Q755&gt;[1]Setup!$B$7,R755&gt;[1]Setup!$B$8,O755&gt;[1]Setup!$B$10),"Review","OK"))</f>
        <v>Open</v>
      </c>
      <c r="X755" s="86"/>
      <c r="Z755" s="81" t="str">
        <f t="shared" si="132"/>
        <v/>
      </c>
    </row>
    <row r="756" spans="1:26" x14ac:dyDescent="0.3">
      <c r="A756" s="84"/>
      <c r="B756" s="100">
        <f t="shared" si="130"/>
        <v>0</v>
      </c>
      <c r="C756" s="84" t="str">
        <f t="shared" si="131"/>
        <v>January</v>
      </c>
      <c r="D756" s="85" t="str">
        <f t="shared" si="129"/>
        <v/>
      </c>
      <c r="E756" s="86"/>
      <c r="F756" s="86"/>
      <c r="G756" s="86"/>
      <c r="H756" s="86"/>
      <c r="I756" s="87" t="str">
        <f>IF(F756=0,"",IF(COUNTIF(F756,"Bao"),[1]Setup!$B$4,IF(COUNTIF(F756,"Soup Dumplings"),[1]Setup!$B$5,F756)))</f>
        <v/>
      </c>
      <c r="J756" s="88" t="str">
        <f t="shared" si="133"/>
        <v/>
      </c>
      <c r="K756" s="88"/>
      <c r="L756" s="87"/>
      <c r="M756" s="87"/>
      <c r="N756" s="87"/>
      <c r="O756" s="87"/>
      <c r="P756" s="89" t="str">
        <f t="shared" si="134"/>
        <v/>
      </c>
      <c r="Q756" s="89" t="str">
        <f t="shared" si="135"/>
        <v/>
      </c>
      <c r="R756" s="89" t="str">
        <f t="shared" si="136"/>
        <v/>
      </c>
      <c r="S756" s="88" t="str">
        <f>IF(F756="Bao",[1]Setup!$B$4,IF(F756="Soup Dumplings",[1]Setup!$B$5,""))</f>
        <v/>
      </c>
      <c r="T756" s="88" t="str">
        <f t="shared" si="137"/>
        <v/>
      </c>
      <c r="U756" s="84" t="str">
        <f t="shared" si="138"/>
        <v/>
      </c>
      <c r="V756" s="88">
        <f>IF(U756="",0,MAX(0,T756)+N756+ROUND(J756*[1]Setup!$B$9,0)+IF(O756&gt;[1]Setup!$B$10,ROUND(J756*[1]Setup!$B$11,0),0))</f>
        <v>0</v>
      </c>
      <c r="W756" s="85" t="str">
        <f>IF(L756="","Open",IF(OR(P756&lt;[1]Setup!$B$6,Q756&gt;[1]Setup!$B$7,R756&gt;[1]Setup!$B$8,O756&gt;[1]Setup!$B$10),"Review","OK"))</f>
        <v>Open</v>
      </c>
      <c r="X756" s="86"/>
      <c r="Z756" s="81" t="str">
        <f t="shared" si="132"/>
        <v/>
      </c>
    </row>
    <row r="757" spans="1:26" x14ac:dyDescent="0.3">
      <c r="A757" s="84"/>
      <c r="B757" s="100">
        <f t="shared" si="130"/>
        <v>0</v>
      </c>
      <c r="C757" s="84" t="str">
        <f t="shared" si="131"/>
        <v>January</v>
      </c>
      <c r="D757" s="85" t="str">
        <f t="shared" si="129"/>
        <v/>
      </c>
      <c r="E757" s="86"/>
      <c r="F757" s="86"/>
      <c r="G757" s="86"/>
      <c r="H757" s="86"/>
      <c r="I757" s="87" t="str">
        <f>IF(F757=0,"",IF(COUNTIF(F757,"Bao"),[1]Setup!$B$4,IF(COUNTIF(F757,"Soup Dumplings"),[1]Setup!$B$5,F757)))</f>
        <v/>
      </c>
      <c r="J757" s="88" t="str">
        <f t="shared" si="133"/>
        <v/>
      </c>
      <c r="K757" s="88"/>
      <c r="L757" s="87"/>
      <c r="M757" s="87"/>
      <c r="N757" s="87"/>
      <c r="O757" s="87"/>
      <c r="P757" s="89" t="str">
        <f t="shared" si="134"/>
        <v/>
      </c>
      <c r="Q757" s="89" t="str">
        <f t="shared" si="135"/>
        <v/>
      </c>
      <c r="R757" s="89" t="str">
        <f t="shared" si="136"/>
        <v/>
      </c>
      <c r="S757" s="88" t="str">
        <f>IF(F757="Bao",[1]Setup!$B$4,IF(F757="Soup Dumplings",[1]Setup!$B$5,""))</f>
        <v/>
      </c>
      <c r="T757" s="88" t="str">
        <f t="shared" si="137"/>
        <v/>
      </c>
      <c r="U757" s="84" t="str">
        <f t="shared" si="138"/>
        <v/>
      </c>
      <c r="V757" s="88">
        <f>IF(U757="",0,MAX(0,T757)+N757+ROUND(J757*[1]Setup!$B$9,0)+IF(O757&gt;[1]Setup!$B$10,ROUND(J757*[1]Setup!$B$11,0),0))</f>
        <v>0</v>
      </c>
      <c r="W757" s="85" t="str">
        <f>IF(L757="","Open",IF(OR(P757&lt;[1]Setup!$B$6,Q757&gt;[1]Setup!$B$7,R757&gt;[1]Setup!$B$8,O757&gt;[1]Setup!$B$10),"Review","OK"))</f>
        <v>Open</v>
      </c>
      <c r="X757" s="86"/>
      <c r="Z757" s="81" t="str">
        <f t="shared" si="132"/>
        <v/>
      </c>
    </row>
    <row r="758" spans="1:26" x14ac:dyDescent="0.3">
      <c r="A758" s="84"/>
      <c r="B758" s="100">
        <f t="shared" si="130"/>
        <v>0</v>
      </c>
      <c r="C758" s="84" t="str">
        <f t="shared" si="131"/>
        <v>January</v>
      </c>
      <c r="D758" s="85" t="str">
        <f t="shared" si="129"/>
        <v/>
      </c>
      <c r="E758" s="86"/>
      <c r="F758" s="86"/>
      <c r="G758" s="86"/>
      <c r="H758" s="86"/>
      <c r="I758" s="87" t="str">
        <f>IF(F758=0,"",IF(COUNTIF(F758,"Bao"),[1]Setup!$B$4,IF(COUNTIF(F758,"Soup Dumplings"),[1]Setup!$B$5,F758)))</f>
        <v/>
      </c>
      <c r="J758" s="88" t="str">
        <f t="shared" si="133"/>
        <v/>
      </c>
      <c r="K758" s="88"/>
      <c r="L758" s="87"/>
      <c r="M758" s="87"/>
      <c r="N758" s="87"/>
      <c r="O758" s="87"/>
      <c r="P758" s="89" t="str">
        <f t="shared" si="134"/>
        <v/>
      </c>
      <c r="Q758" s="89" t="str">
        <f t="shared" si="135"/>
        <v/>
      </c>
      <c r="R758" s="89" t="str">
        <f t="shared" si="136"/>
        <v/>
      </c>
      <c r="S758" s="88" t="str">
        <f>IF(F758="Bao",[1]Setup!$B$4,IF(F758="Soup Dumplings",[1]Setup!$B$5,""))</f>
        <v/>
      </c>
      <c r="T758" s="88" t="str">
        <f t="shared" si="137"/>
        <v/>
      </c>
      <c r="U758" s="84" t="str">
        <f t="shared" si="138"/>
        <v/>
      </c>
      <c r="V758" s="88">
        <f>IF(U758="",0,MAX(0,T758)+N758+ROUND(J758*[1]Setup!$B$9,0)+IF(O758&gt;[1]Setup!$B$10,ROUND(J758*[1]Setup!$B$11,0),0))</f>
        <v>0</v>
      </c>
      <c r="W758" s="85" t="str">
        <f>IF(L758="","Open",IF(OR(P758&lt;[1]Setup!$B$6,Q758&gt;[1]Setup!$B$7,R758&gt;[1]Setup!$B$8,O758&gt;[1]Setup!$B$10),"Review","OK"))</f>
        <v>Open</v>
      </c>
      <c r="X758" s="86"/>
      <c r="Z758" s="81" t="str">
        <f t="shared" si="132"/>
        <v/>
      </c>
    </row>
    <row r="759" spans="1:26" x14ac:dyDescent="0.3">
      <c r="A759" s="84"/>
      <c r="B759" s="100">
        <f t="shared" si="130"/>
        <v>0</v>
      </c>
      <c r="C759" s="84" t="str">
        <f t="shared" si="131"/>
        <v>January</v>
      </c>
      <c r="D759" s="85" t="str">
        <f t="shared" si="129"/>
        <v/>
      </c>
      <c r="E759" s="86"/>
      <c r="F759" s="86"/>
      <c r="G759" s="86"/>
      <c r="H759" s="86"/>
      <c r="I759" s="87" t="str">
        <f>IF(F759=0,"",IF(COUNTIF(F759,"Bao"),[1]Setup!$B$4,IF(COUNTIF(F759,"Soup Dumplings"),[1]Setup!$B$5,F759)))</f>
        <v/>
      </c>
      <c r="J759" s="88" t="str">
        <f t="shared" si="133"/>
        <v/>
      </c>
      <c r="K759" s="88"/>
      <c r="L759" s="87"/>
      <c r="M759" s="87"/>
      <c r="N759" s="87"/>
      <c r="O759" s="87"/>
      <c r="P759" s="89" t="str">
        <f t="shared" si="134"/>
        <v/>
      </c>
      <c r="Q759" s="89" t="str">
        <f t="shared" si="135"/>
        <v/>
      </c>
      <c r="R759" s="89" t="str">
        <f t="shared" si="136"/>
        <v/>
      </c>
      <c r="S759" s="88" t="str">
        <f>IF(F759="Bao",[1]Setup!$B$4,IF(F759="Soup Dumplings",[1]Setup!$B$5,""))</f>
        <v/>
      </c>
      <c r="T759" s="88" t="str">
        <f t="shared" si="137"/>
        <v/>
      </c>
      <c r="U759" s="84" t="str">
        <f t="shared" si="138"/>
        <v/>
      </c>
      <c r="V759" s="88">
        <f>IF(U759="",0,MAX(0,T759)+N759+ROUND(J759*[1]Setup!$B$9,0)+IF(O759&gt;[1]Setup!$B$10,ROUND(J759*[1]Setup!$B$11,0),0))</f>
        <v>0</v>
      </c>
      <c r="W759" s="85" t="str">
        <f>IF(L759="","Open",IF(OR(P759&lt;[1]Setup!$B$6,Q759&gt;[1]Setup!$B$7,R759&gt;[1]Setup!$B$8,O759&gt;[1]Setup!$B$10),"Review","OK"))</f>
        <v>Open</v>
      </c>
      <c r="X759" s="86"/>
      <c r="Z759" s="81" t="str">
        <f t="shared" si="132"/>
        <v/>
      </c>
    </row>
    <row r="760" spans="1:26" x14ac:dyDescent="0.3">
      <c r="A760" s="84"/>
      <c r="B760" s="100">
        <f t="shared" si="130"/>
        <v>0</v>
      </c>
      <c r="C760" s="84" t="str">
        <f t="shared" si="131"/>
        <v>January</v>
      </c>
      <c r="D760" s="85" t="str">
        <f t="shared" si="129"/>
        <v/>
      </c>
      <c r="E760" s="86"/>
      <c r="F760" s="86"/>
      <c r="G760" s="86"/>
      <c r="H760" s="86"/>
      <c r="I760" s="87" t="str">
        <f>IF(F760=0,"",IF(COUNTIF(F760,"Bao"),[1]Setup!$B$4,IF(COUNTIF(F760,"Soup Dumplings"),[1]Setup!$B$5,F760)))</f>
        <v/>
      </c>
      <c r="J760" s="88" t="str">
        <f t="shared" si="133"/>
        <v/>
      </c>
      <c r="K760" s="88"/>
      <c r="L760" s="87"/>
      <c r="M760" s="87"/>
      <c r="N760" s="87"/>
      <c r="O760" s="87"/>
      <c r="P760" s="89" t="str">
        <f t="shared" si="134"/>
        <v/>
      </c>
      <c r="Q760" s="89" t="str">
        <f t="shared" si="135"/>
        <v/>
      </c>
      <c r="R760" s="89" t="str">
        <f t="shared" si="136"/>
        <v/>
      </c>
      <c r="S760" s="88" t="str">
        <f>IF(F760="Bao",[1]Setup!$B$4,IF(F760="Soup Dumplings",[1]Setup!$B$5,""))</f>
        <v/>
      </c>
      <c r="T760" s="88" t="str">
        <f t="shared" si="137"/>
        <v/>
      </c>
      <c r="U760" s="84" t="str">
        <f t="shared" si="138"/>
        <v/>
      </c>
      <c r="V760" s="88">
        <f>IF(U760="",0,MAX(0,T760)+N760+ROUND(J760*[1]Setup!$B$9,0)+IF(O760&gt;[1]Setup!$B$10,ROUND(J760*[1]Setup!$B$11,0),0))</f>
        <v>0</v>
      </c>
      <c r="W760" s="85" t="str">
        <f>IF(L760="","Open",IF(OR(P760&lt;[1]Setup!$B$6,Q760&gt;[1]Setup!$B$7,R760&gt;[1]Setup!$B$8,O760&gt;[1]Setup!$B$10),"Review","OK"))</f>
        <v>Open</v>
      </c>
      <c r="X760" s="86"/>
      <c r="Z760" s="81" t="str">
        <f t="shared" si="132"/>
        <v/>
      </c>
    </row>
    <row r="761" spans="1:26" x14ac:dyDescent="0.3">
      <c r="A761" s="84"/>
      <c r="B761" s="100">
        <f t="shared" si="130"/>
        <v>0</v>
      </c>
      <c r="C761" s="84" t="str">
        <f t="shared" si="131"/>
        <v>January</v>
      </c>
      <c r="D761" s="85" t="str">
        <f t="shared" si="129"/>
        <v/>
      </c>
      <c r="E761" s="86"/>
      <c r="F761" s="86"/>
      <c r="G761" s="86"/>
      <c r="H761" s="86"/>
      <c r="I761" s="87" t="str">
        <f>IF(F761=0,"",IF(COUNTIF(F761,"Bao"),[1]Setup!$B$4,IF(COUNTIF(F761,"Soup Dumplings"),[1]Setup!$B$5,F761)))</f>
        <v/>
      </c>
      <c r="J761" s="88" t="str">
        <f t="shared" si="133"/>
        <v/>
      </c>
      <c r="K761" s="88"/>
      <c r="L761" s="87"/>
      <c r="M761" s="87"/>
      <c r="N761" s="87"/>
      <c r="O761" s="87"/>
      <c r="P761" s="89" t="str">
        <f t="shared" si="134"/>
        <v/>
      </c>
      <c r="Q761" s="89" t="str">
        <f t="shared" si="135"/>
        <v/>
      </c>
      <c r="R761" s="89" t="str">
        <f t="shared" si="136"/>
        <v/>
      </c>
      <c r="S761" s="88" t="str">
        <f>IF(F761="Bao",[1]Setup!$B$4,IF(F761="Soup Dumplings",[1]Setup!$B$5,""))</f>
        <v/>
      </c>
      <c r="T761" s="88" t="str">
        <f t="shared" si="137"/>
        <v/>
      </c>
      <c r="U761" s="84" t="str">
        <f t="shared" si="138"/>
        <v/>
      </c>
      <c r="V761" s="88">
        <f>IF(U761="",0,MAX(0,T761)+N761+ROUND(J761*[1]Setup!$B$9,0)+IF(O761&gt;[1]Setup!$B$10,ROUND(J761*[1]Setup!$B$11,0),0))</f>
        <v>0</v>
      </c>
      <c r="W761" s="85" t="str">
        <f>IF(L761="","Open",IF(OR(P761&lt;[1]Setup!$B$6,Q761&gt;[1]Setup!$B$7,R761&gt;[1]Setup!$B$8,O761&gt;[1]Setup!$B$10),"Review","OK"))</f>
        <v>Open</v>
      </c>
      <c r="X761" s="86"/>
      <c r="Z761" s="81" t="str">
        <f t="shared" si="132"/>
        <v/>
      </c>
    </row>
    <row r="762" spans="1:26" x14ac:dyDescent="0.3">
      <c r="A762" s="84"/>
      <c r="B762" s="100">
        <f t="shared" si="130"/>
        <v>0</v>
      </c>
      <c r="C762" s="84" t="str">
        <f t="shared" si="131"/>
        <v>January</v>
      </c>
      <c r="D762" s="85" t="str">
        <f t="shared" si="129"/>
        <v/>
      </c>
      <c r="E762" s="86"/>
      <c r="F762" s="86"/>
      <c r="G762" s="86"/>
      <c r="H762" s="86"/>
      <c r="I762" s="87" t="str">
        <f>IF(F762=0,"",IF(COUNTIF(F762,"Bao"),[1]Setup!$B$4,IF(COUNTIF(F762,"Soup Dumplings"),[1]Setup!$B$5,F762)))</f>
        <v/>
      </c>
      <c r="J762" s="88" t="str">
        <f t="shared" si="133"/>
        <v/>
      </c>
      <c r="K762" s="88"/>
      <c r="L762" s="87"/>
      <c r="M762" s="87"/>
      <c r="N762" s="87"/>
      <c r="O762" s="87"/>
      <c r="P762" s="89" t="str">
        <f t="shared" si="134"/>
        <v/>
      </c>
      <c r="Q762" s="89" t="str">
        <f t="shared" si="135"/>
        <v/>
      </c>
      <c r="R762" s="89" t="str">
        <f t="shared" si="136"/>
        <v/>
      </c>
      <c r="S762" s="88" t="str">
        <f>IF(F762="Bao",[1]Setup!$B$4,IF(F762="Soup Dumplings",[1]Setup!$B$5,""))</f>
        <v/>
      </c>
      <c r="T762" s="88" t="str">
        <f t="shared" si="137"/>
        <v/>
      </c>
      <c r="U762" s="84" t="str">
        <f t="shared" si="138"/>
        <v/>
      </c>
      <c r="V762" s="88">
        <f>IF(U762="",0,MAX(0,T762)+N762+ROUND(J762*[1]Setup!$B$9,0)+IF(O762&gt;[1]Setup!$B$10,ROUND(J762*[1]Setup!$B$11,0),0))</f>
        <v>0</v>
      </c>
      <c r="W762" s="85" t="str">
        <f>IF(L762="","Open",IF(OR(P762&lt;[1]Setup!$B$6,Q762&gt;[1]Setup!$B$7,R762&gt;[1]Setup!$B$8,O762&gt;[1]Setup!$B$10),"Review","OK"))</f>
        <v>Open</v>
      </c>
      <c r="X762" s="86"/>
      <c r="Z762" s="81" t="str">
        <f t="shared" si="132"/>
        <v/>
      </c>
    </row>
    <row r="763" spans="1:26" x14ac:dyDescent="0.3">
      <c r="A763" s="84"/>
      <c r="B763" s="100">
        <f t="shared" si="130"/>
        <v>0</v>
      </c>
      <c r="C763" s="84" t="str">
        <f t="shared" si="131"/>
        <v>January</v>
      </c>
      <c r="D763" s="85" t="str">
        <f t="shared" si="129"/>
        <v/>
      </c>
      <c r="E763" s="86"/>
      <c r="F763" s="86"/>
      <c r="G763" s="86"/>
      <c r="H763" s="86"/>
      <c r="I763" s="87" t="str">
        <f>IF(F763=0,"",IF(COUNTIF(F763,"Bao"),[1]Setup!$B$4,IF(COUNTIF(F763,"Soup Dumplings"),[1]Setup!$B$5,F763)))</f>
        <v/>
      </c>
      <c r="J763" s="88" t="str">
        <f t="shared" si="133"/>
        <v/>
      </c>
      <c r="K763" s="88"/>
      <c r="L763" s="87"/>
      <c r="M763" s="87"/>
      <c r="N763" s="87"/>
      <c r="O763" s="87"/>
      <c r="P763" s="89" t="str">
        <f t="shared" si="134"/>
        <v/>
      </c>
      <c r="Q763" s="89" t="str">
        <f t="shared" si="135"/>
        <v/>
      </c>
      <c r="R763" s="89" t="str">
        <f t="shared" si="136"/>
        <v/>
      </c>
      <c r="S763" s="88" t="str">
        <f>IF(F763="Bao",[1]Setup!$B$4,IF(F763="Soup Dumplings",[1]Setup!$B$5,""))</f>
        <v/>
      </c>
      <c r="T763" s="88" t="str">
        <f t="shared" si="137"/>
        <v/>
      </c>
      <c r="U763" s="84" t="str">
        <f t="shared" si="138"/>
        <v/>
      </c>
      <c r="V763" s="88">
        <f>IF(U763="",0,MAX(0,T763)+N763+ROUND(J763*[1]Setup!$B$9,0)+IF(O763&gt;[1]Setup!$B$10,ROUND(J763*[1]Setup!$B$11,0),0))</f>
        <v>0</v>
      </c>
      <c r="W763" s="85" t="str">
        <f>IF(L763="","Open",IF(OR(P763&lt;[1]Setup!$B$6,Q763&gt;[1]Setup!$B$7,R763&gt;[1]Setup!$B$8,O763&gt;[1]Setup!$B$10),"Review","OK"))</f>
        <v>Open</v>
      </c>
      <c r="X763" s="86"/>
      <c r="Z763" s="81" t="str">
        <f t="shared" si="132"/>
        <v/>
      </c>
    </row>
    <row r="764" spans="1:26" x14ac:dyDescent="0.3">
      <c r="A764" s="84"/>
      <c r="B764" s="100">
        <f t="shared" si="130"/>
        <v>0</v>
      </c>
      <c r="C764" s="84" t="str">
        <f t="shared" si="131"/>
        <v>January</v>
      </c>
      <c r="D764" s="85" t="str">
        <f t="shared" si="129"/>
        <v/>
      </c>
      <c r="E764" s="86"/>
      <c r="F764" s="86"/>
      <c r="G764" s="86"/>
      <c r="H764" s="86"/>
      <c r="I764" s="87" t="str">
        <f>IF(F764=0,"",IF(COUNTIF(F764,"Bao"),[1]Setup!$B$4,IF(COUNTIF(F764,"Soup Dumplings"),[1]Setup!$B$5,F764)))</f>
        <v/>
      </c>
      <c r="J764" s="88" t="str">
        <f t="shared" si="133"/>
        <v/>
      </c>
      <c r="K764" s="88"/>
      <c r="L764" s="87"/>
      <c r="M764" s="87"/>
      <c r="N764" s="87"/>
      <c r="O764" s="87"/>
      <c r="P764" s="89" t="str">
        <f t="shared" si="134"/>
        <v/>
      </c>
      <c r="Q764" s="89" t="str">
        <f t="shared" si="135"/>
        <v/>
      </c>
      <c r="R764" s="89" t="str">
        <f t="shared" si="136"/>
        <v/>
      </c>
      <c r="S764" s="88" t="str">
        <f>IF(F764="Bao",[1]Setup!$B$4,IF(F764="Soup Dumplings",[1]Setup!$B$5,""))</f>
        <v/>
      </c>
      <c r="T764" s="88" t="str">
        <f t="shared" si="137"/>
        <v/>
      </c>
      <c r="U764" s="84" t="str">
        <f t="shared" si="138"/>
        <v/>
      </c>
      <c r="V764" s="88">
        <f>IF(U764="",0,MAX(0,T764)+N764+ROUND(J764*[1]Setup!$B$9,0)+IF(O764&gt;[1]Setup!$B$10,ROUND(J764*[1]Setup!$B$11,0),0))</f>
        <v>0</v>
      </c>
      <c r="W764" s="85" t="str">
        <f>IF(L764="","Open",IF(OR(P764&lt;[1]Setup!$B$6,Q764&gt;[1]Setup!$B$7,R764&gt;[1]Setup!$B$8,O764&gt;[1]Setup!$B$10),"Review","OK"))</f>
        <v>Open</v>
      </c>
      <c r="X764" s="86"/>
      <c r="Z764" s="81" t="str">
        <f t="shared" si="132"/>
        <v/>
      </c>
    </row>
    <row r="765" spans="1:26" x14ac:dyDescent="0.3">
      <c r="A765" s="84"/>
      <c r="B765" s="100">
        <f t="shared" si="130"/>
        <v>0</v>
      </c>
      <c r="C765" s="84" t="str">
        <f t="shared" si="131"/>
        <v>January</v>
      </c>
      <c r="D765" s="85" t="str">
        <f t="shared" si="129"/>
        <v/>
      </c>
      <c r="E765" s="86"/>
      <c r="F765" s="86"/>
      <c r="G765" s="86"/>
      <c r="H765" s="86"/>
      <c r="I765" s="87" t="str">
        <f>IF(F765=0,"",IF(COUNTIF(F765,"Bao"),[1]Setup!$B$4,IF(COUNTIF(F765,"Soup Dumplings"),[1]Setup!$B$5,F765)))</f>
        <v/>
      </c>
      <c r="J765" s="88" t="str">
        <f t="shared" si="133"/>
        <v/>
      </c>
      <c r="K765" s="88"/>
      <c r="L765" s="87"/>
      <c r="M765" s="87"/>
      <c r="N765" s="87"/>
      <c r="O765" s="87"/>
      <c r="P765" s="89" t="str">
        <f t="shared" si="134"/>
        <v/>
      </c>
      <c r="Q765" s="89" t="str">
        <f t="shared" si="135"/>
        <v/>
      </c>
      <c r="R765" s="89" t="str">
        <f t="shared" si="136"/>
        <v/>
      </c>
      <c r="S765" s="88" t="str">
        <f>IF(F765="Bao",[1]Setup!$B$4,IF(F765="Soup Dumplings",[1]Setup!$B$5,""))</f>
        <v/>
      </c>
      <c r="T765" s="88" t="str">
        <f t="shared" si="137"/>
        <v/>
      </c>
      <c r="U765" s="84" t="str">
        <f t="shared" si="138"/>
        <v/>
      </c>
      <c r="V765" s="88">
        <f>IF(U765="",0,MAX(0,T765)+N765+ROUND(J765*[1]Setup!$B$9,0)+IF(O765&gt;[1]Setup!$B$10,ROUND(J765*[1]Setup!$B$11,0),0))</f>
        <v>0</v>
      </c>
      <c r="W765" s="85" t="str">
        <f>IF(L765="","Open",IF(OR(P765&lt;[1]Setup!$B$6,Q765&gt;[1]Setup!$B$7,R765&gt;[1]Setup!$B$8,O765&gt;[1]Setup!$B$10),"Review","OK"))</f>
        <v>Open</v>
      </c>
      <c r="X765" s="86"/>
      <c r="Z765" s="81" t="str">
        <f t="shared" si="132"/>
        <v/>
      </c>
    </row>
    <row r="766" spans="1:26" x14ac:dyDescent="0.3">
      <c r="A766" s="84"/>
      <c r="B766" s="100">
        <f t="shared" si="130"/>
        <v>0</v>
      </c>
      <c r="C766" s="84" t="str">
        <f t="shared" si="131"/>
        <v>January</v>
      </c>
      <c r="D766" s="85" t="str">
        <f t="shared" si="129"/>
        <v/>
      </c>
      <c r="E766" s="86"/>
      <c r="F766" s="86"/>
      <c r="G766" s="86"/>
      <c r="H766" s="86"/>
      <c r="I766" s="87" t="str">
        <f>IF(F766=0,"",IF(COUNTIF(F766,"Bao"),[1]Setup!$B$4,IF(COUNTIF(F766,"Soup Dumplings"),[1]Setup!$B$5,F766)))</f>
        <v/>
      </c>
      <c r="J766" s="88" t="str">
        <f t="shared" si="133"/>
        <v/>
      </c>
      <c r="K766" s="88"/>
      <c r="L766" s="87"/>
      <c r="M766" s="87"/>
      <c r="N766" s="87"/>
      <c r="O766" s="87"/>
      <c r="P766" s="89" t="str">
        <f t="shared" si="134"/>
        <v/>
      </c>
      <c r="Q766" s="89" t="str">
        <f t="shared" si="135"/>
        <v/>
      </c>
      <c r="R766" s="89" t="str">
        <f t="shared" si="136"/>
        <v/>
      </c>
      <c r="S766" s="88" t="str">
        <f>IF(F766="Bao",[1]Setup!$B$4,IF(F766="Soup Dumplings",[1]Setup!$B$5,""))</f>
        <v/>
      </c>
      <c r="T766" s="88" t="str">
        <f t="shared" si="137"/>
        <v/>
      </c>
      <c r="U766" s="84" t="str">
        <f t="shared" si="138"/>
        <v/>
      </c>
      <c r="V766" s="88">
        <f>IF(U766="",0,MAX(0,T766)+N766+ROUND(J766*[1]Setup!$B$9,0)+IF(O766&gt;[1]Setup!$B$10,ROUND(J766*[1]Setup!$B$11,0),0))</f>
        <v>0</v>
      </c>
      <c r="W766" s="85" t="str">
        <f>IF(L766="","Open",IF(OR(P766&lt;[1]Setup!$B$6,Q766&gt;[1]Setup!$B$7,R766&gt;[1]Setup!$B$8,O766&gt;[1]Setup!$B$10),"Review","OK"))</f>
        <v>Open</v>
      </c>
      <c r="X766" s="86"/>
      <c r="Z766" s="81" t="str">
        <f t="shared" si="132"/>
        <v/>
      </c>
    </row>
    <row r="767" spans="1:26" x14ac:dyDescent="0.3">
      <c r="A767" s="84"/>
      <c r="B767" s="100">
        <f t="shared" si="130"/>
        <v>0</v>
      </c>
      <c r="C767" s="84" t="str">
        <f t="shared" si="131"/>
        <v>January</v>
      </c>
      <c r="D767" s="85" t="str">
        <f t="shared" si="129"/>
        <v/>
      </c>
      <c r="E767" s="86"/>
      <c r="F767" s="86"/>
      <c r="G767" s="86"/>
      <c r="H767" s="86"/>
      <c r="I767" s="87" t="str">
        <f>IF(F767=0,"",IF(COUNTIF(F767,"Bao"),[1]Setup!$B$4,IF(COUNTIF(F767,"Soup Dumplings"),[1]Setup!$B$5,F767)))</f>
        <v/>
      </c>
      <c r="J767" s="88" t="str">
        <f t="shared" si="133"/>
        <v/>
      </c>
      <c r="K767" s="88"/>
      <c r="L767" s="87"/>
      <c r="M767" s="87"/>
      <c r="N767" s="87"/>
      <c r="O767" s="87"/>
      <c r="P767" s="89" t="str">
        <f t="shared" si="134"/>
        <v/>
      </c>
      <c r="Q767" s="89" t="str">
        <f t="shared" si="135"/>
        <v/>
      </c>
      <c r="R767" s="89" t="str">
        <f t="shared" si="136"/>
        <v/>
      </c>
      <c r="S767" s="88" t="str">
        <f>IF(F767="Bao",[1]Setup!$B$4,IF(F767="Soup Dumplings",[1]Setup!$B$5,""))</f>
        <v/>
      </c>
      <c r="T767" s="88" t="str">
        <f t="shared" si="137"/>
        <v/>
      </c>
      <c r="U767" s="84" t="str">
        <f t="shared" si="138"/>
        <v/>
      </c>
      <c r="V767" s="88">
        <f>IF(U767="",0,MAX(0,T767)+N767+ROUND(J767*[1]Setup!$B$9,0)+IF(O767&gt;[1]Setup!$B$10,ROUND(J767*[1]Setup!$B$11,0),0))</f>
        <v>0</v>
      </c>
      <c r="W767" s="85" t="str">
        <f>IF(L767="","Open",IF(OR(P767&lt;[1]Setup!$B$6,Q767&gt;[1]Setup!$B$7,R767&gt;[1]Setup!$B$8,O767&gt;[1]Setup!$B$10),"Review","OK"))</f>
        <v>Open</v>
      </c>
      <c r="X767" s="86"/>
      <c r="Z767" s="81" t="str">
        <f t="shared" si="132"/>
        <v/>
      </c>
    </row>
    <row r="768" spans="1:26" x14ac:dyDescent="0.3">
      <c r="A768" s="84"/>
      <c r="B768" s="100">
        <f t="shared" si="130"/>
        <v>0</v>
      </c>
      <c r="C768" s="84" t="str">
        <f t="shared" si="131"/>
        <v>January</v>
      </c>
      <c r="D768" s="85" t="str">
        <f t="shared" si="129"/>
        <v/>
      </c>
      <c r="E768" s="86"/>
      <c r="F768" s="86"/>
      <c r="G768" s="86"/>
      <c r="H768" s="86"/>
      <c r="I768" s="87" t="str">
        <f>IF(F768=0,"",IF(COUNTIF(F768,"Bao"),[1]Setup!$B$4,IF(COUNTIF(F768,"Soup Dumplings"),[1]Setup!$B$5,F768)))</f>
        <v/>
      </c>
      <c r="J768" s="88" t="str">
        <f t="shared" si="133"/>
        <v/>
      </c>
      <c r="K768" s="88"/>
      <c r="L768" s="87"/>
      <c r="M768" s="87"/>
      <c r="N768" s="87"/>
      <c r="O768" s="87"/>
      <c r="P768" s="89" t="str">
        <f t="shared" si="134"/>
        <v/>
      </c>
      <c r="Q768" s="89" t="str">
        <f t="shared" si="135"/>
        <v/>
      </c>
      <c r="R768" s="89" t="str">
        <f t="shared" si="136"/>
        <v/>
      </c>
      <c r="S768" s="88" t="str">
        <f>IF(F768="Bao",[1]Setup!$B$4,IF(F768="Soup Dumplings",[1]Setup!$B$5,""))</f>
        <v/>
      </c>
      <c r="T768" s="88" t="str">
        <f t="shared" si="137"/>
        <v/>
      </c>
      <c r="U768" s="84" t="str">
        <f t="shared" si="138"/>
        <v/>
      </c>
      <c r="V768" s="88">
        <f>IF(U768="",0,MAX(0,T768)+N768+ROUND(J768*[1]Setup!$B$9,0)+IF(O768&gt;[1]Setup!$B$10,ROUND(J768*[1]Setup!$B$11,0),0))</f>
        <v>0</v>
      </c>
      <c r="W768" s="85" t="str">
        <f>IF(L768="","Open",IF(OR(P768&lt;[1]Setup!$B$6,Q768&gt;[1]Setup!$B$7,R768&gt;[1]Setup!$B$8,O768&gt;[1]Setup!$B$10),"Review","OK"))</f>
        <v>Open</v>
      </c>
      <c r="X768" s="86"/>
      <c r="Z768" s="81" t="str">
        <f t="shared" si="132"/>
        <v/>
      </c>
    </row>
    <row r="769" spans="1:26" x14ac:dyDescent="0.3">
      <c r="A769" s="84"/>
      <c r="B769" s="100">
        <f t="shared" si="130"/>
        <v>0</v>
      </c>
      <c r="C769" s="84" t="str">
        <f t="shared" si="131"/>
        <v>January</v>
      </c>
      <c r="D769" s="85" t="str">
        <f t="shared" si="129"/>
        <v/>
      </c>
      <c r="E769" s="86"/>
      <c r="F769" s="86"/>
      <c r="G769" s="86"/>
      <c r="H769" s="86"/>
      <c r="I769" s="87" t="str">
        <f>IF(F769=0,"",IF(COUNTIF(F769,"Bao"),[1]Setup!$B$4,IF(COUNTIF(F769,"Soup Dumplings"),[1]Setup!$B$5,F769)))</f>
        <v/>
      </c>
      <c r="J769" s="88" t="str">
        <f t="shared" si="133"/>
        <v/>
      </c>
      <c r="K769" s="88"/>
      <c r="L769" s="87"/>
      <c r="M769" s="87"/>
      <c r="N769" s="87"/>
      <c r="O769" s="87"/>
      <c r="P769" s="89" t="str">
        <f t="shared" si="134"/>
        <v/>
      </c>
      <c r="Q769" s="89" t="str">
        <f t="shared" si="135"/>
        <v/>
      </c>
      <c r="R769" s="89" t="str">
        <f t="shared" si="136"/>
        <v/>
      </c>
      <c r="S769" s="88" t="str">
        <f>IF(F769="Bao",[1]Setup!$B$4,IF(F769="Soup Dumplings",[1]Setup!$B$5,""))</f>
        <v/>
      </c>
      <c r="T769" s="88" t="str">
        <f t="shared" si="137"/>
        <v/>
      </c>
      <c r="U769" s="84" t="str">
        <f t="shared" si="138"/>
        <v/>
      </c>
      <c r="V769" s="88">
        <f>IF(U769="",0,MAX(0,T769)+N769+ROUND(J769*[1]Setup!$B$9,0)+IF(O769&gt;[1]Setup!$B$10,ROUND(J769*[1]Setup!$B$11,0),0))</f>
        <v>0</v>
      </c>
      <c r="W769" s="85" t="str">
        <f>IF(L769="","Open",IF(OR(P769&lt;[1]Setup!$B$6,Q769&gt;[1]Setup!$B$7,R769&gt;[1]Setup!$B$8,O769&gt;[1]Setup!$B$10),"Review","OK"))</f>
        <v>Open</v>
      </c>
      <c r="X769" s="86"/>
      <c r="Z769" s="81" t="str">
        <f t="shared" si="132"/>
        <v/>
      </c>
    </row>
    <row r="770" spans="1:26" x14ac:dyDescent="0.3">
      <c r="A770" s="84"/>
      <c r="B770" s="100">
        <f t="shared" si="130"/>
        <v>0</v>
      </c>
      <c r="C770" s="84" t="str">
        <f t="shared" si="131"/>
        <v>January</v>
      </c>
      <c r="D770" s="85" t="str">
        <f t="shared" si="129"/>
        <v/>
      </c>
      <c r="E770" s="86"/>
      <c r="F770" s="86"/>
      <c r="G770" s="86"/>
      <c r="H770" s="86"/>
      <c r="I770" s="87" t="str">
        <f>IF(F770=0,"",IF(COUNTIF(F770,"Bao"),[1]Setup!$B$4,IF(COUNTIF(F770,"Soup Dumplings"),[1]Setup!$B$5,F770)))</f>
        <v/>
      </c>
      <c r="J770" s="88" t="str">
        <f t="shared" si="133"/>
        <v/>
      </c>
      <c r="K770" s="88"/>
      <c r="L770" s="87"/>
      <c r="M770" s="87"/>
      <c r="N770" s="87"/>
      <c r="O770" s="87"/>
      <c r="P770" s="89" t="str">
        <f t="shared" si="134"/>
        <v/>
      </c>
      <c r="Q770" s="89" t="str">
        <f t="shared" si="135"/>
        <v/>
      </c>
      <c r="R770" s="89" t="str">
        <f t="shared" si="136"/>
        <v/>
      </c>
      <c r="S770" s="88" t="str">
        <f>IF(F770="Bao",[1]Setup!$B$4,IF(F770="Soup Dumplings",[1]Setup!$B$5,""))</f>
        <v/>
      </c>
      <c r="T770" s="88" t="str">
        <f t="shared" si="137"/>
        <v/>
      </c>
      <c r="U770" s="84" t="str">
        <f t="shared" si="138"/>
        <v/>
      </c>
      <c r="V770" s="88">
        <f>IF(U770="",0,MAX(0,T770)+N770+ROUND(J770*[1]Setup!$B$9,0)+IF(O770&gt;[1]Setup!$B$10,ROUND(J770*[1]Setup!$B$11,0),0))</f>
        <v>0</v>
      </c>
      <c r="W770" s="85" t="str">
        <f>IF(L770="","Open",IF(OR(P770&lt;[1]Setup!$B$6,Q770&gt;[1]Setup!$B$7,R770&gt;[1]Setup!$B$8,O770&gt;[1]Setup!$B$10),"Review","OK"))</f>
        <v>Open</v>
      </c>
      <c r="X770" s="86"/>
      <c r="Z770" s="81" t="str">
        <f t="shared" si="132"/>
        <v/>
      </c>
    </row>
    <row r="771" spans="1:26" x14ac:dyDescent="0.3">
      <c r="A771" s="84"/>
      <c r="B771" s="100">
        <f t="shared" si="130"/>
        <v>0</v>
      </c>
      <c r="C771" s="84" t="str">
        <f t="shared" si="131"/>
        <v>January</v>
      </c>
      <c r="D771" s="85" t="str">
        <f t="shared" si="129"/>
        <v/>
      </c>
      <c r="E771" s="86"/>
      <c r="F771" s="86"/>
      <c r="G771" s="86"/>
      <c r="H771" s="86"/>
      <c r="I771" s="87" t="str">
        <f>IF(F771=0,"",IF(COUNTIF(F771,"Bao"),[1]Setup!$B$4,IF(COUNTIF(F771,"Soup Dumplings"),[1]Setup!$B$5,F771)))</f>
        <v/>
      </c>
      <c r="J771" s="88" t="str">
        <f t="shared" si="133"/>
        <v/>
      </c>
      <c r="K771" s="88"/>
      <c r="L771" s="87"/>
      <c r="M771" s="87"/>
      <c r="N771" s="87"/>
      <c r="O771" s="87"/>
      <c r="P771" s="89" t="str">
        <f t="shared" si="134"/>
        <v/>
      </c>
      <c r="Q771" s="89" t="str">
        <f t="shared" si="135"/>
        <v/>
      </c>
      <c r="R771" s="89" t="str">
        <f t="shared" si="136"/>
        <v/>
      </c>
      <c r="S771" s="88" t="str">
        <f>IF(F771="Bao",[1]Setup!$B$4,IF(F771="Soup Dumplings",[1]Setup!$B$5,""))</f>
        <v/>
      </c>
      <c r="T771" s="88" t="str">
        <f t="shared" si="137"/>
        <v/>
      </c>
      <c r="U771" s="84" t="str">
        <f t="shared" si="138"/>
        <v/>
      </c>
      <c r="V771" s="88">
        <f>IF(U771="",0,MAX(0,T771)+N771+ROUND(J771*[1]Setup!$B$9,0)+IF(O771&gt;[1]Setup!$B$10,ROUND(J771*[1]Setup!$B$11,0),0))</f>
        <v>0</v>
      </c>
      <c r="W771" s="85" t="str">
        <f>IF(L771="","Open",IF(OR(P771&lt;[1]Setup!$B$6,Q771&gt;[1]Setup!$B$7,R771&gt;[1]Setup!$B$8,O771&gt;[1]Setup!$B$10),"Review","OK"))</f>
        <v>Open</v>
      </c>
      <c r="X771" s="86"/>
      <c r="Z771" s="81" t="str">
        <f t="shared" si="132"/>
        <v/>
      </c>
    </row>
    <row r="772" spans="1:26" x14ac:dyDescent="0.3">
      <c r="A772" s="84"/>
      <c r="B772" s="100">
        <f t="shared" si="130"/>
        <v>0</v>
      </c>
      <c r="C772" s="84" t="str">
        <f t="shared" si="131"/>
        <v>January</v>
      </c>
      <c r="D772" s="85" t="str">
        <f t="shared" ref="D772:D835" si="139">IF(A772="","",TEXT(A772,"ddd"))</f>
        <v/>
      </c>
      <c r="E772" s="86"/>
      <c r="F772" s="86"/>
      <c r="G772" s="86"/>
      <c r="H772" s="86"/>
      <c r="I772" s="87" t="str">
        <f>IF(F772=0,"",IF(COUNTIF(F772,"Bao"),[1]Setup!$B$4,IF(COUNTIF(F772,"Soup Dumplings"),[1]Setup!$B$5,F772)))</f>
        <v/>
      </c>
      <c r="J772" s="88" t="str">
        <f t="shared" si="133"/>
        <v/>
      </c>
      <c r="K772" s="88"/>
      <c r="L772" s="87"/>
      <c r="M772" s="87"/>
      <c r="N772" s="87"/>
      <c r="O772" s="87"/>
      <c r="P772" s="89" t="str">
        <f t="shared" si="134"/>
        <v/>
      </c>
      <c r="Q772" s="89" t="str">
        <f t="shared" si="135"/>
        <v/>
      </c>
      <c r="R772" s="89" t="str">
        <f t="shared" si="136"/>
        <v/>
      </c>
      <c r="S772" s="88" t="str">
        <f>IF(F772="Bao",[1]Setup!$B$4,IF(F772="Soup Dumplings",[1]Setup!$B$5,""))</f>
        <v/>
      </c>
      <c r="T772" s="88" t="str">
        <f t="shared" si="137"/>
        <v/>
      </c>
      <c r="U772" s="84" t="str">
        <f t="shared" si="138"/>
        <v/>
      </c>
      <c r="V772" s="88">
        <f>IF(U772="",0,MAX(0,T772)+N772+ROUND(J772*[1]Setup!$B$9,0)+IF(O772&gt;[1]Setup!$B$10,ROUND(J772*[1]Setup!$B$11,0),0))</f>
        <v>0</v>
      </c>
      <c r="W772" s="85" t="str">
        <f>IF(L772="","Open",IF(OR(P772&lt;[1]Setup!$B$6,Q772&gt;[1]Setup!$B$7,R772&gt;[1]Setup!$B$8,O772&gt;[1]Setup!$B$10),"Review","OK"))</f>
        <v>Open</v>
      </c>
      <c r="X772" s="86"/>
      <c r="Z772" s="81" t="str">
        <f t="shared" si="132"/>
        <v/>
      </c>
    </row>
    <row r="773" spans="1:26" x14ac:dyDescent="0.3">
      <c r="A773" s="84"/>
      <c r="B773" s="100">
        <f t="shared" ref="B773:B836" si="140">+WEEKNUM(A773)</f>
        <v>0</v>
      </c>
      <c r="C773" s="84" t="str">
        <f t="shared" ref="C773:C836" si="141">+TEXT(A773,"mmmm")</f>
        <v>January</v>
      </c>
      <c r="D773" s="85" t="str">
        <f t="shared" si="139"/>
        <v/>
      </c>
      <c r="E773" s="86"/>
      <c r="F773" s="86"/>
      <c r="G773" s="86"/>
      <c r="H773" s="86"/>
      <c r="I773" s="87" t="str">
        <f>IF(F773=0,"",IF(COUNTIF(F773,"Bao"),[1]Setup!$B$4,IF(COUNTIF(F773,"Soup Dumplings"),[1]Setup!$B$5,F773)))</f>
        <v/>
      </c>
      <c r="J773" s="88" t="str">
        <f t="shared" si="133"/>
        <v/>
      </c>
      <c r="K773" s="88"/>
      <c r="L773" s="87"/>
      <c r="M773" s="87"/>
      <c r="N773" s="87"/>
      <c r="O773" s="87"/>
      <c r="P773" s="89" t="str">
        <f t="shared" si="134"/>
        <v/>
      </c>
      <c r="Q773" s="89" t="str">
        <f t="shared" si="135"/>
        <v/>
      </c>
      <c r="R773" s="89" t="str">
        <f t="shared" si="136"/>
        <v/>
      </c>
      <c r="S773" s="88" t="str">
        <f>IF(F773="Bao",[1]Setup!$B$4,IF(F773="Soup Dumplings",[1]Setup!$B$5,""))</f>
        <v/>
      </c>
      <c r="T773" s="88" t="str">
        <f t="shared" si="137"/>
        <v/>
      </c>
      <c r="U773" s="84" t="str">
        <f t="shared" si="138"/>
        <v/>
      </c>
      <c r="V773" s="88">
        <f>IF(U773="",0,MAX(0,T773)+N773+ROUND(J773*[1]Setup!$B$9,0)+IF(O773&gt;[1]Setup!$B$10,ROUND(J773*[1]Setup!$B$11,0),0))</f>
        <v>0</v>
      </c>
      <c r="W773" s="85" t="str">
        <f>IF(L773="","Open",IF(OR(P773&lt;[1]Setup!$B$6,Q773&gt;[1]Setup!$B$7,R773&gt;[1]Setup!$B$8,O773&gt;[1]Setup!$B$10),"Review","OK"))</f>
        <v>Open</v>
      </c>
      <c r="X773" s="86"/>
      <c r="Z773" s="81" t="str">
        <f t="shared" ref="Z773:Z808" si="142">+LEFT(F773,3)</f>
        <v/>
      </c>
    </row>
    <row r="774" spans="1:26" x14ac:dyDescent="0.3">
      <c r="A774" s="84"/>
      <c r="B774" s="100">
        <f t="shared" si="140"/>
        <v>0</v>
      </c>
      <c r="C774" s="84" t="str">
        <f t="shared" si="141"/>
        <v>January</v>
      </c>
      <c r="D774" s="85" t="str">
        <f t="shared" si="139"/>
        <v/>
      </c>
      <c r="E774" s="86"/>
      <c r="F774" s="86"/>
      <c r="G774" s="86"/>
      <c r="H774" s="86"/>
      <c r="I774" s="87" t="str">
        <f>IF(F774=0,"",IF(COUNTIF(F774,"Bao"),[1]Setup!$B$4,IF(COUNTIF(F774,"Soup Dumplings"),[1]Setup!$B$5,F774)))</f>
        <v/>
      </c>
      <c r="J774" s="88" t="str">
        <f t="shared" si="133"/>
        <v/>
      </c>
      <c r="K774" s="88"/>
      <c r="L774" s="87"/>
      <c r="M774" s="87"/>
      <c r="N774" s="87"/>
      <c r="O774" s="87"/>
      <c r="P774" s="89" t="str">
        <f t="shared" si="134"/>
        <v/>
      </c>
      <c r="Q774" s="89" t="str">
        <f t="shared" si="135"/>
        <v/>
      </c>
      <c r="R774" s="89" t="str">
        <f t="shared" si="136"/>
        <v/>
      </c>
      <c r="S774" s="88" t="str">
        <f>IF(F774="Bao",[1]Setup!$B$4,IF(F774="Soup Dumplings",[1]Setup!$B$5,""))</f>
        <v/>
      </c>
      <c r="T774" s="88" t="str">
        <f t="shared" si="137"/>
        <v/>
      </c>
      <c r="U774" s="84" t="str">
        <f t="shared" si="138"/>
        <v/>
      </c>
      <c r="V774" s="88">
        <f>IF(U774="",0,MAX(0,T774)+N774+ROUND(J774*[1]Setup!$B$9,0)+IF(O774&gt;[1]Setup!$B$10,ROUND(J774*[1]Setup!$B$11,0),0))</f>
        <v>0</v>
      </c>
      <c r="W774" s="85" t="str">
        <f>IF(L774="","Open",IF(OR(P774&lt;[1]Setup!$B$6,Q774&gt;[1]Setup!$B$7,R774&gt;[1]Setup!$B$8,O774&gt;[1]Setup!$B$10),"Review","OK"))</f>
        <v>Open</v>
      </c>
      <c r="X774" s="86"/>
      <c r="Z774" s="81" t="str">
        <f t="shared" si="142"/>
        <v/>
      </c>
    </row>
    <row r="775" spans="1:26" x14ac:dyDescent="0.3">
      <c r="A775" s="84"/>
      <c r="B775" s="100">
        <f t="shared" si="140"/>
        <v>0</v>
      </c>
      <c r="C775" s="84" t="str">
        <f t="shared" si="141"/>
        <v>January</v>
      </c>
      <c r="D775" s="85" t="str">
        <f t="shared" si="139"/>
        <v/>
      </c>
      <c r="E775" s="86"/>
      <c r="F775" s="86"/>
      <c r="G775" s="86"/>
      <c r="H775" s="86"/>
      <c r="I775" s="87" t="str">
        <f>IF(F775=0,"",IF(COUNTIF(F775,"Bao"),[1]Setup!$B$4,IF(COUNTIF(F775,"Soup Dumplings"),[1]Setup!$B$5,F775)))</f>
        <v/>
      </c>
      <c r="J775" s="88" t="str">
        <f t="shared" si="133"/>
        <v/>
      </c>
      <c r="K775" s="88"/>
      <c r="L775" s="87"/>
      <c r="M775" s="87"/>
      <c r="N775" s="87"/>
      <c r="O775" s="87"/>
      <c r="P775" s="89" t="str">
        <f t="shared" si="134"/>
        <v/>
      </c>
      <c r="Q775" s="89" t="str">
        <f t="shared" si="135"/>
        <v/>
      </c>
      <c r="R775" s="89" t="str">
        <f t="shared" si="136"/>
        <v/>
      </c>
      <c r="S775" s="88" t="str">
        <f>IF(F775="Bao",[1]Setup!$B$4,IF(F775="Soup Dumplings",[1]Setup!$B$5,""))</f>
        <v/>
      </c>
      <c r="T775" s="88" t="str">
        <f t="shared" si="137"/>
        <v/>
      </c>
      <c r="U775" s="84" t="str">
        <f t="shared" si="138"/>
        <v/>
      </c>
      <c r="V775" s="88">
        <f>IF(U775="",0,MAX(0,T775)+N775+ROUND(J775*[1]Setup!$B$9,0)+IF(O775&gt;[1]Setup!$B$10,ROUND(J775*[1]Setup!$B$11,0),0))</f>
        <v>0</v>
      </c>
      <c r="W775" s="85" t="str">
        <f>IF(L775="","Open",IF(OR(P775&lt;[1]Setup!$B$6,Q775&gt;[1]Setup!$B$7,R775&gt;[1]Setup!$B$8,O775&gt;[1]Setup!$B$10),"Review","OK"))</f>
        <v>Open</v>
      </c>
      <c r="X775" s="86"/>
      <c r="Z775" s="81" t="str">
        <f t="shared" si="142"/>
        <v/>
      </c>
    </row>
    <row r="776" spans="1:26" x14ac:dyDescent="0.3">
      <c r="A776" s="84"/>
      <c r="B776" s="100">
        <f t="shared" si="140"/>
        <v>0</v>
      </c>
      <c r="C776" s="84" t="str">
        <f t="shared" si="141"/>
        <v>January</v>
      </c>
      <c r="D776" s="85" t="str">
        <f t="shared" si="139"/>
        <v/>
      </c>
      <c r="E776" s="86"/>
      <c r="F776" s="86"/>
      <c r="G776" s="86"/>
      <c r="H776" s="86"/>
      <c r="I776" s="87" t="str">
        <f>IF(F776=0,"",IF(COUNTIF(F776,"Bao"),[1]Setup!$B$4,IF(COUNTIF(F776,"Soup Dumplings"),[1]Setup!$B$5,F776)))</f>
        <v/>
      </c>
      <c r="J776" s="88" t="str">
        <f t="shared" si="133"/>
        <v/>
      </c>
      <c r="K776" s="88"/>
      <c r="L776" s="87"/>
      <c r="M776" s="87"/>
      <c r="N776" s="87"/>
      <c r="O776" s="87"/>
      <c r="P776" s="89" t="str">
        <f t="shared" si="134"/>
        <v/>
      </c>
      <c r="Q776" s="89" t="str">
        <f t="shared" si="135"/>
        <v/>
      </c>
      <c r="R776" s="89" t="str">
        <f t="shared" si="136"/>
        <v/>
      </c>
      <c r="S776" s="88" t="str">
        <f>IF(F776="Bao",[1]Setup!$B$4,IF(F776="Soup Dumplings",[1]Setup!$B$5,""))</f>
        <v/>
      </c>
      <c r="T776" s="88" t="str">
        <f t="shared" si="137"/>
        <v/>
      </c>
      <c r="U776" s="84" t="str">
        <f t="shared" si="138"/>
        <v/>
      </c>
      <c r="V776" s="88">
        <f>IF(U776="",0,MAX(0,T776)+N776+ROUND(J776*[1]Setup!$B$9,0)+IF(O776&gt;[1]Setup!$B$10,ROUND(J776*[1]Setup!$B$11,0),0))</f>
        <v>0</v>
      </c>
      <c r="W776" s="85" t="str">
        <f>IF(L776="","Open",IF(OR(P776&lt;[1]Setup!$B$6,Q776&gt;[1]Setup!$B$7,R776&gt;[1]Setup!$B$8,O776&gt;[1]Setup!$B$10),"Review","OK"))</f>
        <v>Open</v>
      </c>
      <c r="X776" s="86"/>
      <c r="Z776" s="81" t="str">
        <f t="shared" si="142"/>
        <v/>
      </c>
    </row>
    <row r="777" spans="1:26" x14ac:dyDescent="0.3">
      <c r="A777" s="84"/>
      <c r="B777" s="100">
        <f t="shared" si="140"/>
        <v>0</v>
      </c>
      <c r="C777" s="84" t="str">
        <f t="shared" si="141"/>
        <v>January</v>
      </c>
      <c r="D777" s="85" t="str">
        <f t="shared" si="139"/>
        <v/>
      </c>
      <c r="E777" s="86"/>
      <c r="F777" s="86"/>
      <c r="G777" s="86"/>
      <c r="H777" s="86"/>
      <c r="I777" s="87" t="str">
        <f>IF(F777=0,"",IF(COUNTIF(F777,"Bao"),[1]Setup!$B$4,IF(COUNTIF(F777,"Soup Dumplings"),[1]Setup!$B$5,F777)))</f>
        <v/>
      </c>
      <c r="J777" s="88" t="str">
        <f t="shared" si="133"/>
        <v/>
      </c>
      <c r="K777" s="88"/>
      <c r="L777" s="87"/>
      <c r="M777" s="87"/>
      <c r="N777" s="87"/>
      <c r="O777" s="87"/>
      <c r="P777" s="89" t="str">
        <f t="shared" si="134"/>
        <v/>
      </c>
      <c r="Q777" s="89" t="str">
        <f t="shared" si="135"/>
        <v/>
      </c>
      <c r="R777" s="89" t="str">
        <f t="shared" si="136"/>
        <v/>
      </c>
      <c r="S777" s="88" t="str">
        <f>IF(F777="Bao",[1]Setup!$B$4,IF(F777="Soup Dumplings",[1]Setup!$B$5,""))</f>
        <v/>
      </c>
      <c r="T777" s="88" t="str">
        <f t="shared" si="137"/>
        <v/>
      </c>
      <c r="U777" s="84" t="str">
        <f t="shared" si="138"/>
        <v/>
      </c>
      <c r="V777" s="88">
        <f>IF(U777="",0,MAX(0,T777)+N777+ROUND(J777*[1]Setup!$B$9,0)+IF(O777&gt;[1]Setup!$B$10,ROUND(J777*[1]Setup!$B$11,0),0))</f>
        <v>0</v>
      </c>
      <c r="W777" s="85" t="str">
        <f>IF(L777="","Open",IF(OR(P777&lt;[1]Setup!$B$6,Q777&gt;[1]Setup!$B$7,R777&gt;[1]Setup!$B$8,O777&gt;[1]Setup!$B$10),"Review","OK"))</f>
        <v>Open</v>
      </c>
      <c r="X777" s="86"/>
      <c r="Z777" s="81" t="str">
        <f t="shared" si="142"/>
        <v/>
      </c>
    </row>
    <row r="778" spans="1:26" x14ac:dyDescent="0.3">
      <c r="A778" s="84"/>
      <c r="B778" s="100">
        <f t="shared" si="140"/>
        <v>0</v>
      </c>
      <c r="C778" s="84" t="str">
        <f t="shared" si="141"/>
        <v>January</v>
      </c>
      <c r="D778" s="85" t="str">
        <f t="shared" si="139"/>
        <v/>
      </c>
      <c r="E778" s="86"/>
      <c r="F778" s="86"/>
      <c r="G778" s="86"/>
      <c r="H778" s="86"/>
      <c r="I778" s="87" t="str">
        <f>IF(F778=0,"",IF(COUNTIF(F778,"Bao"),[1]Setup!$B$4,IF(COUNTIF(F778,"Soup Dumplings"),[1]Setup!$B$5,F778)))</f>
        <v/>
      </c>
      <c r="J778" s="88" t="str">
        <f t="shared" si="133"/>
        <v/>
      </c>
      <c r="K778" s="88"/>
      <c r="L778" s="87"/>
      <c r="M778" s="87"/>
      <c r="N778" s="87"/>
      <c r="O778" s="87"/>
      <c r="P778" s="89" t="str">
        <f t="shared" si="134"/>
        <v/>
      </c>
      <c r="Q778" s="89" t="str">
        <f t="shared" si="135"/>
        <v/>
      </c>
      <c r="R778" s="89" t="str">
        <f t="shared" si="136"/>
        <v/>
      </c>
      <c r="S778" s="88" t="str">
        <f>IF(F778="Bao",[1]Setup!$B$4,IF(F778="Soup Dumplings",[1]Setup!$B$5,""))</f>
        <v/>
      </c>
      <c r="T778" s="88" t="str">
        <f t="shared" si="137"/>
        <v/>
      </c>
      <c r="U778" s="84" t="str">
        <f t="shared" si="138"/>
        <v/>
      </c>
      <c r="V778" s="88">
        <f>IF(U778="",0,MAX(0,T778)+N778+ROUND(J778*[1]Setup!$B$9,0)+IF(O778&gt;[1]Setup!$B$10,ROUND(J778*[1]Setup!$B$11,0),0))</f>
        <v>0</v>
      </c>
      <c r="W778" s="85" t="str">
        <f>IF(L778="","Open",IF(OR(P778&lt;[1]Setup!$B$6,Q778&gt;[1]Setup!$B$7,R778&gt;[1]Setup!$B$8,O778&gt;[1]Setup!$B$10),"Review","OK"))</f>
        <v>Open</v>
      </c>
      <c r="X778" s="86"/>
      <c r="Z778" s="81" t="str">
        <f t="shared" si="142"/>
        <v/>
      </c>
    </row>
    <row r="779" spans="1:26" x14ac:dyDescent="0.3">
      <c r="A779" s="84"/>
      <c r="B779" s="100">
        <f t="shared" si="140"/>
        <v>0</v>
      </c>
      <c r="C779" s="84" t="str">
        <f t="shared" si="141"/>
        <v>January</v>
      </c>
      <c r="D779" s="85" t="str">
        <f t="shared" si="139"/>
        <v/>
      </c>
      <c r="E779" s="86"/>
      <c r="F779" s="86"/>
      <c r="G779" s="86"/>
      <c r="H779" s="86"/>
      <c r="I779" s="87" t="str">
        <f>IF(F779=0,"",IF(COUNTIF(F779,"Bao"),[1]Setup!$B$4,IF(COUNTIF(F779,"Soup Dumplings"),[1]Setup!$B$5,F779)))</f>
        <v/>
      </c>
      <c r="J779" s="88" t="str">
        <f t="shared" si="133"/>
        <v/>
      </c>
      <c r="K779" s="88"/>
      <c r="L779" s="87"/>
      <c r="M779" s="87"/>
      <c r="N779" s="87"/>
      <c r="O779" s="87"/>
      <c r="P779" s="89" t="str">
        <f t="shared" si="134"/>
        <v/>
      </c>
      <c r="Q779" s="89" t="str">
        <f t="shared" si="135"/>
        <v/>
      </c>
      <c r="R779" s="89" t="str">
        <f t="shared" si="136"/>
        <v/>
      </c>
      <c r="S779" s="88" t="str">
        <f>IF(F779="Bao",[1]Setup!$B$4,IF(F779="Soup Dumplings",[1]Setup!$B$5,""))</f>
        <v/>
      </c>
      <c r="T779" s="88" t="str">
        <f t="shared" si="137"/>
        <v/>
      </c>
      <c r="U779" s="84" t="str">
        <f t="shared" si="138"/>
        <v/>
      </c>
      <c r="V779" s="88">
        <f>IF(U779="",0,MAX(0,T779)+N779+ROUND(J779*[1]Setup!$B$9,0)+IF(O779&gt;[1]Setup!$B$10,ROUND(J779*[1]Setup!$B$11,0),0))</f>
        <v>0</v>
      </c>
      <c r="W779" s="85" t="str">
        <f>IF(L779="","Open",IF(OR(P779&lt;[1]Setup!$B$6,Q779&gt;[1]Setup!$B$7,R779&gt;[1]Setup!$B$8,O779&gt;[1]Setup!$B$10),"Review","OK"))</f>
        <v>Open</v>
      </c>
      <c r="X779" s="86"/>
      <c r="Z779" s="81" t="str">
        <f t="shared" si="142"/>
        <v/>
      </c>
    </row>
    <row r="780" spans="1:26" x14ac:dyDescent="0.3">
      <c r="A780" s="84"/>
      <c r="B780" s="100">
        <f t="shared" si="140"/>
        <v>0</v>
      </c>
      <c r="C780" s="84" t="str">
        <f t="shared" si="141"/>
        <v>January</v>
      </c>
      <c r="D780" s="85" t="str">
        <f t="shared" si="139"/>
        <v/>
      </c>
      <c r="E780" s="86"/>
      <c r="F780" s="86"/>
      <c r="G780" s="86"/>
      <c r="H780" s="86"/>
      <c r="I780" s="87" t="str">
        <f>IF(F780=0,"",IF(COUNTIF(F780,"Bao"),[1]Setup!$B$4,IF(COUNTIF(F780,"Soup Dumplings"),[1]Setup!$B$5,F780)))</f>
        <v/>
      </c>
      <c r="J780" s="88" t="str">
        <f t="shared" si="133"/>
        <v/>
      </c>
      <c r="K780" s="88"/>
      <c r="L780" s="87"/>
      <c r="M780" s="87"/>
      <c r="N780" s="87"/>
      <c r="O780" s="87"/>
      <c r="P780" s="89" t="str">
        <f t="shared" si="134"/>
        <v/>
      </c>
      <c r="Q780" s="89" t="str">
        <f t="shared" si="135"/>
        <v/>
      </c>
      <c r="R780" s="89" t="str">
        <f t="shared" si="136"/>
        <v/>
      </c>
      <c r="S780" s="88" t="str">
        <f>IF(F780="Bao",[1]Setup!$B$4,IF(F780="Soup Dumplings",[1]Setup!$B$5,""))</f>
        <v/>
      </c>
      <c r="T780" s="88" t="str">
        <f t="shared" si="137"/>
        <v/>
      </c>
      <c r="U780" s="84" t="str">
        <f t="shared" si="138"/>
        <v/>
      </c>
      <c r="V780" s="88">
        <f>IF(U780="",0,MAX(0,T780)+N780+ROUND(J780*[1]Setup!$B$9,0)+IF(O780&gt;[1]Setup!$B$10,ROUND(J780*[1]Setup!$B$11,0),0))</f>
        <v>0</v>
      </c>
      <c r="W780" s="85" t="str">
        <f>IF(L780="","Open",IF(OR(P780&lt;[1]Setup!$B$6,Q780&gt;[1]Setup!$B$7,R780&gt;[1]Setup!$B$8,O780&gt;[1]Setup!$B$10),"Review","OK"))</f>
        <v>Open</v>
      </c>
      <c r="X780" s="86"/>
      <c r="Z780" s="81" t="str">
        <f t="shared" si="142"/>
        <v/>
      </c>
    </row>
    <row r="781" spans="1:26" x14ac:dyDescent="0.3">
      <c r="A781" s="84"/>
      <c r="B781" s="100">
        <f t="shared" si="140"/>
        <v>0</v>
      </c>
      <c r="C781" s="84" t="str">
        <f t="shared" si="141"/>
        <v>January</v>
      </c>
      <c r="D781" s="85" t="str">
        <f t="shared" si="139"/>
        <v/>
      </c>
      <c r="E781" s="86"/>
      <c r="F781" s="86"/>
      <c r="G781" s="86"/>
      <c r="H781" s="86"/>
      <c r="I781" s="87" t="str">
        <f>IF(F781=0,"",IF(COUNTIF(F781,"Bao"),[1]Setup!$B$4,IF(COUNTIF(F781,"Soup Dumplings"),[1]Setup!$B$5,F781)))</f>
        <v/>
      </c>
      <c r="J781" s="88" t="str">
        <f t="shared" si="133"/>
        <v/>
      </c>
      <c r="K781" s="88"/>
      <c r="L781" s="87"/>
      <c r="M781" s="87"/>
      <c r="N781" s="87"/>
      <c r="O781" s="87"/>
      <c r="P781" s="89" t="str">
        <f t="shared" si="134"/>
        <v/>
      </c>
      <c r="Q781" s="89" t="str">
        <f t="shared" si="135"/>
        <v/>
      </c>
      <c r="R781" s="89" t="str">
        <f t="shared" si="136"/>
        <v/>
      </c>
      <c r="S781" s="88" t="str">
        <f>IF(F781="Bao",[1]Setup!$B$4,IF(F781="Soup Dumplings",[1]Setup!$B$5,""))</f>
        <v/>
      </c>
      <c r="T781" s="88" t="str">
        <f t="shared" si="137"/>
        <v/>
      </c>
      <c r="U781" s="84" t="str">
        <f t="shared" si="138"/>
        <v/>
      </c>
      <c r="V781" s="88">
        <f>IF(U781="",0,MAX(0,T781)+N781+ROUND(J781*[1]Setup!$B$9,0)+IF(O781&gt;[1]Setup!$B$10,ROUND(J781*[1]Setup!$B$11,0),0))</f>
        <v>0</v>
      </c>
      <c r="W781" s="85" t="str">
        <f>IF(L781="","Open",IF(OR(P781&lt;[1]Setup!$B$6,Q781&gt;[1]Setup!$B$7,R781&gt;[1]Setup!$B$8,O781&gt;[1]Setup!$B$10),"Review","OK"))</f>
        <v>Open</v>
      </c>
      <c r="X781" s="86"/>
      <c r="Z781" s="81" t="str">
        <f t="shared" si="142"/>
        <v/>
      </c>
    </row>
    <row r="782" spans="1:26" x14ac:dyDescent="0.3">
      <c r="A782" s="84"/>
      <c r="B782" s="100">
        <f t="shared" si="140"/>
        <v>0</v>
      </c>
      <c r="C782" s="84" t="str">
        <f t="shared" si="141"/>
        <v>January</v>
      </c>
      <c r="D782" s="85" t="str">
        <f t="shared" si="139"/>
        <v/>
      </c>
      <c r="E782" s="86"/>
      <c r="F782" s="86"/>
      <c r="G782" s="86"/>
      <c r="H782" s="86"/>
      <c r="I782" s="87" t="str">
        <f>IF(F782=0,"",IF(COUNTIF(F782,"Bao"),[1]Setup!$B$4,IF(COUNTIF(F782,"Soup Dumplings"),[1]Setup!$B$5,F782)))</f>
        <v/>
      </c>
      <c r="J782" s="88" t="str">
        <f t="shared" si="133"/>
        <v/>
      </c>
      <c r="K782" s="88"/>
      <c r="L782" s="87"/>
      <c r="M782" s="87"/>
      <c r="N782" s="87"/>
      <c r="O782" s="87"/>
      <c r="P782" s="89" t="str">
        <f t="shared" si="134"/>
        <v/>
      </c>
      <c r="Q782" s="89" t="str">
        <f t="shared" si="135"/>
        <v/>
      </c>
      <c r="R782" s="89" t="str">
        <f t="shared" si="136"/>
        <v/>
      </c>
      <c r="S782" s="88" t="str">
        <f>IF(F782="Bao",[1]Setup!$B$4,IF(F782="Soup Dumplings",[1]Setup!$B$5,""))</f>
        <v/>
      </c>
      <c r="T782" s="88" t="str">
        <f t="shared" si="137"/>
        <v/>
      </c>
      <c r="U782" s="84" t="str">
        <f t="shared" si="138"/>
        <v/>
      </c>
      <c r="V782" s="88">
        <f>IF(U782="",0,MAX(0,T782)+N782+ROUND(J782*[1]Setup!$B$9,0)+IF(O782&gt;[1]Setup!$B$10,ROUND(J782*[1]Setup!$B$11,0),0))</f>
        <v>0</v>
      </c>
      <c r="W782" s="85" t="str">
        <f>IF(L782="","Open",IF(OR(P782&lt;[1]Setup!$B$6,Q782&gt;[1]Setup!$B$7,R782&gt;[1]Setup!$B$8,O782&gt;[1]Setup!$B$10),"Review","OK"))</f>
        <v>Open</v>
      </c>
      <c r="X782" s="86"/>
      <c r="Z782" s="81" t="str">
        <f t="shared" si="142"/>
        <v/>
      </c>
    </row>
    <row r="783" spans="1:26" x14ac:dyDescent="0.3">
      <c r="A783" s="84"/>
      <c r="B783" s="100">
        <f t="shared" si="140"/>
        <v>0</v>
      </c>
      <c r="C783" s="84" t="str">
        <f t="shared" si="141"/>
        <v>January</v>
      </c>
      <c r="D783" s="85" t="str">
        <f t="shared" si="139"/>
        <v/>
      </c>
      <c r="E783" s="86"/>
      <c r="F783" s="86"/>
      <c r="G783" s="86"/>
      <c r="H783" s="86"/>
      <c r="I783" s="87" t="str">
        <f>IF(F783=0,"",IF(COUNTIF(F783,"Bao"),[1]Setup!$B$4,IF(COUNTIF(F783,"Soup Dumplings"),[1]Setup!$B$5,F783)))</f>
        <v/>
      </c>
      <c r="J783" s="88" t="str">
        <f t="shared" si="133"/>
        <v/>
      </c>
      <c r="K783" s="88"/>
      <c r="L783" s="87"/>
      <c r="M783" s="87"/>
      <c r="N783" s="87"/>
      <c r="O783" s="87"/>
      <c r="P783" s="89" t="str">
        <f t="shared" si="134"/>
        <v/>
      </c>
      <c r="Q783" s="89" t="str">
        <f t="shared" si="135"/>
        <v/>
      </c>
      <c r="R783" s="89" t="str">
        <f t="shared" si="136"/>
        <v/>
      </c>
      <c r="S783" s="88" t="str">
        <f>IF(F783="Bao",[1]Setup!$B$4,IF(F783="Soup Dumplings",[1]Setup!$B$5,""))</f>
        <v/>
      </c>
      <c r="T783" s="88" t="str">
        <f t="shared" si="137"/>
        <v/>
      </c>
      <c r="U783" s="84" t="str">
        <f t="shared" si="138"/>
        <v/>
      </c>
      <c r="V783" s="88">
        <f>IF(U783="",0,MAX(0,T783)+N783+ROUND(J783*[1]Setup!$B$9,0)+IF(O783&gt;[1]Setup!$B$10,ROUND(J783*[1]Setup!$B$11,0),0))</f>
        <v>0</v>
      </c>
      <c r="W783" s="85" t="str">
        <f>IF(L783="","Open",IF(OR(P783&lt;[1]Setup!$B$6,Q783&gt;[1]Setup!$B$7,R783&gt;[1]Setup!$B$8,O783&gt;[1]Setup!$B$10),"Review","OK"))</f>
        <v>Open</v>
      </c>
      <c r="X783" s="86"/>
      <c r="Z783" s="81" t="str">
        <f t="shared" si="142"/>
        <v/>
      </c>
    </row>
    <row r="784" spans="1:26" x14ac:dyDescent="0.3">
      <c r="A784" s="84"/>
      <c r="B784" s="100">
        <f t="shared" si="140"/>
        <v>0</v>
      </c>
      <c r="C784" s="84" t="str">
        <f t="shared" si="141"/>
        <v>January</v>
      </c>
      <c r="D784" s="85" t="str">
        <f t="shared" si="139"/>
        <v/>
      </c>
      <c r="E784" s="86"/>
      <c r="F784" s="86"/>
      <c r="G784" s="86"/>
      <c r="H784" s="86"/>
      <c r="I784" s="87" t="str">
        <f>IF(F784=0,"",IF(COUNTIF(F784,"Bao"),[1]Setup!$B$4,IF(COUNTIF(F784,"Soup Dumplings"),[1]Setup!$B$5,F784)))</f>
        <v/>
      </c>
      <c r="J784" s="88" t="str">
        <f t="shared" si="133"/>
        <v/>
      </c>
      <c r="K784" s="88"/>
      <c r="L784" s="87"/>
      <c r="M784" s="87"/>
      <c r="N784" s="87"/>
      <c r="O784" s="87"/>
      <c r="P784" s="89" t="str">
        <f t="shared" si="134"/>
        <v/>
      </c>
      <c r="Q784" s="89" t="str">
        <f t="shared" si="135"/>
        <v/>
      </c>
      <c r="R784" s="89" t="str">
        <f t="shared" si="136"/>
        <v/>
      </c>
      <c r="S784" s="88" t="str">
        <f>IF(F784="Bao",[1]Setup!$B$4,IF(F784="Soup Dumplings",[1]Setup!$B$5,""))</f>
        <v/>
      </c>
      <c r="T784" s="88" t="str">
        <f t="shared" si="137"/>
        <v/>
      </c>
      <c r="U784" s="84" t="str">
        <f t="shared" si="138"/>
        <v/>
      </c>
      <c r="V784" s="88">
        <f>IF(U784="",0,MAX(0,T784)+N784+ROUND(J784*[1]Setup!$B$9,0)+IF(O784&gt;[1]Setup!$B$10,ROUND(J784*[1]Setup!$B$11,0),0))</f>
        <v>0</v>
      </c>
      <c r="W784" s="85" t="str">
        <f>IF(L784="","Open",IF(OR(P784&lt;[1]Setup!$B$6,Q784&gt;[1]Setup!$B$7,R784&gt;[1]Setup!$B$8,O784&gt;[1]Setup!$B$10),"Review","OK"))</f>
        <v>Open</v>
      </c>
      <c r="X784" s="86"/>
      <c r="Z784" s="81" t="str">
        <f t="shared" si="142"/>
        <v/>
      </c>
    </row>
    <row r="785" spans="1:26" x14ac:dyDescent="0.3">
      <c r="A785" s="84"/>
      <c r="B785" s="100">
        <f t="shared" si="140"/>
        <v>0</v>
      </c>
      <c r="C785" s="84" t="str">
        <f t="shared" si="141"/>
        <v>January</v>
      </c>
      <c r="D785" s="85" t="str">
        <f t="shared" si="139"/>
        <v/>
      </c>
      <c r="E785" s="86"/>
      <c r="F785" s="86"/>
      <c r="G785" s="86"/>
      <c r="H785" s="86"/>
      <c r="I785" s="87" t="str">
        <f>IF(F785=0,"",IF(COUNTIF(F785,"Bao"),[1]Setup!$B$4,IF(COUNTIF(F785,"Soup Dumplings"),[1]Setup!$B$5,F785)))</f>
        <v/>
      </c>
      <c r="J785" s="88" t="str">
        <f t="shared" si="133"/>
        <v/>
      </c>
      <c r="K785" s="88"/>
      <c r="L785" s="87"/>
      <c r="M785" s="87"/>
      <c r="N785" s="87"/>
      <c r="O785" s="87"/>
      <c r="P785" s="89" t="str">
        <f t="shared" si="134"/>
        <v/>
      </c>
      <c r="Q785" s="89" t="str">
        <f t="shared" si="135"/>
        <v/>
      </c>
      <c r="R785" s="89" t="str">
        <f t="shared" si="136"/>
        <v/>
      </c>
      <c r="S785" s="88" t="str">
        <f>IF(F785="Bao",[1]Setup!$B$4,IF(F785="Soup Dumplings",[1]Setup!$B$5,""))</f>
        <v/>
      </c>
      <c r="T785" s="88" t="str">
        <f t="shared" si="137"/>
        <v/>
      </c>
      <c r="U785" s="84" t="str">
        <f t="shared" si="138"/>
        <v/>
      </c>
      <c r="V785" s="88">
        <f>IF(U785="",0,MAX(0,T785)+N785+ROUND(J785*[1]Setup!$B$9,0)+IF(O785&gt;[1]Setup!$B$10,ROUND(J785*[1]Setup!$B$11,0),0))</f>
        <v>0</v>
      </c>
      <c r="W785" s="85" t="str">
        <f>IF(L785="","Open",IF(OR(P785&lt;[1]Setup!$B$6,Q785&gt;[1]Setup!$B$7,R785&gt;[1]Setup!$B$8,O785&gt;[1]Setup!$B$10),"Review","OK"))</f>
        <v>Open</v>
      </c>
      <c r="X785" s="86"/>
      <c r="Z785" s="81" t="str">
        <f t="shared" si="142"/>
        <v/>
      </c>
    </row>
    <row r="786" spans="1:26" x14ac:dyDescent="0.3">
      <c r="A786" s="84"/>
      <c r="B786" s="100">
        <f t="shared" si="140"/>
        <v>0</v>
      </c>
      <c r="C786" s="84" t="str">
        <f t="shared" si="141"/>
        <v>January</v>
      </c>
      <c r="D786" s="85" t="str">
        <f t="shared" si="139"/>
        <v/>
      </c>
      <c r="E786" s="86"/>
      <c r="F786" s="86"/>
      <c r="G786" s="86"/>
      <c r="H786" s="86"/>
      <c r="I786" s="87" t="str">
        <f>IF(F786=0,"",IF(COUNTIF(F786,"Bao"),[1]Setup!$B$4,IF(COUNTIF(F786,"Soup Dumplings"),[1]Setup!$B$5,F786)))</f>
        <v/>
      </c>
      <c r="J786" s="88" t="str">
        <f t="shared" si="133"/>
        <v/>
      </c>
      <c r="K786" s="88"/>
      <c r="L786" s="87"/>
      <c r="M786" s="87"/>
      <c r="N786" s="87"/>
      <c r="O786" s="87"/>
      <c r="P786" s="89" t="str">
        <f t="shared" si="134"/>
        <v/>
      </c>
      <c r="Q786" s="89" t="str">
        <f t="shared" si="135"/>
        <v/>
      </c>
      <c r="R786" s="89" t="str">
        <f t="shared" si="136"/>
        <v/>
      </c>
      <c r="S786" s="88" t="str">
        <f>IF(F786="Bao",[1]Setup!$B$4,IF(F786="Soup Dumplings",[1]Setup!$B$5,""))</f>
        <v/>
      </c>
      <c r="T786" s="88" t="str">
        <f t="shared" si="137"/>
        <v/>
      </c>
      <c r="U786" s="84" t="str">
        <f t="shared" si="138"/>
        <v/>
      </c>
      <c r="V786" s="88">
        <f>IF(U786="",0,MAX(0,T786)+N786+ROUND(J786*[1]Setup!$B$9,0)+IF(O786&gt;[1]Setup!$B$10,ROUND(J786*[1]Setup!$B$11,0),0))</f>
        <v>0</v>
      </c>
      <c r="W786" s="85" t="str">
        <f>IF(L786="","Open",IF(OR(P786&lt;[1]Setup!$B$6,Q786&gt;[1]Setup!$B$7,R786&gt;[1]Setup!$B$8,O786&gt;[1]Setup!$B$10),"Review","OK"))</f>
        <v>Open</v>
      </c>
      <c r="X786" s="86"/>
      <c r="Z786" s="81" t="str">
        <f t="shared" si="142"/>
        <v/>
      </c>
    </row>
    <row r="787" spans="1:26" x14ac:dyDescent="0.3">
      <c r="A787" s="84"/>
      <c r="B787" s="100">
        <f t="shared" si="140"/>
        <v>0</v>
      </c>
      <c r="C787" s="84" t="str">
        <f t="shared" si="141"/>
        <v>January</v>
      </c>
      <c r="D787" s="85" t="str">
        <f t="shared" si="139"/>
        <v/>
      </c>
      <c r="E787" s="86"/>
      <c r="F787" s="86"/>
      <c r="G787" s="86"/>
      <c r="H787" s="86"/>
      <c r="I787" s="87" t="str">
        <f>IF(F787=0,"",IF(COUNTIF(F787,"Bao"),[1]Setup!$B$4,IF(COUNTIF(F787,"Soup Dumplings"),[1]Setup!$B$5,F787)))</f>
        <v/>
      </c>
      <c r="J787" s="88" t="str">
        <f t="shared" si="133"/>
        <v/>
      </c>
      <c r="K787" s="88"/>
      <c r="L787" s="87"/>
      <c r="M787" s="87"/>
      <c r="N787" s="87"/>
      <c r="O787" s="87"/>
      <c r="P787" s="89" t="str">
        <f t="shared" si="134"/>
        <v/>
      </c>
      <c r="Q787" s="89" t="str">
        <f t="shared" si="135"/>
        <v/>
      </c>
      <c r="R787" s="89" t="str">
        <f t="shared" si="136"/>
        <v/>
      </c>
      <c r="S787" s="88" t="str">
        <f>IF(F787="Bao",[1]Setup!$B$4,IF(F787="Soup Dumplings",[1]Setup!$B$5,""))</f>
        <v/>
      </c>
      <c r="T787" s="88" t="str">
        <f t="shared" si="137"/>
        <v/>
      </c>
      <c r="U787" s="84" t="str">
        <f t="shared" si="138"/>
        <v/>
      </c>
      <c r="V787" s="88">
        <f>IF(U787="",0,MAX(0,T787)+N787+ROUND(J787*[1]Setup!$B$9,0)+IF(O787&gt;[1]Setup!$B$10,ROUND(J787*[1]Setup!$B$11,0),0))</f>
        <v>0</v>
      </c>
      <c r="W787" s="85" t="str">
        <f>IF(L787="","Open",IF(OR(P787&lt;[1]Setup!$B$6,Q787&gt;[1]Setup!$B$7,R787&gt;[1]Setup!$B$8,O787&gt;[1]Setup!$B$10),"Review","OK"))</f>
        <v>Open</v>
      </c>
      <c r="X787" s="86"/>
      <c r="Z787" s="81" t="str">
        <f t="shared" si="142"/>
        <v/>
      </c>
    </row>
    <row r="788" spans="1:26" x14ac:dyDescent="0.3">
      <c r="A788" s="84"/>
      <c r="B788" s="100">
        <f t="shared" si="140"/>
        <v>0</v>
      </c>
      <c r="C788" s="84" t="str">
        <f t="shared" si="141"/>
        <v>January</v>
      </c>
      <c r="D788" s="85" t="str">
        <f t="shared" si="139"/>
        <v/>
      </c>
      <c r="E788" s="86"/>
      <c r="F788" s="86"/>
      <c r="G788" s="86"/>
      <c r="H788" s="86"/>
      <c r="I788" s="87" t="str">
        <f>IF(F788=0,"",IF(COUNTIF(F788,"Bao"),[1]Setup!$B$4,IF(COUNTIF(F788,"Soup Dumplings"),[1]Setup!$B$5,F788)))</f>
        <v/>
      </c>
      <c r="J788" s="88" t="str">
        <f t="shared" si="133"/>
        <v/>
      </c>
      <c r="K788" s="88"/>
      <c r="L788" s="87"/>
      <c r="M788" s="87"/>
      <c r="N788" s="87"/>
      <c r="O788" s="87"/>
      <c r="P788" s="89" t="str">
        <f t="shared" si="134"/>
        <v/>
      </c>
      <c r="Q788" s="89" t="str">
        <f t="shared" si="135"/>
        <v/>
      </c>
      <c r="R788" s="89" t="str">
        <f t="shared" si="136"/>
        <v/>
      </c>
      <c r="S788" s="88" t="str">
        <f>IF(F788="Bao",[1]Setup!$B$4,IF(F788="Soup Dumplings",[1]Setup!$B$5,""))</f>
        <v/>
      </c>
      <c r="T788" s="88" t="str">
        <f t="shared" si="137"/>
        <v/>
      </c>
      <c r="U788" s="84" t="str">
        <f t="shared" si="138"/>
        <v/>
      </c>
      <c r="V788" s="88">
        <f>IF(U788="",0,MAX(0,T788)+N788+ROUND(J788*[1]Setup!$B$9,0)+IF(O788&gt;[1]Setup!$B$10,ROUND(J788*[1]Setup!$B$11,0),0))</f>
        <v>0</v>
      </c>
      <c r="W788" s="85" t="str">
        <f>IF(L788="","Open",IF(OR(P788&lt;[1]Setup!$B$6,Q788&gt;[1]Setup!$B$7,R788&gt;[1]Setup!$B$8,O788&gt;[1]Setup!$B$10),"Review","OK"))</f>
        <v>Open</v>
      </c>
      <c r="X788" s="86"/>
      <c r="Z788" s="81" t="str">
        <f t="shared" si="142"/>
        <v/>
      </c>
    </row>
    <row r="789" spans="1:26" x14ac:dyDescent="0.3">
      <c r="A789" s="84"/>
      <c r="B789" s="100">
        <f t="shared" si="140"/>
        <v>0</v>
      </c>
      <c r="C789" s="84" t="str">
        <f t="shared" si="141"/>
        <v>January</v>
      </c>
      <c r="D789" s="85" t="str">
        <f t="shared" si="139"/>
        <v/>
      </c>
      <c r="E789" s="86"/>
      <c r="F789" s="86"/>
      <c r="G789" s="86"/>
      <c r="H789" s="86"/>
      <c r="I789" s="87" t="str">
        <f>IF(F789=0,"",IF(COUNTIF(F789,"Bao"),[1]Setup!$B$4,IF(COUNTIF(F789,"Soup Dumplings"),[1]Setup!$B$5,F789)))</f>
        <v/>
      </c>
      <c r="J789" s="88" t="str">
        <f t="shared" si="133"/>
        <v/>
      </c>
      <c r="K789" s="88"/>
      <c r="L789" s="87"/>
      <c r="M789" s="87"/>
      <c r="N789" s="87"/>
      <c r="O789" s="87"/>
      <c r="P789" s="89" t="str">
        <f t="shared" si="134"/>
        <v/>
      </c>
      <c r="Q789" s="89" t="str">
        <f t="shared" si="135"/>
        <v/>
      </c>
      <c r="R789" s="89" t="str">
        <f t="shared" si="136"/>
        <v/>
      </c>
      <c r="S789" s="88" t="str">
        <f>IF(F789="Bao",[1]Setup!$B$4,IF(F789="Soup Dumplings",[1]Setup!$B$5,""))</f>
        <v/>
      </c>
      <c r="T789" s="88" t="str">
        <f t="shared" si="137"/>
        <v/>
      </c>
      <c r="U789" s="84" t="str">
        <f t="shared" si="138"/>
        <v/>
      </c>
      <c r="V789" s="88">
        <f>IF(U789="",0,MAX(0,T789)+N789+ROUND(J789*[1]Setup!$B$9,0)+IF(O789&gt;[1]Setup!$B$10,ROUND(J789*[1]Setup!$B$11,0),0))</f>
        <v>0</v>
      </c>
      <c r="W789" s="85" t="str">
        <f>IF(L789="","Open",IF(OR(P789&lt;[1]Setup!$B$6,Q789&gt;[1]Setup!$B$7,R789&gt;[1]Setup!$B$8,O789&gt;[1]Setup!$B$10),"Review","OK"))</f>
        <v>Open</v>
      </c>
      <c r="X789" s="86"/>
      <c r="Z789" s="81" t="str">
        <f t="shared" si="142"/>
        <v/>
      </c>
    </row>
    <row r="790" spans="1:26" x14ac:dyDescent="0.3">
      <c r="A790" s="84"/>
      <c r="B790" s="100">
        <f t="shared" si="140"/>
        <v>0</v>
      </c>
      <c r="C790" s="84" t="str">
        <f t="shared" si="141"/>
        <v>January</v>
      </c>
      <c r="D790" s="85" t="str">
        <f t="shared" si="139"/>
        <v/>
      </c>
      <c r="E790" s="86"/>
      <c r="F790" s="86"/>
      <c r="G790" s="86"/>
      <c r="H790" s="86"/>
      <c r="I790" s="87" t="str">
        <f>IF(F790=0,"",IF(COUNTIF(F790,"Bao"),[1]Setup!$B$4,IF(COUNTIF(F790,"Soup Dumplings"),[1]Setup!$B$5,F790)))</f>
        <v/>
      </c>
      <c r="J790" s="88" t="str">
        <f t="shared" si="133"/>
        <v/>
      </c>
      <c r="K790" s="88"/>
      <c r="L790" s="87"/>
      <c r="M790" s="87"/>
      <c r="N790" s="87"/>
      <c r="O790" s="87"/>
      <c r="P790" s="89" t="str">
        <f t="shared" si="134"/>
        <v/>
      </c>
      <c r="Q790" s="89" t="str">
        <f t="shared" si="135"/>
        <v/>
      </c>
      <c r="R790" s="89" t="str">
        <f t="shared" si="136"/>
        <v/>
      </c>
      <c r="S790" s="88" t="str">
        <f>IF(F790="Bao",[1]Setup!$B$4,IF(F790="Soup Dumplings",[1]Setup!$B$5,""))</f>
        <v/>
      </c>
      <c r="T790" s="88" t="str">
        <f t="shared" si="137"/>
        <v/>
      </c>
      <c r="U790" s="84" t="str">
        <f t="shared" si="138"/>
        <v/>
      </c>
      <c r="V790" s="88">
        <f>IF(U790="",0,MAX(0,T790)+N790+ROUND(J790*[1]Setup!$B$9,0)+IF(O790&gt;[1]Setup!$B$10,ROUND(J790*[1]Setup!$B$11,0),0))</f>
        <v>0</v>
      </c>
      <c r="W790" s="85" t="str">
        <f>IF(L790="","Open",IF(OR(P790&lt;[1]Setup!$B$6,Q790&gt;[1]Setup!$B$7,R790&gt;[1]Setup!$B$8,O790&gt;[1]Setup!$B$10),"Review","OK"))</f>
        <v>Open</v>
      </c>
      <c r="X790" s="86"/>
      <c r="Z790" s="81" t="str">
        <f t="shared" si="142"/>
        <v/>
      </c>
    </row>
    <row r="791" spans="1:26" x14ac:dyDescent="0.3">
      <c r="A791" s="84"/>
      <c r="B791" s="100">
        <f t="shared" si="140"/>
        <v>0</v>
      </c>
      <c r="C791" s="84" t="str">
        <f t="shared" si="141"/>
        <v>January</v>
      </c>
      <c r="D791" s="85" t="str">
        <f t="shared" si="139"/>
        <v/>
      </c>
      <c r="E791" s="86"/>
      <c r="F791" s="86"/>
      <c r="G791" s="86"/>
      <c r="H791" s="86"/>
      <c r="I791" s="87" t="str">
        <f>IF(F791=0,"",IF(COUNTIF(F791,"Bao"),[1]Setup!$B$4,IF(COUNTIF(F791,"Soup Dumplings"),[1]Setup!$B$5,F791)))</f>
        <v/>
      </c>
      <c r="J791" s="88" t="str">
        <f t="shared" si="133"/>
        <v/>
      </c>
      <c r="K791" s="88"/>
      <c r="L791" s="87"/>
      <c r="M791" s="87"/>
      <c r="N791" s="87"/>
      <c r="O791" s="87"/>
      <c r="P791" s="89" t="str">
        <f t="shared" si="134"/>
        <v/>
      </c>
      <c r="Q791" s="89" t="str">
        <f t="shared" si="135"/>
        <v/>
      </c>
      <c r="R791" s="89" t="str">
        <f t="shared" si="136"/>
        <v/>
      </c>
      <c r="S791" s="88" t="str">
        <f>IF(F791="Bao",[1]Setup!$B$4,IF(F791="Soup Dumplings",[1]Setup!$B$5,""))</f>
        <v/>
      </c>
      <c r="T791" s="88" t="str">
        <f t="shared" si="137"/>
        <v/>
      </c>
      <c r="U791" s="84" t="str">
        <f t="shared" si="138"/>
        <v/>
      </c>
      <c r="V791" s="88">
        <f>IF(U791="",0,MAX(0,T791)+N791+ROUND(J791*[1]Setup!$B$9,0)+IF(O791&gt;[1]Setup!$B$10,ROUND(J791*[1]Setup!$B$11,0),0))</f>
        <v>0</v>
      </c>
      <c r="W791" s="85" t="str">
        <f>IF(L791="","Open",IF(OR(P791&lt;[1]Setup!$B$6,Q791&gt;[1]Setup!$B$7,R791&gt;[1]Setup!$B$8,O791&gt;[1]Setup!$B$10),"Review","OK"))</f>
        <v>Open</v>
      </c>
      <c r="X791" s="86"/>
      <c r="Z791" s="81" t="str">
        <f t="shared" si="142"/>
        <v/>
      </c>
    </row>
    <row r="792" spans="1:26" x14ac:dyDescent="0.3">
      <c r="A792" s="84"/>
      <c r="B792" s="100">
        <f t="shared" si="140"/>
        <v>0</v>
      </c>
      <c r="C792" s="84" t="str">
        <f t="shared" si="141"/>
        <v>January</v>
      </c>
      <c r="D792" s="85" t="str">
        <f t="shared" si="139"/>
        <v/>
      </c>
      <c r="E792" s="86"/>
      <c r="F792" s="86"/>
      <c r="G792" s="86"/>
      <c r="H792" s="86"/>
      <c r="I792" s="87" t="str">
        <f>IF(F792=0,"",IF(COUNTIF(F792,"Bao"),[1]Setup!$B$4,IF(COUNTIF(F792,"Soup Dumplings"),[1]Setup!$B$5,F792)))</f>
        <v/>
      </c>
      <c r="J792" s="88" t="str">
        <f t="shared" si="133"/>
        <v/>
      </c>
      <c r="K792" s="88"/>
      <c r="L792" s="87"/>
      <c r="M792" s="87"/>
      <c r="N792" s="87"/>
      <c r="O792" s="87"/>
      <c r="P792" s="89" t="str">
        <f t="shared" si="134"/>
        <v/>
      </c>
      <c r="Q792" s="89" t="str">
        <f t="shared" si="135"/>
        <v/>
      </c>
      <c r="R792" s="89" t="str">
        <f t="shared" si="136"/>
        <v/>
      </c>
      <c r="S792" s="88" t="str">
        <f>IF(F792="Bao",[1]Setup!$B$4,IF(F792="Soup Dumplings",[1]Setup!$B$5,""))</f>
        <v/>
      </c>
      <c r="T792" s="88" t="str">
        <f t="shared" si="137"/>
        <v/>
      </c>
      <c r="U792" s="84" t="str">
        <f t="shared" si="138"/>
        <v/>
      </c>
      <c r="V792" s="88">
        <f>IF(U792="",0,MAX(0,T792)+N792+ROUND(J792*[1]Setup!$B$9,0)+IF(O792&gt;[1]Setup!$B$10,ROUND(J792*[1]Setup!$B$11,0),0))</f>
        <v>0</v>
      </c>
      <c r="W792" s="85" t="str">
        <f>IF(L792="","Open",IF(OR(P792&lt;[1]Setup!$B$6,Q792&gt;[1]Setup!$B$7,R792&gt;[1]Setup!$B$8,O792&gt;[1]Setup!$B$10),"Review","OK"))</f>
        <v>Open</v>
      </c>
      <c r="X792" s="86"/>
      <c r="Z792" s="81" t="str">
        <f t="shared" si="142"/>
        <v/>
      </c>
    </row>
    <row r="793" spans="1:26" x14ac:dyDescent="0.3">
      <c r="A793" s="84"/>
      <c r="B793" s="100">
        <f t="shared" si="140"/>
        <v>0</v>
      </c>
      <c r="C793" s="84" t="str">
        <f t="shared" si="141"/>
        <v>January</v>
      </c>
      <c r="D793" s="85" t="str">
        <f t="shared" si="139"/>
        <v/>
      </c>
      <c r="E793" s="86"/>
      <c r="F793" s="86"/>
      <c r="G793" s="86"/>
      <c r="H793" s="86"/>
      <c r="I793" s="87" t="str">
        <f>IF(F793=0,"",IF(COUNTIF(F793,"Bao"),[1]Setup!$B$4,IF(COUNTIF(F793,"Soup Dumplings"),[1]Setup!$B$5,F793)))</f>
        <v/>
      </c>
      <c r="J793" s="88" t="str">
        <f t="shared" si="133"/>
        <v/>
      </c>
      <c r="K793" s="88"/>
      <c r="L793" s="87"/>
      <c r="M793" s="87"/>
      <c r="N793" s="87"/>
      <c r="O793" s="87"/>
      <c r="P793" s="89" t="str">
        <f t="shared" si="134"/>
        <v/>
      </c>
      <c r="Q793" s="89" t="str">
        <f t="shared" si="135"/>
        <v/>
      </c>
      <c r="R793" s="89" t="str">
        <f t="shared" si="136"/>
        <v/>
      </c>
      <c r="S793" s="88" t="str">
        <f>IF(F793="Bao",[1]Setup!$B$4,IF(F793="Soup Dumplings",[1]Setup!$B$5,""))</f>
        <v/>
      </c>
      <c r="T793" s="88" t="str">
        <f t="shared" si="137"/>
        <v/>
      </c>
      <c r="U793" s="84" t="str">
        <f t="shared" si="138"/>
        <v/>
      </c>
      <c r="V793" s="88">
        <f>IF(U793="",0,MAX(0,T793)+N793+ROUND(J793*[1]Setup!$B$9,0)+IF(O793&gt;[1]Setup!$B$10,ROUND(J793*[1]Setup!$B$11,0),0))</f>
        <v>0</v>
      </c>
      <c r="W793" s="85" t="str">
        <f>IF(L793="","Open",IF(OR(P793&lt;[1]Setup!$B$6,Q793&gt;[1]Setup!$B$7,R793&gt;[1]Setup!$B$8,O793&gt;[1]Setup!$B$10),"Review","OK"))</f>
        <v>Open</v>
      </c>
      <c r="X793" s="86"/>
      <c r="Z793" s="81" t="str">
        <f t="shared" si="142"/>
        <v/>
      </c>
    </row>
    <row r="794" spans="1:26" x14ac:dyDescent="0.3">
      <c r="A794" s="84"/>
      <c r="B794" s="100">
        <f t="shared" si="140"/>
        <v>0</v>
      </c>
      <c r="C794" s="84" t="str">
        <f t="shared" si="141"/>
        <v>January</v>
      </c>
      <c r="D794" s="85" t="str">
        <f t="shared" si="139"/>
        <v/>
      </c>
      <c r="E794" s="86"/>
      <c r="F794" s="86"/>
      <c r="G794" s="86"/>
      <c r="H794" s="86"/>
      <c r="I794" s="87" t="str">
        <f>IF(F794=0,"",IF(COUNTIF(F794,"Bao"),[1]Setup!$B$4,IF(COUNTIF(F794,"Soup Dumplings"),[1]Setup!$B$5,F794)))</f>
        <v/>
      </c>
      <c r="J794" s="88" t="str">
        <f t="shared" si="133"/>
        <v/>
      </c>
      <c r="K794" s="88"/>
      <c r="L794" s="87"/>
      <c r="M794" s="87"/>
      <c r="N794" s="87"/>
      <c r="O794" s="87"/>
      <c r="P794" s="89" t="str">
        <f t="shared" si="134"/>
        <v/>
      </c>
      <c r="Q794" s="89" t="str">
        <f t="shared" si="135"/>
        <v/>
      </c>
      <c r="R794" s="89" t="str">
        <f t="shared" si="136"/>
        <v/>
      </c>
      <c r="S794" s="88" t="str">
        <f>IF(F794="Bao",[1]Setup!$B$4,IF(F794="Soup Dumplings",[1]Setup!$B$5,""))</f>
        <v/>
      </c>
      <c r="T794" s="88" t="str">
        <f t="shared" si="137"/>
        <v/>
      </c>
      <c r="U794" s="84" t="str">
        <f t="shared" si="138"/>
        <v/>
      </c>
      <c r="V794" s="88">
        <f>IF(U794="",0,MAX(0,T794)+N794+ROUND(J794*[1]Setup!$B$9,0)+IF(O794&gt;[1]Setup!$B$10,ROUND(J794*[1]Setup!$B$11,0),0))</f>
        <v>0</v>
      </c>
      <c r="W794" s="85" t="str">
        <f>IF(L794="","Open",IF(OR(P794&lt;[1]Setup!$B$6,Q794&gt;[1]Setup!$B$7,R794&gt;[1]Setup!$B$8,O794&gt;[1]Setup!$B$10),"Review","OK"))</f>
        <v>Open</v>
      </c>
      <c r="X794" s="86"/>
      <c r="Z794" s="81" t="str">
        <f t="shared" si="142"/>
        <v/>
      </c>
    </row>
    <row r="795" spans="1:26" x14ac:dyDescent="0.3">
      <c r="A795" s="84"/>
      <c r="B795" s="100">
        <f t="shared" si="140"/>
        <v>0</v>
      </c>
      <c r="C795" s="84" t="str">
        <f t="shared" si="141"/>
        <v>January</v>
      </c>
      <c r="D795" s="85" t="str">
        <f t="shared" si="139"/>
        <v/>
      </c>
      <c r="E795" s="86"/>
      <c r="F795" s="86"/>
      <c r="G795" s="86"/>
      <c r="H795" s="86"/>
      <c r="I795" s="87" t="str">
        <f>IF(F795=0,"",IF(COUNTIF(F795,"Bao"),[1]Setup!$B$4,IF(COUNTIF(F795,"Soup Dumplings"),[1]Setup!$B$5,F795)))</f>
        <v/>
      </c>
      <c r="J795" s="88" t="str">
        <f t="shared" si="133"/>
        <v/>
      </c>
      <c r="K795" s="88"/>
      <c r="L795" s="87"/>
      <c r="M795" s="87"/>
      <c r="N795" s="87"/>
      <c r="O795" s="87"/>
      <c r="P795" s="89" t="str">
        <f t="shared" si="134"/>
        <v/>
      </c>
      <c r="Q795" s="89" t="str">
        <f t="shared" si="135"/>
        <v/>
      </c>
      <c r="R795" s="89" t="str">
        <f t="shared" si="136"/>
        <v/>
      </c>
      <c r="S795" s="88" t="str">
        <f>IF(F795="Bao",[1]Setup!$B$4,IF(F795="Soup Dumplings",[1]Setup!$B$5,""))</f>
        <v/>
      </c>
      <c r="T795" s="88" t="str">
        <f t="shared" si="137"/>
        <v/>
      </c>
      <c r="U795" s="84" t="str">
        <f t="shared" si="138"/>
        <v/>
      </c>
      <c r="V795" s="88">
        <f>IF(U795="",0,MAX(0,T795)+N795+ROUND(J795*[1]Setup!$B$9,0)+IF(O795&gt;[1]Setup!$B$10,ROUND(J795*[1]Setup!$B$11,0),0))</f>
        <v>0</v>
      </c>
      <c r="W795" s="85" t="str">
        <f>IF(L795="","Open",IF(OR(P795&lt;[1]Setup!$B$6,Q795&gt;[1]Setup!$B$7,R795&gt;[1]Setup!$B$8,O795&gt;[1]Setup!$B$10),"Review","OK"))</f>
        <v>Open</v>
      </c>
      <c r="X795" s="86"/>
      <c r="Z795" s="81" t="str">
        <f t="shared" si="142"/>
        <v/>
      </c>
    </row>
    <row r="796" spans="1:26" x14ac:dyDescent="0.3">
      <c r="A796" s="84"/>
      <c r="B796" s="100">
        <f t="shared" si="140"/>
        <v>0</v>
      </c>
      <c r="C796" s="84" t="str">
        <f t="shared" si="141"/>
        <v>January</v>
      </c>
      <c r="D796" s="85" t="str">
        <f t="shared" si="139"/>
        <v/>
      </c>
      <c r="E796" s="86"/>
      <c r="F796" s="86"/>
      <c r="G796" s="86"/>
      <c r="H796" s="86"/>
      <c r="I796" s="87" t="str">
        <f>IF(F796=0,"",IF(COUNTIF(F796,"Bao"),[1]Setup!$B$4,IF(COUNTIF(F796,"Soup Dumplings"),[1]Setup!$B$5,F796)))</f>
        <v/>
      </c>
      <c r="J796" s="88" t="str">
        <f t="shared" si="133"/>
        <v/>
      </c>
      <c r="K796" s="88"/>
      <c r="L796" s="87"/>
      <c r="M796" s="87"/>
      <c r="N796" s="87"/>
      <c r="O796" s="87"/>
      <c r="P796" s="89" t="str">
        <f t="shared" si="134"/>
        <v/>
      </c>
      <c r="Q796" s="89" t="str">
        <f t="shared" si="135"/>
        <v/>
      </c>
      <c r="R796" s="89" t="str">
        <f t="shared" si="136"/>
        <v/>
      </c>
      <c r="S796" s="88" t="str">
        <f>IF(F796="Bao",[1]Setup!$B$4,IF(F796="Soup Dumplings",[1]Setup!$B$5,""))</f>
        <v/>
      </c>
      <c r="T796" s="88" t="str">
        <f t="shared" si="137"/>
        <v/>
      </c>
      <c r="U796" s="84" t="str">
        <f t="shared" si="138"/>
        <v/>
      </c>
      <c r="V796" s="88">
        <f>IF(U796="",0,MAX(0,T796)+N796+ROUND(J796*[1]Setup!$B$9,0)+IF(O796&gt;[1]Setup!$B$10,ROUND(J796*[1]Setup!$B$11,0),0))</f>
        <v>0</v>
      </c>
      <c r="W796" s="85" t="str">
        <f>IF(L796="","Open",IF(OR(P796&lt;[1]Setup!$B$6,Q796&gt;[1]Setup!$B$7,R796&gt;[1]Setup!$B$8,O796&gt;[1]Setup!$B$10),"Review","OK"))</f>
        <v>Open</v>
      </c>
      <c r="X796" s="86"/>
      <c r="Z796" s="81" t="str">
        <f t="shared" si="142"/>
        <v/>
      </c>
    </row>
    <row r="797" spans="1:26" x14ac:dyDescent="0.3">
      <c r="A797" s="84"/>
      <c r="B797" s="100">
        <f t="shared" si="140"/>
        <v>0</v>
      </c>
      <c r="C797" s="84" t="str">
        <f t="shared" si="141"/>
        <v>January</v>
      </c>
      <c r="D797" s="85" t="str">
        <f t="shared" si="139"/>
        <v/>
      </c>
      <c r="E797" s="86"/>
      <c r="F797" s="86"/>
      <c r="G797" s="86"/>
      <c r="H797" s="86"/>
      <c r="I797" s="87" t="str">
        <f>IF(F797=0,"",IF(COUNTIF(F797,"Bao"),[1]Setup!$B$4,IF(COUNTIF(F797,"Soup Dumplings"),[1]Setup!$B$5,F797)))</f>
        <v/>
      </c>
      <c r="J797" s="88" t="str">
        <f t="shared" si="133"/>
        <v/>
      </c>
      <c r="K797" s="88"/>
      <c r="L797" s="87"/>
      <c r="M797" s="87"/>
      <c r="N797" s="87"/>
      <c r="O797" s="87"/>
      <c r="P797" s="89" t="str">
        <f t="shared" si="134"/>
        <v/>
      </c>
      <c r="Q797" s="89" t="str">
        <f t="shared" si="135"/>
        <v/>
      </c>
      <c r="R797" s="89" t="str">
        <f t="shared" si="136"/>
        <v/>
      </c>
      <c r="S797" s="88" t="str">
        <f>IF(F797="Bao",[1]Setup!$B$4,IF(F797="Soup Dumplings",[1]Setup!$B$5,""))</f>
        <v/>
      </c>
      <c r="T797" s="88" t="str">
        <f t="shared" si="137"/>
        <v/>
      </c>
      <c r="U797" s="84" t="str">
        <f t="shared" si="138"/>
        <v/>
      </c>
      <c r="V797" s="88">
        <f>IF(U797="",0,MAX(0,T797)+N797+ROUND(J797*[1]Setup!$B$9,0)+IF(O797&gt;[1]Setup!$B$10,ROUND(J797*[1]Setup!$B$11,0),0))</f>
        <v>0</v>
      </c>
      <c r="W797" s="85" t="str">
        <f>IF(L797="","Open",IF(OR(P797&lt;[1]Setup!$B$6,Q797&gt;[1]Setup!$B$7,R797&gt;[1]Setup!$B$8,O797&gt;[1]Setup!$B$10),"Review","OK"))</f>
        <v>Open</v>
      </c>
      <c r="X797" s="86"/>
      <c r="Z797" s="81" t="str">
        <f t="shared" si="142"/>
        <v/>
      </c>
    </row>
    <row r="798" spans="1:26" x14ac:dyDescent="0.3">
      <c r="A798" s="84"/>
      <c r="B798" s="100">
        <f t="shared" si="140"/>
        <v>0</v>
      </c>
      <c r="C798" s="84" t="str">
        <f t="shared" si="141"/>
        <v>January</v>
      </c>
      <c r="D798" s="85" t="str">
        <f t="shared" si="139"/>
        <v/>
      </c>
      <c r="E798" s="86"/>
      <c r="F798" s="86"/>
      <c r="G798" s="86"/>
      <c r="H798" s="86"/>
      <c r="I798" s="87" t="str">
        <f>IF(F798=0,"",IF(COUNTIF(F798,"Bao"),[1]Setup!$B$4,IF(COUNTIF(F798,"Soup Dumplings"),[1]Setup!$B$5,F798)))</f>
        <v/>
      </c>
      <c r="J798" s="88" t="str">
        <f t="shared" si="133"/>
        <v/>
      </c>
      <c r="K798" s="88"/>
      <c r="L798" s="87"/>
      <c r="M798" s="87"/>
      <c r="N798" s="87"/>
      <c r="O798" s="87"/>
      <c r="P798" s="89" t="str">
        <f t="shared" si="134"/>
        <v/>
      </c>
      <c r="Q798" s="89" t="str">
        <f t="shared" si="135"/>
        <v/>
      </c>
      <c r="R798" s="89" t="str">
        <f t="shared" si="136"/>
        <v/>
      </c>
      <c r="S798" s="88" t="str">
        <f>IF(F798="Bao",[1]Setup!$B$4,IF(F798="Soup Dumplings",[1]Setup!$B$5,""))</f>
        <v/>
      </c>
      <c r="T798" s="88" t="str">
        <f t="shared" si="137"/>
        <v/>
      </c>
      <c r="U798" s="84" t="str">
        <f t="shared" si="138"/>
        <v/>
      </c>
      <c r="V798" s="88">
        <f>IF(U798="",0,MAX(0,T798)+N798+ROUND(J798*[1]Setup!$B$9,0)+IF(O798&gt;[1]Setup!$B$10,ROUND(J798*[1]Setup!$B$11,0),0))</f>
        <v>0</v>
      </c>
      <c r="W798" s="85" t="str">
        <f>IF(L798="","Open",IF(OR(P798&lt;[1]Setup!$B$6,Q798&gt;[1]Setup!$B$7,R798&gt;[1]Setup!$B$8,O798&gt;[1]Setup!$B$10),"Review","OK"))</f>
        <v>Open</v>
      </c>
      <c r="X798" s="86"/>
      <c r="Z798" s="81" t="str">
        <f t="shared" si="142"/>
        <v/>
      </c>
    </row>
    <row r="799" spans="1:26" x14ac:dyDescent="0.3">
      <c r="A799" s="84"/>
      <c r="B799" s="100">
        <f t="shared" si="140"/>
        <v>0</v>
      </c>
      <c r="C799" s="84" t="str">
        <f t="shared" si="141"/>
        <v>January</v>
      </c>
      <c r="D799" s="85" t="str">
        <f t="shared" si="139"/>
        <v/>
      </c>
      <c r="E799" s="86"/>
      <c r="F799" s="86"/>
      <c r="G799" s="86"/>
      <c r="H799" s="86"/>
      <c r="I799" s="87" t="str">
        <f>IF(F799=0,"",IF(COUNTIF(F799,"Bao"),[1]Setup!$B$4,IF(COUNTIF(F799,"Soup Dumplings"),[1]Setup!$B$5,F799)))</f>
        <v/>
      </c>
      <c r="J799" s="88" t="str">
        <f t="shared" si="133"/>
        <v/>
      </c>
      <c r="K799" s="88"/>
      <c r="L799" s="87"/>
      <c r="M799" s="87"/>
      <c r="N799" s="87"/>
      <c r="O799" s="87"/>
      <c r="P799" s="89" t="str">
        <f t="shared" si="134"/>
        <v/>
      </c>
      <c r="Q799" s="89" t="str">
        <f t="shared" si="135"/>
        <v/>
      </c>
      <c r="R799" s="89" t="str">
        <f t="shared" si="136"/>
        <v/>
      </c>
      <c r="S799" s="88" t="str">
        <f>IF(F799="Bao",[1]Setup!$B$4,IF(F799="Soup Dumplings",[1]Setup!$B$5,""))</f>
        <v/>
      </c>
      <c r="T799" s="88" t="str">
        <f t="shared" si="137"/>
        <v/>
      </c>
      <c r="U799" s="84" t="str">
        <f t="shared" si="138"/>
        <v/>
      </c>
      <c r="V799" s="88">
        <f>IF(U799="",0,MAX(0,T799)+N799+ROUND(J799*[1]Setup!$B$9,0)+IF(O799&gt;[1]Setup!$B$10,ROUND(J799*[1]Setup!$B$11,0),0))</f>
        <v>0</v>
      </c>
      <c r="W799" s="85" t="str">
        <f>IF(L799="","Open",IF(OR(P799&lt;[1]Setup!$B$6,Q799&gt;[1]Setup!$B$7,R799&gt;[1]Setup!$B$8,O799&gt;[1]Setup!$B$10),"Review","OK"))</f>
        <v>Open</v>
      </c>
      <c r="X799" s="86"/>
      <c r="Z799" s="81" t="str">
        <f t="shared" si="142"/>
        <v/>
      </c>
    </row>
    <row r="800" spans="1:26" x14ac:dyDescent="0.3">
      <c r="A800" s="84"/>
      <c r="B800" s="100">
        <f t="shared" si="140"/>
        <v>0</v>
      </c>
      <c r="C800" s="84" t="str">
        <f t="shared" si="141"/>
        <v>January</v>
      </c>
      <c r="D800" s="85" t="str">
        <f t="shared" si="139"/>
        <v/>
      </c>
      <c r="E800" s="86"/>
      <c r="F800" s="86"/>
      <c r="G800" s="86"/>
      <c r="H800" s="86"/>
      <c r="I800" s="87" t="str">
        <f>IF(F800=0,"",IF(COUNTIF(F800,"Bao"),[1]Setup!$B$4,IF(COUNTIF(F800,"Soup Dumplings"),[1]Setup!$B$5,F800)))</f>
        <v/>
      </c>
      <c r="J800" s="88" t="str">
        <f t="shared" si="133"/>
        <v/>
      </c>
      <c r="K800" s="88"/>
      <c r="L800" s="87"/>
      <c r="M800" s="87"/>
      <c r="N800" s="87"/>
      <c r="O800" s="87"/>
      <c r="P800" s="89" t="str">
        <f t="shared" si="134"/>
        <v/>
      </c>
      <c r="Q800" s="89" t="str">
        <f t="shared" si="135"/>
        <v/>
      </c>
      <c r="R800" s="89" t="str">
        <f t="shared" si="136"/>
        <v/>
      </c>
      <c r="S800" s="88" t="str">
        <f>IF(F800="Bao",[1]Setup!$B$4,IF(F800="Soup Dumplings",[1]Setup!$B$5,""))</f>
        <v/>
      </c>
      <c r="T800" s="88" t="str">
        <f t="shared" si="137"/>
        <v/>
      </c>
      <c r="U800" s="84" t="str">
        <f t="shared" si="138"/>
        <v/>
      </c>
      <c r="V800" s="88">
        <f>IF(U800="",0,MAX(0,T800)+N800+ROUND(J800*[1]Setup!$B$9,0)+IF(O800&gt;[1]Setup!$B$10,ROUND(J800*[1]Setup!$B$11,0),0))</f>
        <v>0</v>
      </c>
      <c r="W800" s="85" t="str">
        <f>IF(L800="","Open",IF(OR(P800&lt;[1]Setup!$B$6,Q800&gt;[1]Setup!$B$7,R800&gt;[1]Setup!$B$8,O800&gt;[1]Setup!$B$10),"Review","OK"))</f>
        <v>Open</v>
      </c>
      <c r="X800" s="86"/>
      <c r="Z800" s="81" t="str">
        <f t="shared" si="142"/>
        <v/>
      </c>
    </row>
    <row r="801" spans="1:26" x14ac:dyDescent="0.3">
      <c r="A801" s="84"/>
      <c r="B801" s="100">
        <f t="shared" si="140"/>
        <v>0</v>
      </c>
      <c r="C801" s="84" t="str">
        <f t="shared" si="141"/>
        <v>January</v>
      </c>
      <c r="D801" s="85" t="str">
        <f t="shared" si="139"/>
        <v/>
      </c>
      <c r="E801" s="86"/>
      <c r="F801" s="86"/>
      <c r="G801" s="86"/>
      <c r="H801" s="86"/>
      <c r="I801" s="87" t="str">
        <f>IF(F801=0,"",IF(COUNTIF(F801,"Bao"),[1]Setup!$B$4,IF(COUNTIF(F801,"Soup Dumplings"),[1]Setup!$B$5,F801)))</f>
        <v/>
      </c>
      <c r="J801" s="88" t="str">
        <f t="shared" si="133"/>
        <v/>
      </c>
      <c r="K801" s="88"/>
      <c r="L801" s="87"/>
      <c r="M801" s="87"/>
      <c r="N801" s="87"/>
      <c r="O801" s="87"/>
      <c r="P801" s="89" t="str">
        <f t="shared" si="134"/>
        <v/>
      </c>
      <c r="Q801" s="89" t="str">
        <f t="shared" si="135"/>
        <v/>
      </c>
      <c r="R801" s="89" t="str">
        <f t="shared" si="136"/>
        <v/>
      </c>
      <c r="S801" s="88" t="str">
        <f>IF(F801="Bao",[1]Setup!$B$4,IF(F801="Soup Dumplings",[1]Setup!$B$5,""))</f>
        <v/>
      </c>
      <c r="T801" s="88" t="str">
        <f t="shared" si="137"/>
        <v/>
      </c>
      <c r="U801" s="84" t="str">
        <f t="shared" si="138"/>
        <v/>
      </c>
      <c r="V801" s="88">
        <f>IF(U801="",0,MAX(0,T801)+N801+ROUND(J801*[1]Setup!$B$9,0)+IF(O801&gt;[1]Setup!$B$10,ROUND(J801*[1]Setup!$B$11,0),0))</f>
        <v>0</v>
      </c>
      <c r="W801" s="85" t="str">
        <f>IF(L801="","Open",IF(OR(P801&lt;[1]Setup!$B$6,Q801&gt;[1]Setup!$B$7,R801&gt;[1]Setup!$B$8,O801&gt;[1]Setup!$B$10),"Review","OK"))</f>
        <v>Open</v>
      </c>
      <c r="X801" s="86"/>
      <c r="Z801" s="81" t="str">
        <f t="shared" si="142"/>
        <v/>
      </c>
    </row>
    <row r="802" spans="1:26" x14ac:dyDescent="0.3">
      <c r="A802" s="84"/>
      <c r="B802" s="100">
        <f t="shared" si="140"/>
        <v>0</v>
      </c>
      <c r="C802" s="84" t="str">
        <f t="shared" si="141"/>
        <v>January</v>
      </c>
      <c r="D802" s="85" t="str">
        <f t="shared" si="139"/>
        <v/>
      </c>
      <c r="E802" s="86"/>
      <c r="F802" s="86"/>
      <c r="G802" s="86"/>
      <c r="H802" s="86"/>
      <c r="I802" s="87" t="str">
        <f>IF(F802=0,"",IF(COUNTIF(F802,"Bao"),[1]Setup!$B$4,IF(COUNTIF(F802,"Soup Dumplings"),[1]Setup!$B$5,F802)))</f>
        <v/>
      </c>
      <c r="J802" s="88" t="str">
        <f t="shared" si="133"/>
        <v/>
      </c>
      <c r="K802" s="88"/>
      <c r="L802" s="87"/>
      <c r="M802" s="87"/>
      <c r="N802" s="87"/>
      <c r="O802" s="87"/>
      <c r="P802" s="89" t="str">
        <f t="shared" si="134"/>
        <v/>
      </c>
      <c r="Q802" s="89" t="str">
        <f t="shared" si="135"/>
        <v/>
      </c>
      <c r="R802" s="89" t="str">
        <f t="shared" si="136"/>
        <v/>
      </c>
      <c r="S802" s="88" t="str">
        <f>IF(F802="Bao",[1]Setup!$B$4,IF(F802="Soup Dumplings",[1]Setup!$B$5,""))</f>
        <v/>
      </c>
      <c r="T802" s="88" t="str">
        <f t="shared" si="137"/>
        <v/>
      </c>
      <c r="U802" s="84" t="str">
        <f t="shared" si="138"/>
        <v/>
      </c>
      <c r="V802" s="88">
        <f>IF(U802="",0,MAX(0,T802)+N802+ROUND(J802*[1]Setup!$B$9,0)+IF(O802&gt;[1]Setup!$B$10,ROUND(J802*[1]Setup!$B$11,0),0))</f>
        <v>0</v>
      </c>
      <c r="W802" s="85" t="str">
        <f>IF(L802="","Open",IF(OR(P802&lt;[1]Setup!$B$6,Q802&gt;[1]Setup!$B$7,R802&gt;[1]Setup!$B$8,O802&gt;[1]Setup!$B$10),"Review","OK"))</f>
        <v>Open</v>
      </c>
      <c r="X802" s="86"/>
      <c r="Z802" s="81" t="str">
        <f t="shared" si="142"/>
        <v/>
      </c>
    </row>
    <row r="803" spans="1:26" x14ac:dyDescent="0.3">
      <c r="A803" s="84"/>
      <c r="B803" s="100">
        <f t="shared" si="140"/>
        <v>0</v>
      </c>
      <c r="C803" s="84" t="str">
        <f t="shared" si="141"/>
        <v>January</v>
      </c>
      <c r="D803" s="85" t="str">
        <f t="shared" si="139"/>
        <v/>
      </c>
      <c r="E803" s="86"/>
      <c r="F803" s="86"/>
      <c r="G803" s="86"/>
      <c r="H803" s="86"/>
      <c r="I803" s="87" t="str">
        <f>IF(F803=0,"",IF(COUNTIF(F803,"Bao"),[1]Setup!$B$4,IF(COUNTIF(F803,"Soup Dumplings"),[1]Setup!$B$5,F803)))</f>
        <v/>
      </c>
      <c r="J803" s="88" t="str">
        <f t="shared" si="133"/>
        <v/>
      </c>
      <c r="K803" s="88"/>
      <c r="L803" s="87"/>
      <c r="M803" s="87"/>
      <c r="N803" s="87"/>
      <c r="O803" s="87"/>
      <c r="P803" s="89" t="str">
        <f t="shared" si="134"/>
        <v/>
      </c>
      <c r="Q803" s="89" t="str">
        <f t="shared" si="135"/>
        <v/>
      </c>
      <c r="R803" s="89" t="str">
        <f t="shared" si="136"/>
        <v/>
      </c>
      <c r="S803" s="88" t="str">
        <f>IF(F803="Bao",[1]Setup!$B$4,IF(F803="Soup Dumplings",[1]Setup!$B$5,""))</f>
        <v/>
      </c>
      <c r="T803" s="88" t="str">
        <f t="shared" si="137"/>
        <v/>
      </c>
      <c r="U803" s="84" t="str">
        <f t="shared" si="138"/>
        <v/>
      </c>
      <c r="V803" s="88">
        <f>IF(U803="",0,MAX(0,T803)+N803+ROUND(J803*[1]Setup!$B$9,0)+IF(O803&gt;[1]Setup!$B$10,ROUND(J803*[1]Setup!$B$11,0),0))</f>
        <v>0</v>
      </c>
      <c r="W803" s="85" t="str">
        <f>IF(L803="","Open",IF(OR(P803&lt;[1]Setup!$B$6,Q803&gt;[1]Setup!$B$7,R803&gt;[1]Setup!$B$8,O803&gt;[1]Setup!$B$10),"Review","OK"))</f>
        <v>Open</v>
      </c>
      <c r="X803" s="86"/>
      <c r="Z803" s="81" t="str">
        <f t="shared" si="142"/>
        <v/>
      </c>
    </row>
    <row r="804" spans="1:26" x14ac:dyDescent="0.3">
      <c r="A804" s="84"/>
      <c r="B804" s="100">
        <f t="shared" si="140"/>
        <v>0</v>
      </c>
      <c r="C804" s="84" t="str">
        <f t="shared" si="141"/>
        <v>January</v>
      </c>
      <c r="D804" s="85" t="str">
        <f t="shared" si="139"/>
        <v/>
      </c>
      <c r="E804" s="86"/>
      <c r="F804" s="86"/>
      <c r="G804" s="86"/>
      <c r="H804" s="86"/>
      <c r="I804" s="87" t="str">
        <f>IF(F804=0,"",IF(COUNTIF(F804,"Bao"),[1]Setup!$B$4,IF(COUNTIF(F804,"Soup Dumplings"),[1]Setup!$B$5,F804)))</f>
        <v/>
      </c>
      <c r="J804" s="88" t="str">
        <f t="shared" si="133"/>
        <v/>
      </c>
      <c r="K804" s="88"/>
      <c r="L804" s="87"/>
      <c r="M804" s="87"/>
      <c r="N804" s="87"/>
      <c r="O804" s="87"/>
      <c r="P804" s="89" t="str">
        <f t="shared" si="134"/>
        <v/>
      </c>
      <c r="Q804" s="89" t="str">
        <f t="shared" si="135"/>
        <v/>
      </c>
      <c r="R804" s="89" t="str">
        <f t="shared" si="136"/>
        <v/>
      </c>
      <c r="S804" s="88" t="str">
        <f>IF(F804="Bao",[1]Setup!$B$4,IF(F804="Soup Dumplings",[1]Setup!$B$5,""))</f>
        <v/>
      </c>
      <c r="T804" s="88" t="str">
        <f t="shared" si="137"/>
        <v/>
      </c>
      <c r="U804" s="84" t="str">
        <f t="shared" si="138"/>
        <v/>
      </c>
      <c r="V804" s="88">
        <f>IF(U804="",0,MAX(0,T804)+N804+ROUND(J804*[1]Setup!$B$9,0)+IF(O804&gt;[1]Setup!$B$10,ROUND(J804*[1]Setup!$B$11,0),0))</f>
        <v>0</v>
      </c>
      <c r="W804" s="85" t="str">
        <f>IF(L804="","Open",IF(OR(P804&lt;[1]Setup!$B$6,Q804&gt;[1]Setup!$B$7,R804&gt;[1]Setup!$B$8,O804&gt;[1]Setup!$B$10),"Review","OK"))</f>
        <v>Open</v>
      </c>
      <c r="X804" s="86"/>
      <c r="Z804" s="81" t="str">
        <f t="shared" si="142"/>
        <v/>
      </c>
    </row>
    <row r="805" spans="1:26" x14ac:dyDescent="0.3">
      <c r="A805" s="84"/>
      <c r="B805" s="100">
        <f t="shared" si="140"/>
        <v>0</v>
      </c>
      <c r="C805" s="84" t="str">
        <f t="shared" si="141"/>
        <v>January</v>
      </c>
      <c r="D805" s="85" t="str">
        <f t="shared" si="139"/>
        <v/>
      </c>
      <c r="E805" s="86"/>
      <c r="F805" s="86"/>
      <c r="G805" s="86"/>
      <c r="H805" s="86"/>
      <c r="I805" s="87" t="str">
        <f>IF(F805=0,"",IF(COUNTIF(F805,"Bao"),[1]Setup!$B$4,IF(COUNTIF(F805,"Soup Dumplings"),[1]Setup!$B$5,F805)))</f>
        <v/>
      </c>
      <c r="J805" s="88" t="str">
        <f t="shared" si="133"/>
        <v/>
      </c>
      <c r="K805" s="88"/>
      <c r="L805" s="87"/>
      <c r="M805" s="87"/>
      <c r="N805" s="87"/>
      <c r="O805" s="87"/>
      <c r="P805" s="89" t="str">
        <f t="shared" si="134"/>
        <v/>
      </c>
      <c r="Q805" s="89" t="str">
        <f t="shared" si="135"/>
        <v/>
      </c>
      <c r="R805" s="89" t="str">
        <f t="shared" si="136"/>
        <v/>
      </c>
      <c r="S805" s="88" t="str">
        <f>IF(F805="Bao",[1]Setup!$B$4,IF(F805="Soup Dumplings",[1]Setup!$B$5,""))</f>
        <v/>
      </c>
      <c r="T805" s="88" t="str">
        <f t="shared" si="137"/>
        <v/>
      </c>
      <c r="U805" s="84" t="str">
        <f t="shared" si="138"/>
        <v/>
      </c>
      <c r="V805" s="88">
        <f>IF(U805="",0,MAX(0,T805)+N805+ROUND(J805*[1]Setup!$B$9,0)+IF(O805&gt;[1]Setup!$B$10,ROUND(J805*[1]Setup!$B$11,0),0))</f>
        <v>0</v>
      </c>
      <c r="W805" s="85" t="str">
        <f>IF(L805="","Open",IF(OR(P805&lt;[1]Setup!$B$6,Q805&gt;[1]Setup!$B$7,R805&gt;[1]Setup!$B$8,O805&gt;[1]Setup!$B$10),"Review","OK"))</f>
        <v>Open</v>
      </c>
      <c r="X805" s="86"/>
      <c r="Z805" s="81" t="str">
        <f t="shared" si="142"/>
        <v/>
      </c>
    </row>
    <row r="806" spans="1:26" x14ac:dyDescent="0.3">
      <c r="A806" s="84"/>
      <c r="B806" s="100">
        <f t="shared" si="140"/>
        <v>0</v>
      </c>
      <c r="C806" s="84" t="str">
        <f t="shared" si="141"/>
        <v>January</v>
      </c>
      <c r="D806" s="85" t="str">
        <f t="shared" si="139"/>
        <v/>
      </c>
      <c r="E806" s="86"/>
      <c r="F806" s="86"/>
      <c r="G806" s="86"/>
      <c r="H806" s="86"/>
      <c r="I806" s="87" t="str">
        <f>IF(F806=0,"",IF(COUNTIF(F806,"Bao"),[1]Setup!$B$4,IF(COUNTIF(F806,"Soup Dumplings"),[1]Setup!$B$5,F806)))</f>
        <v/>
      </c>
      <c r="J806" s="88" t="str">
        <f t="shared" si="133"/>
        <v/>
      </c>
      <c r="K806" s="88"/>
      <c r="L806" s="87"/>
      <c r="M806" s="87"/>
      <c r="N806" s="87"/>
      <c r="O806" s="87"/>
      <c r="P806" s="89" t="str">
        <f t="shared" si="134"/>
        <v/>
      </c>
      <c r="Q806" s="89" t="str">
        <f t="shared" si="135"/>
        <v/>
      </c>
      <c r="R806" s="89" t="str">
        <f t="shared" si="136"/>
        <v/>
      </c>
      <c r="S806" s="88" t="str">
        <f>IF(F806="Bao",[1]Setup!$B$4,IF(F806="Soup Dumplings",[1]Setup!$B$5,""))</f>
        <v/>
      </c>
      <c r="T806" s="88" t="str">
        <f t="shared" si="137"/>
        <v/>
      </c>
      <c r="U806" s="84" t="str">
        <f t="shared" si="138"/>
        <v/>
      </c>
      <c r="V806" s="88">
        <f>IF(U806="",0,MAX(0,T806)+N806+ROUND(J806*[1]Setup!$B$9,0)+IF(O806&gt;[1]Setup!$B$10,ROUND(J806*[1]Setup!$B$11,0),0))</f>
        <v>0</v>
      </c>
      <c r="W806" s="85" t="str">
        <f>IF(L806="","Open",IF(OR(P806&lt;[1]Setup!$B$6,Q806&gt;[1]Setup!$B$7,R806&gt;[1]Setup!$B$8,O806&gt;[1]Setup!$B$10),"Review","OK"))</f>
        <v>Open</v>
      </c>
      <c r="X806" s="86"/>
      <c r="Z806" s="81" t="str">
        <f t="shared" si="142"/>
        <v/>
      </c>
    </row>
    <row r="807" spans="1:26" x14ac:dyDescent="0.3">
      <c r="A807" s="84"/>
      <c r="B807" s="100">
        <f t="shared" si="140"/>
        <v>0</v>
      </c>
      <c r="C807" s="84" t="str">
        <f t="shared" si="141"/>
        <v>January</v>
      </c>
      <c r="D807" s="85" t="str">
        <f t="shared" si="139"/>
        <v/>
      </c>
      <c r="E807" s="86"/>
      <c r="F807" s="86"/>
      <c r="G807" s="86"/>
      <c r="H807" s="86"/>
      <c r="I807" s="87" t="str">
        <f>IF(F807=0,"",IF(COUNTIF(F807,"Bao"),[1]Setup!$B$4,IF(COUNTIF(F807,"Soup Dumplings"),[1]Setup!$B$5,F807)))</f>
        <v/>
      </c>
      <c r="J807" s="88" t="str">
        <f t="shared" si="133"/>
        <v/>
      </c>
      <c r="K807" s="88"/>
      <c r="L807" s="87"/>
      <c r="M807" s="87"/>
      <c r="N807" s="87"/>
      <c r="O807" s="87"/>
      <c r="P807" s="89" t="str">
        <f t="shared" si="134"/>
        <v/>
      </c>
      <c r="Q807" s="89" t="str">
        <f t="shared" si="135"/>
        <v/>
      </c>
      <c r="R807" s="89" t="str">
        <f t="shared" si="136"/>
        <v/>
      </c>
      <c r="S807" s="88" t="str">
        <f>IF(F807="Bao",[1]Setup!$B$4,IF(F807="Soup Dumplings",[1]Setup!$B$5,""))</f>
        <v/>
      </c>
      <c r="T807" s="88" t="str">
        <f t="shared" si="137"/>
        <v/>
      </c>
      <c r="U807" s="84" t="str">
        <f t="shared" si="138"/>
        <v/>
      </c>
      <c r="V807" s="88">
        <f>IF(U807="",0,MAX(0,T807)+N807+ROUND(J807*[1]Setup!$B$9,0)+IF(O807&gt;[1]Setup!$B$10,ROUND(J807*[1]Setup!$B$11,0),0))</f>
        <v>0</v>
      </c>
      <c r="W807" s="85" t="str">
        <f>IF(L807="","Open",IF(OR(P807&lt;[1]Setup!$B$6,Q807&gt;[1]Setup!$B$7,R807&gt;[1]Setup!$B$8,O807&gt;[1]Setup!$B$10),"Review","OK"))</f>
        <v>Open</v>
      </c>
      <c r="X807" s="86"/>
      <c r="Z807" s="81" t="str">
        <f t="shared" si="142"/>
        <v/>
      </c>
    </row>
    <row r="808" spans="1:26" x14ac:dyDescent="0.3">
      <c r="A808" s="84"/>
      <c r="B808" s="100">
        <f t="shared" si="140"/>
        <v>0</v>
      </c>
      <c r="C808" s="84" t="str">
        <f t="shared" si="141"/>
        <v>January</v>
      </c>
      <c r="D808" s="85" t="str">
        <f t="shared" si="139"/>
        <v/>
      </c>
      <c r="E808" s="86"/>
      <c r="F808" s="86"/>
      <c r="G808" s="86"/>
      <c r="H808" s="86"/>
      <c r="I808" s="87" t="str">
        <f>IF(F808=0,"",IF(COUNTIF(F808,"Bao"),[1]Setup!$B$4,IF(COUNTIF(F808,"Soup Dumplings"),[1]Setup!$B$5,F808)))</f>
        <v/>
      </c>
      <c r="J808" s="88" t="str">
        <f t="shared" si="133"/>
        <v/>
      </c>
      <c r="K808" s="88"/>
      <c r="L808" s="87"/>
      <c r="M808" s="87"/>
      <c r="N808" s="87"/>
      <c r="O808" s="87"/>
      <c r="P808" s="89" t="str">
        <f t="shared" si="134"/>
        <v/>
      </c>
      <c r="Q808" s="89" t="str">
        <f t="shared" si="135"/>
        <v/>
      </c>
      <c r="R808" s="89" t="str">
        <f t="shared" si="136"/>
        <v/>
      </c>
      <c r="S808" s="88" t="str">
        <f>IF(F808="Bao",[1]Setup!$B$4,IF(F808="Soup Dumplings",[1]Setup!$B$5,""))</f>
        <v/>
      </c>
      <c r="T808" s="88" t="str">
        <f t="shared" si="137"/>
        <v/>
      </c>
      <c r="U808" s="84" t="str">
        <f t="shared" si="138"/>
        <v/>
      </c>
      <c r="V808" s="88">
        <f>IF(U808="",0,MAX(0,T808)+N808+ROUND(J808*[1]Setup!$B$9,0)+IF(O808&gt;[1]Setup!$B$10,ROUND(J808*[1]Setup!$B$11,0),0))</f>
        <v>0</v>
      </c>
      <c r="W808" s="85" t="str">
        <f>IF(L808="","Open",IF(OR(P808&lt;[1]Setup!$B$6,Q808&gt;[1]Setup!$B$7,R808&gt;[1]Setup!$B$8,O808&gt;[1]Setup!$B$10),"Review","OK"))</f>
        <v>Open</v>
      </c>
      <c r="X808" s="86"/>
      <c r="Z808" s="81" t="str">
        <f t="shared" si="142"/>
        <v/>
      </c>
    </row>
    <row r="809" spans="1:26" x14ac:dyDescent="0.3">
      <c r="A809" s="84"/>
      <c r="B809" s="100">
        <f t="shared" si="140"/>
        <v>0</v>
      </c>
      <c r="C809" s="84" t="str">
        <f t="shared" si="141"/>
        <v>January</v>
      </c>
      <c r="D809" s="85" t="str">
        <f t="shared" si="139"/>
        <v/>
      </c>
      <c r="E809" s="86"/>
      <c r="F809" s="86"/>
      <c r="G809" s="86"/>
      <c r="H809" s="86"/>
      <c r="I809" s="87" t="str">
        <f>IF(F809=0,"",IF(COUNTIF(F809,"Bao"),[1]Setup!$B$4,IF(COUNTIF(F809,"Soup Dumplings"),[1]Setup!$B$5,F809)))</f>
        <v/>
      </c>
      <c r="J809" s="88" t="str">
        <f t="shared" si="133"/>
        <v/>
      </c>
      <c r="K809" s="88"/>
      <c r="L809" s="87"/>
      <c r="M809" s="87"/>
      <c r="N809" s="87"/>
      <c r="O809" s="87"/>
      <c r="P809" s="89" t="str">
        <f t="shared" si="134"/>
        <v/>
      </c>
      <c r="Q809" s="89" t="str">
        <f t="shared" si="135"/>
        <v/>
      </c>
      <c r="R809" s="89" t="str">
        <f t="shared" si="136"/>
        <v/>
      </c>
      <c r="S809" s="88" t="str">
        <f>IF(F809="Bao",[1]Setup!$B$4,IF(F809="Soup Dumplings",[1]Setup!$B$5,""))</f>
        <v/>
      </c>
      <c r="T809" s="88" t="str">
        <f t="shared" si="137"/>
        <v/>
      </c>
      <c r="U809" s="84" t="str">
        <f t="shared" si="138"/>
        <v/>
      </c>
      <c r="V809" s="88">
        <f>IF(U809="",0,MAX(0,T809)+N809+ROUND(J809*[1]Setup!$B$9,0)+IF(O809&gt;[1]Setup!$B$10,ROUND(J809*[1]Setup!$B$11,0),0))</f>
        <v>0</v>
      </c>
      <c r="W809" s="85" t="str">
        <f>IF(L809="","Open",IF(OR(P809&lt;[1]Setup!$B$6,Q809&gt;[1]Setup!$B$7,R809&gt;[1]Setup!$B$8,O809&gt;[1]Setup!$B$10),"Review","OK"))</f>
        <v>Open</v>
      </c>
      <c r="X809" s="86"/>
    </row>
    <row r="810" spans="1:26" x14ac:dyDescent="0.3">
      <c r="A810" s="84"/>
      <c r="B810" s="100">
        <f t="shared" si="140"/>
        <v>0</v>
      </c>
      <c r="C810" s="84" t="str">
        <f t="shared" si="141"/>
        <v>January</v>
      </c>
      <c r="D810" s="85" t="str">
        <f t="shared" si="139"/>
        <v/>
      </c>
      <c r="E810" s="86"/>
      <c r="F810" s="86"/>
      <c r="G810" s="86"/>
      <c r="H810" s="86"/>
      <c r="I810" s="87" t="str">
        <f>IF(F810=0,"",IF(COUNTIF(F810,"Bao"),[1]Setup!$B$4,IF(COUNTIF(F810,"Soup Dumplings"),[1]Setup!$B$5,F810)))</f>
        <v/>
      </c>
      <c r="J810" s="88" t="str">
        <f t="shared" si="133"/>
        <v/>
      </c>
      <c r="K810" s="88"/>
      <c r="L810" s="87"/>
      <c r="M810" s="87"/>
      <c r="N810" s="87"/>
      <c r="O810" s="87"/>
      <c r="P810" s="89" t="str">
        <f t="shared" si="134"/>
        <v/>
      </c>
      <c r="Q810" s="89" t="str">
        <f t="shared" si="135"/>
        <v/>
      </c>
      <c r="R810" s="89" t="str">
        <f t="shared" si="136"/>
        <v/>
      </c>
      <c r="S810" s="88" t="str">
        <f>IF(F810="Bao",[1]Setup!$B$4,IF(F810="Soup Dumplings",[1]Setup!$B$5,""))</f>
        <v/>
      </c>
      <c r="T810" s="88" t="str">
        <f t="shared" si="137"/>
        <v/>
      </c>
      <c r="U810" s="84" t="str">
        <f t="shared" si="138"/>
        <v/>
      </c>
      <c r="V810" s="88">
        <f>IF(U810="",0,MAX(0,T810)+N810+ROUND(J810*[1]Setup!$B$9,0)+IF(O810&gt;[1]Setup!$B$10,ROUND(J810*[1]Setup!$B$11,0),0))</f>
        <v>0</v>
      </c>
      <c r="W810" s="85" t="str">
        <f>IF(L810="","Open",IF(OR(P810&lt;[1]Setup!$B$6,Q810&gt;[1]Setup!$B$7,R810&gt;[1]Setup!$B$8,O810&gt;[1]Setup!$B$10),"Review","OK"))</f>
        <v>Open</v>
      </c>
      <c r="X810" s="86"/>
    </row>
    <row r="811" spans="1:26" x14ac:dyDescent="0.3">
      <c r="A811" s="84"/>
      <c r="B811" s="100">
        <f t="shared" si="140"/>
        <v>0</v>
      </c>
      <c r="C811" s="84" t="str">
        <f t="shared" si="141"/>
        <v>January</v>
      </c>
      <c r="D811" s="85" t="str">
        <f t="shared" si="139"/>
        <v/>
      </c>
      <c r="E811" s="86"/>
      <c r="F811" s="86"/>
      <c r="G811" s="86"/>
      <c r="H811" s="86"/>
      <c r="I811" s="87" t="str">
        <f>IF(F811=0,"",IF(COUNTIF(F811,"Bao"),[1]Setup!$B$4,IF(COUNTIF(F811,"Soup Dumplings"),[1]Setup!$B$5,F811)))</f>
        <v/>
      </c>
      <c r="J811" s="88" t="str">
        <f t="shared" si="133"/>
        <v/>
      </c>
      <c r="K811" s="88"/>
      <c r="L811" s="87"/>
      <c r="M811" s="87"/>
      <c r="N811" s="87"/>
      <c r="O811" s="87"/>
      <c r="P811" s="89" t="str">
        <f t="shared" si="134"/>
        <v/>
      </c>
      <c r="Q811" s="89" t="str">
        <f t="shared" si="135"/>
        <v/>
      </c>
      <c r="R811" s="89" t="str">
        <f t="shared" si="136"/>
        <v/>
      </c>
      <c r="S811" s="88" t="str">
        <f>IF(F811="Bao",[1]Setup!$B$4,IF(F811="Soup Dumplings",[1]Setup!$B$5,""))</f>
        <v/>
      </c>
      <c r="T811" s="88" t="str">
        <f t="shared" si="137"/>
        <v/>
      </c>
      <c r="U811" s="84" t="str">
        <f t="shared" si="138"/>
        <v/>
      </c>
      <c r="V811" s="88">
        <f>IF(U811="",0,MAX(0,T811)+N811+ROUND(J811*[1]Setup!$B$9,0)+IF(O811&gt;[1]Setup!$B$10,ROUND(J811*[1]Setup!$B$11,0),0))</f>
        <v>0</v>
      </c>
      <c r="W811" s="85" t="str">
        <f>IF(L811="","Open",IF(OR(P811&lt;[1]Setup!$B$6,Q811&gt;[1]Setup!$B$7,R811&gt;[1]Setup!$B$8,O811&gt;[1]Setup!$B$10),"Review","OK"))</f>
        <v>Open</v>
      </c>
      <c r="X811" s="86"/>
    </row>
    <row r="812" spans="1:26" x14ac:dyDescent="0.3">
      <c r="A812" s="84"/>
      <c r="B812" s="100">
        <f t="shared" si="140"/>
        <v>0</v>
      </c>
      <c r="C812" s="84" t="str">
        <f t="shared" si="141"/>
        <v>January</v>
      </c>
      <c r="D812" s="85" t="str">
        <f t="shared" si="139"/>
        <v/>
      </c>
      <c r="E812" s="86"/>
      <c r="F812" s="86"/>
      <c r="G812" s="86"/>
      <c r="H812" s="86"/>
      <c r="I812" s="87" t="str">
        <f>IF(F812=0,"",IF(COUNTIF(F812,"Bao"),[1]Setup!$B$4,IF(COUNTIF(F812,"Soup Dumplings"),[1]Setup!$B$5,F812)))</f>
        <v/>
      </c>
      <c r="J812" s="88" t="str">
        <f t="shared" si="133"/>
        <v/>
      </c>
      <c r="K812" s="88"/>
      <c r="L812" s="87"/>
      <c r="M812" s="87"/>
      <c r="N812" s="87"/>
      <c r="O812" s="87"/>
      <c r="P812" s="89" t="str">
        <f t="shared" si="134"/>
        <v/>
      </c>
      <c r="Q812" s="89" t="str">
        <f t="shared" si="135"/>
        <v/>
      </c>
      <c r="R812" s="89" t="str">
        <f t="shared" si="136"/>
        <v/>
      </c>
      <c r="S812" s="88" t="str">
        <f>IF(F812="Bao",[1]Setup!$B$4,IF(F812="Soup Dumplings",[1]Setup!$B$5,""))</f>
        <v/>
      </c>
      <c r="T812" s="88" t="str">
        <f t="shared" si="137"/>
        <v/>
      </c>
      <c r="U812" s="84" t="str">
        <f t="shared" si="138"/>
        <v/>
      </c>
      <c r="V812" s="88">
        <f>IF(U812="",0,MAX(0,T812)+N812+ROUND(J812*[1]Setup!$B$9,0)+IF(O812&gt;[1]Setup!$B$10,ROUND(J812*[1]Setup!$B$11,0),0))</f>
        <v>0</v>
      </c>
      <c r="W812" s="85" t="str">
        <f>IF(L812="","Open",IF(OR(P812&lt;[1]Setup!$B$6,Q812&gt;[1]Setup!$B$7,R812&gt;[1]Setup!$B$8,O812&gt;[1]Setup!$B$10),"Review","OK"))</f>
        <v>Open</v>
      </c>
      <c r="X812" s="86"/>
    </row>
    <row r="813" spans="1:26" x14ac:dyDescent="0.3">
      <c r="A813" s="84"/>
      <c r="B813" s="100">
        <f t="shared" si="140"/>
        <v>0</v>
      </c>
      <c r="C813" s="84" t="str">
        <f t="shared" si="141"/>
        <v>January</v>
      </c>
      <c r="D813" s="85" t="str">
        <f t="shared" si="139"/>
        <v/>
      </c>
      <c r="E813" s="86"/>
      <c r="F813" s="86"/>
      <c r="G813" s="86"/>
      <c r="H813" s="86"/>
      <c r="I813" s="87" t="str">
        <f>IF(F813=0,"",IF(COUNTIF(F813,"Bao"),[1]Setup!$B$4,IF(COUNTIF(F813,"Soup Dumplings"),[1]Setup!$B$5,F813)))</f>
        <v/>
      </c>
      <c r="J813" s="88" t="str">
        <f t="shared" si="133"/>
        <v/>
      </c>
      <c r="K813" s="88"/>
      <c r="L813" s="87"/>
      <c r="M813" s="87"/>
      <c r="N813" s="87"/>
      <c r="O813" s="87"/>
      <c r="P813" s="89" t="str">
        <f t="shared" si="134"/>
        <v/>
      </c>
      <c r="Q813" s="89" t="str">
        <f t="shared" si="135"/>
        <v/>
      </c>
      <c r="R813" s="89" t="str">
        <f t="shared" si="136"/>
        <v/>
      </c>
      <c r="S813" s="88" t="str">
        <f>IF(F813="Bao",[1]Setup!$B$4,IF(F813="Soup Dumplings",[1]Setup!$B$5,""))</f>
        <v/>
      </c>
      <c r="T813" s="88" t="str">
        <f t="shared" si="137"/>
        <v/>
      </c>
      <c r="U813" s="84" t="str">
        <f t="shared" si="138"/>
        <v/>
      </c>
      <c r="V813" s="88">
        <f>IF(U813="",0,MAX(0,T813)+N813+ROUND(J813*[1]Setup!$B$9,0)+IF(O813&gt;[1]Setup!$B$10,ROUND(J813*[1]Setup!$B$11,0),0))</f>
        <v>0</v>
      </c>
      <c r="W813" s="85" t="str">
        <f>IF(L813="","Open",IF(OR(P813&lt;[1]Setup!$B$6,Q813&gt;[1]Setup!$B$7,R813&gt;[1]Setup!$B$8,O813&gt;[1]Setup!$B$10),"Review","OK"))</f>
        <v>Open</v>
      </c>
      <c r="X813" s="86"/>
    </row>
    <row r="814" spans="1:26" x14ac:dyDescent="0.3">
      <c r="A814" s="84"/>
      <c r="B814" s="100">
        <f t="shared" si="140"/>
        <v>0</v>
      </c>
      <c r="C814" s="84" t="str">
        <f t="shared" si="141"/>
        <v>January</v>
      </c>
      <c r="D814" s="85" t="str">
        <f t="shared" si="139"/>
        <v/>
      </c>
      <c r="E814" s="86"/>
      <c r="F814" s="86"/>
      <c r="G814" s="86"/>
      <c r="H814" s="86"/>
      <c r="I814" s="87" t="str">
        <f>IF(F814=0,"",IF(COUNTIF(F814,"Bao"),[1]Setup!$B$4,IF(COUNTIF(F814,"Soup Dumplings"),[1]Setup!$B$5,F814)))</f>
        <v/>
      </c>
      <c r="J814" s="88" t="str">
        <f t="shared" si="133"/>
        <v/>
      </c>
      <c r="K814" s="88"/>
      <c r="L814" s="87"/>
      <c r="M814" s="87"/>
      <c r="N814" s="87"/>
      <c r="O814" s="87"/>
      <c r="P814" s="89" t="str">
        <f t="shared" si="134"/>
        <v/>
      </c>
      <c r="Q814" s="89" t="str">
        <f t="shared" si="135"/>
        <v/>
      </c>
      <c r="R814" s="89" t="str">
        <f t="shared" si="136"/>
        <v/>
      </c>
      <c r="S814" s="88" t="str">
        <f>IF(F814="Bao",[1]Setup!$B$4,IF(F814="Soup Dumplings",[1]Setup!$B$5,""))</f>
        <v/>
      </c>
      <c r="T814" s="88" t="str">
        <f t="shared" si="137"/>
        <v/>
      </c>
      <c r="U814" s="84" t="str">
        <f t="shared" si="138"/>
        <v/>
      </c>
      <c r="V814" s="88">
        <f>IF(U814="",0,MAX(0,T814)+N814+ROUND(J814*[1]Setup!$B$9,0)+IF(O814&gt;[1]Setup!$B$10,ROUND(J814*[1]Setup!$B$11,0),0))</f>
        <v>0</v>
      </c>
      <c r="W814" s="85" t="str">
        <f>IF(L814="","Open",IF(OR(P814&lt;[1]Setup!$B$6,Q814&gt;[1]Setup!$B$7,R814&gt;[1]Setup!$B$8,O814&gt;[1]Setup!$B$10),"Review","OK"))</f>
        <v>Open</v>
      </c>
      <c r="X814" s="86"/>
    </row>
    <row r="815" spans="1:26" x14ac:dyDescent="0.3">
      <c r="A815" s="84"/>
      <c r="B815" s="100">
        <f t="shared" si="140"/>
        <v>0</v>
      </c>
      <c r="C815" s="84" t="str">
        <f t="shared" si="141"/>
        <v>January</v>
      </c>
      <c r="D815" s="85" t="str">
        <f t="shared" si="139"/>
        <v/>
      </c>
      <c r="E815" s="86"/>
      <c r="F815" s="86"/>
      <c r="G815" s="86"/>
      <c r="H815" s="86"/>
      <c r="I815" s="87" t="str">
        <f>IF(F815=0,"",IF(COUNTIF(F815,"Bao"),[1]Setup!$B$4,IF(COUNTIF(F815,"Soup Dumplings"),[1]Setup!$B$5,F815)))</f>
        <v/>
      </c>
      <c r="J815" s="88" t="str">
        <f t="shared" ref="J815:J878" si="143">IF(A815="","",
   IFERROR(
      N(I815)+SUMIFS($V$4:$V$30,$U$4:$U$30,A815,$G$4:$G$30,G815),
   0)
)</f>
        <v/>
      </c>
      <c r="K815" s="88"/>
      <c r="L815" s="87"/>
      <c r="M815" s="87"/>
      <c r="N815" s="87"/>
      <c r="O815" s="87"/>
      <c r="P815" s="89" t="str">
        <f t="shared" ref="P815:P878" si="144">IF(J815="","",IF(J815&gt;0,(L815+M815)/J815,""))</f>
        <v/>
      </c>
      <c r="Q815" s="89" t="str">
        <f t="shared" ref="Q815:Q878" si="145">IF(J815="","",IF(J815&gt;0,MAX(0,(J815-(L815+M815))/J815),""))</f>
        <v/>
      </c>
      <c r="R815" s="89" t="str">
        <f t="shared" ref="R815:R878" si="146">IF(J815="","",IF(J815&gt;0,MAX(0,(L815+M815-J815)/J815),""))</f>
        <v/>
      </c>
      <c r="S815" s="88" t="str">
        <f>IF(F815="Bao",[1]Setup!$B$4,IF(F815="Soup Dumplings",[1]Setup!$B$5,""))</f>
        <v/>
      </c>
      <c r="T815" s="88" t="str">
        <f t="shared" ref="T815:T878" si="147">IF(L815="","",S815-L815)</f>
        <v/>
      </c>
      <c r="U815" s="84" t="str">
        <f t="shared" ref="U815:U878" si="148">IF(A815="","",A815+1)</f>
        <v/>
      </c>
      <c r="V815" s="88">
        <f>IF(U815="",0,MAX(0,T815)+N815+ROUND(J815*[1]Setup!$B$9,0)+IF(O815&gt;[1]Setup!$B$10,ROUND(J815*[1]Setup!$B$11,0),0))</f>
        <v>0</v>
      </c>
      <c r="W815" s="85" t="str">
        <f>IF(L815="","Open",IF(OR(P815&lt;[1]Setup!$B$6,Q815&gt;[1]Setup!$B$7,R815&gt;[1]Setup!$B$8,O815&gt;[1]Setup!$B$10),"Review","OK"))</f>
        <v>Open</v>
      </c>
      <c r="X815" s="86"/>
    </row>
    <row r="816" spans="1:26" x14ac:dyDescent="0.3">
      <c r="A816" s="84"/>
      <c r="B816" s="100">
        <f t="shared" si="140"/>
        <v>0</v>
      </c>
      <c r="C816" s="84" t="str">
        <f t="shared" si="141"/>
        <v>January</v>
      </c>
      <c r="D816" s="85" t="str">
        <f t="shared" si="139"/>
        <v/>
      </c>
      <c r="E816" s="86"/>
      <c r="F816" s="86"/>
      <c r="G816" s="86"/>
      <c r="H816" s="86"/>
      <c r="I816" s="87" t="str">
        <f>IF(F816=0,"",IF(COUNTIF(F816,"Bao"),[1]Setup!$B$4,IF(COUNTIF(F816,"Soup Dumplings"),[1]Setup!$B$5,F816)))</f>
        <v/>
      </c>
      <c r="J816" s="88" t="str">
        <f t="shared" si="143"/>
        <v/>
      </c>
      <c r="K816" s="88"/>
      <c r="L816" s="87"/>
      <c r="M816" s="87"/>
      <c r="N816" s="87"/>
      <c r="O816" s="87"/>
      <c r="P816" s="89" t="str">
        <f t="shared" si="144"/>
        <v/>
      </c>
      <c r="Q816" s="89" t="str">
        <f t="shared" si="145"/>
        <v/>
      </c>
      <c r="R816" s="89" t="str">
        <f t="shared" si="146"/>
        <v/>
      </c>
      <c r="S816" s="88" t="str">
        <f>IF(F816="Bao",[1]Setup!$B$4,IF(F816="Soup Dumplings",[1]Setup!$B$5,""))</f>
        <v/>
      </c>
      <c r="T816" s="88" t="str">
        <f t="shared" si="147"/>
        <v/>
      </c>
      <c r="U816" s="84" t="str">
        <f t="shared" si="148"/>
        <v/>
      </c>
      <c r="V816" s="88">
        <f>IF(U816="",0,MAX(0,T816)+N816+ROUND(J816*[1]Setup!$B$9,0)+IF(O816&gt;[1]Setup!$B$10,ROUND(J816*[1]Setup!$B$11,0),0))</f>
        <v>0</v>
      </c>
      <c r="W816" s="85" t="str">
        <f>IF(L816="","Open",IF(OR(P816&lt;[1]Setup!$B$6,Q816&gt;[1]Setup!$B$7,R816&gt;[1]Setup!$B$8,O816&gt;[1]Setup!$B$10),"Review","OK"))</f>
        <v>Open</v>
      </c>
      <c r="X816" s="86"/>
    </row>
    <row r="817" spans="1:24" x14ac:dyDescent="0.3">
      <c r="A817" s="84"/>
      <c r="B817" s="100">
        <f t="shared" si="140"/>
        <v>0</v>
      </c>
      <c r="C817" s="84" t="str">
        <f t="shared" si="141"/>
        <v>January</v>
      </c>
      <c r="D817" s="85" t="str">
        <f t="shared" si="139"/>
        <v/>
      </c>
      <c r="E817" s="86"/>
      <c r="F817" s="86"/>
      <c r="G817" s="86"/>
      <c r="H817" s="86"/>
      <c r="I817" s="87" t="str">
        <f>IF(F817=0,"",IF(COUNTIF(F817,"Bao"),[1]Setup!$B$4,IF(COUNTIF(F817,"Soup Dumplings"),[1]Setup!$B$5,F817)))</f>
        <v/>
      </c>
      <c r="J817" s="88" t="str">
        <f t="shared" si="143"/>
        <v/>
      </c>
      <c r="K817" s="88"/>
      <c r="L817" s="87"/>
      <c r="M817" s="87"/>
      <c r="N817" s="87"/>
      <c r="O817" s="87"/>
      <c r="P817" s="89" t="str">
        <f t="shared" si="144"/>
        <v/>
      </c>
      <c r="Q817" s="89" t="str">
        <f t="shared" si="145"/>
        <v/>
      </c>
      <c r="R817" s="89" t="str">
        <f t="shared" si="146"/>
        <v/>
      </c>
      <c r="S817" s="88" t="str">
        <f>IF(F817="Bao",[1]Setup!$B$4,IF(F817="Soup Dumplings",[1]Setup!$B$5,""))</f>
        <v/>
      </c>
      <c r="T817" s="88" t="str">
        <f t="shared" si="147"/>
        <v/>
      </c>
      <c r="U817" s="84" t="str">
        <f t="shared" si="148"/>
        <v/>
      </c>
      <c r="V817" s="88">
        <f>IF(U817="",0,MAX(0,T817)+N817+ROUND(J817*[1]Setup!$B$9,0)+IF(O817&gt;[1]Setup!$B$10,ROUND(J817*[1]Setup!$B$11,0),0))</f>
        <v>0</v>
      </c>
      <c r="W817" s="85" t="str">
        <f>IF(L817="","Open",IF(OR(P817&lt;[1]Setup!$B$6,Q817&gt;[1]Setup!$B$7,R817&gt;[1]Setup!$B$8,O817&gt;[1]Setup!$B$10),"Review","OK"))</f>
        <v>Open</v>
      </c>
      <c r="X817" s="86"/>
    </row>
    <row r="818" spans="1:24" x14ac:dyDescent="0.3">
      <c r="A818" s="84"/>
      <c r="B818" s="100">
        <f t="shared" si="140"/>
        <v>0</v>
      </c>
      <c r="C818" s="84" t="str">
        <f t="shared" si="141"/>
        <v>January</v>
      </c>
      <c r="D818" s="85" t="str">
        <f t="shared" si="139"/>
        <v/>
      </c>
      <c r="E818" s="86"/>
      <c r="F818" s="86"/>
      <c r="G818" s="86"/>
      <c r="H818" s="86"/>
      <c r="I818" s="87" t="str">
        <f>IF(F818=0,"",IF(COUNTIF(F818,"Bao"),[1]Setup!$B$4,IF(COUNTIF(F818,"Soup Dumplings"),[1]Setup!$B$5,F818)))</f>
        <v/>
      </c>
      <c r="J818" s="88" t="str">
        <f t="shared" si="143"/>
        <v/>
      </c>
      <c r="K818" s="88"/>
      <c r="L818" s="87"/>
      <c r="M818" s="87"/>
      <c r="N818" s="87"/>
      <c r="O818" s="87"/>
      <c r="P818" s="89" t="str">
        <f t="shared" si="144"/>
        <v/>
      </c>
      <c r="Q818" s="89" t="str">
        <f t="shared" si="145"/>
        <v/>
      </c>
      <c r="R818" s="89" t="str">
        <f t="shared" si="146"/>
        <v/>
      </c>
      <c r="S818" s="88" t="str">
        <f>IF(F818="Bao",[1]Setup!$B$4,IF(F818="Soup Dumplings",[1]Setup!$B$5,""))</f>
        <v/>
      </c>
      <c r="T818" s="88" t="str">
        <f t="shared" si="147"/>
        <v/>
      </c>
      <c r="U818" s="84" t="str">
        <f t="shared" si="148"/>
        <v/>
      </c>
      <c r="V818" s="88">
        <f>IF(U818="",0,MAX(0,T818)+N818+ROUND(J818*[1]Setup!$B$9,0)+IF(O818&gt;[1]Setup!$B$10,ROUND(J818*[1]Setup!$B$11,0),0))</f>
        <v>0</v>
      </c>
      <c r="W818" s="85" t="str">
        <f>IF(L818="","Open",IF(OR(P818&lt;[1]Setup!$B$6,Q818&gt;[1]Setup!$B$7,R818&gt;[1]Setup!$B$8,O818&gt;[1]Setup!$B$10),"Review","OK"))</f>
        <v>Open</v>
      </c>
      <c r="X818" s="86"/>
    </row>
    <row r="819" spans="1:24" x14ac:dyDescent="0.3">
      <c r="A819" s="84"/>
      <c r="B819" s="100">
        <f t="shared" si="140"/>
        <v>0</v>
      </c>
      <c r="C819" s="84" t="str">
        <f t="shared" si="141"/>
        <v>January</v>
      </c>
      <c r="D819" s="85" t="str">
        <f t="shared" si="139"/>
        <v/>
      </c>
      <c r="E819" s="86"/>
      <c r="F819" s="86"/>
      <c r="G819" s="86"/>
      <c r="H819" s="86"/>
      <c r="I819" s="87" t="str">
        <f>IF(F819=0,"",IF(COUNTIF(F819,"Bao"),[1]Setup!$B$4,IF(COUNTIF(F819,"Soup Dumplings"),[1]Setup!$B$5,F819)))</f>
        <v/>
      </c>
      <c r="J819" s="88" t="str">
        <f t="shared" si="143"/>
        <v/>
      </c>
      <c r="K819" s="88"/>
      <c r="L819" s="87"/>
      <c r="M819" s="87"/>
      <c r="N819" s="87"/>
      <c r="O819" s="87"/>
      <c r="P819" s="89" t="str">
        <f t="shared" si="144"/>
        <v/>
      </c>
      <c r="Q819" s="89" t="str">
        <f t="shared" si="145"/>
        <v/>
      </c>
      <c r="R819" s="89" t="str">
        <f t="shared" si="146"/>
        <v/>
      </c>
      <c r="S819" s="88" t="str">
        <f>IF(F819="Bao",[1]Setup!$B$4,IF(F819="Soup Dumplings",[1]Setup!$B$5,""))</f>
        <v/>
      </c>
      <c r="T819" s="88" t="str">
        <f t="shared" si="147"/>
        <v/>
      </c>
      <c r="U819" s="84" t="str">
        <f t="shared" si="148"/>
        <v/>
      </c>
      <c r="V819" s="88">
        <f>IF(U819="",0,MAX(0,T819)+N819+ROUND(J819*[1]Setup!$B$9,0)+IF(O819&gt;[1]Setup!$B$10,ROUND(J819*[1]Setup!$B$11,0),0))</f>
        <v>0</v>
      </c>
      <c r="W819" s="85" t="str">
        <f>IF(L819="","Open",IF(OR(P819&lt;[1]Setup!$B$6,Q819&gt;[1]Setup!$B$7,R819&gt;[1]Setup!$B$8,O819&gt;[1]Setup!$B$10),"Review","OK"))</f>
        <v>Open</v>
      </c>
      <c r="X819" s="86"/>
    </row>
    <row r="820" spans="1:24" x14ac:dyDescent="0.3">
      <c r="A820" s="84"/>
      <c r="B820" s="100">
        <f t="shared" si="140"/>
        <v>0</v>
      </c>
      <c r="C820" s="84" t="str">
        <f t="shared" si="141"/>
        <v>January</v>
      </c>
      <c r="D820" s="85" t="str">
        <f t="shared" si="139"/>
        <v/>
      </c>
      <c r="E820" s="86"/>
      <c r="F820" s="86"/>
      <c r="G820" s="86"/>
      <c r="H820" s="86"/>
      <c r="I820" s="87" t="str">
        <f>IF(F820=0,"",IF(COUNTIF(F820,"Bao"),[1]Setup!$B$4,IF(COUNTIF(F820,"Soup Dumplings"),[1]Setup!$B$5,F820)))</f>
        <v/>
      </c>
      <c r="J820" s="88" t="str">
        <f t="shared" si="143"/>
        <v/>
      </c>
      <c r="K820" s="88"/>
      <c r="L820" s="87"/>
      <c r="M820" s="87"/>
      <c r="N820" s="87"/>
      <c r="O820" s="87"/>
      <c r="P820" s="89" t="str">
        <f t="shared" si="144"/>
        <v/>
      </c>
      <c r="Q820" s="89" t="str">
        <f t="shared" si="145"/>
        <v/>
      </c>
      <c r="R820" s="89" t="str">
        <f t="shared" si="146"/>
        <v/>
      </c>
      <c r="S820" s="88" t="str">
        <f>IF(F820="Bao",[1]Setup!$B$4,IF(F820="Soup Dumplings",[1]Setup!$B$5,""))</f>
        <v/>
      </c>
      <c r="T820" s="88" t="str">
        <f t="shared" si="147"/>
        <v/>
      </c>
      <c r="U820" s="84" t="str">
        <f t="shared" si="148"/>
        <v/>
      </c>
      <c r="V820" s="88">
        <f>IF(U820="",0,MAX(0,T820)+N820+ROUND(J820*[1]Setup!$B$9,0)+IF(O820&gt;[1]Setup!$B$10,ROUND(J820*[1]Setup!$B$11,0),0))</f>
        <v>0</v>
      </c>
      <c r="W820" s="85" t="str">
        <f>IF(L820="","Open",IF(OR(P820&lt;[1]Setup!$B$6,Q820&gt;[1]Setup!$B$7,R820&gt;[1]Setup!$B$8,O820&gt;[1]Setup!$B$10),"Review","OK"))</f>
        <v>Open</v>
      </c>
      <c r="X820" s="86"/>
    </row>
    <row r="821" spans="1:24" x14ac:dyDescent="0.3">
      <c r="A821" s="84"/>
      <c r="B821" s="100">
        <f t="shared" si="140"/>
        <v>0</v>
      </c>
      <c r="C821" s="84" t="str">
        <f t="shared" si="141"/>
        <v>January</v>
      </c>
      <c r="D821" s="85" t="str">
        <f t="shared" si="139"/>
        <v/>
      </c>
      <c r="E821" s="86"/>
      <c r="F821" s="86"/>
      <c r="G821" s="86"/>
      <c r="H821" s="86"/>
      <c r="I821" s="87" t="str">
        <f>IF(F821=0,"",IF(COUNTIF(F821,"Bao"),[1]Setup!$B$4,IF(COUNTIF(F821,"Soup Dumplings"),[1]Setup!$B$5,F821)))</f>
        <v/>
      </c>
      <c r="J821" s="88" t="str">
        <f t="shared" si="143"/>
        <v/>
      </c>
      <c r="K821" s="88"/>
      <c r="L821" s="87"/>
      <c r="M821" s="87"/>
      <c r="N821" s="87"/>
      <c r="O821" s="87"/>
      <c r="P821" s="89" t="str">
        <f t="shared" si="144"/>
        <v/>
      </c>
      <c r="Q821" s="89" t="str">
        <f t="shared" si="145"/>
        <v/>
      </c>
      <c r="R821" s="89" t="str">
        <f t="shared" si="146"/>
        <v/>
      </c>
      <c r="S821" s="88" t="str">
        <f>IF(F821="Bao",[1]Setup!$B$4,IF(F821="Soup Dumplings",[1]Setup!$B$5,""))</f>
        <v/>
      </c>
      <c r="T821" s="88" t="str">
        <f t="shared" si="147"/>
        <v/>
      </c>
      <c r="U821" s="84" t="str">
        <f t="shared" si="148"/>
        <v/>
      </c>
      <c r="V821" s="88">
        <f>IF(U821="",0,MAX(0,T821)+N821+ROUND(J821*[1]Setup!$B$9,0)+IF(O821&gt;[1]Setup!$B$10,ROUND(J821*[1]Setup!$B$11,0),0))</f>
        <v>0</v>
      </c>
      <c r="W821" s="85" t="str">
        <f>IF(L821="","Open",IF(OR(P821&lt;[1]Setup!$B$6,Q821&gt;[1]Setup!$B$7,R821&gt;[1]Setup!$B$8,O821&gt;[1]Setup!$B$10),"Review","OK"))</f>
        <v>Open</v>
      </c>
      <c r="X821" s="86"/>
    </row>
    <row r="822" spans="1:24" x14ac:dyDescent="0.3">
      <c r="A822" s="84"/>
      <c r="B822" s="100">
        <f t="shared" si="140"/>
        <v>0</v>
      </c>
      <c r="C822" s="84" t="str">
        <f t="shared" si="141"/>
        <v>January</v>
      </c>
      <c r="D822" s="85" t="str">
        <f t="shared" si="139"/>
        <v/>
      </c>
      <c r="E822" s="86"/>
      <c r="F822" s="86"/>
      <c r="G822" s="86"/>
      <c r="H822" s="86"/>
      <c r="I822" s="87" t="str">
        <f>IF(F822=0,"",IF(COUNTIF(F822,"Bao"),[1]Setup!$B$4,IF(COUNTIF(F822,"Soup Dumplings"),[1]Setup!$B$5,F822)))</f>
        <v/>
      </c>
      <c r="J822" s="88" t="str">
        <f t="shared" si="143"/>
        <v/>
      </c>
      <c r="K822" s="88"/>
      <c r="L822" s="87"/>
      <c r="M822" s="87"/>
      <c r="N822" s="87"/>
      <c r="O822" s="87"/>
      <c r="P822" s="89" t="str">
        <f t="shared" si="144"/>
        <v/>
      </c>
      <c r="Q822" s="89" t="str">
        <f t="shared" si="145"/>
        <v/>
      </c>
      <c r="R822" s="89" t="str">
        <f t="shared" si="146"/>
        <v/>
      </c>
      <c r="S822" s="88" t="str">
        <f>IF(F822="Bao",[1]Setup!$B$4,IF(F822="Soup Dumplings",[1]Setup!$B$5,""))</f>
        <v/>
      </c>
      <c r="T822" s="88" t="str">
        <f t="shared" si="147"/>
        <v/>
      </c>
      <c r="U822" s="84" t="str">
        <f t="shared" si="148"/>
        <v/>
      </c>
      <c r="V822" s="88">
        <f>IF(U822="",0,MAX(0,T822)+N822+ROUND(J822*[1]Setup!$B$9,0)+IF(O822&gt;[1]Setup!$B$10,ROUND(J822*[1]Setup!$B$11,0),0))</f>
        <v>0</v>
      </c>
      <c r="W822" s="85" t="str">
        <f>IF(L822="","Open",IF(OR(P822&lt;[1]Setup!$B$6,Q822&gt;[1]Setup!$B$7,R822&gt;[1]Setup!$B$8,O822&gt;[1]Setup!$B$10),"Review","OK"))</f>
        <v>Open</v>
      </c>
      <c r="X822" s="86"/>
    </row>
    <row r="823" spans="1:24" x14ac:dyDescent="0.3">
      <c r="A823" s="84"/>
      <c r="B823" s="100">
        <f t="shared" si="140"/>
        <v>0</v>
      </c>
      <c r="C823" s="84" t="str">
        <f t="shared" si="141"/>
        <v>January</v>
      </c>
      <c r="D823" s="85" t="str">
        <f t="shared" si="139"/>
        <v/>
      </c>
      <c r="E823" s="86"/>
      <c r="F823" s="86"/>
      <c r="G823" s="86"/>
      <c r="H823" s="86"/>
      <c r="I823" s="87" t="str">
        <f>IF(F823=0,"",IF(COUNTIF(F823,"Bao"),[1]Setup!$B$4,IF(COUNTIF(F823,"Soup Dumplings"),[1]Setup!$B$5,F823)))</f>
        <v/>
      </c>
      <c r="J823" s="88" t="str">
        <f t="shared" si="143"/>
        <v/>
      </c>
      <c r="K823" s="88"/>
      <c r="L823" s="87"/>
      <c r="M823" s="87"/>
      <c r="N823" s="87"/>
      <c r="O823" s="87"/>
      <c r="P823" s="89" t="str">
        <f t="shared" si="144"/>
        <v/>
      </c>
      <c r="Q823" s="89" t="str">
        <f t="shared" si="145"/>
        <v/>
      </c>
      <c r="R823" s="89" t="str">
        <f t="shared" si="146"/>
        <v/>
      </c>
      <c r="S823" s="88" t="str">
        <f>IF(F823="Bao",[1]Setup!$B$4,IF(F823="Soup Dumplings",[1]Setup!$B$5,""))</f>
        <v/>
      </c>
      <c r="T823" s="88" t="str">
        <f t="shared" si="147"/>
        <v/>
      </c>
      <c r="U823" s="84" t="str">
        <f t="shared" si="148"/>
        <v/>
      </c>
      <c r="V823" s="88">
        <f>IF(U823="",0,MAX(0,T823)+N823+ROUND(J823*[1]Setup!$B$9,0)+IF(O823&gt;[1]Setup!$B$10,ROUND(J823*[1]Setup!$B$11,0),0))</f>
        <v>0</v>
      </c>
      <c r="W823" s="85" t="str">
        <f>IF(L823="","Open",IF(OR(P823&lt;[1]Setup!$B$6,Q823&gt;[1]Setup!$B$7,R823&gt;[1]Setup!$B$8,O823&gt;[1]Setup!$B$10),"Review","OK"))</f>
        <v>Open</v>
      </c>
      <c r="X823" s="86"/>
    </row>
    <row r="824" spans="1:24" x14ac:dyDescent="0.3">
      <c r="A824" s="84"/>
      <c r="B824" s="100">
        <f t="shared" si="140"/>
        <v>0</v>
      </c>
      <c r="C824" s="84" t="str">
        <f t="shared" si="141"/>
        <v>January</v>
      </c>
      <c r="D824" s="85" t="str">
        <f t="shared" si="139"/>
        <v/>
      </c>
      <c r="E824" s="86"/>
      <c r="F824" s="86"/>
      <c r="G824" s="86"/>
      <c r="H824" s="86"/>
      <c r="I824" s="87" t="str">
        <f>IF(F824=0,"",IF(COUNTIF(F824,"Bao"),[1]Setup!$B$4,IF(COUNTIF(F824,"Soup Dumplings"),[1]Setup!$B$5,F824)))</f>
        <v/>
      </c>
      <c r="J824" s="88" t="str">
        <f t="shared" si="143"/>
        <v/>
      </c>
      <c r="K824" s="88"/>
      <c r="L824" s="87"/>
      <c r="M824" s="87"/>
      <c r="N824" s="87"/>
      <c r="O824" s="87"/>
      <c r="P824" s="89" t="str">
        <f t="shared" si="144"/>
        <v/>
      </c>
      <c r="Q824" s="89" t="str">
        <f t="shared" si="145"/>
        <v/>
      </c>
      <c r="R824" s="89" t="str">
        <f t="shared" si="146"/>
        <v/>
      </c>
      <c r="S824" s="88" t="str">
        <f>IF(F824="Bao",[1]Setup!$B$4,IF(F824="Soup Dumplings",[1]Setup!$B$5,""))</f>
        <v/>
      </c>
      <c r="T824" s="88" t="str">
        <f t="shared" si="147"/>
        <v/>
      </c>
      <c r="U824" s="84" t="str">
        <f t="shared" si="148"/>
        <v/>
      </c>
      <c r="V824" s="88">
        <f>IF(U824="",0,MAX(0,T824)+N824+ROUND(J824*[1]Setup!$B$9,0)+IF(O824&gt;[1]Setup!$B$10,ROUND(J824*[1]Setup!$B$11,0),0))</f>
        <v>0</v>
      </c>
      <c r="W824" s="85" t="str">
        <f>IF(L824="","Open",IF(OR(P824&lt;[1]Setup!$B$6,Q824&gt;[1]Setup!$B$7,R824&gt;[1]Setup!$B$8,O824&gt;[1]Setup!$B$10),"Review","OK"))</f>
        <v>Open</v>
      </c>
      <c r="X824" s="86"/>
    </row>
    <row r="825" spans="1:24" x14ac:dyDescent="0.3">
      <c r="A825" s="84"/>
      <c r="B825" s="100">
        <f t="shared" si="140"/>
        <v>0</v>
      </c>
      <c r="C825" s="84" t="str">
        <f t="shared" si="141"/>
        <v>January</v>
      </c>
      <c r="D825" s="85" t="str">
        <f t="shared" si="139"/>
        <v/>
      </c>
      <c r="E825" s="86"/>
      <c r="F825" s="86"/>
      <c r="G825" s="86"/>
      <c r="H825" s="86"/>
      <c r="I825" s="87" t="str">
        <f>IF(F825=0,"",IF(COUNTIF(F825,"Bao"),[1]Setup!$B$4,IF(COUNTIF(F825,"Soup Dumplings"),[1]Setup!$B$5,F825)))</f>
        <v/>
      </c>
      <c r="J825" s="88" t="str">
        <f t="shared" si="143"/>
        <v/>
      </c>
      <c r="K825" s="88"/>
      <c r="L825" s="87"/>
      <c r="M825" s="87"/>
      <c r="N825" s="87"/>
      <c r="O825" s="87"/>
      <c r="P825" s="89" t="str">
        <f t="shared" si="144"/>
        <v/>
      </c>
      <c r="Q825" s="89" t="str">
        <f t="shared" si="145"/>
        <v/>
      </c>
      <c r="R825" s="89" t="str">
        <f t="shared" si="146"/>
        <v/>
      </c>
      <c r="S825" s="88" t="str">
        <f>IF(F825="Bao",[1]Setup!$B$4,IF(F825="Soup Dumplings",[1]Setup!$B$5,""))</f>
        <v/>
      </c>
      <c r="T825" s="88" t="str">
        <f t="shared" si="147"/>
        <v/>
      </c>
      <c r="U825" s="84" t="str">
        <f t="shared" si="148"/>
        <v/>
      </c>
      <c r="V825" s="88">
        <f>IF(U825="",0,MAX(0,T825)+N825+ROUND(J825*[1]Setup!$B$9,0)+IF(O825&gt;[1]Setup!$B$10,ROUND(J825*[1]Setup!$B$11,0),0))</f>
        <v>0</v>
      </c>
      <c r="W825" s="85" t="str">
        <f>IF(L825="","Open",IF(OR(P825&lt;[1]Setup!$B$6,Q825&gt;[1]Setup!$B$7,R825&gt;[1]Setup!$B$8,O825&gt;[1]Setup!$B$10),"Review","OK"))</f>
        <v>Open</v>
      </c>
      <c r="X825" s="86"/>
    </row>
    <row r="826" spans="1:24" x14ac:dyDescent="0.3">
      <c r="A826" s="84"/>
      <c r="B826" s="100">
        <f t="shared" si="140"/>
        <v>0</v>
      </c>
      <c r="C826" s="84" t="str">
        <f t="shared" si="141"/>
        <v>January</v>
      </c>
      <c r="D826" s="85" t="str">
        <f t="shared" si="139"/>
        <v/>
      </c>
      <c r="E826" s="86"/>
      <c r="F826" s="86"/>
      <c r="G826" s="86"/>
      <c r="H826" s="86"/>
      <c r="I826" s="87" t="str">
        <f>IF(F826=0,"",IF(COUNTIF(F826,"Bao"),[1]Setup!$B$4,IF(COUNTIF(F826,"Soup Dumplings"),[1]Setup!$B$5,F826)))</f>
        <v/>
      </c>
      <c r="J826" s="88" t="str">
        <f t="shared" si="143"/>
        <v/>
      </c>
      <c r="K826" s="88"/>
      <c r="L826" s="87"/>
      <c r="M826" s="87"/>
      <c r="N826" s="87"/>
      <c r="O826" s="87"/>
      <c r="P826" s="89" t="str">
        <f t="shared" si="144"/>
        <v/>
      </c>
      <c r="Q826" s="89" t="str">
        <f t="shared" si="145"/>
        <v/>
      </c>
      <c r="R826" s="89" t="str">
        <f t="shared" si="146"/>
        <v/>
      </c>
      <c r="S826" s="88" t="str">
        <f>IF(F826="Bao",[1]Setup!$B$4,IF(F826="Soup Dumplings",[1]Setup!$B$5,""))</f>
        <v/>
      </c>
      <c r="T826" s="88" t="str">
        <f t="shared" si="147"/>
        <v/>
      </c>
      <c r="U826" s="84" t="str">
        <f t="shared" si="148"/>
        <v/>
      </c>
      <c r="V826" s="88">
        <f>IF(U826="",0,MAX(0,T826)+N826+ROUND(J826*[1]Setup!$B$9,0)+IF(O826&gt;[1]Setup!$B$10,ROUND(J826*[1]Setup!$B$11,0),0))</f>
        <v>0</v>
      </c>
      <c r="W826" s="85" t="str">
        <f>IF(L826="","Open",IF(OR(P826&lt;[1]Setup!$B$6,Q826&gt;[1]Setup!$B$7,R826&gt;[1]Setup!$B$8,O826&gt;[1]Setup!$B$10),"Review","OK"))</f>
        <v>Open</v>
      </c>
      <c r="X826" s="86"/>
    </row>
    <row r="827" spans="1:24" x14ac:dyDescent="0.3">
      <c r="A827" s="84"/>
      <c r="B827" s="100">
        <f t="shared" si="140"/>
        <v>0</v>
      </c>
      <c r="C827" s="84" t="str">
        <f t="shared" si="141"/>
        <v>January</v>
      </c>
      <c r="D827" s="85" t="str">
        <f t="shared" si="139"/>
        <v/>
      </c>
      <c r="E827" s="86"/>
      <c r="F827" s="86"/>
      <c r="G827" s="86"/>
      <c r="H827" s="86"/>
      <c r="I827" s="87" t="str">
        <f>IF(F827=0,"",IF(COUNTIF(F827,"Bao"),[1]Setup!$B$4,IF(COUNTIF(F827,"Soup Dumplings"),[1]Setup!$B$5,F827)))</f>
        <v/>
      </c>
      <c r="J827" s="88" t="str">
        <f t="shared" si="143"/>
        <v/>
      </c>
      <c r="K827" s="88"/>
      <c r="L827" s="87"/>
      <c r="M827" s="87"/>
      <c r="N827" s="87"/>
      <c r="O827" s="87"/>
      <c r="P827" s="89" t="str">
        <f t="shared" si="144"/>
        <v/>
      </c>
      <c r="Q827" s="89" t="str">
        <f t="shared" si="145"/>
        <v/>
      </c>
      <c r="R827" s="89" t="str">
        <f t="shared" si="146"/>
        <v/>
      </c>
      <c r="S827" s="88" t="str">
        <f>IF(F827="Bao",[1]Setup!$B$4,IF(F827="Soup Dumplings",[1]Setup!$B$5,""))</f>
        <v/>
      </c>
      <c r="T827" s="88" t="str">
        <f t="shared" si="147"/>
        <v/>
      </c>
      <c r="U827" s="84" t="str">
        <f t="shared" si="148"/>
        <v/>
      </c>
      <c r="V827" s="88">
        <f>IF(U827="",0,MAX(0,T827)+N827+ROUND(J827*[1]Setup!$B$9,0)+IF(O827&gt;[1]Setup!$B$10,ROUND(J827*[1]Setup!$B$11,0),0))</f>
        <v>0</v>
      </c>
      <c r="W827" s="85" t="str">
        <f>IF(L827="","Open",IF(OR(P827&lt;[1]Setup!$B$6,Q827&gt;[1]Setup!$B$7,R827&gt;[1]Setup!$B$8,O827&gt;[1]Setup!$B$10),"Review","OK"))</f>
        <v>Open</v>
      </c>
      <c r="X827" s="86"/>
    </row>
    <row r="828" spans="1:24" x14ac:dyDescent="0.3">
      <c r="A828" s="84"/>
      <c r="B828" s="100">
        <f t="shared" si="140"/>
        <v>0</v>
      </c>
      <c r="C828" s="84" t="str">
        <f t="shared" si="141"/>
        <v>January</v>
      </c>
      <c r="D828" s="85" t="str">
        <f t="shared" si="139"/>
        <v/>
      </c>
      <c r="E828" s="86"/>
      <c r="F828" s="86"/>
      <c r="G828" s="86"/>
      <c r="H828" s="86"/>
      <c r="I828" s="87" t="str">
        <f>IF(F828=0,"",IF(COUNTIF(F828,"Bao"),[1]Setup!$B$4,IF(COUNTIF(F828,"Soup Dumplings"),[1]Setup!$B$5,F828)))</f>
        <v/>
      </c>
      <c r="J828" s="88" t="str">
        <f t="shared" si="143"/>
        <v/>
      </c>
      <c r="K828" s="88"/>
      <c r="L828" s="87"/>
      <c r="M828" s="87"/>
      <c r="N828" s="87"/>
      <c r="O828" s="87"/>
      <c r="P828" s="89" t="str">
        <f t="shared" si="144"/>
        <v/>
      </c>
      <c r="Q828" s="89" t="str">
        <f t="shared" si="145"/>
        <v/>
      </c>
      <c r="R828" s="89" t="str">
        <f t="shared" si="146"/>
        <v/>
      </c>
      <c r="S828" s="88" t="str">
        <f>IF(F828="Bao",[1]Setup!$B$4,IF(F828="Soup Dumplings",[1]Setup!$B$5,""))</f>
        <v/>
      </c>
      <c r="T828" s="88" t="str">
        <f t="shared" si="147"/>
        <v/>
      </c>
      <c r="U828" s="84" t="str">
        <f t="shared" si="148"/>
        <v/>
      </c>
      <c r="V828" s="88">
        <f>IF(U828="",0,MAX(0,T828)+N828+ROUND(J828*[1]Setup!$B$9,0)+IF(O828&gt;[1]Setup!$B$10,ROUND(J828*[1]Setup!$B$11,0),0))</f>
        <v>0</v>
      </c>
      <c r="W828" s="85" t="str">
        <f>IF(L828="","Open",IF(OR(P828&lt;[1]Setup!$B$6,Q828&gt;[1]Setup!$B$7,R828&gt;[1]Setup!$B$8,O828&gt;[1]Setup!$B$10),"Review","OK"))</f>
        <v>Open</v>
      </c>
      <c r="X828" s="86"/>
    </row>
    <row r="829" spans="1:24" x14ac:dyDescent="0.3">
      <c r="A829" s="84"/>
      <c r="B829" s="100">
        <f t="shared" si="140"/>
        <v>0</v>
      </c>
      <c r="C829" s="84" t="str">
        <f t="shared" si="141"/>
        <v>January</v>
      </c>
      <c r="D829" s="85" t="str">
        <f t="shared" si="139"/>
        <v/>
      </c>
      <c r="E829" s="86"/>
      <c r="F829" s="86"/>
      <c r="G829" s="86"/>
      <c r="H829" s="86"/>
      <c r="I829" s="87" t="str">
        <f>IF(F829=0,"",IF(COUNTIF(F829,"Bao"),[1]Setup!$B$4,IF(COUNTIF(F829,"Soup Dumplings"),[1]Setup!$B$5,F829)))</f>
        <v/>
      </c>
      <c r="J829" s="88" t="str">
        <f t="shared" si="143"/>
        <v/>
      </c>
      <c r="K829" s="88"/>
      <c r="L829" s="87"/>
      <c r="M829" s="87"/>
      <c r="N829" s="87"/>
      <c r="O829" s="87"/>
      <c r="P829" s="89" t="str">
        <f t="shared" si="144"/>
        <v/>
      </c>
      <c r="Q829" s="89" t="str">
        <f t="shared" si="145"/>
        <v/>
      </c>
      <c r="R829" s="89" t="str">
        <f t="shared" si="146"/>
        <v/>
      </c>
      <c r="S829" s="88" t="str">
        <f>IF(F829="Bao",[1]Setup!$B$4,IF(F829="Soup Dumplings",[1]Setup!$B$5,""))</f>
        <v/>
      </c>
      <c r="T829" s="88" t="str">
        <f t="shared" si="147"/>
        <v/>
      </c>
      <c r="U829" s="84" t="str">
        <f t="shared" si="148"/>
        <v/>
      </c>
      <c r="V829" s="88">
        <f>IF(U829="",0,MAX(0,T829)+N829+ROUND(J829*[1]Setup!$B$9,0)+IF(O829&gt;[1]Setup!$B$10,ROUND(J829*[1]Setup!$B$11,0),0))</f>
        <v>0</v>
      </c>
      <c r="W829" s="85" t="str">
        <f>IF(L829="","Open",IF(OR(P829&lt;[1]Setup!$B$6,Q829&gt;[1]Setup!$B$7,R829&gt;[1]Setup!$B$8,O829&gt;[1]Setup!$B$10),"Review","OK"))</f>
        <v>Open</v>
      </c>
      <c r="X829" s="86"/>
    </row>
    <row r="830" spans="1:24" x14ac:dyDescent="0.3">
      <c r="A830" s="84"/>
      <c r="B830" s="100">
        <f t="shared" si="140"/>
        <v>0</v>
      </c>
      <c r="C830" s="84" t="str">
        <f t="shared" si="141"/>
        <v>January</v>
      </c>
      <c r="D830" s="85" t="str">
        <f t="shared" si="139"/>
        <v/>
      </c>
      <c r="E830" s="86"/>
      <c r="F830" s="86"/>
      <c r="G830" s="86"/>
      <c r="H830" s="86"/>
      <c r="I830" s="87" t="str">
        <f>IF(F830=0,"",IF(COUNTIF(F830,"Bao"),[1]Setup!$B$4,IF(COUNTIF(F830,"Soup Dumplings"),[1]Setup!$B$5,F830)))</f>
        <v/>
      </c>
      <c r="J830" s="88" t="str">
        <f t="shared" si="143"/>
        <v/>
      </c>
      <c r="K830" s="88"/>
      <c r="L830" s="87"/>
      <c r="M830" s="87"/>
      <c r="N830" s="87"/>
      <c r="O830" s="87"/>
      <c r="P830" s="89" t="str">
        <f t="shared" si="144"/>
        <v/>
      </c>
      <c r="Q830" s="89" t="str">
        <f t="shared" si="145"/>
        <v/>
      </c>
      <c r="R830" s="89" t="str">
        <f t="shared" si="146"/>
        <v/>
      </c>
      <c r="S830" s="88" t="str">
        <f>IF(F830="Bao",[1]Setup!$B$4,IF(F830="Soup Dumplings",[1]Setup!$B$5,""))</f>
        <v/>
      </c>
      <c r="T830" s="88" t="str">
        <f t="shared" si="147"/>
        <v/>
      </c>
      <c r="U830" s="84" t="str">
        <f t="shared" si="148"/>
        <v/>
      </c>
      <c r="V830" s="88">
        <f>IF(U830="",0,MAX(0,T830)+N830+ROUND(J830*[1]Setup!$B$9,0)+IF(O830&gt;[1]Setup!$B$10,ROUND(J830*[1]Setup!$B$11,0),0))</f>
        <v>0</v>
      </c>
      <c r="W830" s="85" t="str">
        <f>IF(L830="","Open",IF(OR(P830&lt;[1]Setup!$B$6,Q830&gt;[1]Setup!$B$7,R830&gt;[1]Setup!$B$8,O830&gt;[1]Setup!$B$10),"Review","OK"))</f>
        <v>Open</v>
      </c>
      <c r="X830" s="86"/>
    </row>
    <row r="831" spans="1:24" x14ac:dyDescent="0.3">
      <c r="A831" s="84"/>
      <c r="B831" s="100">
        <f t="shared" si="140"/>
        <v>0</v>
      </c>
      <c r="C831" s="84" t="str">
        <f t="shared" si="141"/>
        <v>January</v>
      </c>
      <c r="D831" s="85" t="str">
        <f t="shared" si="139"/>
        <v/>
      </c>
      <c r="E831" s="86"/>
      <c r="F831" s="86"/>
      <c r="G831" s="86"/>
      <c r="H831" s="86"/>
      <c r="I831" s="87" t="str">
        <f>IF(F831=0,"",IF(COUNTIF(F831,"Bao"),[1]Setup!$B$4,IF(COUNTIF(F831,"Soup Dumplings"),[1]Setup!$B$5,F831)))</f>
        <v/>
      </c>
      <c r="J831" s="88" t="str">
        <f t="shared" si="143"/>
        <v/>
      </c>
      <c r="K831" s="88"/>
      <c r="L831" s="87"/>
      <c r="M831" s="87"/>
      <c r="N831" s="87"/>
      <c r="O831" s="87"/>
      <c r="P831" s="89" t="str">
        <f t="shared" si="144"/>
        <v/>
      </c>
      <c r="Q831" s="89" t="str">
        <f t="shared" si="145"/>
        <v/>
      </c>
      <c r="R831" s="89" t="str">
        <f t="shared" si="146"/>
        <v/>
      </c>
      <c r="S831" s="88" t="str">
        <f>IF(F831="Bao",[1]Setup!$B$4,IF(F831="Soup Dumplings",[1]Setup!$B$5,""))</f>
        <v/>
      </c>
      <c r="T831" s="88" t="str">
        <f t="shared" si="147"/>
        <v/>
      </c>
      <c r="U831" s="84" t="str">
        <f t="shared" si="148"/>
        <v/>
      </c>
      <c r="V831" s="88">
        <f>IF(U831="",0,MAX(0,T831)+N831+ROUND(J831*[1]Setup!$B$9,0)+IF(O831&gt;[1]Setup!$B$10,ROUND(J831*[1]Setup!$B$11,0),0))</f>
        <v>0</v>
      </c>
      <c r="W831" s="85" t="str">
        <f>IF(L831="","Open",IF(OR(P831&lt;[1]Setup!$B$6,Q831&gt;[1]Setup!$B$7,R831&gt;[1]Setup!$B$8,O831&gt;[1]Setup!$B$10),"Review","OK"))</f>
        <v>Open</v>
      </c>
      <c r="X831" s="86"/>
    </row>
    <row r="832" spans="1:24" x14ac:dyDescent="0.3">
      <c r="A832" s="84"/>
      <c r="B832" s="100">
        <f t="shared" si="140"/>
        <v>0</v>
      </c>
      <c r="C832" s="84" t="str">
        <f t="shared" si="141"/>
        <v>January</v>
      </c>
      <c r="D832" s="85" t="str">
        <f t="shared" si="139"/>
        <v/>
      </c>
      <c r="E832" s="86"/>
      <c r="F832" s="86"/>
      <c r="G832" s="86"/>
      <c r="H832" s="86"/>
      <c r="I832" s="87" t="str">
        <f>IF(F832=0,"",IF(COUNTIF(F832,"Bao"),[1]Setup!$B$4,IF(COUNTIF(F832,"Soup Dumplings"),[1]Setup!$B$5,F832)))</f>
        <v/>
      </c>
      <c r="J832" s="88" t="str">
        <f t="shared" si="143"/>
        <v/>
      </c>
      <c r="K832" s="88"/>
      <c r="L832" s="87"/>
      <c r="M832" s="87"/>
      <c r="N832" s="87"/>
      <c r="O832" s="87"/>
      <c r="P832" s="89" t="str">
        <f t="shared" si="144"/>
        <v/>
      </c>
      <c r="Q832" s="89" t="str">
        <f t="shared" si="145"/>
        <v/>
      </c>
      <c r="R832" s="89" t="str">
        <f t="shared" si="146"/>
        <v/>
      </c>
      <c r="S832" s="88" t="str">
        <f>IF(F832="Bao",[1]Setup!$B$4,IF(F832="Soup Dumplings",[1]Setup!$B$5,""))</f>
        <v/>
      </c>
      <c r="T832" s="88" t="str">
        <f t="shared" si="147"/>
        <v/>
      </c>
      <c r="U832" s="84" t="str">
        <f t="shared" si="148"/>
        <v/>
      </c>
      <c r="V832" s="88">
        <f>IF(U832="",0,MAX(0,T832)+N832+ROUND(J832*[1]Setup!$B$9,0)+IF(O832&gt;[1]Setup!$B$10,ROUND(J832*[1]Setup!$B$11,0),0))</f>
        <v>0</v>
      </c>
      <c r="W832" s="85" t="str">
        <f>IF(L832="","Open",IF(OR(P832&lt;[1]Setup!$B$6,Q832&gt;[1]Setup!$B$7,R832&gt;[1]Setup!$B$8,O832&gt;[1]Setup!$B$10),"Review","OK"))</f>
        <v>Open</v>
      </c>
      <c r="X832" s="86"/>
    </row>
    <row r="833" spans="1:24" x14ac:dyDescent="0.3">
      <c r="A833" s="84"/>
      <c r="B833" s="100">
        <f t="shared" si="140"/>
        <v>0</v>
      </c>
      <c r="C833" s="84" t="str">
        <f t="shared" si="141"/>
        <v>January</v>
      </c>
      <c r="D833" s="85" t="str">
        <f t="shared" si="139"/>
        <v/>
      </c>
      <c r="E833" s="86"/>
      <c r="F833" s="86"/>
      <c r="G833" s="86"/>
      <c r="H833" s="86"/>
      <c r="I833" s="87" t="str">
        <f>IF(F833=0,"",IF(COUNTIF(F833,"Bao"),[1]Setup!$B$4,IF(COUNTIF(F833,"Soup Dumplings"),[1]Setup!$B$5,F833)))</f>
        <v/>
      </c>
      <c r="J833" s="88" t="str">
        <f t="shared" si="143"/>
        <v/>
      </c>
      <c r="K833" s="88"/>
      <c r="L833" s="87"/>
      <c r="M833" s="87"/>
      <c r="N833" s="87"/>
      <c r="O833" s="87"/>
      <c r="P833" s="89" t="str">
        <f t="shared" si="144"/>
        <v/>
      </c>
      <c r="Q833" s="89" t="str">
        <f t="shared" si="145"/>
        <v/>
      </c>
      <c r="R833" s="89" t="str">
        <f t="shared" si="146"/>
        <v/>
      </c>
      <c r="S833" s="88" t="str">
        <f>IF(F833="Bao",[1]Setup!$B$4,IF(F833="Soup Dumplings",[1]Setup!$B$5,""))</f>
        <v/>
      </c>
      <c r="T833" s="88" t="str">
        <f t="shared" si="147"/>
        <v/>
      </c>
      <c r="U833" s="84" t="str">
        <f t="shared" si="148"/>
        <v/>
      </c>
      <c r="V833" s="88">
        <f>IF(U833="",0,MAX(0,T833)+N833+ROUND(J833*[1]Setup!$B$9,0)+IF(O833&gt;[1]Setup!$B$10,ROUND(J833*[1]Setup!$B$11,0),0))</f>
        <v>0</v>
      </c>
      <c r="W833" s="85" t="str">
        <f>IF(L833="","Open",IF(OR(P833&lt;[1]Setup!$B$6,Q833&gt;[1]Setup!$B$7,R833&gt;[1]Setup!$B$8,O833&gt;[1]Setup!$B$10),"Review","OK"))</f>
        <v>Open</v>
      </c>
      <c r="X833" s="86"/>
    </row>
    <row r="834" spans="1:24" x14ac:dyDescent="0.3">
      <c r="A834" s="84"/>
      <c r="B834" s="100">
        <f t="shared" si="140"/>
        <v>0</v>
      </c>
      <c r="C834" s="84" t="str">
        <f t="shared" si="141"/>
        <v>January</v>
      </c>
      <c r="D834" s="85" t="str">
        <f t="shared" si="139"/>
        <v/>
      </c>
      <c r="E834" s="86"/>
      <c r="F834" s="86"/>
      <c r="G834" s="86"/>
      <c r="H834" s="86"/>
      <c r="I834" s="87" t="str">
        <f>IF(F834=0,"",IF(COUNTIF(F834,"Bao"),[1]Setup!$B$4,IF(COUNTIF(F834,"Soup Dumplings"),[1]Setup!$B$5,F834)))</f>
        <v/>
      </c>
      <c r="J834" s="88" t="str">
        <f t="shared" si="143"/>
        <v/>
      </c>
      <c r="K834" s="88"/>
      <c r="L834" s="87"/>
      <c r="M834" s="87"/>
      <c r="N834" s="87"/>
      <c r="O834" s="87"/>
      <c r="P834" s="89" t="str">
        <f t="shared" si="144"/>
        <v/>
      </c>
      <c r="Q834" s="89" t="str">
        <f t="shared" si="145"/>
        <v/>
      </c>
      <c r="R834" s="89" t="str">
        <f t="shared" si="146"/>
        <v/>
      </c>
      <c r="S834" s="88" t="str">
        <f>IF(F834="Bao",[1]Setup!$B$4,IF(F834="Soup Dumplings",[1]Setup!$B$5,""))</f>
        <v/>
      </c>
      <c r="T834" s="88" t="str">
        <f t="shared" si="147"/>
        <v/>
      </c>
      <c r="U834" s="84" t="str">
        <f t="shared" si="148"/>
        <v/>
      </c>
      <c r="V834" s="88">
        <f>IF(U834="",0,MAX(0,T834)+N834+ROUND(J834*[1]Setup!$B$9,0)+IF(O834&gt;[1]Setup!$B$10,ROUND(J834*[1]Setup!$B$11,0),0))</f>
        <v>0</v>
      </c>
      <c r="W834" s="85" t="str">
        <f>IF(L834="","Open",IF(OR(P834&lt;[1]Setup!$B$6,Q834&gt;[1]Setup!$B$7,R834&gt;[1]Setup!$B$8,O834&gt;[1]Setup!$B$10),"Review","OK"))</f>
        <v>Open</v>
      </c>
      <c r="X834" s="86"/>
    </row>
    <row r="835" spans="1:24" x14ac:dyDescent="0.3">
      <c r="A835" s="84"/>
      <c r="B835" s="100">
        <f t="shared" si="140"/>
        <v>0</v>
      </c>
      <c r="C835" s="84" t="str">
        <f t="shared" si="141"/>
        <v>January</v>
      </c>
      <c r="D835" s="85" t="str">
        <f t="shared" si="139"/>
        <v/>
      </c>
      <c r="E835" s="86"/>
      <c r="F835" s="86"/>
      <c r="G835" s="86"/>
      <c r="H835" s="86"/>
      <c r="I835" s="87" t="str">
        <f>IF(F835=0,"",IF(COUNTIF(F835,"Bao"),[1]Setup!$B$4,IF(COUNTIF(F835,"Soup Dumplings"),[1]Setup!$B$5,F835)))</f>
        <v/>
      </c>
      <c r="J835" s="88" t="str">
        <f t="shared" si="143"/>
        <v/>
      </c>
      <c r="K835" s="88"/>
      <c r="L835" s="87"/>
      <c r="M835" s="87"/>
      <c r="N835" s="87"/>
      <c r="O835" s="87"/>
      <c r="P835" s="89" t="str">
        <f t="shared" si="144"/>
        <v/>
      </c>
      <c r="Q835" s="89" t="str">
        <f t="shared" si="145"/>
        <v/>
      </c>
      <c r="R835" s="89" t="str">
        <f t="shared" si="146"/>
        <v/>
      </c>
      <c r="S835" s="88" t="str">
        <f>IF(F835="Bao",[1]Setup!$B$4,IF(F835="Soup Dumplings",[1]Setup!$B$5,""))</f>
        <v/>
      </c>
      <c r="T835" s="88" t="str">
        <f t="shared" si="147"/>
        <v/>
      </c>
      <c r="U835" s="84" t="str">
        <f t="shared" si="148"/>
        <v/>
      </c>
      <c r="V835" s="88">
        <f>IF(U835="",0,MAX(0,T835)+N835+ROUND(J835*[1]Setup!$B$9,0)+IF(O835&gt;[1]Setup!$B$10,ROUND(J835*[1]Setup!$B$11,0),0))</f>
        <v>0</v>
      </c>
      <c r="W835" s="85" t="str">
        <f>IF(L835="","Open",IF(OR(P835&lt;[1]Setup!$B$6,Q835&gt;[1]Setup!$B$7,R835&gt;[1]Setup!$B$8,O835&gt;[1]Setup!$B$10),"Review","OK"))</f>
        <v>Open</v>
      </c>
      <c r="X835" s="86"/>
    </row>
    <row r="836" spans="1:24" x14ac:dyDescent="0.3">
      <c r="A836" s="84"/>
      <c r="B836" s="100">
        <f t="shared" si="140"/>
        <v>0</v>
      </c>
      <c r="C836" s="84" t="str">
        <f t="shared" si="141"/>
        <v>January</v>
      </c>
      <c r="D836" s="85" t="str">
        <f t="shared" ref="D836:D899" si="149">IF(A836="","",TEXT(A836,"ddd"))</f>
        <v/>
      </c>
      <c r="E836" s="86"/>
      <c r="F836" s="86"/>
      <c r="G836" s="86"/>
      <c r="H836" s="86"/>
      <c r="I836" s="87" t="str">
        <f>IF(F836=0,"",IF(COUNTIF(F836,"Bao"),[1]Setup!$B$4,IF(COUNTIF(F836,"Soup Dumplings"),[1]Setup!$B$5,F836)))</f>
        <v/>
      </c>
      <c r="J836" s="88" t="str">
        <f t="shared" si="143"/>
        <v/>
      </c>
      <c r="K836" s="88"/>
      <c r="L836" s="87"/>
      <c r="M836" s="87"/>
      <c r="N836" s="87"/>
      <c r="O836" s="87"/>
      <c r="P836" s="89" t="str">
        <f t="shared" si="144"/>
        <v/>
      </c>
      <c r="Q836" s="89" t="str">
        <f t="shared" si="145"/>
        <v/>
      </c>
      <c r="R836" s="89" t="str">
        <f t="shared" si="146"/>
        <v/>
      </c>
      <c r="S836" s="88" t="str">
        <f>IF(F836="Bao",[1]Setup!$B$4,IF(F836="Soup Dumplings",[1]Setup!$B$5,""))</f>
        <v/>
      </c>
      <c r="T836" s="88" t="str">
        <f t="shared" si="147"/>
        <v/>
      </c>
      <c r="U836" s="84" t="str">
        <f t="shared" si="148"/>
        <v/>
      </c>
      <c r="V836" s="88">
        <f>IF(U836="",0,MAX(0,T836)+N836+ROUND(J836*[1]Setup!$B$9,0)+IF(O836&gt;[1]Setup!$B$10,ROUND(J836*[1]Setup!$B$11,0),0))</f>
        <v>0</v>
      </c>
      <c r="W836" s="85" t="str">
        <f>IF(L836="","Open",IF(OR(P836&lt;[1]Setup!$B$6,Q836&gt;[1]Setup!$B$7,R836&gt;[1]Setup!$B$8,O836&gt;[1]Setup!$B$10),"Review","OK"))</f>
        <v>Open</v>
      </c>
      <c r="X836" s="86"/>
    </row>
    <row r="837" spans="1:24" x14ac:dyDescent="0.3">
      <c r="A837" s="84"/>
      <c r="B837" s="100">
        <f t="shared" ref="B837:B900" si="150">+WEEKNUM(A837)</f>
        <v>0</v>
      </c>
      <c r="C837" s="84" t="str">
        <f t="shared" ref="C837:C900" si="151">+TEXT(A837,"mmmm")</f>
        <v>January</v>
      </c>
      <c r="D837" s="85" t="str">
        <f t="shared" si="149"/>
        <v/>
      </c>
      <c r="E837" s="86"/>
      <c r="F837" s="86"/>
      <c r="G837" s="86"/>
      <c r="H837" s="86"/>
      <c r="I837" s="87" t="str">
        <f>IF(F837=0,"",IF(COUNTIF(F837,"Bao"),[1]Setup!$B$4,IF(COUNTIF(F837,"Soup Dumplings"),[1]Setup!$B$5,F837)))</f>
        <v/>
      </c>
      <c r="J837" s="88" t="str">
        <f t="shared" si="143"/>
        <v/>
      </c>
      <c r="K837" s="88"/>
      <c r="L837" s="87"/>
      <c r="M837" s="87"/>
      <c r="N837" s="87"/>
      <c r="O837" s="87"/>
      <c r="P837" s="89" t="str">
        <f t="shared" si="144"/>
        <v/>
      </c>
      <c r="Q837" s="89" t="str">
        <f t="shared" si="145"/>
        <v/>
      </c>
      <c r="R837" s="89" t="str">
        <f t="shared" si="146"/>
        <v/>
      </c>
      <c r="S837" s="88" t="str">
        <f>IF(F837="Bao",[1]Setup!$B$4,IF(F837="Soup Dumplings",[1]Setup!$B$5,""))</f>
        <v/>
      </c>
      <c r="T837" s="88" t="str">
        <f t="shared" si="147"/>
        <v/>
      </c>
      <c r="U837" s="84" t="str">
        <f t="shared" si="148"/>
        <v/>
      </c>
      <c r="V837" s="88">
        <f>IF(U837="",0,MAX(0,T837)+N837+ROUND(J837*[1]Setup!$B$9,0)+IF(O837&gt;[1]Setup!$B$10,ROUND(J837*[1]Setup!$B$11,0),0))</f>
        <v>0</v>
      </c>
      <c r="W837" s="85" t="str">
        <f>IF(L837="","Open",IF(OR(P837&lt;[1]Setup!$B$6,Q837&gt;[1]Setup!$B$7,R837&gt;[1]Setup!$B$8,O837&gt;[1]Setup!$B$10),"Review","OK"))</f>
        <v>Open</v>
      </c>
      <c r="X837" s="86"/>
    </row>
    <row r="838" spans="1:24" x14ac:dyDescent="0.3">
      <c r="A838" s="84"/>
      <c r="B838" s="100">
        <f t="shared" si="150"/>
        <v>0</v>
      </c>
      <c r="C838" s="84" t="str">
        <f t="shared" si="151"/>
        <v>January</v>
      </c>
      <c r="D838" s="85" t="str">
        <f t="shared" si="149"/>
        <v/>
      </c>
      <c r="E838" s="86"/>
      <c r="F838" s="86"/>
      <c r="G838" s="86"/>
      <c r="H838" s="86"/>
      <c r="I838" s="87" t="str">
        <f>IF(F838=0,"",IF(COUNTIF(F838,"Bao"),[1]Setup!$B$4,IF(COUNTIF(F838,"Soup Dumplings"),[1]Setup!$B$5,F838)))</f>
        <v/>
      </c>
      <c r="J838" s="88" t="str">
        <f t="shared" si="143"/>
        <v/>
      </c>
      <c r="K838" s="88"/>
      <c r="L838" s="87"/>
      <c r="M838" s="87"/>
      <c r="N838" s="87"/>
      <c r="O838" s="87"/>
      <c r="P838" s="89" t="str">
        <f t="shared" si="144"/>
        <v/>
      </c>
      <c r="Q838" s="89" t="str">
        <f t="shared" si="145"/>
        <v/>
      </c>
      <c r="R838" s="89" t="str">
        <f t="shared" si="146"/>
        <v/>
      </c>
      <c r="S838" s="88" t="str">
        <f>IF(F838="Bao",[1]Setup!$B$4,IF(F838="Soup Dumplings",[1]Setup!$B$5,""))</f>
        <v/>
      </c>
      <c r="T838" s="88" t="str">
        <f t="shared" si="147"/>
        <v/>
      </c>
      <c r="U838" s="84" t="str">
        <f t="shared" si="148"/>
        <v/>
      </c>
      <c r="V838" s="88">
        <f>IF(U838="",0,MAX(0,T838)+N838+ROUND(J838*[1]Setup!$B$9,0)+IF(O838&gt;[1]Setup!$B$10,ROUND(J838*[1]Setup!$B$11,0),0))</f>
        <v>0</v>
      </c>
      <c r="W838" s="85" t="str">
        <f>IF(L838="","Open",IF(OR(P838&lt;[1]Setup!$B$6,Q838&gt;[1]Setup!$B$7,R838&gt;[1]Setup!$B$8,O838&gt;[1]Setup!$B$10),"Review","OK"))</f>
        <v>Open</v>
      </c>
      <c r="X838" s="86"/>
    </row>
    <row r="839" spans="1:24" x14ac:dyDescent="0.3">
      <c r="A839" s="84"/>
      <c r="B839" s="100">
        <f t="shared" si="150"/>
        <v>0</v>
      </c>
      <c r="C839" s="84" t="str">
        <f t="shared" si="151"/>
        <v>January</v>
      </c>
      <c r="D839" s="85" t="str">
        <f t="shared" si="149"/>
        <v/>
      </c>
      <c r="E839" s="86"/>
      <c r="F839" s="86"/>
      <c r="G839" s="86"/>
      <c r="H839" s="86"/>
      <c r="I839" s="87" t="str">
        <f>IF(F839=0,"",IF(COUNTIF(F839,"Bao"),[1]Setup!$B$4,IF(COUNTIF(F839,"Soup Dumplings"),[1]Setup!$B$5,F839)))</f>
        <v/>
      </c>
      <c r="J839" s="88" t="str">
        <f t="shared" si="143"/>
        <v/>
      </c>
      <c r="K839" s="88"/>
      <c r="L839" s="87"/>
      <c r="M839" s="87"/>
      <c r="N839" s="87"/>
      <c r="O839" s="87"/>
      <c r="P839" s="89" t="str">
        <f t="shared" si="144"/>
        <v/>
      </c>
      <c r="Q839" s="89" t="str">
        <f t="shared" si="145"/>
        <v/>
      </c>
      <c r="R839" s="89" t="str">
        <f t="shared" si="146"/>
        <v/>
      </c>
      <c r="S839" s="88" t="str">
        <f>IF(F839="Bao",[1]Setup!$B$4,IF(F839="Soup Dumplings",[1]Setup!$B$5,""))</f>
        <v/>
      </c>
      <c r="T839" s="88" t="str">
        <f t="shared" si="147"/>
        <v/>
      </c>
      <c r="U839" s="84" t="str">
        <f t="shared" si="148"/>
        <v/>
      </c>
      <c r="V839" s="88">
        <f>IF(U839="",0,MAX(0,T839)+N839+ROUND(J839*[1]Setup!$B$9,0)+IF(O839&gt;[1]Setup!$B$10,ROUND(J839*[1]Setup!$B$11,0),0))</f>
        <v>0</v>
      </c>
      <c r="W839" s="85" t="str">
        <f>IF(L839="","Open",IF(OR(P839&lt;[1]Setup!$B$6,Q839&gt;[1]Setup!$B$7,R839&gt;[1]Setup!$B$8,O839&gt;[1]Setup!$B$10),"Review","OK"))</f>
        <v>Open</v>
      </c>
      <c r="X839" s="86"/>
    </row>
    <row r="840" spans="1:24" x14ac:dyDescent="0.3">
      <c r="A840" s="84"/>
      <c r="B840" s="100">
        <f t="shared" si="150"/>
        <v>0</v>
      </c>
      <c r="C840" s="84" t="str">
        <f t="shared" si="151"/>
        <v>January</v>
      </c>
      <c r="D840" s="85" t="str">
        <f t="shared" si="149"/>
        <v/>
      </c>
      <c r="E840" s="86"/>
      <c r="F840" s="86"/>
      <c r="G840" s="86"/>
      <c r="H840" s="86"/>
      <c r="I840" s="87" t="str">
        <f>IF(F840=0,"",IF(COUNTIF(F840,"Bao"),[1]Setup!$B$4,IF(COUNTIF(F840,"Soup Dumplings"),[1]Setup!$B$5,F840)))</f>
        <v/>
      </c>
      <c r="J840" s="88" t="str">
        <f t="shared" si="143"/>
        <v/>
      </c>
      <c r="K840" s="88"/>
      <c r="L840" s="87"/>
      <c r="M840" s="87"/>
      <c r="N840" s="87"/>
      <c r="O840" s="87"/>
      <c r="P840" s="89" t="str">
        <f t="shared" si="144"/>
        <v/>
      </c>
      <c r="Q840" s="89" t="str">
        <f t="shared" si="145"/>
        <v/>
      </c>
      <c r="R840" s="89" t="str">
        <f t="shared" si="146"/>
        <v/>
      </c>
      <c r="S840" s="88" t="str">
        <f>IF(F840="Bao",[1]Setup!$B$4,IF(F840="Soup Dumplings",[1]Setup!$B$5,""))</f>
        <v/>
      </c>
      <c r="T840" s="88" t="str">
        <f t="shared" si="147"/>
        <v/>
      </c>
      <c r="U840" s="84" t="str">
        <f t="shared" si="148"/>
        <v/>
      </c>
      <c r="V840" s="88">
        <f>IF(U840="",0,MAX(0,T840)+N840+ROUND(J840*[1]Setup!$B$9,0)+IF(O840&gt;[1]Setup!$B$10,ROUND(J840*[1]Setup!$B$11,0),0))</f>
        <v>0</v>
      </c>
      <c r="W840" s="85" t="str">
        <f>IF(L840="","Open",IF(OR(P840&lt;[1]Setup!$B$6,Q840&gt;[1]Setup!$B$7,R840&gt;[1]Setup!$B$8,O840&gt;[1]Setup!$B$10),"Review","OK"))</f>
        <v>Open</v>
      </c>
      <c r="X840" s="86"/>
    </row>
    <row r="841" spans="1:24" x14ac:dyDescent="0.3">
      <c r="A841" s="84"/>
      <c r="B841" s="100">
        <f t="shared" si="150"/>
        <v>0</v>
      </c>
      <c r="C841" s="84" t="str">
        <f t="shared" si="151"/>
        <v>January</v>
      </c>
      <c r="D841" s="85" t="str">
        <f t="shared" si="149"/>
        <v/>
      </c>
      <c r="E841" s="86"/>
      <c r="F841" s="86"/>
      <c r="G841" s="86"/>
      <c r="H841" s="86"/>
      <c r="I841" s="87" t="str">
        <f>IF(F841=0,"",IF(COUNTIF(F841,"Bao"),[1]Setup!$B$4,IF(COUNTIF(F841,"Soup Dumplings"),[1]Setup!$B$5,F841)))</f>
        <v/>
      </c>
      <c r="J841" s="88" t="str">
        <f t="shared" si="143"/>
        <v/>
      </c>
      <c r="K841" s="88"/>
      <c r="L841" s="87"/>
      <c r="M841" s="87"/>
      <c r="N841" s="87"/>
      <c r="O841" s="87"/>
      <c r="P841" s="89" t="str">
        <f t="shared" si="144"/>
        <v/>
      </c>
      <c r="Q841" s="89" t="str">
        <f t="shared" si="145"/>
        <v/>
      </c>
      <c r="R841" s="89" t="str">
        <f t="shared" si="146"/>
        <v/>
      </c>
      <c r="S841" s="88" t="str">
        <f>IF(F841="Bao",[1]Setup!$B$4,IF(F841="Soup Dumplings",[1]Setup!$B$5,""))</f>
        <v/>
      </c>
      <c r="T841" s="88" t="str">
        <f t="shared" si="147"/>
        <v/>
      </c>
      <c r="U841" s="84" t="str">
        <f t="shared" si="148"/>
        <v/>
      </c>
      <c r="V841" s="88">
        <f>IF(U841="",0,MAX(0,T841)+N841+ROUND(J841*[1]Setup!$B$9,0)+IF(O841&gt;[1]Setup!$B$10,ROUND(J841*[1]Setup!$B$11,0),0))</f>
        <v>0</v>
      </c>
      <c r="W841" s="85" t="str">
        <f>IF(L841="","Open",IF(OR(P841&lt;[1]Setup!$B$6,Q841&gt;[1]Setup!$B$7,R841&gt;[1]Setup!$B$8,O841&gt;[1]Setup!$B$10),"Review","OK"))</f>
        <v>Open</v>
      </c>
      <c r="X841" s="86"/>
    </row>
    <row r="842" spans="1:24" x14ac:dyDescent="0.3">
      <c r="A842" s="84"/>
      <c r="B842" s="100">
        <f t="shared" si="150"/>
        <v>0</v>
      </c>
      <c r="C842" s="84" t="str">
        <f t="shared" si="151"/>
        <v>January</v>
      </c>
      <c r="D842" s="85" t="str">
        <f t="shared" si="149"/>
        <v/>
      </c>
      <c r="E842" s="86"/>
      <c r="F842" s="86"/>
      <c r="G842" s="86"/>
      <c r="H842" s="86"/>
      <c r="I842" s="87" t="str">
        <f>IF(F842=0,"",IF(COUNTIF(F842,"Bao"),[1]Setup!$B$4,IF(COUNTIF(F842,"Soup Dumplings"),[1]Setup!$B$5,F842)))</f>
        <v/>
      </c>
      <c r="J842" s="88" t="str">
        <f t="shared" si="143"/>
        <v/>
      </c>
      <c r="K842" s="88"/>
      <c r="L842" s="87"/>
      <c r="M842" s="87"/>
      <c r="N842" s="87"/>
      <c r="O842" s="87"/>
      <c r="P842" s="89" t="str">
        <f t="shared" si="144"/>
        <v/>
      </c>
      <c r="Q842" s="89" t="str">
        <f t="shared" si="145"/>
        <v/>
      </c>
      <c r="R842" s="89" t="str">
        <f t="shared" si="146"/>
        <v/>
      </c>
      <c r="S842" s="88" t="str">
        <f>IF(F842="Bao",[1]Setup!$B$4,IF(F842="Soup Dumplings",[1]Setup!$B$5,""))</f>
        <v/>
      </c>
      <c r="T842" s="88" t="str">
        <f t="shared" si="147"/>
        <v/>
      </c>
      <c r="U842" s="84" t="str">
        <f t="shared" si="148"/>
        <v/>
      </c>
      <c r="V842" s="88">
        <f>IF(U842="",0,MAX(0,T842)+N842+ROUND(J842*[1]Setup!$B$9,0)+IF(O842&gt;[1]Setup!$B$10,ROUND(J842*[1]Setup!$B$11,0),0))</f>
        <v>0</v>
      </c>
      <c r="W842" s="85" t="str">
        <f>IF(L842="","Open",IF(OR(P842&lt;[1]Setup!$B$6,Q842&gt;[1]Setup!$B$7,R842&gt;[1]Setup!$B$8,O842&gt;[1]Setup!$B$10),"Review","OK"))</f>
        <v>Open</v>
      </c>
      <c r="X842" s="86"/>
    </row>
    <row r="843" spans="1:24" x14ac:dyDescent="0.3">
      <c r="A843" s="84"/>
      <c r="B843" s="100">
        <f t="shared" si="150"/>
        <v>0</v>
      </c>
      <c r="C843" s="84" t="str">
        <f t="shared" si="151"/>
        <v>January</v>
      </c>
      <c r="D843" s="85" t="str">
        <f t="shared" si="149"/>
        <v/>
      </c>
      <c r="E843" s="86"/>
      <c r="F843" s="86"/>
      <c r="G843" s="86"/>
      <c r="H843" s="86"/>
      <c r="I843" s="87" t="str">
        <f>IF(F843=0,"",IF(COUNTIF(F843,"Bao"),[1]Setup!$B$4,IF(COUNTIF(F843,"Soup Dumplings"),[1]Setup!$B$5,F843)))</f>
        <v/>
      </c>
      <c r="J843" s="88" t="str">
        <f t="shared" si="143"/>
        <v/>
      </c>
      <c r="K843" s="88"/>
      <c r="L843" s="87"/>
      <c r="M843" s="87"/>
      <c r="N843" s="87"/>
      <c r="O843" s="87"/>
      <c r="P843" s="89" t="str">
        <f t="shared" si="144"/>
        <v/>
      </c>
      <c r="Q843" s="89" t="str">
        <f t="shared" si="145"/>
        <v/>
      </c>
      <c r="R843" s="89" t="str">
        <f t="shared" si="146"/>
        <v/>
      </c>
      <c r="S843" s="88" t="str">
        <f>IF(F843="Bao",[1]Setup!$B$4,IF(F843="Soup Dumplings",[1]Setup!$B$5,""))</f>
        <v/>
      </c>
      <c r="T843" s="88" t="str">
        <f t="shared" si="147"/>
        <v/>
      </c>
      <c r="U843" s="84" t="str">
        <f t="shared" si="148"/>
        <v/>
      </c>
      <c r="V843" s="88">
        <f>IF(U843="",0,MAX(0,T843)+N843+ROUND(J843*[1]Setup!$B$9,0)+IF(O843&gt;[1]Setup!$B$10,ROUND(J843*[1]Setup!$B$11,0),0))</f>
        <v>0</v>
      </c>
      <c r="W843" s="85" t="str">
        <f>IF(L843="","Open",IF(OR(P843&lt;[1]Setup!$B$6,Q843&gt;[1]Setup!$B$7,R843&gt;[1]Setup!$B$8,O843&gt;[1]Setup!$B$10),"Review","OK"))</f>
        <v>Open</v>
      </c>
      <c r="X843" s="86"/>
    </row>
    <row r="844" spans="1:24" x14ac:dyDescent="0.3">
      <c r="A844" s="84"/>
      <c r="B844" s="100">
        <f t="shared" si="150"/>
        <v>0</v>
      </c>
      <c r="C844" s="84" t="str">
        <f t="shared" si="151"/>
        <v>January</v>
      </c>
      <c r="D844" s="85" t="str">
        <f t="shared" si="149"/>
        <v/>
      </c>
      <c r="E844" s="86"/>
      <c r="F844" s="86"/>
      <c r="G844" s="86"/>
      <c r="H844" s="86"/>
      <c r="I844" s="87" t="str">
        <f>IF(F844=0,"",IF(COUNTIF(F844,"Bao"),[1]Setup!$B$4,IF(COUNTIF(F844,"Soup Dumplings"),[1]Setup!$B$5,F844)))</f>
        <v/>
      </c>
      <c r="J844" s="88" t="str">
        <f t="shared" si="143"/>
        <v/>
      </c>
      <c r="K844" s="88"/>
      <c r="L844" s="87"/>
      <c r="M844" s="87"/>
      <c r="N844" s="87"/>
      <c r="O844" s="87"/>
      <c r="P844" s="89" t="str">
        <f t="shared" si="144"/>
        <v/>
      </c>
      <c r="Q844" s="89" t="str">
        <f t="shared" si="145"/>
        <v/>
      </c>
      <c r="R844" s="89" t="str">
        <f t="shared" si="146"/>
        <v/>
      </c>
      <c r="S844" s="88" t="str">
        <f>IF(F844="Bao",[1]Setup!$B$4,IF(F844="Soup Dumplings",[1]Setup!$B$5,""))</f>
        <v/>
      </c>
      <c r="T844" s="88" t="str">
        <f t="shared" si="147"/>
        <v/>
      </c>
      <c r="U844" s="84" t="str">
        <f t="shared" si="148"/>
        <v/>
      </c>
      <c r="V844" s="88">
        <f>IF(U844="",0,MAX(0,T844)+N844+ROUND(J844*[1]Setup!$B$9,0)+IF(O844&gt;[1]Setup!$B$10,ROUND(J844*[1]Setup!$B$11,0),0))</f>
        <v>0</v>
      </c>
      <c r="W844" s="85" t="str">
        <f>IF(L844="","Open",IF(OR(P844&lt;[1]Setup!$B$6,Q844&gt;[1]Setup!$B$7,R844&gt;[1]Setup!$B$8,O844&gt;[1]Setup!$B$10),"Review","OK"))</f>
        <v>Open</v>
      </c>
      <c r="X844" s="86"/>
    </row>
    <row r="845" spans="1:24" x14ac:dyDescent="0.3">
      <c r="A845" s="84"/>
      <c r="B845" s="100">
        <f t="shared" si="150"/>
        <v>0</v>
      </c>
      <c r="C845" s="84" t="str">
        <f t="shared" si="151"/>
        <v>January</v>
      </c>
      <c r="D845" s="85" t="str">
        <f t="shared" si="149"/>
        <v/>
      </c>
      <c r="E845" s="86"/>
      <c r="F845" s="86"/>
      <c r="G845" s="86"/>
      <c r="H845" s="86"/>
      <c r="I845" s="87" t="str">
        <f>IF(F845=0,"",IF(COUNTIF(F845,"Bao"),[1]Setup!$B$4,IF(COUNTIF(F845,"Soup Dumplings"),[1]Setup!$B$5,F845)))</f>
        <v/>
      </c>
      <c r="J845" s="88" t="str">
        <f t="shared" si="143"/>
        <v/>
      </c>
      <c r="K845" s="88"/>
      <c r="L845" s="87"/>
      <c r="M845" s="87"/>
      <c r="N845" s="87"/>
      <c r="O845" s="87"/>
      <c r="P845" s="89" t="str">
        <f t="shared" si="144"/>
        <v/>
      </c>
      <c r="Q845" s="89" t="str">
        <f t="shared" si="145"/>
        <v/>
      </c>
      <c r="R845" s="89" t="str">
        <f t="shared" si="146"/>
        <v/>
      </c>
      <c r="S845" s="88" t="str">
        <f>IF(F845="Bao",[1]Setup!$B$4,IF(F845="Soup Dumplings",[1]Setup!$B$5,""))</f>
        <v/>
      </c>
      <c r="T845" s="88" t="str">
        <f t="shared" si="147"/>
        <v/>
      </c>
      <c r="U845" s="84" t="str">
        <f t="shared" si="148"/>
        <v/>
      </c>
      <c r="V845" s="88">
        <f>IF(U845="",0,MAX(0,T845)+N845+ROUND(J845*[1]Setup!$B$9,0)+IF(O845&gt;[1]Setup!$B$10,ROUND(J845*[1]Setup!$B$11,0),0))</f>
        <v>0</v>
      </c>
      <c r="W845" s="85" t="str">
        <f>IF(L845="","Open",IF(OR(P845&lt;[1]Setup!$B$6,Q845&gt;[1]Setup!$B$7,R845&gt;[1]Setup!$B$8,O845&gt;[1]Setup!$B$10),"Review","OK"))</f>
        <v>Open</v>
      </c>
      <c r="X845" s="86"/>
    </row>
    <row r="846" spans="1:24" x14ac:dyDescent="0.3">
      <c r="A846" s="84"/>
      <c r="B846" s="100">
        <f t="shared" si="150"/>
        <v>0</v>
      </c>
      <c r="C846" s="84" t="str">
        <f t="shared" si="151"/>
        <v>January</v>
      </c>
      <c r="D846" s="85" t="str">
        <f t="shared" si="149"/>
        <v/>
      </c>
      <c r="E846" s="86"/>
      <c r="F846" s="86"/>
      <c r="G846" s="86"/>
      <c r="H846" s="86"/>
      <c r="I846" s="87" t="str">
        <f>IF(F846=0,"",IF(COUNTIF(F846,"Bao"),[1]Setup!$B$4,IF(COUNTIF(F846,"Soup Dumplings"),[1]Setup!$B$5,F846)))</f>
        <v/>
      </c>
      <c r="J846" s="88" t="str">
        <f t="shared" si="143"/>
        <v/>
      </c>
      <c r="K846" s="88"/>
      <c r="L846" s="87"/>
      <c r="M846" s="87"/>
      <c r="N846" s="87"/>
      <c r="O846" s="87"/>
      <c r="P846" s="89" t="str">
        <f t="shared" si="144"/>
        <v/>
      </c>
      <c r="Q846" s="89" t="str">
        <f t="shared" si="145"/>
        <v/>
      </c>
      <c r="R846" s="89" t="str">
        <f t="shared" si="146"/>
        <v/>
      </c>
      <c r="S846" s="88" t="str">
        <f>IF(F846="Bao",[1]Setup!$B$4,IF(F846="Soup Dumplings",[1]Setup!$B$5,""))</f>
        <v/>
      </c>
      <c r="T846" s="88" t="str">
        <f t="shared" si="147"/>
        <v/>
      </c>
      <c r="U846" s="84" t="str">
        <f t="shared" si="148"/>
        <v/>
      </c>
      <c r="V846" s="88">
        <f>IF(U846="",0,MAX(0,T846)+N846+ROUND(J846*[1]Setup!$B$9,0)+IF(O846&gt;[1]Setup!$B$10,ROUND(J846*[1]Setup!$B$11,0),0))</f>
        <v>0</v>
      </c>
      <c r="W846" s="85" t="str">
        <f>IF(L846="","Open",IF(OR(P846&lt;[1]Setup!$B$6,Q846&gt;[1]Setup!$B$7,R846&gt;[1]Setup!$B$8,O846&gt;[1]Setup!$B$10),"Review","OK"))</f>
        <v>Open</v>
      </c>
      <c r="X846" s="86"/>
    </row>
    <row r="847" spans="1:24" x14ac:dyDescent="0.3">
      <c r="A847" s="84"/>
      <c r="B847" s="100">
        <f t="shared" si="150"/>
        <v>0</v>
      </c>
      <c r="C847" s="84" t="str">
        <f t="shared" si="151"/>
        <v>January</v>
      </c>
      <c r="D847" s="85" t="str">
        <f t="shared" si="149"/>
        <v/>
      </c>
      <c r="E847" s="86"/>
      <c r="F847" s="86"/>
      <c r="G847" s="86"/>
      <c r="H847" s="86"/>
      <c r="I847" s="87" t="str">
        <f>IF(F847=0,"",IF(COUNTIF(F847,"Bao"),[1]Setup!$B$4,IF(COUNTIF(F847,"Soup Dumplings"),[1]Setup!$B$5,F847)))</f>
        <v/>
      </c>
      <c r="J847" s="88" t="str">
        <f t="shared" si="143"/>
        <v/>
      </c>
      <c r="K847" s="88"/>
      <c r="L847" s="87"/>
      <c r="M847" s="87"/>
      <c r="N847" s="87"/>
      <c r="O847" s="87"/>
      <c r="P847" s="89" t="str">
        <f t="shared" si="144"/>
        <v/>
      </c>
      <c r="Q847" s="89" t="str">
        <f t="shared" si="145"/>
        <v/>
      </c>
      <c r="R847" s="89" t="str">
        <f t="shared" si="146"/>
        <v/>
      </c>
      <c r="S847" s="88" t="str">
        <f>IF(F847="Bao",[1]Setup!$B$4,IF(F847="Soup Dumplings",[1]Setup!$B$5,""))</f>
        <v/>
      </c>
      <c r="T847" s="88" t="str">
        <f t="shared" si="147"/>
        <v/>
      </c>
      <c r="U847" s="84" t="str">
        <f t="shared" si="148"/>
        <v/>
      </c>
      <c r="V847" s="88">
        <f>IF(U847="",0,MAX(0,T847)+N847+ROUND(J847*[1]Setup!$B$9,0)+IF(O847&gt;[1]Setup!$B$10,ROUND(J847*[1]Setup!$B$11,0),0))</f>
        <v>0</v>
      </c>
      <c r="W847" s="85" t="str">
        <f>IF(L847="","Open",IF(OR(P847&lt;[1]Setup!$B$6,Q847&gt;[1]Setup!$B$7,R847&gt;[1]Setup!$B$8,O847&gt;[1]Setup!$B$10),"Review","OK"))</f>
        <v>Open</v>
      </c>
      <c r="X847" s="86"/>
    </row>
    <row r="848" spans="1:24" x14ac:dyDescent="0.3">
      <c r="A848" s="84"/>
      <c r="B848" s="100">
        <f t="shared" si="150"/>
        <v>0</v>
      </c>
      <c r="C848" s="84" t="str">
        <f t="shared" si="151"/>
        <v>January</v>
      </c>
      <c r="D848" s="85" t="str">
        <f t="shared" si="149"/>
        <v/>
      </c>
      <c r="E848" s="86"/>
      <c r="F848" s="86"/>
      <c r="G848" s="86"/>
      <c r="H848" s="86"/>
      <c r="I848" s="87" t="str">
        <f>IF(F848=0,"",IF(COUNTIF(F848,"Bao"),[1]Setup!$B$4,IF(COUNTIF(F848,"Soup Dumplings"),[1]Setup!$B$5,F848)))</f>
        <v/>
      </c>
      <c r="J848" s="88" t="str">
        <f t="shared" si="143"/>
        <v/>
      </c>
      <c r="K848" s="88"/>
      <c r="L848" s="87"/>
      <c r="M848" s="87"/>
      <c r="N848" s="87"/>
      <c r="O848" s="87"/>
      <c r="P848" s="89" t="str">
        <f t="shared" si="144"/>
        <v/>
      </c>
      <c r="Q848" s="89" t="str">
        <f t="shared" si="145"/>
        <v/>
      </c>
      <c r="R848" s="89" t="str">
        <f t="shared" si="146"/>
        <v/>
      </c>
      <c r="S848" s="88" t="str">
        <f>IF(F848="Bao",[1]Setup!$B$4,IF(F848="Soup Dumplings",[1]Setup!$B$5,""))</f>
        <v/>
      </c>
      <c r="T848" s="88" t="str">
        <f t="shared" si="147"/>
        <v/>
      </c>
      <c r="U848" s="84" t="str">
        <f t="shared" si="148"/>
        <v/>
      </c>
      <c r="V848" s="88">
        <f>IF(U848="",0,MAX(0,T848)+N848+ROUND(J848*[1]Setup!$B$9,0)+IF(O848&gt;[1]Setup!$B$10,ROUND(J848*[1]Setup!$B$11,0),0))</f>
        <v>0</v>
      </c>
      <c r="W848" s="85" t="str">
        <f>IF(L848="","Open",IF(OR(P848&lt;[1]Setup!$B$6,Q848&gt;[1]Setup!$B$7,R848&gt;[1]Setup!$B$8,O848&gt;[1]Setup!$B$10),"Review","OK"))</f>
        <v>Open</v>
      </c>
      <c r="X848" s="86"/>
    </row>
    <row r="849" spans="1:24" x14ac:dyDescent="0.3">
      <c r="A849" s="84"/>
      <c r="B849" s="100">
        <f t="shared" si="150"/>
        <v>0</v>
      </c>
      <c r="C849" s="84" t="str">
        <f t="shared" si="151"/>
        <v>January</v>
      </c>
      <c r="D849" s="85" t="str">
        <f t="shared" si="149"/>
        <v/>
      </c>
      <c r="E849" s="86"/>
      <c r="F849" s="86"/>
      <c r="G849" s="86"/>
      <c r="H849" s="86"/>
      <c r="I849" s="87" t="str">
        <f>IF(F849=0,"",IF(COUNTIF(F849,"Bao"),[1]Setup!$B$4,IF(COUNTIF(F849,"Soup Dumplings"),[1]Setup!$B$5,F849)))</f>
        <v/>
      </c>
      <c r="J849" s="88" t="str">
        <f t="shared" si="143"/>
        <v/>
      </c>
      <c r="K849" s="88"/>
      <c r="L849" s="87"/>
      <c r="M849" s="87"/>
      <c r="N849" s="87"/>
      <c r="O849" s="87"/>
      <c r="P849" s="89" t="str">
        <f t="shared" si="144"/>
        <v/>
      </c>
      <c r="Q849" s="89" t="str">
        <f t="shared" si="145"/>
        <v/>
      </c>
      <c r="R849" s="89" t="str">
        <f t="shared" si="146"/>
        <v/>
      </c>
      <c r="S849" s="88" t="str">
        <f>IF(F849="Bao",[1]Setup!$B$4,IF(F849="Soup Dumplings",[1]Setup!$B$5,""))</f>
        <v/>
      </c>
      <c r="T849" s="88" t="str">
        <f t="shared" si="147"/>
        <v/>
      </c>
      <c r="U849" s="84" t="str">
        <f t="shared" si="148"/>
        <v/>
      </c>
      <c r="V849" s="88">
        <f>IF(U849="",0,MAX(0,T849)+N849+ROUND(J849*[1]Setup!$B$9,0)+IF(O849&gt;[1]Setup!$B$10,ROUND(J849*[1]Setup!$B$11,0),0))</f>
        <v>0</v>
      </c>
      <c r="W849" s="85" t="str">
        <f>IF(L849="","Open",IF(OR(P849&lt;[1]Setup!$B$6,Q849&gt;[1]Setup!$B$7,R849&gt;[1]Setup!$B$8,O849&gt;[1]Setup!$B$10),"Review","OK"))</f>
        <v>Open</v>
      </c>
      <c r="X849" s="86"/>
    </row>
    <row r="850" spans="1:24" x14ac:dyDescent="0.3">
      <c r="A850" s="84"/>
      <c r="B850" s="100">
        <f t="shared" si="150"/>
        <v>0</v>
      </c>
      <c r="C850" s="84" t="str">
        <f t="shared" si="151"/>
        <v>January</v>
      </c>
      <c r="D850" s="85" t="str">
        <f t="shared" si="149"/>
        <v/>
      </c>
      <c r="E850" s="86"/>
      <c r="F850" s="86"/>
      <c r="G850" s="86"/>
      <c r="H850" s="86"/>
      <c r="I850" s="87" t="str">
        <f>IF(F850=0,"",IF(COUNTIF(F850,"Bao"),[1]Setup!$B$4,IF(COUNTIF(F850,"Soup Dumplings"),[1]Setup!$B$5,F850)))</f>
        <v/>
      </c>
      <c r="J850" s="88" t="str">
        <f t="shared" si="143"/>
        <v/>
      </c>
      <c r="K850" s="88"/>
      <c r="L850" s="87"/>
      <c r="M850" s="87"/>
      <c r="N850" s="87"/>
      <c r="O850" s="87"/>
      <c r="P850" s="89" t="str">
        <f t="shared" si="144"/>
        <v/>
      </c>
      <c r="Q850" s="89" t="str">
        <f t="shared" si="145"/>
        <v/>
      </c>
      <c r="R850" s="89" t="str">
        <f t="shared" si="146"/>
        <v/>
      </c>
      <c r="S850" s="88" t="str">
        <f>IF(F850="Bao",[1]Setup!$B$4,IF(F850="Soup Dumplings",[1]Setup!$B$5,""))</f>
        <v/>
      </c>
      <c r="T850" s="88" t="str">
        <f t="shared" si="147"/>
        <v/>
      </c>
      <c r="U850" s="84" t="str">
        <f t="shared" si="148"/>
        <v/>
      </c>
      <c r="V850" s="88">
        <f>IF(U850="",0,MAX(0,T850)+N850+ROUND(J850*[1]Setup!$B$9,0)+IF(O850&gt;[1]Setup!$B$10,ROUND(J850*[1]Setup!$B$11,0),0))</f>
        <v>0</v>
      </c>
      <c r="W850" s="85" t="str">
        <f>IF(L850="","Open",IF(OR(P850&lt;[1]Setup!$B$6,Q850&gt;[1]Setup!$B$7,R850&gt;[1]Setup!$B$8,O850&gt;[1]Setup!$B$10),"Review","OK"))</f>
        <v>Open</v>
      </c>
      <c r="X850" s="86"/>
    </row>
    <row r="851" spans="1:24" x14ac:dyDescent="0.3">
      <c r="A851" s="84"/>
      <c r="B851" s="100">
        <f t="shared" si="150"/>
        <v>0</v>
      </c>
      <c r="C851" s="84" t="str">
        <f t="shared" si="151"/>
        <v>January</v>
      </c>
      <c r="D851" s="85" t="str">
        <f t="shared" si="149"/>
        <v/>
      </c>
      <c r="E851" s="86"/>
      <c r="F851" s="86"/>
      <c r="G851" s="86"/>
      <c r="H851" s="86"/>
      <c r="I851" s="87" t="str">
        <f>IF(F851=0,"",IF(COUNTIF(F851,"Bao"),[1]Setup!$B$4,IF(COUNTIF(F851,"Soup Dumplings"),[1]Setup!$B$5,F851)))</f>
        <v/>
      </c>
      <c r="J851" s="88" t="str">
        <f t="shared" si="143"/>
        <v/>
      </c>
      <c r="K851" s="88"/>
      <c r="L851" s="87"/>
      <c r="M851" s="87"/>
      <c r="N851" s="87"/>
      <c r="O851" s="87"/>
      <c r="P851" s="89" t="str">
        <f t="shared" si="144"/>
        <v/>
      </c>
      <c r="Q851" s="89" t="str">
        <f t="shared" si="145"/>
        <v/>
      </c>
      <c r="R851" s="89" t="str">
        <f t="shared" si="146"/>
        <v/>
      </c>
      <c r="S851" s="88" t="str">
        <f>IF(F851="Bao",[1]Setup!$B$4,IF(F851="Soup Dumplings",[1]Setup!$B$5,""))</f>
        <v/>
      </c>
      <c r="T851" s="88" t="str">
        <f t="shared" si="147"/>
        <v/>
      </c>
      <c r="U851" s="84" t="str">
        <f t="shared" si="148"/>
        <v/>
      </c>
      <c r="V851" s="88">
        <f>IF(U851="",0,MAX(0,T851)+N851+ROUND(J851*[1]Setup!$B$9,0)+IF(O851&gt;[1]Setup!$B$10,ROUND(J851*[1]Setup!$B$11,0),0))</f>
        <v>0</v>
      </c>
      <c r="W851" s="85" t="str">
        <f>IF(L851="","Open",IF(OR(P851&lt;[1]Setup!$B$6,Q851&gt;[1]Setup!$B$7,R851&gt;[1]Setup!$B$8,O851&gt;[1]Setup!$B$10),"Review","OK"))</f>
        <v>Open</v>
      </c>
      <c r="X851" s="86"/>
    </row>
    <row r="852" spans="1:24" x14ac:dyDescent="0.3">
      <c r="A852" s="84"/>
      <c r="B852" s="100">
        <f t="shared" si="150"/>
        <v>0</v>
      </c>
      <c r="C852" s="84" t="str">
        <f t="shared" si="151"/>
        <v>January</v>
      </c>
      <c r="D852" s="85" t="str">
        <f t="shared" si="149"/>
        <v/>
      </c>
      <c r="E852" s="86"/>
      <c r="F852" s="86"/>
      <c r="G852" s="86"/>
      <c r="H852" s="86"/>
      <c r="I852" s="87" t="str">
        <f>IF(F852=0,"",IF(COUNTIF(F852,"Bao"),[1]Setup!$B$4,IF(COUNTIF(F852,"Soup Dumplings"),[1]Setup!$B$5,F852)))</f>
        <v/>
      </c>
      <c r="J852" s="88" t="str">
        <f t="shared" si="143"/>
        <v/>
      </c>
      <c r="K852" s="88"/>
      <c r="L852" s="87"/>
      <c r="M852" s="87"/>
      <c r="N852" s="87"/>
      <c r="O852" s="87"/>
      <c r="P852" s="89" t="str">
        <f t="shared" si="144"/>
        <v/>
      </c>
      <c r="Q852" s="89" t="str">
        <f t="shared" si="145"/>
        <v/>
      </c>
      <c r="R852" s="89" t="str">
        <f t="shared" si="146"/>
        <v/>
      </c>
      <c r="S852" s="88" t="str">
        <f>IF(F852="Bao",[1]Setup!$B$4,IF(F852="Soup Dumplings",[1]Setup!$B$5,""))</f>
        <v/>
      </c>
      <c r="T852" s="88" t="str">
        <f t="shared" si="147"/>
        <v/>
      </c>
      <c r="U852" s="84" t="str">
        <f t="shared" si="148"/>
        <v/>
      </c>
      <c r="V852" s="88">
        <f>IF(U852="",0,MAX(0,T852)+N852+ROUND(J852*[1]Setup!$B$9,0)+IF(O852&gt;[1]Setup!$B$10,ROUND(J852*[1]Setup!$B$11,0),0))</f>
        <v>0</v>
      </c>
      <c r="W852" s="85" t="str">
        <f>IF(L852="","Open",IF(OR(P852&lt;[1]Setup!$B$6,Q852&gt;[1]Setup!$B$7,R852&gt;[1]Setup!$B$8,O852&gt;[1]Setup!$B$10),"Review","OK"))</f>
        <v>Open</v>
      </c>
      <c r="X852" s="86"/>
    </row>
    <row r="853" spans="1:24" x14ac:dyDescent="0.3">
      <c r="A853" s="84"/>
      <c r="B853" s="100">
        <f t="shared" si="150"/>
        <v>0</v>
      </c>
      <c r="C853" s="84" t="str">
        <f t="shared" si="151"/>
        <v>January</v>
      </c>
      <c r="D853" s="85" t="str">
        <f t="shared" si="149"/>
        <v/>
      </c>
      <c r="E853" s="86"/>
      <c r="F853" s="86"/>
      <c r="G853" s="86"/>
      <c r="H853" s="86"/>
      <c r="I853" s="87" t="str">
        <f>IF(F853=0,"",IF(COUNTIF(F853,"Bao"),[1]Setup!$B$4,IF(COUNTIF(F853,"Soup Dumplings"),[1]Setup!$B$5,F853)))</f>
        <v/>
      </c>
      <c r="J853" s="88" t="str">
        <f t="shared" si="143"/>
        <v/>
      </c>
      <c r="K853" s="88"/>
      <c r="L853" s="87"/>
      <c r="M853" s="87"/>
      <c r="N853" s="87"/>
      <c r="O853" s="87"/>
      <c r="P853" s="89" t="str">
        <f t="shared" si="144"/>
        <v/>
      </c>
      <c r="Q853" s="89" t="str">
        <f t="shared" si="145"/>
        <v/>
      </c>
      <c r="R853" s="89" t="str">
        <f t="shared" si="146"/>
        <v/>
      </c>
      <c r="S853" s="88" t="str">
        <f>IF(F853="Bao",[1]Setup!$B$4,IF(F853="Soup Dumplings",[1]Setup!$B$5,""))</f>
        <v/>
      </c>
      <c r="T853" s="88" t="str">
        <f t="shared" si="147"/>
        <v/>
      </c>
      <c r="U853" s="84" t="str">
        <f t="shared" si="148"/>
        <v/>
      </c>
      <c r="V853" s="88">
        <f>IF(U853="",0,MAX(0,T853)+N853+ROUND(J853*[1]Setup!$B$9,0)+IF(O853&gt;[1]Setup!$B$10,ROUND(J853*[1]Setup!$B$11,0),0))</f>
        <v>0</v>
      </c>
      <c r="W853" s="85" t="str">
        <f>IF(L853="","Open",IF(OR(P853&lt;[1]Setup!$B$6,Q853&gt;[1]Setup!$B$7,R853&gt;[1]Setup!$B$8,O853&gt;[1]Setup!$B$10),"Review","OK"))</f>
        <v>Open</v>
      </c>
      <c r="X853" s="86"/>
    </row>
    <row r="854" spans="1:24" x14ac:dyDescent="0.3">
      <c r="A854" s="84"/>
      <c r="B854" s="100">
        <f t="shared" si="150"/>
        <v>0</v>
      </c>
      <c r="C854" s="84" t="str">
        <f t="shared" si="151"/>
        <v>January</v>
      </c>
      <c r="D854" s="85" t="str">
        <f t="shared" si="149"/>
        <v/>
      </c>
      <c r="E854" s="86"/>
      <c r="F854" s="86"/>
      <c r="G854" s="86"/>
      <c r="H854" s="86"/>
      <c r="I854" s="87" t="str">
        <f>IF(F854=0,"",IF(COUNTIF(F854,"Bao"),[1]Setup!$B$4,IF(COUNTIF(F854,"Soup Dumplings"),[1]Setup!$B$5,F854)))</f>
        <v/>
      </c>
      <c r="J854" s="88" t="str">
        <f t="shared" si="143"/>
        <v/>
      </c>
      <c r="K854" s="88"/>
      <c r="L854" s="87"/>
      <c r="M854" s="87"/>
      <c r="N854" s="87"/>
      <c r="O854" s="87"/>
      <c r="P854" s="89" t="str">
        <f t="shared" si="144"/>
        <v/>
      </c>
      <c r="Q854" s="89" t="str">
        <f t="shared" si="145"/>
        <v/>
      </c>
      <c r="R854" s="89" t="str">
        <f t="shared" si="146"/>
        <v/>
      </c>
      <c r="S854" s="88" t="str">
        <f>IF(F854="Bao",[1]Setup!$B$4,IF(F854="Soup Dumplings",[1]Setup!$B$5,""))</f>
        <v/>
      </c>
      <c r="T854" s="88" t="str">
        <f t="shared" si="147"/>
        <v/>
      </c>
      <c r="U854" s="84" t="str">
        <f t="shared" si="148"/>
        <v/>
      </c>
      <c r="V854" s="88">
        <f>IF(U854="",0,MAX(0,T854)+N854+ROUND(J854*[1]Setup!$B$9,0)+IF(O854&gt;[1]Setup!$B$10,ROUND(J854*[1]Setup!$B$11,0),0))</f>
        <v>0</v>
      </c>
      <c r="W854" s="85" t="str">
        <f>IF(L854="","Open",IF(OR(P854&lt;[1]Setup!$B$6,Q854&gt;[1]Setup!$B$7,R854&gt;[1]Setup!$B$8,O854&gt;[1]Setup!$B$10),"Review","OK"))</f>
        <v>Open</v>
      </c>
      <c r="X854" s="86"/>
    </row>
    <row r="855" spans="1:24" x14ac:dyDescent="0.3">
      <c r="A855" s="84"/>
      <c r="B855" s="100">
        <f t="shared" si="150"/>
        <v>0</v>
      </c>
      <c r="C855" s="84" t="str">
        <f t="shared" si="151"/>
        <v>January</v>
      </c>
      <c r="D855" s="85" t="str">
        <f t="shared" si="149"/>
        <v/>
      </c>
      <c r="E855" s="86"/>
      <c r="F855" s="86"/>
      <c r="G855" s="86"/>
      <c r="H855" s="86"/>
      <c r="I855" s="87" t="str">
        <f>IF(F855=0,"",IF(COUNTIF(F855,"Bao"),[1]Setup!$B$4,IF(COUNTIF(F855,"Soup Dumplings"),[1]Setup!$B$5,F855)))</f>
        <v/>
      </c>
      <c r="J855" s="88" t="str">
        <f t="shared" si="143"/>
        <v/>
      </c>
      <c r="K855" s="88"/>
      <c r="L855" s="87"/>
      <c r="M855" s="87"/>
      <c r="N855" s="87"/>
      <c r="O855" s="87"/>
      <c r="P855" s="89" t="str">
        <f t="shared" si="144"/>
        <v/>
      </c>
      <c r="Q855" s="89" t="str">
        <f t="shared" si="145"/>
        <v/>
      </c>
      <c r="R855" s="89" t="str">
        <f t="shared" si="146"/>
        <v/>
      </c>
      <c r="S855" s="88" t="str">
        <f>IF(F855="Bao",[1]Setup!$B$4,IF(F855="Soup Dumplings",[1]Setup!$B$5,""))</f>
        <v/>
      </c>
      <c r="T855" s="88" t="str">
        <f t="shared" si="147"/>
        <v/>
      </c>
      <c r="U855" s="84" t="str">
        <f t="shared" si="148"/>
        <v/>
      </c>
      <c r="V855" s="88">
        <f>IF(U855="",0,MAX(0,T855)+N855+ROUND(J855*[1]Setup!$B$9,0)+IF(O855&gt;[1]Setup!$B$10,ROUND(J855*[1]Setup!$B$11,0),0))</f>
        <v>0</v>
      </c>
      <c r="W855" s="85" t="str">
        <f>IF(L855="","Open",IF(OR(P855&lt;[1]Setup!$B$6,Q855&gt;[1]Setup!$B$7,R855&gt;[1]Setup!$B$8,O855&gt;[1]Setup!$B$10),"Review","OK"))</f>
        <v>Open</v>
      </c>
      <c r="X855" s="86"/>
    </row>
    <row r="856" spans="1:24" x14ac:dyDescent="0.3">
      <c r="A856" s="84"/>
      <c r="B856" s="100">
        <f t="shared" si="150"/>
        <v>0</v>
      </c>
      <c r="C856" s="84" t="str">
        <f t="shared" si="151"/>
        <v>January</v>
      </c>
      <c r="D856" s="85" t="str">
        <f t="shared" si="149"/>
        <v/>
      </c>
      <c r="E856" s="86"/>
      <c r="F856" s="86"/>
      <c r="G856" s="86"/>
      <c r="H856" s="86"/>
      <c r="I856" s="87" t="str">
        <f>IF(F856=0,"",IF(COUNTIF(F856,"Bao"),[1]Setup!$B$4,IF(COUNTIF(F856,"Soup Dumplings"),[1]Setup!$B$5,F856)))</f>
        <v/>
      </c>
      <c r="J856" s="88" t="str">
        <f t="shared" si="143"/>
        <v/>
      </c>
      <c r="K856" s="88"/>
      <c r="L856" s="87"/>
      <c r="M856" s="87"/>
      <c r="N856" s="87"/>
      <c r="O856" s="87"/>
      <c r="P856" s="89" t="str">
        <f t="shared" si="144"/>
        <v/>
      </c>
      <c r="Q856" s="89" t="str">
        <f t="shared" si="145"/>
        <v/>
      </c>
      <c r="R856" s="89" t="str">
        <f t="shared" si="146"/>
        <v/>
      </c>
      <c r="S856" s="88" t="str">
        <f>IF(F856="Bao",[1]Setup!$B$4,IF(F856="Soup Dumplings",[1]Setup!$B$5,""))</f>
        <v/>
      </c>
      <c r="T856" s="88" t="str">
        <f t="shared" si="147"/>
        <v/>
      </c>
      <c r="U856" s="84" t="str">
        <f t="shared" si="148"/>
        <v/>
      </c>
      <c r="V856" s="88">
        <f>IF(U856="",0,MAX(0,T856)+N856+ROUND(J856*[1]Setup!$B$9,0)+IF(O856&gt;[1]Setup!$B$10,ROUND(J856*[1]Setup!$B$11,0),0))</f>
        <v>0</v>
      </c>
      <c r="W856" s="85" t="str">
        <f>IF(L856="","Open",IF(OR(P856&lt;[1]Setup!$B$6,Q856&gt;[1]Setup!$B$7,R856&gt;[1]Setup!$B$8,O856&gt;[1]Setup!$B$10),"Review","OK"))</f>
        <v>Open</v>
      </c>
      <c r="X856" s="86"/>
    </row>
    <row r="857" spans="1:24" x14ac:dyDescent="0.3">
      <c r="A857" s="84"/>
      <c r="B857" s="100">
        <f t="shared" si="150"/>
        <v>0</v>
      </c>
      <c r="C857" s="84" t="str">
        <f t="shared" si="151"/>
        <v>January</v>
      </c>
      <c r="D857" s="85" t="str">
        <f t="shared" si="149"/>
        <v/>
      </c>
      <c r="E857" s="86"/>
      <c r="F857" s="86"/>
      <c r="G857" s="86"/>
      <c r="H857" s="86"/>
      <c r="I857" s="87" t="str">
        <f>IF(F857=0,"",IF(COUNTIF(F857,"Bao"),[1]Setup!$B$4,IF(COUNTIF(F857,"Soup Dumplings"),[1]Setup!$B$5,F857)))</f>
        <v/>
      </c>
      <c r="J857" s="88" t="str">
        <f t="shared" si="143"/>
        <v/>
      </c>
      <c r="K857" s="88"/>
      <c r="L857" s="87"/>
      <c r="M857" s="87"/>
      <c r="N857" s="87"/>
      <c r="O857" s="87"/>
      <c r="P857" s="89" t="str">
        <f t="shared" si="144"/>
        <v/>
      </c>
      <c r="Q857" s="89" t="str">
        <f t="shared" si="145"/>
        <v/>
      </c>
      <c r="R857" s="89" t="str">
        <f t="shared" si="146"/>
        <v/>
      </c>
      <c r="S857" s="88" t="str">
        <f>IF(F857="Bao",[1]Setup!$B$4,IF(F857="Soup Dumplings",[1]Setup!$B$5,""))</f>
        <v/>
      </c>
      <c r="T857" s="88" t="str">
        <f t="shared" si="147"/>
        <v/>
      </c>
      <c r="U857" s="84" t="str">
        <f t="shared" si="148"/>
        <v/>
      </c>
      <c r="V857" s="88">
        <f>IF(U857="",0,MAX(0,T857)+N857+ROUND(J857*[1]Setup!$B$9,0)+IF(O857&gt;[1]Setup!$B$10,ROUND(J857*[1]Setup!$B$11,0),0))</f>
        <v>0</v>
      </c>
      <c r="W857" s="85" t="str">
        <f>IF(L857="","Open",IF(OR(P857&lt;[1]Setup!$B$6,Q857&gt;[1]Setup!$B$7,R857&gt;[1]Setup!$B$8,O857&gt;[1]Setup!$B$10),"Review","OK"))</f>
        <v>Open</v>
      </c>
      <c r="X857" s="86"/>
    </row>
    <row r="858" spans="1:24" x14ac:dyDescent="0.3">
      <c r="A858" s="84"/>
      <c r="B858" s="100">
        <f t="shared" si="150"/>
        <v>0</v>
      </c>
      <c r="C858" s="84" t="str">
        <f t="shared" si="151"/>
        <v>January</v>
      </c>
      <c r="D858" s="85" t="str">
        <f t="shared" si="149"/>
        <v/>
      </c>
      <c r="E858" s="86"/>
      <c r="F858" s="86"/>
      <c r="G858" s="86"/>
      <c r="H858" s="86"/>
      <c r="I858" s="87" t="str">
        <f>IF(F858=0,"",IF(COUNTIF(F858,"Bao"),[1]Setup!$B$4,IF(COUNTIF(F858,"Soup Dumplings"),[1]Setup!$B$5,F858)))</f>
        <v/>
      </c>
      <c r="J858" s="88" t="str">
        <f t="shared" si="143"/>
        <v/>
      </c>
      <c r="K858" s="88"/>
      <c r="L858" s="87"/>
      <c r="M858" s="87"/>
      <c r="N858" s="87"/>
      <c r="O858" s="87"/>
      <c r="P858" s="89" t="str">
        <f t="shared" si="144"/>
        <v/>
      </c>
      <c r="Q858" s="89" t="str">
        <f t="shared" si="145"/>
        <v/>
      </c>
      <c r="R858" s="89" t="str">
        <f t="shared" si="146"/>
        <v/>
      </c>
      <c r="S858" s="88" t="str">
        <f>IF(F858="Bao",[1]Setup!$B$4,IF(F858="Soup Dumplings",[1]Setup!$B$5,""))</f>
        <v/>
      </c>
      <c r="T858" s="88" t="str">
        <f t="shared" si="147"/>
        <v/>
      </c>
      <c r="U858" s="84" t="str">
        <f t="shared" si="148"/>
        <v/>
      </c>
      <c r="V858" s="88">
        <f>IF(U858="",0,MAX(0,T858)+N858+ROUND(J858*[1]Setup!$B$9,0)+IF(O858&gt;[1]Setup!$B$10,ROUND(J858*[1]Setup!$B$11,0),0))</f>
        <v>0</v>
      </c>
      <c r="W858" s="85" t="str">
        <f>IF(L858="","Open",IF(OR(P858&lt;[1]Setup!$B$6,Q858&gt;[1]Setup!$B$7,R858&gt;[1]Setup!$B$8,O858&gt;[1]Setup!$B$10),"Review","OK"))</f>
        <v>Open</v>
      </c>
      <c r="X858" s="86"/>
    </row>
    <row r="859" spans="1:24" x14ac:dyDescent="0.3">
      <c r="A859" s="84"/>
      <c r="B859" s="100">
        <f t="shared" si="150"/>
        <v>0</v>
      </c>
      <c r="C859" s="84" t="str">
        <f t="shared" si="151"/>
        <v>January</v>
      </c>
      <c r="D859" s="85" t="str">
        <f t="shared" si="149"/>
        <v/>
      </c>
      <c r="E859" s="86"/>
      <c r="F859" s="86"/>
      <c r="G859" s="86"/>
      <c r="H859" s="86"/>
      <c r="I859" s="87" t="str">
        <f>IF(F859=0,"",IF(COUNTIF(F859,"Bao"),[1]Setup!$B$4,IF(COUNTIF(F859,"Soup Dumplings"),[1]Setup!$B$5,F859)))</f>
        <v/>
      </c>
      <c r="J859" s="88" t="str">
        <f t="shared" si="143"/>
        <v/>
      </c>
      <c r="K859" s="88"/>
      <c r="L859" s="87"/>
      <c r="M859" s="87"/>
      <c r="N859" s="87"/>
      <c r="O859" s="87"/>
      <c r="P859" s="89" t="str">
        <f t="shared" si="144"/>
        <v/>
      </c>
      <c r="Q859" s="89" t="str">
        <f t="shared" si="145"/>
        <v/>
      </c>
      <c r="R859" s="89" t="str">
        <f t="shared" si="146"/>
        <v/>
      </c>
      <c r="S859" s="88" t="str">
        <f>IF(F859="Bao",[1]Setup!$B$4,IF(F859="Soup Dumplings",[1]Setup!$B$5,""))</f>
        <v/>
      </c>
      <c r="T859" s="88" t="str">
        <f t="shared" si="147"/>
        <v/>
      </c>
      <c r="U859" s="84" t="str">
        <f t="shared" si="148"/>
        <v/>
      </c>
      <c r="V859" s="88">
        <f>IF(U859="",0,MAX(0,T859)+N859+ROUND(J859*[1]Setup!$B$9,0)+IF(O859&gt;[1]Setup!$B$10,ROUND(J859*[1]Setup!$B$11,0),0))</f>
        <v>0</v>
      </c>
      <c r="W859" s="85" t="str">
        <f>IF(L859="","Open",IF(OR(P859&lt;[1]Setup!$B$6,Q859&gt;[1]Setup!$B$7,R859&gt;[1]Setup!$B$8,O859&gt;[1]Setup!$B$10),"Review","OK"))</f>
        <v>Open</v>
      </c>
      <c r="X859" s="86"/>
    </row>
    <row r="860" spans="1:24" x14ac:dyDescent="0.3">
      <c r="A860" s="84"/>
      <c r="B860" s="100">
        <f t="shared" si="150"/>
        <v>0</v>
      </c>
      <c r="C860" s="84" t="str">
        <f t="shared" si="151"/>
        <v>January</v>
      </c>
      <c r="D860" s="85" t="str">
        <f t="shared" si="149"/>
        <v/>
      </c>
      <c r="E860" s="86"/>
      <c r="F860" s="86"/>
      <c r="G860" s="86"/>
      <c r="H860" s="86"/>
      <c r="I860" s="87" t="str">
        <f>IF(F860=0,"",IF(COUNTIF(F860,"Bao"),[1]Setup!$B$4,IF(COUNTIF(F860,"Soup Dumplings"),[1]Setup!$B$5,F860)))</f>
        <v/>
      </c>
      <c r="J860" s="88" t="str">
        <f t="shared" si="143"/>
        <v/>
      </c>
      <c r="K860" s="88"/>
      <c r="L860" s="87"/>
      <c r="M860" s="87"/>
      <c r="N860" s="87"/>
      <c r="O860" s="87"/>
      <c r="P860" s="89" t="str">
        <f t="shared" si="144"/>
        <v/>
      </c>
      <c r="Q860" s="89" t="str">
        <f t="shared" si="145"/>
        <v/>
      </c>
      <c r="R860" s="89" t="str">
        <f t="shared" si="146"/>
        <v/>
      </c>
      <c r="S860" s="88" t="str">
        <f>IF(F860="Bao",[1]Setup!$B$4,IF(F860="Soup Dumplings",[1]Setup!$B$5,""))</f>
        <v/>
      </c>
      <c r="T860" s="88" t="str">
        <f t="shared" si="147"/>
        <v/>
      </c>
      <c r="U860" s="84" t="str">
        <f t="shared" si="148"/>
        <v/>
      </c>
      <c r="V860" s="88">
        <f>IF(U860="",0,MAX(0,T860)+N860+ROUND(J860*[1]Setup!$B$9,0)+IF(O860&gt;[1]Setup!$B$10,ROUND(J860*[1]Setup!$B$11,0),0))</f>
        <v>0</v>
      </c>
      <c r="W860" s="85" t="str">
        <f>IF(L860="","Open",IF(OR(P860&lt;[1]Setup!$B$6,Q860&gt;[1]Setup!$B$7,R860&gt;[1]Setup!$B$8,O860&gt;[1]Setup!$B$10),"Review","OK"))</f>
        <v>Open</v>
      </c>
      <c r="X860" s="86"/>
    </row>
    <row r="861" spans="1:24" x14ac:dyDescent="0.3">
      <c r="A861" s="84"/>
      <c r="B861" s="100">
        <f t="shared" si="150"/>
        <v>0</v>
      </c>
      <c r="C861" s="84" t="str">
        <f t="shared" si="151"/>
        <v>January</v>
      </c>
      <c r="D861" s="85" t="str">
        <f t="shared" si="149"/>
        <v/>
      </c>
      <c r="E861" s="86"/>
      <c r="F861" s="86"/>
      <c r="G861" s="86"/>
      <c r="H861" s="86"/>
      <c r="I861" s="87" t="str">
        <f>IF(F861=0,"",IF(COUNTIF(F861,"Bao"),[1]Setup!$B$4,IF(COUNTIF(F861,"Soup Dumplings"),[1]Setup!$B$5,F861)))</f>
        <v/>
      </c>
      <c r="J861" s="88" t="str">
        <f t="shared" si="143"/>
        <v/>
      </c>
      <c r="K861" s="88"/>
      <c r="L861" s="87"/>
      <c r="M861" s="87"/>
      <c r="N861" s="87"/>
      <c r="O861" s="87"/>
      <c r="P861" s="89" t="str">
        <f t="shared" si="144"/>
        <v/>
      </c>
      <c r="Q861" s="89" t="str">
        <f t="shared" si="145"/>
        <v/>
      </c>
      <c r="R861" s="89" t="str">
        <f t="shared" si="146"/>
        <v/>
      </c>
      <c r="S861" s="88" t="str">
        <f>IF(F861="Bao",[1]Setup!$B$4,IF(F861="Soup Dumplings",[1]Setup!$B$5,""))</f>
        <v/>
      </c>
      <c r="T861" s="88" t="str">
        <f t="shared" si="147"/>
        <v/>
      </c>
      <c r="U861" s="84" t="str">
        <f t="shared" si="148"/>
        <v/>
      </c>
      <c r="V861" s="88">
        <f>IF(U861="",0,MAX(0,T861)+N861+ROUND(J861*[1]Setup!$B$9,0)+IF(O861&gt;[1]Setup!$B$10,ROUND(J861*[1]Setup!$B$11,0),0))</f>
        <v>0</v>
      </c>
      <c r="W861" s="85" t="str">
        <f>IF(L861="","Open",IF(OR(P861&lt;[1]Setup!$B$6,Q861&gt;[1]Setup!$B$7,R861&gt;[1]Setup!$B$8,O861&gt;[1]Setup!$B$10),"Review","OK"))</f>
        <v>Open</v>
      </c>
      <c r="X861" s="86"/>
    </row>
    <row r="862" spans="1:24" x14ac:dyDescent="0.3">
      <c r="A862" s="84"/>
      <c r="B862" s="100">
        <f t="shared" si="150"/>
        <v>0</v>
      </c>
      <c r="C862" s="84" t="str">
        <f t="shared" si="151"/>
        <v>January</v>
      </c>
      <c r="D862" s="85" t="str">
        <f t="shared" si="149"/>
        <v/>
      </c>
      <c r="E862" s="86"/>
      <c r="F862" s="86"/>
      <c r="G862" s="86"/>
      <c r="H862" s="86"/>
      <c r="I862" s="87" t="str">
        <f>IF(F862=0,"",IF(COUNTIF(F862,"Bao"),[1]Setup!$B$4,IF(COUNTIF(F862,"Soup Dumplings"),[1]Setup!$B$5,F862)))</f>
        <v/>
      </c>
      <c r="J862" s="88" t="str">
        <f t="shared" si="143"/>
        <v/>
      </c>
      <c r="K862" s="88"/>
      <c r="L862" s="87"/>
      <c r="M862" s="87"/>
      <c r="N862" s="87"/>
      <c r="O862" s="87"/>
      <c r="P862" s="89" t="str">
        <f t="shared" si="144"/>
        <v/>
      </c>
      <c r="Q862" s="89" t="str">
        <f t="shared" si="145"/>
        <v/>
      </c>
      <c r="R862" s="89" t="str">
        <f t="shared" si="146"/>
        <v/>
      </c>
      <c r="S862" s="88" t="str">
        <f>IF(F862="Bao",[1]Setup!$B$4,IF(F862="Soup Dumplings",[1]Setup!$B$5,""))</f>
        <v/>
      </c>
      <c r="T862" s="88" t="str">
        <f t="shared" si="147"/>
        <v/>
      </c>
      <c r="U862" s="84" t="str">
        <f t="shared" si="148"/>
        <v/>
      </c>
      <c r="V862" s="88">
        <f>IF(U862="",0,MAX(0,T862)+N862+ROUND(J862*[1]Setup!$B$9,0)+IF(O862&gt;[1]Setup!$B$10,ROUND(J862*[1]Setup!$B$11,0),0))</f>
        <v>0</v>
      </c>
      <c r="W862" s="85" t="str">
        <f>IF(L862="","Open",IF(OR(P862&lt;[1]Setup!$B$6,Q862&gt;[1]Setup!$B$7,R862&gt;[1]Setup!$B$8,O862&gt;[1]Setup!$B$10),"Review","OK"))</f>
        <v>Open</v>
      </c>
      <c r="X862" s="86"/>
    </row>
    <row r="863" spans="1:24" x14ac:dyDescent="0.3">
      <c r="A863" s="84"/>
      <c r="B863" s="100">
        <f t="shared" si="150"/>
        <v>0</v>
      </c>
      <c r="C863" s="84" t="str">
        <f t="shared" si="151"/>
        <v>January</v>
      </c>
      <c r="D863" s="85" t="str">
        <f t="shared" si="149"/>
        <v/>
      </c>
      <c r="E863" s="86"/>
      <c r="F863" s="86"/>
      <c r="G863" s="86"/>
      <c r="H863" s="86"/>
      <c r="I863" s="87" t="str">
        <f>IF(F863=0,"",IF(COUNTIF(F863,"Bao"),[1]Setup!$B$4,IF(COUNTIF(F863,"Soup Dumplings"),[1]Setup!$B$5,F863)))</f>
        <v/>
      </c>
      <c r="J863" s="88" t="str">
        <f t="shared" si="143"/>
        <v/>
      </c>
      <c r="K863" s="88"/>
      <c r="L863" s="87"/>
      <c r="M863" s="87"/>
      <c r="N863" s="87"/>
      <c r="O863" s="87"/>
      <c r="P863" s="89" t="str">
        <f t="shared" si="144"/>
        <v/>
      </c>
      <c r="Q863" s="89" t="str">
        <f t="shared" si="145"/>
        <v/>
      </c>
      <c r="R863" s="89" t="str">
        <f t="shared" si="146"/>
        <v/>
      </c>
      <c r="S863" s="88" t="str">
        <f>IF(F863="Bao",[1]Setup!$B$4,IF(F863="Soup Dumplings",[1]Setup!$B$5,""))</f>
        <v/>
      </c>
      <c r="T863" s="88" t="str">
        <f t="shared" si="147"/>
        <v/>
      </c>
      <c r="U863" s="84" t="str">
        <f t="shared" si="148"/>
        <v/>
      </c>
      <c r="V863" s="88">
        <f>IF(U863="",0,MAX(0,T863)+N863+ROUND(J863*[1]Setup!$B$9,0)+IF(O863&gt;[1]Setup!$B$10,ROUND(J863*[1]Setup!$B$11,0),0))</f>
        <v>0</v>
      </c>
      <c r="W863" s="85" t="str">
        <f>IF(L863="","Open",IF(OR(P863&lt;[1]Setup!$B$6,Q863&gt;[1]Setup!$B$7,R863&gt;[1]Setup!$B$8,O863&gt;[1]Setup!$B$10),"Review","OK"))</f>
        <v>Open</v>
      </c>
      <c r="X863" s="86"/>
    </row>
    <row r="864" spans="1:24" x14ac:dyDescent="0.3">
      <c r="A864" s="84"/>
      <c r="B864" s="100">
        <f t="shared" si="150"/>
        <v>0</v>
      </c>
      <c r="C864" s="84" t="str">
        <f t="shared" si="151"/>
        <v>January</v>
      </c>
      <c r="D864" s="85" t="str">
        <f t="shared" si="149"/>
        <v/>
      </c>
      <c r="E864" s="86"/>
      <c r="F864" s="86"/>
      <c r="G864" s="86"/>
      <c r="H864" s="86"/>
      <c r="I864" s="87" t="str">
        <f>IF(F864=0,"",IF(COUNTIF(F864,"Bao"),[1]Setup!$B$4,IF(COUNTIF(F864,"Soup Dumplings"),[1]Setup!$B$5,F864)))</f>
        <v/>
      </c>
      <c r="J864" s="88" t="str">
        <f t="shared" si="143"/>
        <v/>
      </c>
      <c r="K864" s="88"/>
      <c r="L864" s="87"/>
      <c r="M864" s="87"/>
      <c r="N864" s="87"/>
      <c r="O864" s="87"/>
      <c r="P864" s="89" t="str">
        <f t="shared" si="144"/>
        <v/>
      </c>
      <c r="Q864" s="89" t="str">
        <f t="shared" si="145"/>
        <v/>
      </c>
      <c r="R864" s="89" t="str">
        <f t="shared" si="146"/>
        <v/>
      </c>
      <c r="S864" s="88" t="str">
        <f>IF(F864="Bao",[1]Setup!$B$4,IF(F864="Soup Dumplings",[1]Setup!$B$5,""))</f>
        <v/>
      </c>
      <c r="T864" s="88" t="str">
        <f t="shared" si="147"/>
        <v/>
      </c>
      <c r="U864" s="84" t="str">
        <f t="shared" si="148"/>
        <v/>
      </c>
      <c r="V864" s="88">
        <f>IF(U864="",0,MAX(0,T864)+N864+ROUND(J864*[1]Setup!$B$9,0)+IF(O864&gt;[1]Setup!$B$10,ROUND(J864*[1]Setup!$B$11,0),0))</f>
        <v>0</v>
      </c>
      <c r="W864" s="85" t="str">
        <f>IF(L864="","Open",IF(OR(P864&lt;[1]Setup!$B$6,Q864&gt;[1]Setup!$B$7,R864&gt;[1]Setup!$B$8,O864&gt;[1]Setup!$B$10),"Review","OK"))</f>
        <v>Open</v>
      </c>
      <c r="X864" s="86"/>
    </row>
    <row r="865" spans="1:24" x14ac:dyDescent="0.3">
      <c r="A865" s="84"/>
      <c r="B865" s="100">
        <f t="shared" si="150"/>
        <v>0</v>
      </c>
      <c r="C865" s="84" t="str">
        <f t="shared" si="151"/>
        <v>January</v>
      </c>
      <c r="D865" s="85" t="str">
        <f t="shared" si="149"/>
        <v/>
      </c>
      <c r="E865" s="86"/>
      <c r="F865" s="86"/>
      <c r="G865" s="86"/>
      <c r="H865" s="86"/>
      <c r="I865" s="87" t="str">
        <f>IF(F865=0,"",IF(COUNTIF(F865,"Bao"),[1]Setup!$B$4,IF(COUNTIF(F865,"Soup Dumplings"),[1]Setup!$B$5,F865)))</f>
        <v/>
      </c>
      <c r="J865" s="88" t="str">
        <f t="shared" si="143"/>
        <v/>
      </c>
      <c r="K865" s="88"/>
      <c r="L865" s="87"/>
      <c r="M865" s="87"/>
      <c r="N865" s="87"/>
      <c r="O865" s="87"/>
      <c r="P865" s="89" t="str">
        <f t="shared" si="144"/>
        <v/>
      </c>
      <c r="Q865" s="89" t="str">
        <f t="shared" si="145"/>
        <v/>
      </c>
      <c r="R865" s="89" t="str">
        <f t="shared" si="146"/>
        <v/>
      </c>
      <c r="S865" s="88" t="str">
        <f>IF(F865="Bao",[1]Setup!$B$4,IF(F865="Soup Dumplings",[1]Setup!$B$5,""))</f>
        <v/>
      </c>
      <c r="T865" s="88" t="str">
        <f t="shared" si="147"/>
        <v/>
      </c>
      <c r="U865" s="84" t="str">
        <f t="shared" si="148"/>
        <v/>
      </c>
      <c r="V865" s="88">
        <f>IF(U865="",0,MAX(0,T865)+N865+ROUND(J865*[1]Setup!$B$9,0)+IF(O865&gt;[1]Setup!$B$10,ROUND(J865*[1]Setup!$B$11,0),0))</f>
        <v>0</v>
      </c>
      <c r="W865" s="85" t="str">
        <f>IF(L865="","Open",IF(OR(P865&lt;[1]Setup!$B$6,Q865&gt;[1]Setup!$B$7,R865&gt;[1]Setup!$B$8,O865&gt;[1]Setup!$B$10),"Review","OK"))</f>
        <v>Open</v>
      </c>
      <c r="X865" s="86"/>
    </row>
    <row r="866" spans="1:24" x14ac:dyDescent="0.3">
      <c r="A866" s="84"/>
      <c r="B866" s="100">
        <f t="shared" si="150"/>
        <v>0</v>
      </c>
      <c r="C866" s="84" t="str">
        <f t="shared" si="151"/>
        <v>January</v>
      </c>
      <c r="D866" s="85" t="str">
        <f t="shared" si="149"/>
        <v/>
      </c>
      <c r="E866" s="86"/>
      <c r="F866" s="86"/>
      <c r="G866" s="86"/>
      <c r="H866" s="86"/>
      <c r="I866" s="87" t="str">
        <f>IF(F866=0,"",IF(COUNTIF(F866,"Bao"),[1]Setup!$B$4,IF(COUNTIF(F866,"Soup Dumplings"),[1]Setup!$B$5,F866)))</f>
        <v/>
      </c>
      <c r="J866" s="88" t="str">
        <f t="shared" si="143"/>
        <v/>
      </c>
      <c r="K866" s="88"/>
      <c r="L866" s="87"/>
      <c r="M866" s="87"/>
      <c r="N866" s="87"/>
      <c r="O866" s="87"/>
      <c r="P866" s="89" t="str">
        <f t="shared" si="144"/>
        <v/>
      </c>
      <c r="Q866" s="89" t="str">
        <f t="shared" si="145"/>
        <v/>
      </c>
      <c r="R866" s="89" t="str">
        <f t="shared" si="146"/>
        <v/>
      </c>
      <c r="S866" s="88" t="str">
        <f>IF(F866="Bao",[1]Setup!$B$4,IF(F866="Soup Dumplings",[1]Setup!$B$5,""))</f>
        <v/>
      </c>
      <c r="T866" s="88" t="str">
        <f t="shared" si="147"/>
        <v/>
      </c>
      <c r="U866" s="84" t="str">
        <f t="shared" si="148"/>
        <v/>
      </c>
      <c r="V866" s="88">
        <f>IF(U866="",0,MAX(0,T866)+N866+ROUND(J866*[1]Setup!$B$9,0)+IF(O866&gt;[1]Setup!$B$10,ROUND(J866*[1]Setup!$B$11,0),0))</f>
        <v>0</v>
      </c>
      <c r="W866" s="85" t="str">
        <f>IF(L866="","Open",IF(OR(P866&lt;[1]Setup!$B$6,Q866&gt;[1]Setup!$B$7,R866&gt;[1]Setup!$B$8,O866&gt;[1]Setup!$B$10),"Review","OK"))</f>
        <v>Open</v>
      </c>
      <c r="X866" s="86"/>
    </row>
    <row r="867" spans="1:24" x14ac:dyDescent="0.3">
      <c r="A867" s="84"/>
      <c r="B867" s="100">
        <f t="shared" si="150"/>
        <v>0</v>
      </c>
      <c r="C867" s="84" t="str">
        <f t="shared" si="151"/>
        <v>January</v>
      </c>
      <c r="D867" s="85" t="str">
        <f t="shared" si="149"/>
        <v/>
      </c>
      <c r="E867" s="86"/>
      <c r="F867" s="86"/>
      <c r="G867" s="86"/>
      <c r="H867" s="86"/>
      <c r="I867" s="87" t="str">
        <f>IF(F867=0,"",IF(COUNTIF(F867,"Bao"),[1]Setup!$B$4,IF(COUNTIF(F867,"Soup Dumplings"),[1]Setup!$B$5,F867)))</f>
        <v/>
      </c>
      <c r="J867" s="88" t="str">
        <f t="shared" si="143"/>
        <v/>
      </c>
      <c r="K867" s="88"/>
      <c r="L867" s="87"/>
      <c r="M867" s="87"/>
      <c r="N867" s="87"/>
      <c r="O867" s="87"/>
      <c r="P867" s="89" t="str">
        <f t="shared" si="144"/>
        <v/>
      </c>
      <c r="Q867" s="89" t="str">
        <f t="shared" si="145"/>
        <v/>
      </c>
      <c r="R867" s="89" t="str">
        <f t="shared" si="146"/>
        <v/>
      </c>
      <c r="S867" s="88" t="str">
        <f>IF(F867="Bao",[1]Setup!$B$4,IF(F867="Soup Dumplings",[1]Setup!$B$5,""))</f>
        <v/>
      </c>
      <c r="T867" s="88" t="str">
        <f t="shared" si="147"/>
        <v/>
      </c>
      <c r="U867" s="84" t="str">
        <f t="shared" si="148"/>
        <v/>
      </c>
      <c r="V867" s="88">
        <f>IF(U867="",0,MAX(0,T867)+N867+ROUND(J867*[1]Setup!$B$9,0)+IF(O867&gt;[1]Setup!$B$10,ROUND(J867*[1]Setup!$B$11,0),0))</f>
        <v>0</v>
      </c>
      <c r="W867" s="85" t="str">
        <f>IF(L867="","Open",IF(OR(P867&lt;[1]Setup!$B$6,Q867&gt;[1]Setup!$B$7,R867&gt;[1]Setup!$B$8,O867&gt;[1]Setup!$B$10),"Review","OK"))</f>
        <v>Open</v>
      </c>
      <c r="X867" s="86"/>
    </row>
    <row r="868" spans="1:24" x14ac:dyDescent="0.3">
      <c r="A868" s="84"/>
      <c r="B868" s="100">
        <f t="shared" si="150"/>
        <v>0</v>
      </c>
      <c r="C868" s="84" t="str">
        <f t="shared" si="151"/>
        <v>January</v>
      </c>
      <c r="D868" s="85" t="str">
        <f t="shared" si="149"/>
        <v/>
      </c>
      <c r="E868" s="86"/>
      <c r="F868" s="86"/>
      <c r="G868" s="86"/>
      <c r="H868" s="86"/>
      <c r="I868" s="87" t="str">
        <f>IF(F868=0,"",IF(COUNTIF(F868,"Bao"),[1]Setup!$B$4,IF(COUNTIF(F868,"Soup Dumplings"),[1]Setup!$B$5,F868)))</f>
        <v/>
      </c>
      <c r="J868" s="88" t="str">
        <f t="shared" si="143"/>
        <v/>
      </c>
      <c r="K868" s="88"/>
      <c r="L868" s="87"/>
      <c r="M868" s="87"/>
      <c r="N868" s="87"/>
      <c r="O868" s="87"/>
      <c r="P868" s="89" t="str">
        <f t="shared" si="144"/>
        <v/>
      </c>
      <c r="Q868" s="89" t="str">
        <f t="shared" si="145"/>
        <v/>
      </c>
      <c r="R868" s="89" t="str">
        <f t="shared" si="146"/>
        <v/>
      </c>
      <c r="S868" s="88" t="str">
        <f>IF(F868="Bao",[1]Setup!$B$4,IF(F868="Soup Dumplings",[1]Setup!$B$5,""))</f>
        <v/>
      </c>
      <c r="T868" s="88" t="str">
        <f t="shared" si="147"/>
        <v/>
      </c>
      <c r="U868" s="84" t="str">
        <f t="shared" si="148"/>
        <v/>
      </c>
      <c r="V868" s="88">
        <f>IF(U868="",0,MAX(0,T868)+N868+ROUND(J868*[1]Setup!$B$9,0)+IF(O868&gt;[1]Setup!$B$10,ROUND(J868*[1]Setup!$B$11,0),0))</f>
        <v>0</v>
      </c>
      <c r="W868" s="85" t="str">
        <f>IF(L868="","Open",IF(OR(P868&lt;[1]Setup!$B$6,Q868&gt;[1]Setup!$B$7,R868&gt;[1]Setup!$B$8,O868&gt;[1]Setup!$B$10),"Review","OK"))</f>
        <v>Open</v>
      </c>
      <c r="X868" s="86"/>
    </row>
    <row r="869" spans="1:24" x14ac:dyDescent="0.3">
      <c r="A869" s="84"/>
      <c r="B869" s="100">
        <f t="shared" si="150"/>
        <v>0</v>
      </c>
      <c r="C869" s="84" t="str">
        <f t="shared" si="151"/>
        <v>January</v>
      </c>
      <c r="D869" s="85" t="str">
        <f t="shared" si="149"/>
        <v/>
      </c>
      <c r="E869" s="86"/>
      <c r="F869" s="86"/>
      <c r="G869" s="86"/>
      <c r="H869" s="86"/>
      <c r="I869" s="87" t="str">
        <f>IF(F869=0,"",IF(COUNTIF(F869,"Bao"),[1]Setup!$B$4,IF(COUNTIF(F869,"Soup Dumplings"),[1]Setup!$B$5,F869)))</f>
        <v/>
      </c>
      <c r="J869" s="88" t="str">
        <f t="shared" si="143"/>
        <v/>
      </c>
      <c r="K869" s="88"/>
      <c r="L869" s="87"/>
      <c r="M869" s="87"/>
      <c r="N869" s="87"/>
      <c r="O869" s="87"/>
      <c r="P869" s="89" t="str">
        <f t="shared" si="144"/>
        <v/>
      </c>
      <c r="Q869" s="89" t="str">
        <f t="shared" si="145"/>
        <v/>
      </c>
      <c r="R869" s="89" t="str">
        <f t="shared" si="146"/>
        <v/>
      </c>
      <c r="S869" s="88" t="str">
        <f>IF(F869="Bao",[1]Setup!$B$4,IF(F869="Soup Dumplings",[1]Setup!$B$5,""))</f>
        <v/>
      </c>
      <c r="T869" s="88" t="str">
        <f t="shared" si="147"/>
        <v/>
      </c>
      <c r="U869" s="84" t="str">
        <f t="shared" si="148"/>
        <v/>
      </c>
      <c r="V869" s="88">
        <f>IF(U869="",0,MAX(0,T869)+N869+ROUND(J869*[1]Setup!$B$9,0)+IF(O869&gt;[1]Setup!$B$10,ROUND(J869*[1]Setup!$B$11,0),0))</f>
        <v>0</v>
      </c>
      <c r="W869" s="85" t="str">
        <f>IF(L869="","Open",IF(OR(P869&lt;[1]Setup!$B$6,Q869&gt;[1]Setup!$B$7,R869&gt;[1]Setup!$B$8,O869&gt;[1]Setup!$B$10),"Review","OK"))</f>
        <v>Open</v>
      </c>
      <c r="X869" s="86"/>
    </row>
    <row r="870" spans="1:24" x14ac:dyDescent="0.3">
      <c r="A870" s="84"/>
      <c r="B870" s="100">
        <f t="shared" si="150"/>
        <v>0</v>
      </c>
      <c r="C870" s="84" t="str">
        <f t="shared" si="151"/>
        <v>January</v>
      </c>
      <c r="D870" s="85" t="str">
        <f t="shared" si="149"/>
        <v/>
      </c>
      <c r="E870" s="86"/>
      <c r="F870" s="86"/>
      <c r="G870" s="86"/>
      <c r="H870" s="86"/>
      <c r="I870" s="87" t="str">
        <f>IF(F870=0,"",IF(COUNTIF(F870,"Bao"),[1]Setup!$B$4,IF(COUNTIF(F870,"Soup Dumplings"),[1]Setup!$B$5,F870)))</f>
        <v/>
      </c>
      <c r="J870" s="88" t="str">
        <f t="shared" si="143"/>
        <v/>
      </c>
      <c r="K870" s="88"/>
      <c r="L870" s="87"/>
      <c r="M870" s="87"/>
      <c r="N870" s="87"/>
      <c r="O870" s="87"/>
      <c r="P870" s="89" t="str">
        <f t="shared" si="144"/>
        <v/>
      </c>
      <c r="Q870" s="89" t="str">
        <f t="shared" si="145"/>
        <v/>
      </c>
      <c r="R870" s="89" t="str">
        <f t="shared" si="146"/>
        <v/>
      </c>
      <c r="S870" s="88" t="str">
        <f>IF(F870="Bao",[1]Setup!$B$4,IF(F870="Soup Dumplings",[1]Setup!$B$5,""))</f>
        <v/>
      </c>
      <c r="T870" s="88" t="str">
        <f t="shared" si="147"/>
        <v/>
      </c>
      <c r="U870" s="84" t="str">
        <f t="shared" si="148"/>
        <v/>
      </c>
      <c r="V870" s="88">
        <f>IF(U870="",0,MAX(0,T870)+N870+ROUND(J870*[1]Setup!$B$9,0)+IF(O870&gt;[1]Setup!$B$10,ROUND(J870*[1]Setup!$B$11,0),0))</f>
        <v>0</v>
      </c>
      <c r="W870" s="85" t="str">
        <f>IF(L870="","Open",IF(OR(P870&lt;[1]Setup!$B$6,Q870&gt;[1]Setup!$B$7,R870&gt;[1]Setup!$B$8,O870&gt;[1]Setup!$B$10),"Review","OK"))</f>
        <v>Open</v>
      </c>
      <c r="X870" s="86"/>
    </row>
    <row r="871" spans="1:24" x14ac:dyDescent="0.3">
      <c r="A871" s="84"/>
      <c r="B871" s="100">
        <f t="shared" si="150"/>
        <v>0</v>
      </c>
      <c r="C871" s="84" t="str">
        <f t="shared" si="151"/>
        <v>January</v>
      </c>
      <c r="D871" s="85" t="str">
        <f t="shared" si="149"/>
        <v/>
      </c>
      <c r="E871" s="86"/>
      <c r="F871" s="86"/>
      <c r="G871" s="86"/>
      <c r="H871" s="86"/>
      <c r="I871" s="87" t="str">
        <f>IF(F871=0,"",IF(COUNTIF(F871,"Bao"),[1]Setup!$B$4,IF(COUNTIF(F871,"Soup Dumplings"),[1]Setup!$B$5,F871)))</f>
        <v/>
      </c>
      <c r="J871" s="88" t="str">
        <f t="shared" si="143"/>
        <v/>
      </c>
      <c r="K871" s="88"/>
      <c r="L871" s="87"/>
      <c r="M871" s="87"/>
      <c r="N871" s="87"/>
      <c r="O871" s="87"/>
      <c r="P871" s="89" t="str">
        <f t="shared" si="144"/>
        <v/>
      </c>
      <c r="Q871" s="89" t="str">
        <f t="shared" si="145"/>
        <v/>
      </c>
      <c r="R871" s="89" t="str">
        <f t="shared" si="146"/>
        <v/>
      </c>
      <c r="S871" s="88" t="str">
        <f>IF(F871="Bao",[1]Setup!$B$4,IF(F871="Soup Dumplings",[1]Setup!$B$5,""))</f>
        <v/>
      </c>
      <c r="T871" s="88" t="str">
        <f t="shared" si="147"/>
        <v/>
      </c>
      <c r="U871" s="84" t="str">
        <f t="shared" si="148"/>
        <v/>
      </c>
      <c r="V871" s="88">
        <f>IF(U871="",0,MAX(0,T871)+N871+ROUND(J871*[1]Setup!$B$9,0)+IF(O871&gt;[1]Setup!$B$10,ROUND(J871*[1]Setup!$B$11,0),0))</f>
        <v>0</v>
      </c>
      <c r="W871" s="85" t="str">
        <f>IF(L871="","Open",IF(OR(P871&lt;[1]Setup!$B$6,Q871&gt;[1]Setup!$B$7,R871&gt;[1]Setup!$B$8,O871&gt;[1]Setup!$B$10),"Review","OK"))</f>
        <v>Open</v>
      </c>
      <c r="X871" s="86"/>
    </row>
    <row r="872" spans="1:24" x14ac:dyDescent="0.3">
      <c r="A872" s="84"/>
      <c r="B872" s="100">
        <f t="shared" si="150"/>
        <v>0</v>
      </c>
      <c r="C872" s="84" t="str">
        <f t="shared" si="151"/>
        <v>January</v>
      </c>
      <c r="D872" s="85" t="str">
        <f t="shared" si="149"/>
        <v/>
      </c>
      <c r="E872" s="86"/>
      <c r="F872" s="86"/>
      <c r="G872" s="86"/>
      <c r="H872" s="86"/>
      <c r="I872" s="87" t="str">
        <f>IF(F872=0,"",IF(COUNTIF(F872,"Bao"),[1]Setup!$B$4,IF(COUNTIF(F872,"Soup Dumplings"),[1]Setup!$B$5,F872)))</f>
        <v/>
      </c>
      <c r="J872" s="88" t="str">
        <f t="shared" si="143"/>
        <v/>
      </c>
      <c r="K872" s="88"/>
      <c r="L872" s="87"/>
      <c r="M872" s="87"/>
      <c r="N872" s="87"/>
      <c r="O872" s="87"/>
      <c r="P872" s="89" t="str">
        <f t="shared" si="144"/>
        <v/>
      </c>
      <c r="Q872" s="89" t="str">
        <f t="shared" si="145"/>
        <v/>
      </c>
      <c r="R872" s="89" t="str">
        <f t="shared" si="146"/>
        <v/>
      </c>
      <c r="S872" s="88" t="str">
        <f>IF(F872="Bao",[1]Setup!$B$4,IF(F872="Soup Dumplings",[1]Setup!$B$5,""))</f>
        <v/>
      </c>
      <c r="T872" s="88" t="str">
        <f t="shared" si="147"/>
        <v/>
      </c>
      <c r="U872" s="84" t="str">
        <f t="shared" si="148"/>
        <v/>
      </c>
      <c r="V872" s="88">
        <f>IF(U872="",0,MAX(0,T872)+N872+ROUND(J872*[1]Setup!$B$9,0)+IF(O872&gt;[1]Setup!$B$10,ROUND(J872*[1]Setup!$B$11,0),0))</f>
        <v>0</v>
      </c>
      <c r="W872" s="85" t="str">
        <f>IF(L872="","Open",IF(OR(P872&lt;[1]Setup!$B$6,Q872&gt;[1]Setup!$B$7,R872&gt;[1]Setup!$B$8,O872&gt;[1]Setup!$B$10),"Review","OK"))</f>
        <v>Open</v>
      </c>
      <c r="X872" s="86"/>
    </row>
    <row r="873" spans="1:24" x14ac:dyDescent="0.3">
      <c r="A873" s="84"/>
      <c r="B873" s="100">
        <f t="shared" si="150"/>
        <v>0</v>
      </c>
      <c r="C873" s="84" t="str">
        <f t="shared" si="151"/>
        <v>January</v>
      </c>
      <c r="D873" s="85" t="str">
        <f t="shared" si="149"/>
        <v/>
      </c>
      <c r="E873" s="86"/>
      <c r="F873" s="86"/>
      <c r="G873" s="86"/>
      <c r="H873" s="86"/>
      <c r="I873" s="87" t="str">
        <f>IF(F873=0,"",IF(COUNTIF(F873,"Bao"),[1]Setup!$B$4,IF(COUNTIF(F873,"Soup Dumplings"),[1]Setup!$B$5,F873)))</f>
        <v/>
      </c>
      <c r="J873" s="88" t="str">
        <f t="shared" si="143"/>
        <v/>
      </c>
      <c r="K873" s="88"/>
      <c r="L873" s="87"/>
      <c r="M873" s="87"/>
      <c r="N873" s="87"/>
      <c r="O873" s="87"/>
      <c r="P873" s="89" t="str">
        <f t="shared" si="144"/>
        <v/>
      </c>
      <c r="Q873" s="89" t="str">
        <f t="shared" si="145"/>
        <v/>
      </c>
      <c r="R873" s="89" t="str">
        <f t="shared" si="146"/>
        <v/>
      </c>
      <c r="S873" s="88" t="str">
        <f>IF(F873="Bao",[1]Setup!$B$4,IF(F873="Soup Dumplings",[1]Setup!$B$5,""))</f>
        <v/>
      </c>
      <c r="T873" s="88" t="str">
        <f t="shared" si="147"/>
        <v/>
      </c>
      <c r="U873" s="84" t="str">
        <f t="shared" si="148"/>
        <v/>
      </c>
      <c r="V873" s="88">
        <f>IF(U873="",0,MAX(0,T873)+N873+ROUND(J873*[1]Setup!$B$9,0)+IF(O873&gt;[1]Setup!$B$10,ROUND(J873*[1]Setup!$B$11,0),0))</f>
        <v>0</v>
      </c>
      <c r="W873" s="85" t="str">
        <f>IF(L873="","Open",IF(OR(P873&lt;[1]Setup!$B$6,Q873&gt;[1]Setup!$B$7,R873&gt;[1]Setup!$B$8,O873&gt;[1]Setup!$B$10),"Review","OK"))</f>
        <v>Open</v>
      </c>
      <c r="X873" s="86"/>
    </row>
    <row r="874" spans="1:24" x14ac:dyDescent="0.3">
      <c r="A874" s="84"/>
      <c r="B874" s="100">
        <f t="shared" si="150"/>
        <v>0</v>
      </c>
      <c r="C874" s="84" t="str">
        <f t="shared" si="151"/>
        <v>January</v>
      </c>
      <c r="D874" s="85" t="str">
        <f t="shared" si="149"/>
        <v/>
      </c>
      <c r="E874" s="86"/>
      <c r="F874" s="86"/>
      <c r="G874" s="86"/>
      <c r="H874" s="86"/>
      <c r="I874" s="87" t="str">
        <f>IF(F874=0,"",IF(COUNTIF(F874,"Bao"),[1]Setup!$B$4,IF(COUNTIF(F874,"Soup Dumplings"),[1]Setup!$B$5,F874)))</f>
        <v/>
      </c>
      <c r="J874" s="88" t="str">
        <f t="shared" si="143"/>
        <v/>
      </c>
      <c r="K874" s="88"/>
      <c r="L874" s="87"/>
      <c r="M874" s="87"/>
      <c r="N874" s="87"/>
      <c r="O874" s="87"/>
      <c r="P874" s="89" t="str">
        <f t="shared" si="144"/>
        <v/>
      </c>
      <c r="Q874" s="89" t="str">
        <f t="shared" si="145"/>
        <v/>
      </c>
      <c r="R874" s="89" t="str">
        <f t="shared" si="146"/>
        <v/>
      </c>
      <c r="S874" s="88" t="str">
        <f>IF(F874="Bao",[1]Setup!$B$4,IF(F874="Soup Dumplings",[1]Setup!$B$5,""))</f>
        <v/>
      </c>
      <c r="T874" s="88" t="str">
        <f t="shared" si="147"/>
        <v/>
      </c>
      <c r="U874" s="84" t="str">
        <f t="shared" si="148"/>
        <v/>
      </c>
      <c r="V874" s="88">
        <f>IF(U874="",0,MAX(0,T874)+N874+ROUND(J874*[1]Setup!$B$9,0)+IF(O874&gt;[1]Setup!$B$10,ROUND(J874*[1]Setup!$B$11,0),0))</f>
        <v>0</v>
      </c>
      <c r="W874" s="85" t="str">
        <f>IF(L874="","Open",IF(OR(P874&lt;[1]Setup!$B$6,Q874&gt;[1]Setup!$B$7,R874&gt;[1]Setup!$B$8,O874&gt;[1]Setup!$B$10),"Review","OK"))</f>
        <v>Open</v>
      </c>
      <c r="X874" s="86"/>
    </row>
    <row r="875" spans="1:24" x14ac:dyDescent="0.3">
      <c r="A875" s="84"/>
      <c r="B875" s="100">
        <f t="shared" si="150"/>
        <v>0</v>
      </c>
      <c r="C875" s="84" t="str">
        <f t="shared" si="151"/>
        <v>January</v>
      </c>
      <c r="D875" s="85" t="str">
        <f t="shared" si="149"/>
        <v/>
      </c>
      <c r="E875" s="86"/>
      <c r="F875" s="86"/>
      <c r="G875" s="86"/>
      <c r="H875" s="86"/>
      <c r="I875" s="87" t="str">
        <f>IF(F875=0,"",IF(COUNTIF(F875,"Bao"),[1]Setup!$B$4,IF(COUNTIF(F875,"Soup Dumplings"),[1]Setup!$B$5,F875)))</f>
        <v/>
      </c>
      <c r="J875" s="88" t="str">
        <f t="shared" si="143"/>
        <v/>
      </c>
      <c r="K875" s="88"/>
      <c r="L875" s="87"/>
      <c r="M875" s="87"/>
      <c r="N875" s="87"/>
      <c r="O875" s="87"/>
      <c r="P875" s="89" t="str">
        <f t="shared" si="144"/>
        <v/>
      </c>
      <c r="Q875" s="89" t="str">
        <f t="shared" si="145"/>
        <v/>
      </c>
      <c r="R875" s="89" t="str">
        <f t="shared" si="146"/>
        <v/>
      </c>
      <c r="S875" s="88" t="str">
        <f>IF(F875="Bao",[1]Setup!$B$4,IF(F875="Soup Dumplings",[1]Setup!$B$5,""))</f>
        <v/>
      </c>
      <c r="T875" s="88" t="str">
        <f t="shared" si="147"/>
        <v/>
      </c>
      <c r="U875" s="84" t="str">
        <f t="shared" si="148"/>
        <v/>
      </c>
      <c r="V875" s="88">
        <f>IF(U875="",0,MAX(0,T875)+N875+ROUND(J875*[1]Setup!$B$9,0)+IF(O875&gt;[1]Setup!$B$10,ROUND(J875*[1]Setup!$B$11,0),0))</f>
        <v>0</v>
      </c>
      <c r="W875" s="85" t="str">
        <f>IF(L875="","Open",IF(OR(P875&lt;[1]Setup!$B$6,Q875&gt;[1]Setup!$B$7,R875&gt;[1]Setup!$B$8,O875&gt;[1]Setup!$B$10),"Review","OK"))</f>
        <v>Open</v>
      </c>
      <c r="X875" s="86"/>
    </row>
    <row r="876" spans="1:24" x14ac:dyDescent="0.3">
      <c r="A876" s="84"/>
      <c r="B876" s="100">
        <f t="shared" si="150"/>
        <v>0</v>
      </c>
      <c r="C876" s="84" t="str">
        <f t="shared" si="151"/>
        <v>January</v>
      </c>
      <c r="D876" s="85" t="str">
        <f t="shared" si="149"/>
        <v/>
      </c>
      <c r="E876" s="86"/>
      <c r="F876" s="86"/>
      <c r="G876" s="86"/>
      <c r="H876" s="86"/>
      <c r="I876" s="87" t="str">
        <f>IF(F876=0,"",IF(COUNTIF(F876,"Bao"),[1]Setup!$B$4,IF(COUNTIF(F876,"Soup Dumplings"),[1]Setup!$B$5,F876)))</f>
        <v/>
      </c>
      <c r="J876" s="88" t="str">
        <f t="shared" si="143"/>
        <v/>
      </c>
      <c r="K876" s="88"/>
      <c r="L876" s="87"/>
      <c r="M876" s="87"/>
      <c r="N876" s="87"/>
      <c r="O876" s="87"/>
      <c r="P876" s="89" t="str">
        <f t="shared" si="144"/>
        <v/>
      </c>
      <c r="Q876" s="89" t="str">
        <f t="shared" si="145"/>
        <v/>
      </c>
      <c r="R876" s="89" t="str">
        <f t="shared" si="146"/>
        <v/>
      </c>
      <c r="S876" s="88" t="str">
        <f>IF(F876="Bao",[1]Setup!$B$4,IF(F876="Soup Dumplings",[1]Setup!$B$5,""))</f>
        <v/>
      </c>
      <c r="T876" s="88" t="str">
        <f t="shared" si="147"/>
        <v/>
      </c>
      <c r="U876" s="84" t="str">
        <f t="shared" si="148"/>
        <v/>
      </c>
      <c r="V876" s="88">
        <f>IF(U876="",0,MAX(0,T876)+N876+ROUND(J876*[1]Setup!$B$9,0)+IF(O876&gt;[1]Setup!$B$10,ROUND(J876*[1]Setup!$B$11,0),0))</f>
        <v>0</v>
      </c>
      <c r="W876" s="85" t="str">
        <f>IF(L876="","Open",IF(OR(P876&lt;[1]Setup!$B$6,Q876&gt;[1]Setup!$B$7,R876&gt;[1]Setup!$B$8,O876&gt;[1]Setup!$B$10),"Review","OK"))</f>
        <v>Open</v>
      </c>
      <c r="X876" s="86"/>
    </row>
    <row r="877" spans="1:24" x14ac:dyDescent="0.3">
      <c r="A877" s="84"/>
      <c r="B877" s="100">
        <f t="shared" si="150"/>
        <v>0</v>
      </c>
      <c r="C877" s="84" t="str">
        <f t="shared" si="151"/>
        <v>January</v>
      </c>
      <c r="D877" s="85" t="str">
        <f t="shared" si="149"/>
        <v/>
      </c>
      <c r="E877" s="86"/>
      <c r="F877" s="86"/>
      <c r="G877" s="86"/>
      <c r="H877" s="86"/>
      <c r="I877" s="87" t="str">
        <f>IF(F877=0,"",IF(COUNTIF(F877,"Bao"),[1]Setup!$B$4,IF(COUNTIF(F877,"Soup Dumplings"),[1]Setup!$B$5,F877)))</f>
        <v/>
      </c>
      <c r="J877" s="88" t="str">
        <f t="shared" si="143"/>
        <v/>
      </c>
      <c r="K877" s="88"/>
      <c r="L877" s="87"/>
      <c r="M877" s="87"/>
      <c r="N877" s="87"/>
      <c r="O877" s="87"/>
      <c r="P877" s="89" t="str">
        <f t="shared" si="144"/>
        <v/>
      </c>
      <c r="Q877" s="89" t="str">
        <f t="shared" si="145"/>
        <v/>
      </c>
      <c r="R877" s="89" t="str">
        <f t="shared" si="146"/>
        <v/>
      </c>
      <c r="S877" s="88" t="str">
        <f>IF(F877="Bao",[1]Setup!$B$4,IF(F877="Soup Dumplings",[1]Setup!$B$5,""))</f>
        <v/>
      </c>
      <c r="T877" s="88" t="str">
        <f t="shared" si="147"/>
        <v/>
      </c>
      <c r="U877" s="84" t="str">
        <f t="shared" si="148"/>
        <v/>
      </c>
      <c r="V877" s="88">
        <f>IF(U877="",0,MAX(0,T877)+N877+ROUND(J877*[1]Setup!$B$9,0)+IF(O877&gt;[1]Setup!$B$10,ROUND(J877*[1]Setup!$B$11,0),0))</f>
        <v>0</v>
      </c>
      <c r="W877" s="85" t="str">
        <f>IF(L877="","Open",IF(OR(P877&lt;[1]Setup!$B$6,Q877&gt;[1]Setup!$B$7,R877&gt;[1]Setup!$B$8,O877&gt;[1]Setup!$B$10),"Review","OK"))</f>
        <v>Open</v>
      </c>
      <c r="X877" s="86"/>
    </row>
    <row r="878" spans="1:24" x14ac:dyDescent="0.3">
      <c r="A878" s="84"/>
      <c r="B878" s="100">
        <f t="shared" si="150"/>
        <v>0</v>
      </c>
      <c r="C878" s="84" t="str">
        <f t="shared" si="151"/>
        <v>January</v>
      </c>
      <c r="D878" s="85" t="str">
        <f t="shared" si="149"/>
        <v/>
      </c>
      <c r="E878" s="86"/>
      <c r="F878" s="86"/>
      <c r="G878" s="86"/>
      <c r="H878" s="86"/>
      <c r="I878" s="87" t="str">
        <f>IF(F878=0,"",IF(COUNTIF(F878,"Bao"),[1]Setup!$B$4,IF(COUNTIF(F878,"Soup Dumplings"),[1]Setup!$B$5,F878)))</f>
        <v/>
      </c>
      <c r="J878" s="88" t="str">
        <f t="shared" si="143"/>
        <v/>
      </c>
      <c r="K878" s="88"/>
      <c r="L878" s="87"/>
      <c r="M878" s="87"/>
      <c r="N878" s="87"/>
      <c r="O878" s="87"/>
      <c r="P878" s="89" t="str">
        <f t="shared" si="144"/>
        <v/>
      </c>
      <c r="Q878" s="89" t="str">
        <f t="shared" si="145"/>
        <v/>
      </c>
      <c r="R878" s="89" t="str">
        <f t="shared" si="146"/>
        <v/>
      </c>
      <c r="S878" s="88" t="str">
        <f>IF(F878="Bao",[1]Setup!$B$4,IF(F878="Soup Dumplings",[1]Setup!$B$5,""))</f>
        <v/>
      </c>
      <c r="T878" s="88" t="str">
        <f t="shared" si="147"/>
        <v/>
      </c>
      <c r="U878" s="84" t="str">
        <f t="shared" si="148"/>
        <v/>
      </c>
      <c r="V878" s="88">
        <f>IF(U878="",0,MAX(0,T878)+N878+ROUND(J878*[1]Setup!$B$9,0)+IF(O878&gt;[1]Setup!$B$10,ROUND(J878*[1]Setup!$B$11,0),0))</f>
        <v>0</v>
      </c>
      <c r="W878" s="85" t="str">
        <f>IF(L878="","Open",IF(OR(P878&lt;[1]Setup!$B$6,Q878&gt;[1]Setup!$B$7,R878&gt;[1]Setup!$B$8,O878&gt;[1]Setup!$B$10),"Review","OK"))</f>
        <v>Open</v>
      </c>
      <c r="X878" s="86"/>
    </row>
    <row r="879" spans="1:24" x14ac:dyDescent="0.3">
      <c r="A879" s="84"/>
      <c r="B879" s="100">
        <f t="shared" si="150"/>
        <v>0</v>
      </c>
      <c r="C879" s="84" t="str">
        <f t="shared" si="151"/>
        <v>January</v>
      </c>
      <c r="D879" s="85" t="str">
        <f t="shared" si="149"/>
        <v/>
      </c>
      <c r="E879" s="86"/>
      <c r="F879" s="86"/>
      <c r="G879" s="86"/>
      <c r="H879" s="86"/>
      <c r="I879" s="87" t="str">
        <f>IF(F879=0,"",IF(COUNTIF(F879,"Bao"),[1]Setup!$B$4,IF(COUNTIF(F879,"Soup Dumplings"),[1]Setup!$B$5,F879)))</f>
        <v/>
      </c>
      <c r="J879" s="88" t="str">
        <f t="shared" ref="J879:J942" si="152">IF(A879="","",
   IFERROR(
      N(I879)+SUMIFS($V$4:$V$30,$U$4:$U$30,A879,$G$4:$G$30,G879),
   0)
)</f>
        <v/>
      </c>
      <c r="K879" s="88"/>
      <c r="L879" s="87"/>
      <c r="M879" s="87"/>
      <c r="N879" s="87"/>
      <c r="O879" s="87"/>
      <c r="P879" s="89" t="str">
        <f t="shared" ref="P879:P942" si="153">IF(J879="","",IF(J879&gt;0,(L879+M879)/J879,""))</f>
        <v/>
      </c>
      <c r="Q879" s="89" t="str">
        <f t="shared" ref="Q879:Q942" si="154">IF(J879="","",IF(J879&gt;0,MAX(0,(J879-(L879+M879))/J879),""))</f>
        <v/>
      </c>
      <c r="R879" s="89" t="str">
        <f t="shared" ref="R879:R942" si="155">IF(J879="","",IF(J879&gt;0,MAX(0,(L879+M879-J879)/J879),""))</f>
        <v/>
      </c>
      <c r="S879" s="88" t="str">
        <f>IF(F879="Bao",[1]Setup!$B$4,IF(F879="Soup Dumplings",[1]Setup!$B$5,""))</f>
        <v/>
      </c>
      <c r="T879" s="88" t="str">
        <f t="shared" ref="T879:T942" si="156">IF(L879="","",S879-L879)</f>
        <v/>
      </c>
      <c r="U879" s="84" t="str">
        <f t="shared" ref="U879:U942" si="157">IF(A879="","",A879+1)</f>
        <v/>
      </c>
      <c r="V879" s="88">
        <f>IF(U879="",0,MAX(0,T879)+N879+ROUND(J879*[1]Setup!$B$9,0)+IF(O879&gt;[1]Setup!$B$10,ROUND(J879*[1]Setup!$B$11,0),0))</f>
        <v>0</v>
      </c>
      <c r="W879" s="85" t="str">
        <f>IF(L879="","Open",IF(OR(P879&lt;[1]Setup!$B$6,Q879&gt;[1]Setup!$B$7,R879&gt;[1]Setup!$B$8,O879&gt;[1]Setup!$B$10),"Review","OK"))</f>
        <v>Open</v>
      </c>
      <c r="X879" s="86"/>
    </row>
    <row r="880" spans="1:24" x14ac:dyDescent="0.3">
      <c r="A880" s="84"/>
      <c r="B880" s="100">
        <f t="shared" si="150"/>
        <v>0</v>
      </c>
      <c r="C880" s="84" t="str">
        <f t="shared" si="151"/>
        <v>January</v>
      </c>
      <c r="D880" s="85" t="str">
        <f t="shared" si="149"/>
        <v/>
      </c>
      <c r="E880" s="86"/>
      <c r="F880" s="86"/>
      <c r="G880" s="86"/>
      <c r="H880" s="86"/>
      <c r="I880" s="87" t="str">
        <f>IF(F880=0,"",IF(COUNTIF(F880,"Bao"),[1]Setup!$B$4,IF(COUNTIF(F880,"Soup Dumplings"),[1]Setup!$B$5,F880)))</f>
        <v/>
      </c>
      <c r="J880" s="88" t="str">
        <f t="shared" si="152"/>
        <v/>
      </c>
      <c r="K880" s="88"/>
      <c r="L880" s="87"/>
      <c r="M880" s="87"/>
      <c r="N880" s="87"/>
      <c r="O880" s="87"/>
      <c r="P880" s="89" t="str">
        <f t="shared" si="153"/>
        <v/>
      </c>
      <c r="Q880" s="89" t="str">
        <f t="shared" si="154"/>
        <v/>
      </c>
      <c r="R880" s="89" t="str">
        <f t="shared" si="155"/>
        <v/>
      </c>
      <c r="S880" s="88" t="str">
        <f>IF(F880="Bao",[1]Setup!$B$4,IF(F880="Soup Dumplings",[1]Setup!$B$5,""))</f>
        <v/>
      </c>
      <c r="T880" s="88" t="str">
        <f t="shared" si="156"/>
        <v/>
      </c>
      <c r="U880" s="84" t="str">
        <f t="shared" si="157"/>
        <v/>
      </c>
      <c r="V880" s="88">
        <f>IF(U880="",0,MAX(0,T880)+N880+ROUND(J880*[1]Setup!$B$9,0)+IF(O880&gt;[1]Setup!$B$10,ROUND(J880*[1]Setup!$B$11,0),0))</f>
        <v>0</v>
      </c>
      <c r="W880" s="85" t="str">
        <f>IF(L880="","Open",IF(OR(P880&lt;[1]Setup!$B$6,Q880&gt;[1]Setup!$B$7,R880&gt;[1]Setup!$B$8,O880&gt;[1]Setup!$B$10),"Review","OK"))</f>
        <v>Open</v>
      </c>
      <c r="X880" s="86"/>
    </row>
    <row r="881" spans="1:24" x14ac:dyDescent="0.3">
      <c r="A881" s="84"/>
      <c r="B881" s="100">
        <f t="shared" si="150"/>
        <v>0</v>
      </c>
      <c r="C881" s="84" t="str">
        <f t="shared" si="151"/>
        <v>January</v>
      </c>
      <c r="D881" s="85" t="str">
        <f t="shared" si="149"/>
        <v/>
      </c>
      <c r="E881" s="86"/>
      <c r="F881" s="86"/>
      <c r="G881" s="86"/>
      <c r="H881" s="86"/>
      <c r="I881" s="87" t="str">
        <f>IF(F881=0,"",IF(COUNTIF(F881,"Bao"),[1]Setup!$B$4,IF(COUNTIF(F881,"Soup Dumplings"),[1]Setup!$B$5,F881)))</f>
        <v/>
      </c>
      <c r="J881" s="88" t="str">
        <f t="shared" si="152"/>
        <v/>
      </c>
      <c r="K881" s="88"/>
      <c r="L881" s="87"/>
      <c r="M881" s="87"/>
      <c r="N881" s="87"/>
      <c r="O881" s="87"/>
      <c r="P881" s="89" t="str">
        <f t="shared" si="153"/>
        <v/>
      </c>
      <c r="Q881" s="89" t="str">
        <f t="shared" si="154"/>
        <v/>
      </c>
      <c r="R881" s="89" t="str">
        <f t="shared" si="155"/>
        <v/>
      </c>
      <c r="S881" s="88" t="str">
        <f>IF(F881="Bao",[1]Setup!$B$4,IF(F881="Soup Dumplings",[1]Setup!$B$5,""))</f>
        <v/>
      </c>
      <c r="T881" s="88" t="str">
        <f t="shared" si="156"/>
        <v/>
      </c>
      <c r="U881" s="84" t="str">
        <f t="shared" si="157"/>
        <v/>
      </c>
      <c r="V881" s="88">
        <f>IF(U881="",0,MAX(0,T881)+N881+ROUND(J881*[1]Setup!$B$9,0)+IF(O881&gt;[1]Setup!$B$10,ROUND(J881*[1]Setup!$B$11,0),0))</f>
        <v>0</v>
      </c>
      <c r="W881" s="85" t="str">
        <f>IF(L881="","Open",IF(OR(P881&lt;[1]Setup!$B$6,Q881&gt;[1]Setup!$B$7,R881&gt;[1]Setup!$B$8,O881&gt;[1]Setup!$B$10),"Review","OK"))</f>
        <v>Open</v>
      </c>
      <c r="X881" s="86"/>
    </row>
    <row r="882" spans="1:24" x14ac:dyDescent="0.3">
      <c r="A882" s="84"/>
      <c r="B882" s="100">
        <f t="shared" si="150"/>
        <v>0</v>
      </c>
      <c r="C882" s="84" t="str">
        <f t="shared" si="151"/>
        <v>January</v>
      </c>
      <c r="D882" s="85" t="str">
        <f t="shared" si="149"/>
        <v/>
      </c>
      <c r="E882" s="86"/>
      <c r="F882" s="86"/>
      <c r="G882" s="86"/>
      <c r="H882" s="86"/>
      <c r="I882" s="87" t="str">
        <f>IF(F882=0,"",IF(COUNTIF(F882,"Bao"),[1]Setup!$B$4,IF(COUNTIF(F882,"Soup Dumplings"),[1]Setup!$B$5,F882)))</f>
        <v/>
      </c>
      <c r="J882" s="88" t="str">
        <f t="shared" si="152"/>
        <v/>
      </c>
      <c r="K882" s="88"/>
      <c r="L882" s="87"/>
      <c r="M882" s="87"/>
      <c r="N882" s="87"/>
      <c r="O882" s="87"/>
      <c r="P882" s="89" t="str">
        <f t="shared" si="153"/>
        <v/>
      </c>
      <c r="Q882" s="89" t="str">
        <f t="shared" si="154"/>
        <v/>
      </c>
      <c r="R882" s="89" t="str">
        <f t="shared" si="155"/>
        <v/>
      </c>
      <c r="S882" s="88" t="str">
        <f>IF(F882="Bao",[1]Setup!$B$4,IF(F882="Soup Dumplings",[1]Setup!$B$5,""))</f>
        <v/>
      </c>
      <c r="T882" s="88" t="str">
        <f t="shared" si="156"/>
        <v/>
      </c>
      <c r="U882" s="84" t="str">
        <f t="shared" si="157"/>
        <v/>
      </c>
      <c r="V882" s="88">
        <f>IF(U882="",0,MAX(0,T882)+N882+ROUND(J882*[1]Setup!$B$9,0)+IF(O882&gt;[1]Setup!$B$10,ROUND(J882*[1]Setup!$B$11,0),0))</f>
        <v>0</v>
      </c>
      <c r="W882" s="85" t="str">
        <f>IF(L882="","Open",IF(OR(P882&lt;[1]Setup!$B$6,Q882&gt;[1]Setup!$B$7,R882&gt;[1]Setup!$B$8,O882&gt;[1]Setup!$B$10),"Review","OK"))</f>
        <v>Open</v>
      </c>
      <c r="X882" s="86"/>
    </row>
    <row r="883" spans="1:24" x14ac:dyDescent="0.3">
      <c r="A883" s="84"/>
      <c r="B883" s="100">
        <f t="shared" si="150"/>
        <v>0</v>
      </c>
      <c r="C883" s="84" t="str">
        <f t="shared" si="151"/>
        <v>January</v>
      </c>
      <c r="D883" s="85" t="str">
        <f t="shared" si="149"/>
        <v/>
      </c>
      <c r="E883" s="86"/>
      <c r="F883" s="86"/>
      <c r="G883" s="86"/>
      <c r="H883" s="86"/>
      <c r="I883" s="87" t="str">
        <f>IF(F883=0,"",IF(COUNTIF(F883,"Bao"),[1]Setup!$B$4,IF(COUNTIF(F883,"Soup Dumplings"),[1]Setup!$B$5,F883)))</f>
        <v/>
      </c>
      <c r="J883" s="88" t="str">
        <f t="shared" si="152"/>
        <v/>
      </c>
      <c r="K883" s="88"/>
      <c r="L883" s="87"/>
      <c r="M883" s="87"/>
      <c r="N883" s="87"/>
      <c r="O883" s="87"/>
      <c r="P883" s="89" t="str">
        <f t="shared" si="153"/>
        <v/>
      </c>
      <c r="Q883" s="89" t="str">
        <f t="shared" si="154"/>
        <v/>
      </c>
      <c r="R883" s="89" t="str">
        <f t="shared" si="155"/>
        <v/>
      </c>
      <c r="S883" s="88" t="str">
        <f>IF(F883="Bao",[1]Setup!$B$4,IF(F883="Soup Dumplings",[1]Setup!$B$5,""))</f>
        <v/>
      </c>
      <c r="T883" s="88" t="str">
        <f t="shared" si="156"/>
        <v/>
      </c>
      <c r="U883" s="84" t="str">
        <f t="shared" si="157"/>
        <v/>
      </c>
      <c r="V883" s="88">
        <f>IF(U883="",0,MAX(0,T883)+N883+ROUND(J883*[1]Setup!$B$9,0)+IF(O883&gt;[1]Setup!$B$10,ROUND(J883*[1]Setup!$B$11,0),0))</f>
        <v>0</v>
      </c>
      <c r="W883" s="85" t="str">
        <f>IF(L883="","Open",IF(OR(P883&lt;[1]Setup!$B$6,Q883&gt;[1]Setup!$B$7,R883&gt;[1]Setup!$B$8,O883&gt;[1]Setup!$B$10),"Review","OK"))</f>
        <v>Open</v>
      </c>
      <c r="X883" s="86"/>
    </row>
    <row r="884" spans="1:24" x14ac:dyDescent="0.3">
      <c r="A884" s="84"/>
      <c r="B884" s="100">
        <f t="shared" si="150"/>
        <v>0</v>
      </c>
      <c r="C884" s="84" t="str">
        <f t="shared" si="151"/>
        <v>January</v>
      </c>
      <c r="D884" s="85" t="str">
        <f t="shared" si="149"/>
        <v/>
      </c>
      <c r="E884" s="86"/>
      <c r="F884" s="86"/>
      <c r="G884" s="86"/>
      <c r="H884" s="86"/>
      <c r="I884" s="87" t="str">
        <f>IF(F884=0,"",IF(COUNTIF(F884,"Bao"),[1]Setup!$B$4,IF(COUNTIF(F884,"Soup Dumplings"),[1]Setup!$B$5,F884)))</f>
        <v/>
      </c>
      <c r="J884" s="88" t="str">
        <f t="shared" si="152"/>
        <v/>
      </c>
      <c r="K884" s="88"/>
      <c r="L884" s="87"/>
      <c r="M884" s="87"/>
      <c r="N884" s="87"/>
      <c r="O884" s="87"/>
      <c r="P884" s="89" t="str">
        <f t="shared" si="153"/>
        <v/>
      </c>
      <c r="Q884" s="89" t="str">
        <f t="shared" si="154"/>
        <v/>
      </c>
      <c r="R884" s="89" t="str">
        <f t="shared" si="155"/>
        <v/>
      </c>
      <c r="S884" s="88" t="str">
        <f>IF(F884="Bao",[1]Setup!$B$4,IF(F884="Soup Dumplings",[1]Setup!$B$5,""))</f>
        <v/>
      </c>
      <c r="T884" s="88" t="str">
        <f t="shared" si="156"/>
        <v/>
      </c>
      <c r="U884" s="84" t="str">
        <f t="shared" si="157"/>
        <v/>
      </c>
      <c r="V884" s="88">
        <f>IF(U884="",0,MAX(0,T884)+N884+ROUND(J884*[1]Setup!$B$9,0)+IF(O884&gt;[1]Setup!$B$10,ROUND(J884*[1]Setup!$B$11,0),0))</f>
        <v>0</v>
      </c>
      <c r="W884" s="85" t="str">
        <f>IF(L884="","Open",IF(OR(P884&lt;[1]Setup!$B$6,Q884&gt;[1]Setup!$B$7,R884&gt;[1]Setup!$B$8,O884&gt;[1]Setup!$B$10),"Review","OK"))</f>
        <v>Open</v>
      </c>
      <c r="X884" s="86"/>
    </row>
    <row r="885" spans="1:24" x14ac:dyDescent="0.3">
      <c r="A885" s="84"/>
      <c r="B885" s="100">
        <f t="shared" si="150"/>
        <v>0</v>
      </c>
      <c r="C885" s="84" t="str">
        <f t="shared" si="151"/>
        <v>January</v>
      </c>
      <c r="D885" s="85" t="str">
        <f t="shared" si="149"/>
        <v/>
      </c>
      <c r="E885" s="86"/>
      <c r="F885" s="86"/>
      <c r="G885" s="86"/>
      <c r="H885" s="86"/>
      <c r="I885" s="87" t="str">
        <f>IF(F885=0,"",IF(COUNTIF(F885,"Bao"),[1]Setup!$B$4,IF(COUNTIF(F885,"Soup Dumplings"),[1]Setup!$B$5,F885)))</f>
        <v/>
      </c>
      <c r="J885" s="88" t="str">
        <f t="shared" si="152"/>
        <v/>
      </c>
      <c r="K885" s="88"/>
      <c r="L885" s="87"/>
      <c r="M885" s="87"/>
      <c r="N885" s="87"/>
      <c r="O885" s="87"/>
      <c r="P885" s="89" t="str">
        <f t="shared" si="153"/>
        <v/>
      </c>
      <c r="Q885" s="89" t="str">
        <f t="shared" si="154"/>
        <v/>
      </c>
      <c r="R885" s="89" t="str">
        <f t="shared" si="155"/>
        <v/>
      </c>
      <c r="S885" s="88" t="str">
        <f>IF(F885="Bao",[1]Setup!$B$4,IF(F885="Soup Dumplings",[1]Setup!$B$5,""))</f>
        <v/>
      </c>
      <c r="T885" s="88" t="str">
        <f t="shared" si="156"/>
        <v/>
      </c>
      <c r="U885" s="84" t="str">
        <f t="shared" si="157"/>
        <v/>
      </c>
      <c r="V885" s="88">
        <f>IF(U885="",0,MAX(0,T885)+N885+ROUND(J885*[1]Setup!$B$9,0)+IF(O885&gt;[1]Setup!$B$10,ROUND(J885*[1]Setup!$B$11,0),0))</f>
        <v>0</v>
      </c>
      <c r="W885" s="85" t="str">
        <f>IF(L885="","Open",IF(OR(P885&lt;[1]Setup!$B$6,Q885&gt;[1]Setup!$B$7,R885&gt;[1]Setup!$B$8,O885&gt;[1]Setup!$B$10),"Review","OK"))</f>
        <v>Open</v>
      </c>
      <c r="X885" s="86"/>
    </row>
    <row r="886" spans="1:24" x14ac:dyDescent="0.3">
      <c r="A886" s="84"/>
      <c r="B886" s="100">
        <f t="shared" si="150"/>
        <v>0</v>
      </c>
      <c r="C886" s="84" t="str">
        <f t="shared" si="151"/>
        <v>January</v>
      </c>
      <c r="D886" s="85" t="str">
        <f t="shared" si="149"/>
        <v/>
      </c>
      <c r="E886" s="86"/>
      <c r="F886" s="86"/>
      <c r="G886" s="86"/>
      <c r="H886" s="86"/>
      <c r="I886" s="87" t="str">
        <f>IF(F886=0,"",IF(COUNTIF(F886,"Bao"),[1]Setup!$B$4,IF(COUNTIF(F886,"Soup Dumplings"),[1]Setup!$B$5,F886)))</f>
        <v/>
      </c>
      <c r="J886" s="88" t="str">
        <f t="shared" si="152"/>
        <v/>
      </c>
      <c r="K886" s="88"/>
      <c r="L886" s="87"/>
      <c r="M886" s="87"/>
      <c r="N886" s="87"/>
      <c r="O886" s="87"/>
      <c r="P886" s="89" t="str">
        <f t="shared" si="153"/>
        <v/>
      </c>
      <c r="Q886" s="89" t="str">
        <f t="shared" si="154"/>
        <v/>
      </c>
      <c r="R886" s="89" t="str">
        <f t="shared" si="155"/>
        <v/>
      </c>
      <c r="S886" s="88" t="str">
        <f>IF(F886="Bao",[1]Setup!$B$4,IF(F886="Soup Dumplings",[1]Setup!$B$5,""))</f>
        <v/>
      </c>
      <c r="T886" s="88" t="str">
        <f t="shared" si="156"/>
        <v/>
      </c>
      <c r="U886" s="84" t="str">
        <f t="shared" si="157"/>
        <v/>
      </c>
      <c r="V886" s="88">
        <f>IF(U886="",0,MAX(0,T886)+N886+ROUND(J886*[1]Setup!$B$9,0)+IF(O886&gt;[1]Setup!$B$10,ROUND(J886*[1]Setup!$B$11,0),0))</f>
        <v>0</v>
      </c>
      <c r="W886" s="85" t="str">
        <f>IF(L886="","Open",IF(OR(P886&lt;[1]Setup!$B$6,Q886&gt;[1]Setup!$B$7,R886&gt;[1]Setup!$B$8,O886&gt;[1]Setup!$B$10),"Review","OK"))</f>
        <v>Open</v>
      </c>
      <c r="X886" s="86"/>
    </row>
    <row r="887" spans="1:24" x14ac:dyDescent="0.3">
      <c r="A887" s="84"/>
      <c r="B887" s="100">
        <f t="shared" si="150"/>
        <v>0</v>
      </c>
      <c r="C887" s="84" t="str">
        <f t="shared" si="151"/>
        <v>January</v>
      </c>
      <c r="D887" s="85" t="str">
        <f t="shared" si="149"/>
        <v/>
      </c>
      <c r="E887" s="86"/>
      <c r="F887" s="86"/>
      <c r="G887" s="86"/>
      <c r="H887" s="86"/>
      <c r="I887" s="87" t="str">
        <f>IF(F887=0,"",IF(COUNTIF(F887,"Bao"),[1]Setup!$B$4,IF(COUNTIF(F887,"Soup Dumplings"),[1]Setup!$B$5,F887)))</f>
        <v/>
      </c>
      <c r="J887" s="88" t="str">
        <f t="shared" si="152"/>
        <v/>
      </c>
      <c r="K887" s="88"/>
      <c r="L887" s="87"/>
      <c r="M887" s="87"/>
      <c r="N887" s="87"/>
      <c r="O887" s="87"/>
      <c r="P887" s="89" t="str">
        <f t="shared" si="153"/>
        <v/>
      </c>
      <c r="Q887" s="89" t="str">
        <f t="shared" si="154"/>
        <v/>
      </c>
      <c r="R887" s="89" t="str">
        <f t="shared" si="155"/>
        <v/>
      </c>
      <c r="S887" s="88" t="str">
        <f>IF(F887="Bao",[1]Setup!$B$4,IF(F887="Soup Dumplings",[1]Setup!$B$5,""))</f>
        <v/>
      </c>
      <c r="T887" s="88" t="str">
        <f t="shared" si="156"/>
        <v/>
      </c>
      <c r="U887" s="84" t="str">
        <f t="shared" si="157"/>
        <v/>
      </c>
      <c r="V887" s="88">
        <f>IF(U887="",0,MAX(0,T887)+N887+ROUND(J887*[1]Setup!$B$9,0)+IF(O887&gt;[1]Setup!$B$10,ROUND(J887*[1]Setup!$B$11,0),0))</f>
        <v>0</v>
      </c>
      <c r="W887" s="85" t="str">
        <f>IF(L887="","Open",IF(OR(P887&lt;[1]Setup!$B$6,Q887&gt;[1]Setup!$B$7,R887&gt;[1]Setup!$B$8,O887&gt;[1]Setup!$B$10),"Review","OK"))</f>
        <v>Open</v>
      </c>
      <c r="X887" s="86"/>
    </row>
    <row r="888" spans="1:24" x14ac:dyDescent="0.3">
      <c r="A888" s="84"/>
      <c r="B888" s="100">
        <f t="shared" si="150"/>
        <v>0</v>
      </c>
      <c r="C888" s="84" t="str">
        <f t="shared" si="151"/>
        <v>January</v>
      </c>
      <c r="D888" s="85" t="str">
        <f t="shared" si="149"/>
        <v/>
      </c>
      <c r="E888" s="86"/>
      <c r="F888" s="86"/>
      <c r="G888" s="86"/>
      <c r="H888" s="86"/>
      <c r="I888" s="87" t="str">
        <f>IF(F888=0,"",IF(COUNTIF(F888,"Bao"),[1]Setup!$B$4,IF(COUNTIF(F888,"Soup Dumplings"),[1]Setup!$B$5,F888)))</f>
        <v/>
      </c>
      <c r="J888" s="88" t="str">
        <f t="shared" si="152"/>
        <v/>
      </c>
      <c r="K888" s="88"/>
      <c r="L888" s="87"/>
      <c r="M888" s="87"/>
      <c r="N888" s="87"/>
      <c r="O888" s="87"/>
      <c r="P888" s="89" t="str">
        <f t="shared" si="153"/>
        <v/>
      </c>
      <c r="Q888" s="89" t="str">
        <f t="shared" si="154"/>
        <v/>
      </c>
      <c r="R888" s="89" t="str">
        <f t="shared" si="155"/>
        <v/>
      </c>
      <c r="S888" s="88" t="str">
        <f>IF(F888="Bao",[1]Setup!$B$4,IF(F888="Soup Dumplings",[1]Setup!$B$5,""))</f>
        <v/>
      </c>
      <c r="T888" s="88" t="str">
        <f t="shared" si="156"/>
        <v/>
      </c>
      <c r="U888" s="84" t="str">
        <f t="shared" si="157"/>
        <v/>
      </c>
      <c r="V888" s="88">
        <f>IF(U888="",0,MAX(0,T888)+N888+ROUND(J888*[1]Setup!$B$9,0)+IF(O888&gt;[1]Setup!$B$10,ROUND(J888*[1]Setup!$B$11,0),0))</f>
        <v>0</v>
      </c>
      <c r="W888" s="85" t="str">
        <f>IF(L888="","Open",IF(OR(P888&lt;[1]Setup!$B$6,Q888&gt;[1]Setup!$B$7,R888&gt;[1]Setup!$B$8,O888&gt;[1]Setup!$B$10),"Review","OK"))</f>
        <v>Open</v>
      </c>
      <c r="X888" s="86"/>
    </row>
    <row r="889" spans="1:24" x14ac:dyDescent="0.3">
      <c r="A889" s="84"/>
      <c r="B889" s="100">
        <f t="shared" si="150"/>
        <v>0</v>
      </c>
      <c r="C889" s="84" t="str">
        <f t="shared" si="151"/>
        <v>January</v>
      </c>
      <c r="D889" s="85" t="str">
        <f t="shared" si="149"/>
        <v/>
      </c>
      <c r="E889" s="86"/>
      <c r="F889" s="86"/>
      <c r="G889" s="86"/>
      <c r="H889" s="86"/>
      <c r="I889" s="87" t="str">
        <f>IF(F889=0,"",IF(COUNTIF(F889,"Bao"),[1]Setup!$B$4,IF(COUNTIF(F889,"Soup Dumplings"),[1]Setup!$B$5,F889)))</f>
        <v/>
      </c>
      <c r="J889" s="88" t="str">
        <f t="shared" si="152"/>
        <v/>
      </c>
      <c r="K889" s="88"/>
      <c r="L889" s="87"/>
      <c r="M889" s="87"/>
      <c r="N889" s="87"/>
      <c r="O889" s="87"/>
      <c r="P889" s="89" t="str">
        <f t="shared" si="153"/>
        <v/>
      </c>
      <c r="Q889" s="89" t="str">
        <f t="shared" si="154"/>
        <v/>
      </c>
      <c r="R889" s="89" t="str">
        <f t="shared" si="155"/>
        <v/>
      </c>
      <c r="S889" s="88" t="str">
        <f>IF(F889="Bao",[1]Setup!$B$4,IF(F889="Soup Dumplings",[1]Setup!$B$5,""))</f>
        <v/>
      </c>
      <c r="T889" s="88" t="str">
        <f t="shared" si="156"/>
        <v/>
      </c>
      <c r="U889" s="84" t="str">
        <f t="shared" si="157"/>
        <v/>
      </c>
      <c r="V889" s="88">
        <f>IF(U889="",0,MAX(0,T889)+N889+ROUND(J889*[1]Setup!$B$9,0)+IF(O889&gt;[1]Setup!$B$10,ROUND(J889*[1]Setup!$B$11,0),0))</f>
        <v>0</v>
      </c>
      <c r="W889" s="85" t="str">
        <f>IF(L889="","Open",IF(OR(P889&lt;[1]Setup!$B$6,Q889&gt;[1]Setup!$B$7,R889&gt;[1]Setup!$B$8,O889&gt;[1]Setup!$B$10),"Review","OK"))</f>
        <v>Open</v>
      </c>
      <c r="X889" s="86"/>
    </row>
    <row r="890" spans="1:24" x14ac:dyDescent="0.3">
      <c r="A890" s="84"/>
      <c r="B890" s="100">
        <f t="shared" si="150"/>
        <v>0</v>
      </c>
      <c r="C890" s="84" t="str">
        <f t="shared" si="151"/>
        <v>January</v>
      </c>
      <c r="D890" s="85" t="str">
        <f t="shared" si="149"/>
        <v/>
      </c>
      <c r="E890" s="86"/>
      <c r="F890" s="86"/>
      <c r="G890" s="86"/>
      <c r="H890" s="86"/>
      <c r="I890" s="87" t="str">
        <f>IF(F890=0,"",IF(COUNTIF(F890,"Bao"),[1]Setup!$B$4,IF(COUNTIF(F890,"Soup Dumplings"),[1]Setup!$B$5,F890)))</f>
        <v/>
      </c>
      <c r="J890" s="88" t="str">
        <f t="shared" si="152"/>
        <v/>
      </c>
      <c r="K890" s="88"/>
      <c r="L890" s="87"/>
      <c r="M890" s="87"/>
      <c r="N890" s="87"/>
      <c r="O890" s="87"/>
      <c r="P890" s="89" t="str">
        <f t="shared" si="153"/>
        <v/>
      </c>
      <c r="Q890" s="89" t="str">
        <f t="shared" si="154"/>
        <v/>
      </c>
      <c r="R890" s="89" t="str">
        <f t="shared" si="155"/>
        <v/>
      </c>
      <c r="S890" s="88" t="str">
        <f>IF(F890="Bao",[1]Setup!$B$4,IF(F890="Soup Dumplings",[1]Setup!$B$5,""))</f>
        <v/>
      </c>
      <c r="T890" s="88" t="str">
        <f t="shared" si="156"/>
        <v/>
      </c>
      <c r="U890" s="84" t="str">
        <f t="shared" si="157"/>
        <v/>
      </c>
      <c r="V890" s="88">
        <f>IF(U890="",0,MAX(0,T890)+N890+ROUND(J890*[1]Setup!$B$9,0)+IF(O890&gt;[1]Setup!$B$10,ROUND(J890*[1]Setup!$B$11,0),0))</f>
        <v>0</v>
      </c>
      <c r="W890" s="85" t="str">
        <f>IF(L890="","Open",IF(OR(P890&lt;[1]Setup!$B$6,Q890&gt;[1]Setup!$B$7,R890&gt;[1]Setup!$B$8,O890&gt;[1]Setup!$B$10),"Review","OK"))</f>
        <v>Open</v>
      </c>
      <c r="X890" s="86"/>
    </row>
    <row r="891" spans="1:24" x14ac:dyDescent="0.3">
      <c r="A891" s="84"/>
      <c r="B891" s="100">
        <f t="shared" si="150"/>
        <v>0</v>
      </c>
      <c r="C891" s="84" t="str">
        <f t="shared" si="151"/>
        <v>January</v>
      </c>
      <c r="D891" s="85" t="str">
        <f t="shared" si="149"/>
        <v/>
      </c>
      <c r="E891" s="86"/>
      <c r="F891" s="86"/>
      <c r="G891" s="86"/>
      <c r="H891" s="86"/>
      <c r="I891" s="87" t="str">
        <f>IF(F891=0,"",IF(COUNTIF(F891,"Bao"),[1]Setup!$B$4,IF(COUNTIF(F891,"Soup Dumplings"),[1]Setup!$B$5,F891)))</f>
        <v/>
      </c>
      <c r="J891" s="88" t="str">
        <f t="shared" si="152"/>
        <v/>
      </c>
      <c r="K891" s="88"/>
      <c r="L891" s="87"/>
      <c r="M891" s="87"/>
      <c r="N891" s="87"/>
      <c r="O891" s="87"/>
      <c r="P891" s="89" t="str">
        <f t="shared" si="153"/>
        <v/>
      </c>
      <c r="Q891" s="89" t="str">
        <f t="shared" si="154"/>
        <v/>
      </c>
      <c r="R891" s="89" t="str">
        <f t="shared" si="155"/>
        <v/>
      </c>
      <c r="S891" s="88" t="str">
        <f>IF(F891="Bao",[1]Setup!$B$4,IF(F891="Soup Dumplings",[1]Setup!$B$5,""))</f>
        <v/>
      </c>
      <c r="T891" s="88" t="str">
        <f t="shared" si="156"/>
        <v/>
      </c>
      <c r="U891" s="84" t="str">
        <f t="shared" si="157"/>
        <v/>
      </c>
      <c r="V891" s="88">
        <f>IF(U891="",0,MAX(0,T891)+N891+ROUND(J891*[1]Setup!$B$9,0)+IF(O891&gt;[1]Setup!$B$10,ROUND(J891*[1]Setup!$B$11,0),0))</f>
        <v>0</v>
      </c>
      <c r="W891" s="85" t="str">
        <f>IF(L891="","Open",IF(OR(P891&lt;[1]Setup!$B$6,Q891&gt;[1]Setup!$B$7,R891&gt;[1]Setup!$B$8,O891&gt;[1]Setup!$B$10),"Review","OK"))</f>
        <v>Open</v>
      </c>
      <c r="X891" s="86"/>
    </row>
    <row r="892" spans="1:24" x14ac:dyDescent="0.3">
      <c r="A892" s="84"/>
      <c r="B892" s="100">
        <f t="shared" si="150"/>
        <v>0</v>
      </c>
      <c r="C892" s="84" t="str">
        <f t="shared" si="151"/>
        <v>January</v>
      </c>
      <c r="D892" s="85" t="str">
        <f t="shared" si="149"/>
        <v/>
      </c>
      <c r="E892" s="86"/>
      <c r="F892" s="86"/>
      <c r="G892" s="86"/>
      <c r="H892" s="86"/>
      <c r="I892" s="87" t="str">
        <f>IF(F892=0,"",IF(COUNTIF(F892,"Bao"),[1]Setup!$B$4,IF(COUNTIF(F892,"Soup Dumplings"),[1]Setup!$B$5,F892)))</f>
        <v/>
      </c>
      <c r="J892" s="88" t="str">
        <f t="shared" si="152"/>
        <v/>
      </c>
      <c r="K892" s="88"/>
      <c r="L892" s="87"/>
      <c r="M892" s="87"/>
      <c r="N892" s="87"/>
      <c r="O892" s="87"/>
      <c r="P892" s="89" t="str">
        <f t="shared" si="153"/>
        <v/>
      </c>
      <c r="Q892" s="89" t="str">
        <f t="shared" si="154"/>
        <v/>
      </c>
      <c r="R892" s="89" t="str">
        <f t="shared" si="155"/>
        <v/>
      </c>
      <c r="S892" s="88" t="str">
        <f>IF(F892="Bao",[1]Setup!$B$4,IF(F892="Soup Dumplings",[1]Setup!$B$5,""))</f>
        <v/>
      </c>
      <c r="T892" s="88" t="str">
        <f t="shared" si="156"/>
        <v/>
      </c>
      <c r="U892" s="84" t="str">
        <f t="shared" si="157"/>
        <v/>
      </c>
      <c r="V892" s="88">
        <f>IF(U892="",0,MAX(0,T892)+N892+ROUND(J892*[1]Setup!$B$9,0)+IF(O892&gt;[1]Setup!$B$10,ROUND(J892*[1]Setup!$B$11,0),0))</f>
        <v>0</v>
      </c>
      <c r="W892" s="85" t="str">
        <f>IF(L892="","Open",IF(OR(P892&lt;[1]Setup!$B$6,Q892&gt;[1]Setup!$B$7,R892&gt;[1]Setup!$B$8,O892&gt;[1]Setup!$B$10),"Review","OK"))</f>
        <v>Open</v>
      </c>
      <c r="X892" s="86"/>
    </row>
    <row r="893" spans="1:24" x14ac:dyDescent="0.3">
      <c r="A893" s="84"/>
      <c r="B893" s="100">
        <f t="shared" si="150"/>
        <v>0</v>
      </c>
      <c r="C893" s="84" t="str">
        <f t="shared" si="151"/>
        <v>January</v>
      </c>
      <c r="D893" s="85" t="str">
        <f t="shared" si="149"/>
        <v/>
      </c>
      <c r="E893" s="86"/>
      <c r="F893" s="86"/>
      <c r="G893" s="86"/>
      <c r="H893" s="86"/>
      <c r="I893" s="87" t="str">
        <f>IF(F893=0,"",IF(COUNTIF(F893,"Bao"),[1]Setup!$B$4,IF(COUNTIF(F893,"Soup Dumplings"),[1]Setup!$B$5,F893)))</f>
        <v/>
      </c>
      <c r="J893" s="88" t="str">
        <f t="shared" si="152"/>
        <v/>
      </c>
      <c r="K893" s="88"/>
      <c r="L893" s="87"/>
      <c r="M893" s="87"/>
      <c r="N893" s="87"/>
      <c r="O893" s="87"/>
      <c r="P893" s="89" t="str">
        <f t="shared" si="153"/>
        <v/>
      </c>
      <c r="Q893" s="89" t="str">
        <f t="shared" si="154"/>
        <v/>
      </c>
      <c r="R893" s="89" t="str">
        <f t="shared" si="155"/>
        <v/>
      </c>
      <c r="S893" s="88" t="str">
        <f>IF(F893="Bao",[1]Setup!$B$4,IF(F893="Soup Dumplings",[1]Setup!$B$5,""))</f>
        <v/>
      </c>
      <c r="T893" s="88" t="str">
        <f t="shared" si="156"/>
        <v/>
      </c>
      <c r="U893" s="84" t="str">
        <f t="shared" si="157"/>
        <v/>
      </c>
      <c r="V893" s="88">
        <f>IF(U893="",0,MAX(0,T893)+N893+ROUND(J893*[1]Setup!$B$9,0)+IF(O893&gt;[1]Setup!$B$10,ROUND(J893*[1]Setup!$B$11,0),0))</f>
        <v>0</v>
      </c>
      <c r="W893" s="85" t="str">
        <f>IF(L893="","Open",IF(OR(P893&lt;[1]Setup!$B$6,Q893&gt;[1]Setup!$B$7,R893&gt;[1]Setup!$B$8,O893&gt;[1]Setup!$B$10),"Review","OK"))</f>
        <v>Open</v>
      </c>
      <c r="X893" s="86"/>
    </row>
    <row r="894" spans="1:24" x14ac:dyDescent="0.3">
      <c r="A894" s="84"/>
      <c r="B894" s="100">
        <f t="shared" si="150"/>
        <v>0</v>
      </c>
      <c r="C894" s="84" t="str">
        <f t="shared" si="151"/>
        <v>January</v>
      </c>
      <c r="D894" s="85" t="str">
        <f t="shared" si="149"/>
        <v/>
      </c>
      <c r="E894" s="86"/>
      <c r="F894" s="86"/>
      <c r="G894" s="86"/>
      <c r="H894" s="86"/>
      <c r="I894" s="87" t="str">
        <f>IF(F894=0,"",IF(COUNTIF(F894,"Bao"),[1]Setup!$B$4,IF(COUNTIF(F894,"Soup Dumplings"),[1]Setup!$B$5,F894)))</f>
        <v/>
      </c>
      <c r="J894" s="88" t="str">
        <f t="shared" si="152"/>
        <v/>
      </c>
      <c r="K894" s="88"/>
      <c r="L894" s="87"/>
      <c r="M894" s="87"/>
      <c r="N894" s="87"/>
      <c r="O894" s="87"/>
      <c r="P894" s="89" t="str">
        <f t="shared" si="153"/>
        <v/>
      </c>
      <c r="Q894" s="89" t="str">
        <f t="shared" si="154"/>
        <v/>
      </c>
      <c r="R894" s="89" t="str">
        <f t="shared" si="155"/>
        <v/>
      </c>
      <c r="S894" s="88" t="str">
        <f>IF(F894="Bao",[1]Setup!$B$4,IF(F894="Soup Dumplings",[1]Setup!$B$5,""))</f>
        <v/>
      </c>
      <c r="T894" s="88" t="str">
        <f t="shared" si="156"/>
        <v/>
      </c>
      <c r="U894" s="84" t="str">
        <f t="shared" si="157"/>
        <v/>
      </c>
      <c r="V894" s="88">
        <f>IF(U894="",0,MAX(0,T894)+N894+ROUND(J894*[1]Setup!$B$9,0)+IF(O894&gt;[1]Setup!$B$10,ROUND(J894*[1]Setup!$B$11,0),0))</f>
        <v>0</v>
      </c>
      <c r="W894" s="85" t="str">
        <f>IF(L894="","Open",IF(OR(P894&lt;[1]Setup!$B$6,Q894&gt;[1]Setup!$B$7,R894&gt;[1]Setup!$B$8,O894&gt;[1]Setup!$B$10),"Review","OK"))</f>
        <v>Open</v>
      </c>
      <c r="X894" s="86"/>
    </row>
    <row r="895" spans="1:24" x14ac:dyDescent="0.3">
      <c r="A895" s="84"/>
      <c r="B895" s="100">
        <f t="shared" si="150"/>
        <v>0</v>
      </c>
      <c r="C895" s="84" t="str">
        <f t="shared" si="151"/>
        <v>January</v>
      </c>
      <c r="D895" s="85" t="str">
        <f t="shared" si="149"/>
        <v/>
      </c>
      <c r="E895" s="86"/>
      <c r="F895" s="86"/>
      <c r="G895" s="86"/>
      <c r="H895" s="86"/>
      <c r="I895" s="87" t="str">
        <f>IF(F895=0,"",IF(COUNTIF(F895,"Bao"),[1]Setup!$B$4,IF(COUNTIF(F895,"Soup Dumplings"),[1]Setup!$B$5,F895)))</f>
        <v/>
      </c>
      <c r="J895" s="88" t="str">
        <f t="shared" si="152"/>
        <v/>
      </c>
      <c r="K895" s="88"/>
      <c r="L895" s="87"/>
      <c r="M895" s="87"/>
      <c r="N895" s="87"/>
      <c r="O895" s="87"/>
      <c r="P895" s="89" t="str">
        <f t="shared" si="153"/>
        <v/>
      </c>
      <c r="Q895" s="89" t="str">
        <f t="shared" si="154"/>
        <v/>
      </c>
      <c r="R895" s="89" t="str">
        <f t="shared" si="155"/>
        <v/>
      </c>
      <c r="S895" s="88" t="str">
        <f>IF(F895="Bao",[1]Setup!$B$4,IF(F895="Soup Dumplings",[1]Setup!$B$5,""))</f>
        <v/>
      </c>
      <c r="T895" s="88" t="str">
        <f t="shared" si="156"/>
        <v/>
      </c>
      <c r="U895" s="84" t="str">
        <f t="shared" si="157"/>
        <v/>
      </c>
      <c r="V895" s="88">
        <f>IF(U895="",0,MAX(0,T895)+N895+ROUND(J895*[1]Setup!$B$9,0)+IF(O895&gt;[1]Setup!$B$10,ROUND(J895*[1]Setup!$B$11,0),0))</f>
        <v>0</v>
      </c>
      <c r="W895" s="85" t="str">
        <f>IF(L895="","Open",IF(OR(P895&lt;[1]Setup!$B$6,Q895&gt;[1]Setup!$B$7,R895&gt;[1]Setup!$B$8,O895&gt;[1]Setup!$B$10),"Review","OK"))</f>
        <v>Open</v>
      </c>
      <c r="X895" s="86"/>
    </row>
    <row r="896" spans="1:24" x14ac:dyDescent="0.3">
      <c r="A896" s="84"/>
      <c r="B896" s="100">
        <f t="shared" si="150"/>
        <v>0</v>
      </c>
      <c r="C896" s="84" t="str">
        <f t="shared" si="151"/>
        <v>January</v>
      </c>
      <c r="D896" s="85" t="str">
        <f t="shared" si="149"/>
        <v/>
      </c>
      <c r="E896" s="86"/>
      <c r="F896" s="86"/>
      <c r="G896" s="86"/>
      <c r="H896" s="86"/>
      <c r="I896" s="87" t="str">
        <f>IF(F896=0,"",IF(COUNTIF(F896,"Bao"),[1]Setup!$B$4,IF(COUNTIF(F896,"Soup Dumplings"),[1]Setup!$B$5,F896)))</f>
        <v/>
      </c>
      <c r="J896" s="88" t="str">
        <f t="shared" si="152"/>
        <v/>
      </c>
      <c r="K896" s="88"/>
      <c r="L896" s="87"/>
      <c r="M896" s="87"/>
      <c r="N896" s="87"/>
      <c r="O896" s="87"/>
      <c r="P896" s="89" t="str">
        <f t="shared" si="153"/>
        <v/>
      </c>
      <c r="Q896" s="89" t="str">
        <f t="shared" si="154"/>
        <v/>
      </c>
      <c r="R896" s="89" t="str">
        <f t="shared" si="155"/>
        <v/>
      </c>
      <c r="S896" s="88" t="str">
        <f>IF(F896="Bao",[1]Setup!$B$4,IF(F896="Soup Dumplings",[1]Setup!$B$5,""))</f>
        <v/>
      </c>
      <c r="T896" s="88" t="str">
        <f t="shared" si="156"/>
        <v/>
      </c>
      <c r="U896" s="84" t="str">
        <f t="shared" si="157"/>
        <v/>
      </c>
      <c r="V896" s="88">
        <f>IF(U896="",0,MAX(0,T896)+N896+ROUND(J896*[1]Setup!$B$9,0)+IF(O896&gt;[1]Setup!$B$10,ROUND(J896*[1]Setup!$B$11,0),0))</f>
        <v>0</v>
      </c>
      <c r="W896" s="85" t="str">
        <f>IF(L896="","Open",IF(OR(P896&lt;[1]Setup!$B$6,Q896&gt;[1]Setup!$B$7,R896&gt;[1]Setup!$B$8,O896&gt;[1]Setup!$B$10),"Review","OK"))</f>
        <v>Open</v>
      </c>
      <c r="X896" s="86"/>
    </row>
    <row r="897" spans="1:24" x14ac:dyDescent="0.3">
      <c r="A897" s="84"/>
      <c r="B897" s="100">
        <f t="shared" si="150"/>
        <v>0</v>
      </c>
      <c r="C897" s="84" t="str">
        <f t="shared" si="151"/>
        <v>January</v>
      </c>
      <c r="D897" s="85" t="str">
        <f t="shared" si="149"/>
        <v/>
      </c>
      <c r="E897" s="86"/>
      <c r="F897" s="86"/>
      <c r="G897" s="86"/>
      <c r="H897" s="86"/>
      <c r="I897" s="87" t="str">
        <f>IF(F897=0,"",IF(COUNTIF(F897,"Bao"),[1]Setup!$B$4,IF(COUNTIF(F897,"Soup Dumplings"),[1]Setup!$B$5,F897)))</f>
        <v/>
      </c>
      <c r="J897" s="88" t="str">
        <f t="shared" si="152"/>
        <v/>
      </c>
      <c r="K897" s="88"/>
      <c r="L897" s="87"/>
      <c r="M897" s="87"/>
      <c r="N897" s="87"/>
      <c r="O897" s="87"/>
      <c r="P897" s="89" t="str">
        <f t="shared" si="153"/>
        <v/>
      </c>
      <c r="Q897" s="89" t="str">
        <f t="shared" si="154"/>
        <v/>
      </c>
      <c r="R897" s="89" t="str">
        <f t="shared" si="155"/>
        <v/>
      </c>
      <c r="S897" s="88" t="str">
        <f>IF(F897="Bao",[1]Setup!$B$4,IF(F897="Soup Dumplings",[1]Setup!$B$5,""))</f>
        <v/>
      </c>
      <c r="T897" s="88" t="str">
        <f t="shared" si="156"/>
        <v/>
      </c>
      <c r="U897" s="84" t="str">
        <f t="shared" si="157"/>
        <v/>
      </c>
      <c r="V897" s="88">
        <f>IF(U897="",0,MAX(0,T897)+N897+ROUND(J897*[1]Setup!$B$9,0)+IF(O897&gt;[1]Setup!$B$10,ROUND(J897*[1]Setup!$B$11,0),0))</f>
        <v>0</v>
      </c>
      <c r="W897" s="85" t="str">
        <f>IF(L897="","Open",IF(OR(P897&lt;[1]Setup!$B$6,Q897&gt;[1]Setup!$B$7,R897&gt;[1]Setup!$B$8,O897&gt;[1]Setup!$B$10),"Review","OK"))</f>
        <v>Open</v>
      </c>
      <c r="X897" s="86"/>
    </row>
    <row r="898" spans="1:24" x14ac:dyDescent="0.3">
      <c r="A898" s="84"/>
      <c r="B898" s="100">
        <f t="shared" si="150"/>
        <v>0</v>
      </c>
      <c r="C898" s="84" t="str">
        <f t="shared" si="151"/>
        <v>January</v>
      </c>
      <c r="D898" s="85" t="str">
        <f t="shared" si="149"/>
        <v/>
      </c>
      <c r="E898" s="86"/>
      <c r="F898" s="86"/>
      <c r="G898" s="86"/>
      <c r="H898" s="86"/>
      <c r="I898" s="87" t="str">
        <f>IF(F898=0,"",IF(COUNTIF(F898,"Bao"),[1]Setup!$B$4,IF(COUNTIF(F898,"Soup Dumplings"),[1]Setup!$B$5,F898)))</f>
        <v/>
      </c>
      <c r="J898" s="88" t="str">
        <f t="shared" si="152"/>
        <v/>
      </c>
      <c r="K898" s="88"/>
      <c r="L898" s="87"/>
      <c r="M898" s="87"/>
      <c r="N898" s="87"/>
      <c r="O898" s="87"/>
      <c r="P898" s="89" t="str">
        <f t="shared" si="153"/>
        <v/>
      </c>
      <c r="Q898" s="89" t="str">
        <f t="shared" si="154"/>
        <v/>
      </c>
      <c r="R898" s="89" t="str">
        <f t="shared" si="155"/>
        <v/>
      </c>
      <c r="S898" s="88" t="str">
        <f>IF(F898="Bao",[1]Setup!$B$4,IF(F898="Soup Dumplings",[1]Setup!$B$5,""))</f>
        <v/>
      </c>
      <c r="T898" s="88" t="str">
        <f t="shared" si="156"/>
        <v/>
      </c>
      <c r="U898" s="84" t="str">
        <f t="shared" si="157"/>
        <v/>
      </c>
      <c r="V898" s="88">
        <f>IF(U898="",0,MAX(0,T898)+N898+ROUND(J898*[1]Setup!$B$9,0)+IF(O898&gt;[1]Setup!$B$10,ROUND(J898*[1]Setup!$B$11,0),0))</f>
        <v>0</v>
      </c>
      <c r="W898" s="85" t="str">
        <f>IF(L898="","Open",IF(OR(P898&lt;[1]Setup!$B$6,Q898&gt;[1]Setup!$B$7,R898&gt;[1]Setup!$B$8,O898&gt;[1]Setup!$B$10),"Review","OK"))</f>
        <v>Open</v>
      </c>
      <c r="X898" s="86"/>
    </row>
    <row r="899" spans="1:24" x14ac:dyDescent="0.3">
      <c r="A899" s="84"/>
      <c r="B899" s="100">
        <f t="shared" si="150"/>
        <v>0</v>
      </c>
      <c r="C899" s="84" t="str">
        <f t="shared" si="151"/>
        <v>January</v>
      </c>
      <c r="D899" s="85" t="str">
        <f t="shared" si="149"/>
        <v/>
      </c>
      <c r="E899" s="86"/>
      <c r="F899" s="86"/>
      <c r="G899" s="86"/>
      <c r="H899" s="86"/>
      <c r="I899" s="87" t="str">
        <f>IF(F899=0,"",IF(COUNTIF(F899,"Bao"),[1]Setup!$B$4,IF(COUNTIF(F899,"Soup Dumplings"),[1]Setup!$B$5,F899)))</f>
        <v/>
      </c>
      <c r="J899" s="88" t="str">
        <f t="shared" si="152"/>
        <v/>
      </c>
      <c r="K899" s="88"/>
      <c r="L899" s="87"/>
      <c r="M899" s="87"/>
      <c r="N899" s="87"/>
      <c r="O899" s="87"/>
      <c r="P899" s="89" t="str">
        <f t="shared" si="153"/>
        <v/>
      </c>
      <c r="Q899" s="89" t="str">
        <f t="shared" si="154"/>
        <v/>
      </c>
      <c r="R899" s="89" t="str">
        <f t="shared" si="155"/>
        <v/>
      </c>
      <c r="S899" s="88" t="str">
        <f>IF(F899="Bao",[1]Setup!$B$4,IF(F899="Soup Dumplings",[1]Setup!$B$5,""))</f>
        <v/>
      </c>
      <c r="T899" s="88" t="str">
        <f t="shared" si="156"/>
        <v/>
      </c>
      <c r="U899" s="84" t="str">
        <f t="shared" si="157"/>
        <v/>
      </c>
      <c r="V899" s="88">
        <f>IF(U899="",0,MAX(0,T899)+N899+ROUND(J899*[1]Setup!$B$9,0)+IF(O899&gt;[1]Setup!$B$10,ROUND(J899*[1]Setup!$B$11,0),0))</f>
        <v>0</v>
      </c>
      <c r="W899" s="85" t="str">
        <f>IF(L899="","Open",IF(OR(P899&lt;[1]Setup!$B$6,Q899&gt;[1]Setup!$B$7,R899&gt;[1]Setup!$B$8,O899&gt;[1]Setup!$B$10),"Review","OK"))</f>
        <v>Open</v>
      </c>
      <c r="X899" s="86"/>
    </row>
    <row r="900" spans="1:24" x14ac:dyDescent="0.3">
      <c r="A900" s="84"/>
      <c r="B900" s="100">
        <f t="shared" si="150"/>
        <v>0</v>
      </c>
      <c r="C900" s="84" t="str">
        <f t="shared" si="151"/>
        <v>January</v>
      </c>
      <c r="D900" s="85" t="str">
        <f t="shared" ref="D900:D963" si="158">IF(A900="","",TEXT(A900,"ddd"))</f>
        <v/>
      </c>
      <c r="E900" s="86"/>
      <c r="F900" s="86"/>
      <c r="G900" s="86"/>
      <c r="H900" s="86"/>
      <c r="I900" s="87" t="str">
        <f>IF(F900=0,"",IF(COUNTIF(F900,"Bao"),[1]Setup!$B$4,IF(COUNTIF(F900,"Soup Dumplings"),[1]Setup!$B$5,F900)))</f>
        <v/>
      </c>
      <c r="J900" s="88" t="str">
        <f t="shared" si="152"/>
        <v/>
      </c>
      <c r="K900" s="88"/>
      <c r="L900" s="87"/>
      <c r="M900" s="87"/>
      <c r="N900" s="87"/>
      <c r="O900" s="87"/>
      <c r="P900" s="89" t="str">
        <f t="shared" si="153"/>
        <v/>
      </c>
      <c r="Q900" s="89" t="str">
        <f t="shared" si="154"/>
        <v/>
      </c>
      <c r="R900" s="89" t="str">
        <f t="shared" si="155"/>
        <v/>
      </c>
      <c r="S900" s="88" t="str">
        <f>IF(F900="Bao",[1]Setup!$B$4,IF(F900="Soup Dumplings",[1]Setup!$B$5,""))</f>
        <v/>
      </c>
      <c r="T900" s="88" t="str">
        <f t="shared" si="156"/>
        <v/>
      </c>
      <c r="U900" s="84" t="str">
        <f t="shared" si="157"/>
        <v/>
      </c>
      <c r="V900" s="88">
        <f>IF(U900="",0,MAX(0,T900)+N900+ROUND(J900*[1]Setup!$B$9,0)+IF(O900&gt;[1]Setup!$B$10,ROUND(J900*[1]Setup!$B$11,0),0))</f>
        <v>0</v>
      </c>
      <c r="W900" s="85" t="str">
        <f>IF(L900="","Open",IF(OR(P900&lt;[1]Setup!$B$6,Q900&gt;[1]Setup!$B$7,R900&gt;[1]Setup!$B$8,O900&gt;[1]Setup!$B$10),"Review","OK"))</f>
        <v>Open</v>
      </c>
      <c r="X900" s="86"/>
    </row>
    <row r="901" spans="1:24" x14ac:dyDescent="0.3">
      <c r="A901" s="84"/>
      <c r="B901" s="100">
        <f t="shared" ref="B901:B964" si="159">+WEEKNUM(A901)</f>
        <v>0</v>
      </c>
      <c r="C901" s="84" t="str">
        <f t="shared" ref="C901:C964" si="160">+TEXT(A901,"mmmm")</f>
        <v>January</v>
      </c>
      <c r="D901" s="85" t="str">
        <f t="shared" si="158"/>
        <v/>
      </c>
      <c r="E901" s="86"/>
      <c r="F901" s="86"/>
      <c r="G901" s="86"/>
      <c r="H901" s="86"/>
      <c r="I901" s="87" t="str">
        <f>IF(F901=0,"",IF(COUNTIF(F901,"Bao"),[1]Setup!$B$4,IF(COUNTIF(F901,"Soup Dumplings"),[1]Setup!$B$5,F901)))</f>
        <v/>
      </c>
      <c r="J901" s="88" t="str">
        <f t="shared" si="152"/>
        <v/>
      </c>
      <c r="K901" s="88"/>
      <c r="L901" s="87"/>
      <c r="M901" s="87"/>
      <c r="N901" s="87"/>
      <c r="O901" s="87"/>
      <c r="P901" s="89" t="str">
        <f t="shared" si="153"/>
        <v/>
      </c>
      <c r="Q901" s="89" t="str">
        <f t="shared" si="154"/>
        <v/>
      </c>
      <c r="R901" s="89" t="str">
        <f t="shared" si="155"/>
        <v/>
      </c>
      <c r="S901" s="88" t="str">
        <f>IF(F901="Bao",[1]Setup!$B$4,IF(F901="Soup Dumplings",[1]Setup!$B$5,""))</f>
        <v/>
      </c>
      <c r="T901" s="88" t="str">
        <f t="shared" si="156"/>
        <v/>
      </c>
      <c r="U901" s="84" t="str">
        <f t="shared" si="157"/>
        <v/>
      </c>
      <c r="V901" s="88">
        <f>IF(U901="",0,MAX(0,T901)+N901+ROUND(J901*[1]Setup!$B$9,0)+IF(O901&gt;[1]Setup!$B$10,ROUND(J901*[1]Setup!$B$11,0),0))</f>
        <v>0</v>
      </c>
      <c r="W901" s="85" t="str">
        <f>IF(L901="","Open",IF(OR(P901&lt;[1]Setup!$B$6,Q901&gt;[1]Setup!$B$7,R901&gt;[1]Setup!$B$8,O901&gt;[1]Setup!$B$10),"Review","OK"))</f>
        <v>Open</v>
      </c>
      <c r="X901" s="86"/>
    </row>
    <row r="902" spans="1:24" x14ac:dyDescent="0.3">
      <c r="A902" s="84"/>
      <c r="B902" s="100">
        <f t="shared" si="159"/>
        <v>0</v>
      </c>
      <c r="C902" s="84" t="str">
        <f t="shared" si="160"/>
        <v>January</v>
      </c>
      <c r="D902" s="85" t="str">
        <f t="shared" si="158"/>
        <v/>
      </c>
      <c r="E902" s="86"/>
      <c r="F902" s="86"/>
      <c r="G902" s="86"/>
      <c r="H902" s="86"/>
      <c r="I902" s="87" t="str">
        <f>IF(F902=0,"",IF(COUNTIF(F902,"Bao"),[1]Setup!$B$4,IF(COUNTIF(F902,"Soup Dumplings"),[1]Setup!$B$5,F902)))</f>
        <v/>
      </c>
      <c r="J902" s="88" t="str">
        <f t="shared" si="152"/>
        <v/>
      </c>
      <c r="K902" s="88"/>
      <c r="L902" s="87"/>
      <c r="M902" s="87"/>
      <c r="N902" s="87"/>
      <c r="O902" s="87"/>
      <c r="P902" s="89" t="str">
        <f t="shared" si="153"/>
        <v/>
      </c>
      <c r="Q902" s="89" t="str">
        <f t="shared" si="154"/>
        <v/>
      </c>
      <c r="R902" s="89" t="str">
        <f t="shared" si="155"/>
        <v/>
      </c>
      <c r="S902" s="88" t="str">
        <f>IF(F902="Bao",[1]Setup!$B$4,IF(F902="Soup Dumplings",[1]Setup!$B$5,""))</f>
        <v/>
      </c>
      <c r="T902" s="88" t="str">
        <f t="shared" si="156"/>
        <v/>
      </c>
      <c r="U902" s="84" t="str">
        <f t="shared" si="157"/>
        <v/>
      </c>
      <c r="V902" s="88">
        <f>IF(U902="",0,MAX(0,T902)+N902+ROUND(J902*[1]Setup!$B$9,0)+IF(O902&gt;[1]Setup!$B$10,ROUND(J902*[1]Setup!$B$11,0),0))</f>
        <v>0</v>
      </c>
      <c r="W902" s="85" t="str">
        <f>IF(L902="","Open",IF(OR(P902&lt;[1]Setup!$B$6,Q902&gt;[1]Setup!$B$7,R902&gt;[1]Setup!$B$8,O902&gt;[1]Setup!$B$10),"Review","OK"))</f>
        <v>Open</v>
      </c>
      <c r="X902" s="86"/>
    </row>
    <row r="903" spans="1:24" x14ac:dyDescent="0.3">
      <c r="A903" s="84"/>
      <c r="B903" s="100">
        <f t="shared" si="159"/>
        <v>0</v>
      </c>
      <c r="C903" s="84" t="str">
        <f t="shared" si="160"/>
        <v>January</v>
      </c>
      <c r="D903" s="85" t="str">
        <f t="shared" si="158"/>
        <v/>
      </c>
      <c r="E903" s="86"/>
      <c r="F903" s="86"/>
      <c r="G903" s="86"/>
      <c r="H903" s="86"/>
      <c r="I903" s="87" t="str">
        <f>IF(F903=0,"",IF(COUNTIF(F903,"Bao"),[1]Setup!$B$4,IF(COUNTIF(F903,"Soup Dumplings"),[1]Setup!$B$5,F903)))</f>
        <v/>
      </c>
      <c r="J903" s="88" t="str">
        <f t="shared" si="152"/>
        <v/>
      </c>
      <c r="K903" s="88"/>
      <c r="L903" s="87"/>
      <c r="M903" s="87"/>
      <c r="N903" s="87"/>
      <c r="O903" s="87"/>
      <c r="P903" s="89" t="str">
        <f t="shared" si="153"/>
        <v/>
      </c>
      <c r="Q903" s="89" t="str">
        <f t="shared" si="154"/>
        <v/>
      </c>
      <c r="R903" s="89" t="str">
        <f t="shared" si="155"/>
        <v/>
      </c>
      <c r="S903" s="88" t="str">
        <f>IF(F903="Bao",[1]Setup!$B$4,IF(F903="Soup Dumplings",[1]Setup!$B$5,""))</f>
        <v/>
      </c>
      <c r="T903" s="88" t="str">
        <f t="shared" si="156"/>
        <v/>
      </c>
      <c r="U903" s="84" t="str">
        <f t="shared" si="157"/>
        <v/>
      </c>
      <c r="V903" s="88">
        <f>IF(U903="",0,MAX(0,T903)+N903+ROUND(J903*[1]Setup!$B$9,0)+IF(O903&gt;[1]Setup!$B$10,ROUND(J903*[1]Setup!$B$11,0),0))</f>
        <v>0</v>
      </c>
      <c r="W903" s="85" t="str">
        <f>IF(L903="","Open",IF(OR(P903&lt;[1]Setup!$B$6,Q903&gt;[1]Setup!$B$7,R903&gt;[1]Setup!$B$8,O903&gt;[1]Setup!$B$10),"Review","OK"))</f>
        <v>Open</v>
      </c>
      <c r="X903" s="86"/>
    </row>
    <row r="904" spans="1:24" x14ac:dyDescent="0.3">
      <c r="A904" s="84"/>
      <c r="B904" s="100">
        <f t="shared" si="159"/>
        <v>0</v>
      </c>
      <c r="C904" s="84" t="str">
        <f t="shared" si="160"/>
        <v>January</v>
      </c>
      <c r="D904" s="85" t="str">
        <f t="shared" si="158"/>
        <v/>
      </c>
      <c r="E904" s="86"/>
      <c r="F904" s="86"/>
      <c r="G904" s="86"/>
      <c r="H904" s="86"/>
      <c r="I904" s="87" t="str">
        <f>IF(F904=0,"",IF(COUNTIF(F904,"Bao"),[1]Setup!$B$4,IF(COUNTIF(F904,"Soup Dumplings"),[1]Setup!$B$5,F904)))</f>
        <v/>
      </c>
      <c r="J904" s="88" t="str">
        <f t="shared" si="152"/>
        <v/>
      </c>
      <c r="K904" s="88"/>
      <c r="L904" s="87"/>
      <c r="M904" s="87"/>
      <c r="N904" s="87"/>
      <c r="O904" s="87"/>
      <c r="P904" s="89" t="str">
        <f t="shared" si="153"/>
        <v/>
      </c>
      <c r="Q904" s="89" t="str">
        <f t="shared" si="154"/>
        <v/>
      </c>
      <c r="R904" s="89" t="str">
        <f t="shared" si="155"/>
        <v/>
      </c>
      <c r="S904" s="88" t="str">
        <f>IF(F904="Bao",[1]Setup!$B$4,IF(F904="Soup Dumplings",[1]Setup!$B$5,""))</f>
        <v/>
      </c>
      <c r="T904" s="88" t="str">
        <f t="shared" si="156"/>
        <v/>
      </c>
      <c r="U904" s="84" t="str">
        <f t="shared" si="157"/>
        <v/>
      </c>
      <c r="V904" s="88">
        <f>IF(U904="",0,MAX(0,T904)+N904+ROUND(J904*[1]Setup!$B$9,0)+IF(O904&gt;[1]Setup!$B$10,ROUND(J904*[1]Setup!$B$11,0),0))</f>
        <v>0</v>
      </c>
      <c r="W904" s="85" t="str">
        <f>IF(L904="","Open",IF(OR(P904&lt;[1]Setup!$B$6,Q904&gt;[1]Setup!$B$7,R904&gt;[1]Setup!$B$8,O904&gt;[1]Setup!$B$10),"Review","OK"))</f>
        <v>Open</v>
      </c>
      <c r="X904" s="86"/>
    </row>
    <row r="905" spans="1:24" x14ac:dyDescent="0.3">
      <c r="A905" s="84"/>
      <c r="B905" s="100">
        <f t="shared" si="159"/>
        <v>0</v>
      </c>
      <c r="C905" s="84" t="str">
        <f t="shared" si="160"/>
        <v>January</v>
      </c>
      <c r="D905" s="85" t="str">
        <f t="shared" si="158"/>
        <v/>
      </c>
      <c r="E905" s="86"/>
      <c r="F905" s="86"/>
      <c r="G905" s="86"/>
      <c r="H905" s="86"/>
      <c r="I905" s="87" t="str">
        <f>IF(F905=0,"",IF(COUNTIF(F905,"Bao"),[1]Setup!$B$4,IF(COUNTIF(F905,"Soup Dumplings"),[1]Setup!$B$5,F905)))</f>
        <v/>
      </c>
      <c r="J905" s="88" t="str">
        <f t="shared" si="152"/>
        <v/>
      </c>
      <c r="K905" s="88"/>
      <c r="L905" s="87"/>
      <c r="M905" s="87"/>
      <c r="N905" s="87"/>
      <c r="O905" s="87"/>
      <c r="P905" s="89" t="str">
        <f t="shared" si="153"/>
        <v/>
      </c>
      <c r="Q905" s="89" t="str">
        <f t="shared" si="154"/>
        <v/>
      </c>
      <c r="R905" s="89" t="str">
        <f t="shared" si="155"/>
        <v/>
      </c>
      <c r="S905" s="88" t="str">
        <f>IF(F905="Bao",[1]Setup!$B$4,IF(F905="Soup Dumplings",[1]Setup!$B$5,""))</f>
        <v/>
      </c>
      <c r="T905" s="88" t="str">
        <f t="shared" si="156"/>
        <v/>
      </c>
      <c r="U905" s="84" t="str">
        <f t="shared" si="157"/>
        <v/>
      </c>
      <c r="V905" s="88">
        <f>IF(U905="",0,MAX(0,T905)+N905+ROUND(J905*[1]Setup!$B$9,0)+IF(O905&gt;[1]Setup!$B$10,ROUND(J905*[1]Setup!$B$11,0),0))</f>
        <v>0</v>
      </c>
      <c r="W905" s="85" t="str">
        <f>IF(L905="","Open",IF(OR(P905&lt;[1]Setup!$B$6,Q905&gt;[1]Setup!$B$7,R905&gt;[1]Setup!$B$8,O905&gt;[1]Setup!$B$10),"Review","OK"))</f>
        <v>Open</v>
      </c>
      <c r="X905" s="86"/>
    </row>
    <row r="906" spans="1:24" x14ac:dyDescent="0.3">
      <c r="A906" s="84"/>
      <c r="B906" s="100">
        <f t="shared" si="159"/>
        <v>0</v>
      </c>
      <c r="C906" s="84" t="str">
        <f t="shared" si="160"/>
        <v>January</v>
      </c>
      <c r="D906" s="85" t="str">
        <f t="shared" si="158"/>
        <v/>
      </c>
      <c r="E906" s="86"/>
      <c r="F906" s="86"/>
      <c r="G906" s="86"/>
      <c r="H906" s="86"/>
      <c r="I906" s="87" t="str">
        <f>IF(F906=0,"",IF(COUNTIF(F906,"Bao"),[1]Setup!$B$4,IF(COUNTIF(F906,"Soup Dumplings"),[1]Setup!$B$5,F906)))</f>
        <v/>
      </c>
      <c r="J906" s="88" t="str">
        <f t="shared" si="152"/>
        <v/>
      </c>
      <c r="K906" s="88"/>
      <c r="L906" s="87"/>
      <c r="M906" s="87"/>
      <c r="N906" s="87"/>
      <c r="O906" s="87"/>
      <c r="P906" s="89" t="str">
        <f t="shared" si="153"/>
        <v/>
      </c>
      <c r="Q906" s="89" t="str">
        <f t="shared" si="154"/>
        <v/>
      </c>
      <c r="R906" s="89" t="str">
        <f t="shared" si="155"/>
        <v/>
      </c>
      <c r="S906" s="88" t="str">
        <f>IF(F906="Bao",[1]Setup!$B$4,IF(F906="Soup Dumplings",[1]Setup!$B$5,""))</f>
        <v/>
      </c>
      <c r="T906" s="88" t="str">
        <f t="shared" si="156"/>
        <v/>
      </c>
      <c r="U906" s="84" t="str">
        <f t="shared" si="157"/>
        <v/>
      </c>
      <c r="V906" s="88">
        <f>IF(U906="",0,MAX(0,T906)+N906+ROUND(J906*[1]Setup!$B$9,0)+IF(O906&gt;[1]Setup!$B$10,ROUND(J906*[1]Setup!$B$11,0),0))</f>
        <v>0</v>
      </c>
      <c r="W906" s="85" t="str">
        <f>IF(L906="","Open",IF(OR(P906&lt;[1]Setup!$B$6,Q906&gt;[1]Setup!$B$7,R906&gt;[1]Setup!$B$8,O906&gt;[1]Setup!$B$10),"Review","OK"))</f>
        <v>Open</v>
      </c>
      <c r="X906" s="86"/>
    </row>
    <row r="907" spans="1:24" x14ac:dyDescent="0.3">
      <c r="A907" s="84"/>
      <c r="B907" s="100">
        <f t="shared" si="159"/>
        <v>0</v>
      </c>
      <c r="C907" s="84" t="str">
        <f t="shared" si="160"/>
        <v>January</v>
      </c>
      <c r="D907" s="85" t="str">
        <f t="shared" si="158"/>
        <v/>
      </c>
      <c r="E907" s="86"/>
      <c r="F907" s="86"/>
      <c r="G907" s="86"/>
      <c r="H907" s="86"/>
      <c r="I907" s="87" t="str">
        <f>IF(F907=0,"",IF(COUNTIF(F907,"Bao"),[1]Setup!$B$4,IF(COUNTIF(F907,"Soup Dumplings"),[1]Setup!$B$5,F907)))</f>
        <v/>
      </c>
      <c r="J907" s="88" t="str">
        <f t="shared" si="152"/>
        <v/>
      </c>
      <c r="K907" s="88"/>
      <c r="L907" s="87"/>
      <c r="M907" s="87"/>
      <c r="N907" s="87"/>
      <c r="O907" s="87"/>
      <c r="P907" s="89" t="str">
        <f t="shared" si="153"/>
        <v/>
      </c>
      <c r="Q907" s="89" t="str">
        <f t="shared" si="154"/>
        <v/>
      </c>
      <c r="R907" s="89" t="str">
        <f t="shared" si="155"/>
        <v/>
      </c>
      <c r="S907" s="88" t="str">
        <f>IF(F907="Bao",[1]Setup!$B$4,IF(F907="Soup Dumplings",[1]Setup!$B$5,""))</f>
        <v/>
      </c>
      <c r="T907" s="88" t="str">
        <f t="shared" si="156"/>
        <v/>
      </c>
      <c r="U907" s="84" t="str">
        <f t="shared" si="157"/>
        <v/>
      </c>
      <c r="V907" s="88">
        <f>IF(U907="",0,MAX(0,T907)+N907+ROUND(J907*[1]Setup!$B$9,0)+IF(O907&gt;[1]Setup!$B$10,ROUND(J907*[1]Setup!$B$11,0),0))</f>
        <v>0</v>
      </c>
      <c r="W907" s="85" t="str">
        <f>IF(L907="","Open",IF(OR(P907&lt;[1]Setup!$B$6,Q907&gt;[1]Setup!$B$7,R907&gt;[1]Setup!$B$8,O907&gt;[1]Setup!$B$10),"Review","OK"))</f>
        <v>Open</v>
      </c>
      <c r="X907" s="86"/>
    </row>
    <row r="908" spans="1:24" x14ac:dyDescent="0.3">
      <c r="A908" s="84"/>
      <c r="B908" s="100">
        <f t="shared" si="159"/>
        <v>0</v>
      </c>
      <c r="C908" s="84" t="str">
        <f t="shared" si="160"/>
        <v>January</v>
      </c>
      <c r="D908" s="85" t="str">
        <f t="shared" si="158"/>
        <v/>
      </c>
      <c r="E908" s="86"/>
      <c r="F908" s="86"/>
      <c r="G908" s="86"/>
      <c r="H908" s="86"/>
      <c r="I908" s="87" t="str">
        <f>IF(F908=0,"",IF(COUNTIF(F908,"Bao"),[1]Setup!$B$4,IF(COUNTIF(F908,"Soup Dumplings"),[1]Setup!$B$5,F908)))</f>
        <v/>
      </c>
      <c r="J908" s="88" t="str">
        <f t="shared" si="152"/>
        <v/>
      </c>
      <c r="K908" s="88"/>
      <c r="L908" s="87"/>
      <c r="M908" s="87"/>
      <c r="N908" s="87"/>
      <c r="O908" s="87"/>
      <c r="P908" s="89" t="str">
        <f t="shared" si="153"/>
        <v/>
      </c>
      <c r="Q908" s="89" t="str">
        <f t="shared" si="154"/>
        <v/>
      </c>
      <c r="R908" s="89" t="str">
        <f t="shared" si="155"/>
        <v/>
      </c>
      <c r="S908" s="88" t="str">
        <f>IF(F908="Bao",[1]Setup!$B$4,IF(F908="Soup Dumplings",[1]Setup!$B$5,""))</f>
        <v/>
      </c>
      <c r="T908" s="88" t="str">
        <f t="shared" si="156"/>
        <v/>
      </c>
      <c r="U908" s="84" t="str">
        <f t="shared" si="157"/>
        <v/>
      </c>
      <c r="V908" s="88">
        <f>IF(U908="",0,MAX(0,T908)+N908+ROUND(J908*[1]Setup!$B$9,0)+IF(O908&gt;[1]Setup!$B$10,ROUND(J908*[1]Setup!$B$11,0),0))</f>
        <v>0</v>
      </c>
      <c r="W908" s="85" t="str">
        <f>IF(L908="","Open",IF(OR(P908&lt;[1]Setup!$B$6,Q908&gt;[1]Setup!$B$7,R908&gt;[1]Setup!$B$8,O908&gt;[1]Setup!$B$10),"Review","OK"))</f>
        <v>Open</v>
      </c>
      <c r="X908" s="86"/>
    </row>
    <row r="909" spans="1:24" x14ac:dyDescent="0.3">
      <c r="A909" s="84"/>
      <c r="B909" s="100">
        <f t="shared" si="159"/>
        <v>0</v>
      </c>
      <c r="C909" s="84" t="str">
        <f t="shared" si="160"/>
        <v>January</v>
      </c>
      <c r="D909" s="85" t="str">
        <f t="shared" si="158"/>
        <v/>
      </c>
      <c r="E909" s="86"/>
      <c r="F909" s="86"/>
      <c r="G909" s="86"/>
      <c r="H909" s="86"/>
      <c r="I909" s="87" t="str">
        <f>IF(F909=0,"",IF(COUNTIF(F909,"Bao"),[1]Setup!$B$4,IF(COUNTIF(F909,"Soup Dumplings"),[1]Setup!$B$5,F909)))</f>
        <v/>
      </c>
      <c r="J909" s="88" t="str">
        <f t="shared" si="152"/>
        <v/>
      </c>
      <c r="K909" s="88"/>
      <c r="L909" s="87"/>
      <c r="M909" s="87"/>
      <c r="N909" s="87"/>
      <c r="O909" s="87"/>
      <c r="P909" s="89" t="str">
        <f t="shared" si="153"/>
        <v/>
      </c>
      <c r="Q909" s="89" t="str">
        <f t="shared" si="154"/>
        <v/>
      </c>
      <c r="R909" s="89" t="str">
        <f t="shared" si="155"/>
        <v/>
      </c>
      <c r="S909" s="88" t="str">
        <f>IF(F909="Bao",[1]Setup!$B$4,IF(F909="Soup Dumplings",[1]Setup!$B$5,""))</f>
        <v/>
      </c>
      <c r="T909" s="88" t="str">
        <f t="shared" si="156"/>
        <v/>
      </c>
      <c r="U909" s="84" t="str">
        <f t="shared" si="157"/>
        <v/>
      </c>
      <c r="V909" s="88">
        <f>IF(U909="",0,MAX(0,T909)+N909+ROUND(J909*[1]Setup!$B$9,0)+IF(O909&gt;[1]Setup!$B$10,ROUND(J909*[1]Setup!$B$11,0),0))</f>
        <v>0</v>
      </c>
      <c r="W909" s="85" t="str">
        <f>IF(L909="","Open",IF(OR(P909&lt;[1]Setup!$B$6,Q909&gt;[1]Setup!$B$7,R909&gt;[1]Setup!$B$8,O909&gt;[1]Setup!$B$10),"Review","OK"))</f>
        <v>Open</v>
      </c>
      <c r="X909" s="86"/>
    </row>
    <row r="910" spans="1:24" x14ac:dyDescent="0.3">
      <c r="A910" s="84"/>
      <c r="B910" s="100">
        <f t="shared" si="159"/>
        <v>0</v>
      </c>
      <c r="C910" s="84" t="str">
        <f t="shared" si="160"/>
        <v>January</v>
      </c>
      <c r="D910" s="85" t="str">
        <f t="shared" si="158"/>
        <v/>
      </c>
      <c r="E910" s="86"/>
      <c r="F910" s="86"/>
      <c r="G910" s="86"/>
      <c r="H910" s="86"/>
      <c r="I910" s="87" t="str">
        <f>IF(F910=0,"",IF(COUNTIF(F910,"Bao"),[1]Setup!$B$4,IF(COUNTIF(F910,"Soup Dumplings"),[1]Setup!$B$5,F910)))</f>
        <v/>
      </c>
      <c r="J910" s="88" t="str">
        <f t="shared" si="152"/>
        <v/>
      </c>
      <c r="K910" s="88"/>
      <c r="L910" s="87"/>
      <c r="M910" s="87"/>
      <c r="N910" s="87"/>
      <c r="O910" s="87"/>
      <c r="P910" s="89" t="str">
        <f t="shared" si="153"/>
        <v/>
      </c>
      <c r="Q910" s="89" t="str">
        <f t="shared" si="154"/>
        <v/>
      </c>
      <c r="R910" s="89" t="str">
        <f t="shared" si="155"/>
        <v/>
      </c>
      <c r="S910" s="88" t="str">
        <f>IF(F910="Bao",[1]Setup!$B$4,IF(F910="Soup Dumplings",[1]Setup!$B$5,""))</f>
        <v/>
      </c>
      <c r="T910" s="88" t="str">
        <f t="shared" si="156"/>
        <v/>
      </c>
      <c r="U910" s="84" t="str">
        <f t="shared" si="157"/>
        <v/>
      </c>
      <c r="V910" s="88">
        <f>IF(U910="",0,MAX(0,T910)+N910+ROUND(J910*[1]Setup!$B$9,0)+IF(O910&gt;[1]Setup!$B$10,ROUND(J910*[1]Setup!$B$11,0),0))</f>
        <v>0</v>
      </c>
      <c r="W910" s="85" t="str">
        <f>IF(L910="","Open",IF(OR(P910&lt;[1]Setup!$B$6,Q910&gt;[1]Setup!$B$7,R910&gt;[1]Setup!$B$8,O910&gt;[1]Setup!$B$10),"Review","OK"))</f>
        <v>Open</v>
      </c>
      <c r="X910" s="86"/>
    </row>
    <row r="911" spans="1:24" x14ac:dyDescent="0.3">
      <c r="A911" s="84"/>
      <c r="B911" s="100">
        <f t="shared" si="159"/>
        <v>0</v>
      </c>
      <c r="C911" s="84" t="str">
        <f t="shared" si="160"/>
        <v>January</v>
      </c>
      <c r="D911" s="85" t="str">
        <f t="shared" si="158"/>
        <v/>
      </c>
      <c r="E911" s="86"/>
      <c r="F911" s="86"/>
      <c r="G911" s="86"/>
      <c r="H911" s="86"/>
      <c r="I911" s="87" t="str">
        <f>IF(F911=0,"",IF(COUNTIF(F911,"Bao"),[1]Setup!$B$4,IF(COUNTIF(F911,"Soup Dumplings"),[1]Setup!$B$5,F911)))</f>
        <v/>
      </c>
      <c r="J911" s="88" t="str">
        <f t="shared" si="152"/>
        <v/>
      </c>
      <c r="K911" s="88"/>
      <c r="L911" s="87"/>
      <c r="M911" s="87"/>
      <c r="N911" s="87"/>
      <c r="O911" s="87"/>
      <c r="P911" s="89" t="str">
        <f t="shared" si="153"/>
        <v/>
      </c>
      <c r="Q911" s="89" t="str">
        <f t="shared" si="154"/>
        <v/>
      </c>
      <c r="R911" s="89" t="str">
        <f t="shared" si="155"/>
        <v/>
      </c>
      <c r="S911" s="88" t="str">
        <f>IF(F911="Bao",[1]Setup!$B$4,IF(F911="Soup Dumplings",[1]Setup!$B$5,""))</f>
        <v/>
      </c>
      <c r="T911" s="88" t="str">
        <f t="shared" si="156"/>
        <v/>
      </c>
      <c r="U911" s="84" t="str">
        <f t="shared" si="157"/>
        <v/>
      </c>
      <c r="V911" s="88">
        <f>IF(U911="",0,MAX(0,T911)+N911+ROUND(J911*[1]Setup!$B$9,0)+IF(O911&gt;[1]Setup!$B$10,ROUND(J911*[1]Setup!$B$11,0),0))</f>
        <v>0</v>
      </c>
      <c r="W911" s="85" t="str">
        <f>IF(L911="","Open",IF(OR(P911&lt;[1]Setup!$B$6,Q911&gt;[1]Setup!$B$7,R911&gt;[1]Setup!$B$8,O911&gt;[1]Setup!$B$10),"Review","OK"))</f>
        <v>Open</v>
      </c>
      <c r="X911" s="86"/>
    </row>
    <row r="912" spans="1:24" x14ac:dyDescent="0.3">
      <c r="A912" s="84"/>
      <c r="B912" s="100">
        <f t="shared" si="159"/>
        <v>0</v>
      </c>
      <c r="C912" s="84" t="str">
        <f t="shared" si="160"/>
        <v>January</v>
      </c>
      <c r="D912" s="85" t="str">
        <f t="shared" si="158"/>
        <v/>
      </c>
      <c r="E912" s="86"/>
      <c r="F912" s="86"/>
      <c r="G912" s="86"/>
      <c r="H912" s="86"/>
      <c r="I912" s="87" t="str">
        <f>IF(F912=0,"",IF(COUNTIF(F912,"Bao"),[1]Setup!$B$4,IF(COUNTIF(F912,"Soup Dumplings"),[1]Setup!$B$5,F912)))</f>
        <v/>
      </c>
      <c r="J912" s="88" t="str">
        <f t="shared" si="152"/>
        <v/>
      </c>
      <c r="K912" s="88"/>
      <c r="L912" s="87"/>
      <c r="M912" s="87"/>
      <c r="N912" s="87"/>
      <c r="O912" s="87"/>
      <c r="P912" s="89" t="str">
        <f t="shared" si="153"/>
        <v/>
      </c>
      <c r="Q912" s="89" t="str">
        <f t="shared" si="154"/>
        <v/>
      </c>
      <c r="R912" s="89" t="str">
        <f t="shared" si="155"/>
        <v/>
      </c>
      <c r="S912" s="88" t="str">
        <f>IF(F912="Bao",[1]Setup!$B$4,IF(F912="Soup Dumplings",[1]Setup!$B$5,""))</f>
        <v/>
      </c>
      <c r="T912" s="88" t="str">
        <f t="shared" si="156"/>
        <v/>
      </c>
      <c r="U912" s="84" t="str">
        <f t="shared" si="157"/>
        <v/>
      </c>
      <c r="V912" s="88">
        <f>IF(U912="",0,MAX(0,T912)+N912+ROUND(J912*[1]Setup!$B$9,0)+IF(O912&gt;[1]Setup!$B$10,ROUND(J912*[1]Setup!$B$11,0),0))</f>
        <v>0</v>
      </c>
      <c r="W912" s="85" t="str">
        <f>IF(L912="","Open",IF(OR(P912&lt;[1]Setup!$B$6,Q912&gt;[1]Setup!$B$7,R912&gt;[1]Setup!$B$8,O912&gt;[1]Setup!$B$10),"Review","OK"))</f>
        <v>Open</v>
      </c>
      <c r="X912" s="86"/>
    </row>
    <row r="913" spans="1:24" x14ac:dyDescent="0.3">
      <c r="A913" s="84"/>
      <c r="B913" s="100">
        <f t="shared" si="159"/>
        <v>0</v>
      </c>
      <c r="C913" s="84" t="str">
        <f t="shared" si="160"/>
        <v>January</v>
      </c>
      <c r="D913" s="85" t="str">
        <f t="shared" si="158"/>
        <v/>
      </c>
      <c r="E913" s="86"/>
      <c r="F913" s="86"/>
      <c r="G913" s="86"/>
      <c r="H913" s="86"/>
      <c r="I913" s="87" t="str">
        <f>IF(F913=0,"",IF(COUNTIF(F913,"Bao"),[1]Setup!$B$4,IF(COUNTIF(F913,"Soup Dumplings"),[1]Setup!$B$5,F913)))</f>
        <v/>
      </c>
      <c r="J913" s="88" t="str">
        <f t="shared" si="152"/>
        <v/>
      </c>
      <c r="K913" s="88"/>
      <c r="L913" s="87"/>
      <c r="M913" s="87"/>
      <c r="N913" s="87"/>
      <c r="O913" s="87"/>
      <c r="P913" s="89" t="str">
        <f t="shared" si="153"/>
        <v/>
      </c>
      <c r="Q913" s="89" t="str">
        <f t="shared" si="154"/>
        <v/>
      </c>
      <c r="R913" s="89" t="str">
        <f t="shared" si="155"/>
        <v/>
      </c>
      <c r="S913" s="88" t="str">
        <f>IF(F913="Bao",[1]Setup!$B$4,IF(F913="Soup Dumplings",[1]Setup!$B$5,""))</f>
        <v/>
      </c>
      <c r="T913" s="88" t="str">
        <f t="shared" si="156"/>
        <v/>
      </c>
      <c r="U913" s="84" t="str">
        <f t="shared" si="157"/>
        <v/>
      </c>
      <c r="V913" s="88">
        <f>IF(U913="",0,MAX(0,T913)+N913+ROUND(J913*[1]Setup!$B$9,0)+IF(O913&gt;[1]Setup!$B$10,ROUND(J913*[1]Setup!$B$11,0),0))</f>
        <v>0</v>
      </c>
      <c r="W913" s="85" t="str">
        <f>IF(L913="","Open",IF(OR(P913&lt;[1]Setup!$B$6,Q913&gt;[1]Setup!$B$7,R913&gt;[1]Setup!$B$8,O913&gt;[1]Setup!$B$10),"Review","OK"))</f>
        <v>Open</v>
      </c>
      <c r="X913" s="86"/>
    </row>
    <row r="914" spans="1:24" x14ac:dyDescent="0.3">
      <c r="A914" s="84"/>
      <c r="B914" s="100">
        <f t="shared" si="159"/>
        <v>0</v>
      </c>
      <c r="C914" s="84" t="str">
        <f t="shared" si="160"/>
        <v>January</v>
      </c>
      <c r="D914" s="85" t="str">
        <f t="shared" si="158"/>
        <v/>
      </c>
      <c r="E914" s="86"/>
      <c r="F914" s="86"/>
      <c r="G914" s="86"/>
      <c r="H914" s="86"/>
      <c r="I914" s="87" t="str">
        <f>IF(F914=0,"",IF(COUNTIF(F914,"Bao"),[1]Setup!$B$4,IF(COUNTIF(F914,"Soup Dumplings"),[1]Setup!$B$5,F914)))</f>
        <v/>
      </c>
      <c r="J914" s="88" t="str">
        <f t="shared" si="152"/>
        <v/>
      </c>
      <c r="K914" s="88"/>
      <c r="L914" s="87"/>
      <c r="M914" s="87"/>
      <c r="N914" s="87"/>
      <c r="O914" s="87"/>
      <c r="P914" s="89" t="str">
        <f t="shared" si="153"/>
        <v/>
      </c>
      <c r="Q914" s="89" t="str">
        <f t="shared" si="154"/>
        <v/>
      </c>
      <c r="R914" s="89" t="str">
        <f t="shared" si="155"/>
        <v/>
      </c>
      <c r="S914" s="88" t="str">
        <f>IF(F914="Bao",[1]Setup!$B$4,IF(F914="Soup Dumplings",[1]Setup!$B$5,""))</f>
        <v/>
      </c>
      <c r="T914" s="88" t="str">
        <f t="shared" si="156"/>
        <v/>
      </c>
      <c r="U914" s="84" t="str">
        <f t="shared" si="157"/>
        <v/>
      </c>
      <c r="V914" s="88">
        <f>IF(U914="",0,MAX(0,T914)+N914+ROUND(J914*[1]Setup!$B$9,0)+IF(O914&gt;[1]Setup!$B$10,ROUND(J914*[1]Setup!$B$11,0),0))</f>
        <v>0</v>
      </c>
      <c r="W914" s="85" t="str">
        <f>IF(L914="","Open",IF(OR(P914&lt;[1]Setup!$B$6,Q914&gt;[1]Setup!$B$7,R914&gt;[1]Setup!$B$8,O914&gt;[1]Setup!$B$10),"Review","OK"))</f>
        <v>Open</v>
      </c>
      <c r="X914" s="86"/>
    </row>
    <row r="915" spans="1:24" x14ac:dyDescent="0.3">
      <c r="A915" s="84"/>
      <c r="B915" s="100">
        <f t="shared" si="159"/>
        <v>0</v>
      </c>
      <c r="C915" s="84" t="str">
        <f t="shared" si="160"/>
        <v>January</v>
      </c>
      <c r="D915" s="85" t="str">
        <f t="shared" si="158"/>
        <v/>
      </c>
      <c r="E915" s="86"/>
      <c r="F915" s="86"/>
      <c r="G915" s="86"/>
      <c r="H915" s="86"/>
      <c r="I915" s="87" t="str">
        <f>IF(F915=0,"",IF(COUNTIF(F915,"Bao"),[1]Setup!$B$4,IF(COUNTIF(F915,"Soup Dumplings"),[1]Setup!$B$5,F915)))</f>
        <v/>
      </c>
      <c r="J915" s="88" t="str">
        <f t="shared" si="152"/>
        <v/>
      </c>
      <c r="K915" s="88"/>
      <c r="L915" s="87"/>
      <c r="M915" s="87"/>
      <c r="N915" s="87"/>
      <c r="O915" s="87"/>
      <c r="P915" s="89" t="str">
        <f t="shared" si="153"/>
        <v/>
      </c>
      <c r="Q915" s="89" t="str">
        <f t="shared" si="154"/>
        <v/>
      </c>
      <c r="R915" s="89" t="str">
        <f t="shared" si="155"/>
        <v/>
      </c>
      <c r="S915" s="88" t="str">
        <f>IF(F915="Bao",[1]Setup!$B$4,IF(F915="Soup Dumplings",[1]Setup!$B$5,""))</f>
        <v/>
      </c>
      <c r="T915" s="88" t="str">
        <f t="shared" si="156"/>
        <v/>
      </c>
      <c r="U915" s="84" t="str">
        <f t="shared" si="157"/>
        <v/>
      </c>
      <c r="V915" s="88">
        <f>IF(U915="",0,MAX(0,T915)+N915+ROUND(J915*[1]Setup!$B$9,0)+IF(O915&gt;[1]Setup!$B$10,ROUND(J915*[1]Setup!$B$11,0),0))</f>
        <v>0</v>
      </c>
      <c r="W915" s="85" t="str">
        <f>IF(L915="","Open",IF(OR(P915&lt;[1]Setup!$B$6,Q915&gt;[1]Setup!$B$7,R915&gt;[1]Setup!$B$8,O915&gt;[1]Setup!$B$10),"Review","OK"))</f>
        <v>Open</v>
      </c>
      <c r="X915" s="86"/>
    </row>
    <row r="916" spans="1:24" x14ac:dyDescent="0.3">
      <c r="A916" s="84"/>
      <c r="B916" s="100">
        <f t="shared" si="159"/>
        <v>0</v>
      </c>
      <c r="C916" s="84" t="str">
        <f t="shared" si="160"/>
        <v>January</v>
      </c>
      <c r="D916" s="85" t="str">
        <f t="shared" si="158"/>
        <v/>
      </c>
      <c r="E916" s="86"/>
      <c r="F916" s="86"/>
      <c r="G916" s="86"/>
      <c r="H916" s="86"/>
      <c r="I916" s="87" t="str">
        <f>IF(F916=0,"",IF(COUNTIF(F916,"Bao"),[1]Setup!$B$4,IF(COUNTIF(F916,"Soup Dumplings"),[1]Setup!$B$5,F916)))</f>
        <v/>
      </c>
      <c r="J916" s="88" t="str">
        <f t="shared" si="152"/>
        <v/>
      </c>
      <c r="K916" s="88"/>
      <c r="L916" s="87"/>
      <c r="M916" s="87"/>
      <c r="N916" s="87"/>
      <c r="O916" s="87"/>
      <c r="P916" s="89" t="str">
        <f t="shared" si="153"/>
        <v/>
      </c>
      <c r="Q916" s="89" t="str">
        <f t="shared" si="154"/>
        <v/>
      </c>
      <c r="R916" s="89" t="str">
        <f t="shared" si="155"/>
        <v/>
      </c>
      <c r="S916" s="88" t="str">
        <f>IF(F916="Bao",[1]Setup!$B$4,IF(F916="Soup Dumplings",[1]Setup!$B$5,""))</f>
        <v/>
      </c>
      <c r="T916" s="88" t="str">
        <f t="shared" si="156"/>
        <v/>
      </c>
      <c r="U916" s="84" t="str">
        <f t="shared" si="157"/>
        <v/>
      </c>
      <c r="V916" s="88">
        <f>IF(U916="",0,MAX(0,T916)+N916+ROUND(J916*[1]Setup!$B$9,0)+IF(O916&gt;[1]Setup!$B$10,ROUND(J916*[1]Setup!$B$11,0),0))</f>
        <v>0</v>
      </c>
      <c r="W916" s="85" t="str">
        <f>IF(L916="","Open",IF(OR(P916&lt;[1]Setup!$B$6,Q916&gt;[1]Setup!$B$7,R916&gt;[1]Setup!$B$8,O916&gt;[1]Setup!$B$10),"Review","OK"))</f>
        <v>Open</v>
      </c>
      <c r="X916" s="86"/>
    </row>
    <row r="917" spans="1:24" x14ac:dyDescent="0.3">
      <c r="A917" s="84"/>
      <c r="B917" s="100">
        <f t="shared" si="159"/>
        <v>0</v>
      </c>
      <c r="C917" s="84" t="str">
        <f t="shared" si="160"/>
        <v>January</v>
      </c>
      <c r="D917" s="85" t="str">
        <f t="shared" si="158"/>
        <v/>
      </c>
      <c r="E917" s="86"/>
      <c r="F917" s="86"/>
      <c r="G917" s="86"/>
      <c r="H917" s="86"/>
      <c r="I917" s="87" t="str">
        <f>IF(F917=0,"",IF(COUNTIF(F917,"Bao"),[1]Setup!$B$4,IF(COUNTIF(F917,"Soup Dumplings"),[1]Setup!$B$5,F917)))</f>
        <v/>
      </c>
      <c r="J917" s="88" t="str">
        <f t="shared" si="152"/>
        <v/>
      </c>
      <c r="K917" s="88"/>
      <c r="L917" s="87"/>
      <c r="M917" s="87"/>
      <c r="N917" s="87"/>
      <c r="O917" s="87"/>
      <c r="P917" s="89" t="str">
        <f t="shared" si="153"/>
        <v/>
      </c>
      <c r="Q917" s="89" t="str">
        <f t="shared" si="154"/>
        <v/>
      </c>
      <c r="R917" s="89" t="str">
        <f t="shared" si="155"/>
        <v/>
      </c>
      <c r="S917" s="88" t="str">
        <f>IF(F917="Bao",[1]Setup!$B$4,IF(F917="Soup Dumplings",[1]Setup!$B$5,""))</f>
        <v/>
      </c>
      <c r="T917" s="88" t="str">
        <f t="shared" si="156"/>
        <v/>
      </c>
      <c r="U917" s="84" t="str">
        <f t="shared" si="157"/>
        <v/>
      </c>
      <c r="V917" s="88">
        <f>IF(U917="",0,MAX(0,T917)+N917+ROUND(J917*[1]Setup!$B$9,0)+IF(O917&gt;[1]Setup!$B$10,ROUND(J917*[1]Setup!$B$11,0),0))</f>
        <v>0</v>
      </c>
      <c r="W917" s="85" t="str">
        <f>IF(L917="","Open",IF(OR(P917&lt;[1]Setup!$B$6,Q917&gt;[1]Setup!$B$7,R917&gt;[1]Setup!$B$8,O917&gt;[1]Setup!$B$10),"Review","OK"))</f>
        <v>Open</v>
      </c>
      <c r="X917" s="86"/>
    </row>
    <row r="918" spans="1:24" x14ac:dyDescent="0.3">
      <c r="A918" s="84"/>
      <c r="B918" s="100">
        <f t="shared" si="159"/>
        <v>0</v>
      </c>
      <c r="C918" s="84" t="str">
        <f t="shared" si="160"/>
        <v>January</v>
      </c>
      <c r="D918" s="85" t="str">
        <f t="shared" si="158"/>
        <v/>
      </c>
      <c r="E918" s="86"/>
      <c r="F918" s="86"/>
      <c r="G918" s="86"/>
      <c r="H918" s="86"/>
      <c r="I918" s="87" t="str">
        <f>IF(F918=0,"",IF(COUNTIF(F918,"Bao"),[1]Setup!$B$4,IF(COUNTIF(F918,"Soup Dumplings"),[1]Setup!$B$5,F918)))</f>
        <v/>
      </c>
      <c r="J918" s="88" t="str">
        <f t="shared" si="152"/>
        <v/>
      </c>
      <c r="K918" s="88"/>
      <c r="L918" s="87"/>
      <c r="M918" s="87"/>
      <c r="N918" s="87"/>
      <c r="O918" s="87"/>
      <c r="P918" s="89" t="str">
        <f t="shared" si="153"/>
        <v/>
      </c>
      <c r="Q918" s="89" t="str">
        <f t="shared" si="154"/>
        <v/>
      </c>
      <c r="R918" s="89" t="str">
        <f t="shared" si="155"/>
        <v/>
      </c>
      <c r="S918" s="88" t="str">
        <f>IF(F918="Bao",[1]Setup!$B$4,IF(F918="Soup Dumplings",[1]Setup!$B$5,""))</f>
        <v/>
      </c>
      <c r="T918" s="88" t="str">
        <f t="shared" si="156"/>
        <v/>
      </c>
      <c r="U918" s="84" t="str">
        <f t="shared" si="157"/>
        <v/>
      </c>
      <c r="V918" s="88">
        <f>IF(U918="",0,MAX(0,T918)+N918+ROUND(J918*[1]Setup!$B$9,0)+IF(O918&gt;[1]Setup!$B$10,ROUND(J918*[1]Setup!$B$11,0),0))</f>
        <v>0</v>
      </c>
      <c r="W918" s="85" t="str">
        <f>IF(L918="","Open",IF(OR(P918&lt;[1]Setup!$B$6,Q918&gt;[1]Setup!$B$7,R918&gt;[1]Setup!$B$8,O918&gt;[1]Setup!$B$10),"Review","OK"))</f>
        <v>Open</v>
      </c>
      <c r="X918" s="86"/>
    </row>
    <row r="919" spans="1:24" x14ac:dyDescent="0.3">
      <c r="A919" s="84"/>
      <c r="B919" s="100">
        <f t="shared" si="159"/>
        <v>0</v>
      </c>
      <c r="C919" s="84" t="str">
        <f t="shared" si="160"/>
        <v>January</v>
      </c>
      <c r="D919" s="85" t="str">
        <f t="shared" si="158"/>
        <v/>
      </c>
      <c r="E919" s="86"/>
      <c r="F919" s="86"/>
      <c r="G919" s="86"/>
      <c r="H919" s="86"/>
      <c r="I919" s="87" t="str">
        <f>IF(F919=0,"",IF(COUNTIF(F919,"Bao"),[1]Setup!$B$4,IF(COUNTIF(F919,"Soup Dumplings"),[1]Setup!$B$5,F919)))</f>
        <v/>
      </c>
      <c r="J919" s="88" t="str">
        <f t="shared" si="152"/>
        <v/>
      </c>
      <c r="K919" s="88"/>
      <c r="L919" s="87"/>
      <c r="M919" s="87"/>
      <c r="N919" s="87"/>
      <c r="O919" s="87"/>
      <c r="P919" s="89" t="str">
        <f t="shared" si="153"/>
        <v/>
      </c>
      <c r="Q919" s="89" t="str">
        <f t="shared" si="154"/>
        <v/>
      </c>
      <c r="R919" s="89" t="str">
        <f t="shared" si="155"/>
        <v/>
      </c>
      <c r="S919" s="88" t="str">
        <f>IF(F919="Bao",[1]Setup!$B$4,IF(F919="Soup Dumplings",[1]Setup!$B$5,""))</f>
        <v/>
      </c>
      <c r="T919" s="88" t="str">
        <f t="shared" si="156"/>
        <v/>
      </c>
      <c r="U919" s="84" t="str">
        <f t="shared" si="157"/>
        <v/>
      </c>
      <c r="V919" s="88">
        <f>IF(U919="",0,MAX(0,T919)+N919+ROUND(J919*[1]Setup!$B$9,0)+IF(O919&gt;[1]Setup!$B$10,ROUND(J919*[1]Setup!$B$11,0),0))</f>
        <v>0</v>
      </c>
      <c r="W919" s="85" t="str">
        <f>IF(L919="","Open",IF(OR(P919&lt;[1]Setup!$B$6,Q919&gt;[1]Setup!$B$7,R919&gt;[1]Setup!$B$8,O919&gt;[1]Setup!$B$10),"Review","OK"))</f>
        <v>Open</v>
      </c>
      <c r="X919" s="86"/>
    </row>
    <row r="920" spans="1:24" x14ac:dyDescent="0.3">
      <c r="A920" s="84"/>
      <c r="B920" s="100">
        <f t="shared" si="159"/>
        <v>0</v>
      </c>
      <c r="C920" s="84" t="str">
        <f t="shared" si="160"/>
        <v>January</v>
      </c>
      <c r="D920" s="85" t="str">
        <f t="shared" si="158"/>
        <v/>
      </c>
      <c r="E920" s="86"/>
      <c r="F920" s="86"/>
      <c r="G920" s="86"/>
      <c r="H920" s="86"/>
      <c r="I920" s="87" t="str">
        <f>IF(F920=0,"",IF(COUNTIF(F920,"Bao"),[1]Setup!$B$4,IF(COUNTIF(F920,"Soup Dumplings"),[1]Setup!$B$5,F920)))</f>
        <v/>
      </c>
      <c r="J920" s="88" t="str">
        <f t="shared" si="152"/>
        <v/>
      </c>
      <c r="K920" s="88"/>
      <c r="L920" s="87"/>
      <c r="M920" s="87"/>
      <c r="N920" s="87"/>
      <c r="O920" s="87"/>
      <c r="P920" s="89" t="str">
        <f t="shared" si="153"/>
        <v/>
      </c>
      <c r="Q920" s="89" t="str">
        <f t="shared" si="154"/>
        <v/>
      </c>
      <c r="R920" s="89" t="str">
        <f t="shared" si="155"/>
        <v/>
      </c>
      <c r="S920" s="88" t="str">
        <f>IF(F920="Bao",[1]Setup!$B$4,IF(F920="Soup Dumplings",[1]Setup!$B$5,""))</f>
        <v/>
      </c>
      <c r="T920" s="88" t="str">
        <f t="shared" si="156"/>
        <v/>
      </c>
      <c r="U920" s="84" t="str">
        <f t="shared" si="157"/>
        <v/>
      </c>
      <c r="V920" s="88">
        <f>IF(U920="",0,MAX(0,T920)+N920+ROUND(J920*[1]Setup!$B$9,0)+IF(O920&gt;[1]Setup!$B$10,ROUND(J920*[1]Setup!$B$11,0),0))</f>
        <v>0</v>
      </c>
      <c r="W920" s="85" t="str">
        <f>IF(L920="","Open",IF(OR(P920&lt;[1]Setup!$B$6,Q920&gt;[1]Setup!$B$7,R920&gt;[1]Setup!$B$8,O920&gt;[1]Setup!$B$10),"Review","OK"))</f>
        <v>Open</v>
      </c>
      <c r="X920" s="86"/>
    </row>
    <row r="921" spans="1:24" x14ac:dyDescent="0.3">
      <c r="A921" s="84"/>
      <c r="B921" s="100">
        <f t="shared" si="159"/>
        <v>0</v>
      </c>
      <c r="C921" s="84" t="str">
        <f t="shared" si="160"/>
        <v>January</v>
      </c>
      <c r="D921" s="85" t="str">
        <f t="shared" si="158"/>
        <v/>
      </c>
      <c r="E921" s="86"/>
      <c r="F921" s="86"/>
      <c r="G921" s="86"/>
      <c r="H921" s="86"/>
      <c r="I921" s="87" t="str">
        <f>IF(F921=0,"",IF(COUNTIF(F921,"Bao"),[1]Setup!$B$4,IF(COUNTIF(F921,"Soup Dumplings"),[1]Setup!$B$5,F921)))</f>
        <v/>
      </c>
      <c r="J921" s="88" t="str">
        <f t="shared" si="152"/>
        <v/>
      </c>
      <c r="K921" s="88"/>
      <c r="L921" s="87"/>
      <c r="M921" s="87"/>
      <c r="N921" s="87"/>
      <c r="O921" s="87"/>
      <c r="P921" s="89" t="str">
        <f t="shared" si="153"/>
        <v/>
      </c>
      <c r="Q921" s="89" t="str">
        <f t="shared" si="154"/>
        <v/>
      </c>
      <c r="R921" s="89" t="str">
        <f t="shared" si="155"/>
        <v/>
      </c>
      <c r="S921" s="88" t="str">
        <f>IF(F921="Bao",[1]Setup!$B$4,IF(F921="Soup Dumplings",[1]Setup!$B$5,""))</f>
        <v/>
      </c>
      <c r="T921" s="88" t="str">
        <f t="shared" si="156"/>
        <v/>
      </c>
      <c r="U921" s="84" t="str">
        <f t="shared" si="157"/>
        <v/>
      </c>
      <c r="V921" s="88">
        <f>IF(U921="",0,MAX(0,T921)+N921+ROUND(J921*[1]Setup!$B$9,0)+IF(O921&gt;[1]Setup!$B$10,ROUND(J921*[1]Setup!$B$11,0),0))</f>
        <v>0</v>
      </c>
      <c r="W921" s="85" t="str">
        <f>IF(L921="","Open",IF(OR(P921&lt;[1]Setup!$B$6,Q921&gt;[1]Setup!$B$7,R921&gt;[1]Setup!$B$8,O921&gt;[1]Setup!$B$10),"Review","OK"))</f>
        <v>Open</v>
      </c>
      <c r="X921" s="86"/>
    </row>
    <row r="922" spans="1:24" x14ac:dyDescent="0.3">
      <c r="A922" s="84"/>
      <c r="B922" s="100">
        <f t="shared" si="159"/>
        <v>0</v>
      </c>
      <c r="C922" s="84" t="str">
        <f t="shared" si="160"/>
        <v>January</v>
      </c>
      <c r="D922" s="85" t="str">
        <f t="shared" si="158"/>
        <v/>
      </c>
      <c r="E922" s="86"/>
      <c r="F922" s="86"/>
      <c r="G922" s="86"/>
      <c r="H922" s="86"/>
      <c r="I922" s="87" t="str">
        <f>IF(F922=0,"",IF(COUNTIF(F922,"Bao"),[1]Setup!$B$4,IF(COUNTIF(F922,"Soup Dumplings"),[1]Setup!$B$5,F922)))</f>
        <v/>
      </c>
      <c r="J922" s="88" t="str">
        <f t="shared" si="152"/>
        <v/>
      </c>
      <c r="K922" s="88"/>
      <c r="L922" s="87"/>
      <c r="M922" s="87"/>
      <c r="N922" s="87"/>
      <c r="O922" s="87"/>
      <c r="P922" s="89" t="str">
        <f t="shared" si="153"/>
        <v/>
      </c>
      <c r="Q922" s="89" t="str">
        <f t="shared" si="154"/>
        <v/>
      </c>
      <c r="R922" s="89" t="str">
        <f t="shared" si="155"/>
        <v/>
      </c>
      <c r="S922" s="88" t="str">
        <f>IF(F922="Bao",[1]Setup!$B$4,IF(F922="Soup Dumplings",[1]Setup!$B$5,""))</f>
        <v/>
      </c>
      <c r="T922" s="88" t="str">
        <f t="shared" si="156"/>
        <v/>
      </c>
      <c r="U922" s="84" t="str">
        <f t="shared" si="157"/>
        <v/>
      </c>
      <c r="V922" s="88">
        <f>IF(U922="",0,MAX(0,T922)+N922+ROUND(J922*[1]Setup!$B$9,0)+IF(O922&gt;[1]Setup!$B$10,ROUND(J922*[1]Setup!$B$11,0),0))</f>
        <v>0</v>
      </c>
      <c r="W922" s="85" t="str">
        <f>IF(L922="","Open",IF(OR(P922&lt;[1]Setup!$B$6,Q922&gt;[1]Setup!$B$7,R922&gt;[1]Setup!$B$8,O922&gt;[1]Setup!$B$10),"Review","OK"))</f>
        <v>Open</v>
      </c>
      <c r="X922" s="86"/>
    </row>
    <row r="923" spans="1:24" x14ac:dyDescent="0.3">
      <c r="A923" s="84"/>
      <c r="B923" s="100">
        <f t="shared" si="159"/>
        <v>0</v>
      </c>
      <c r="C923" s="84" t="str">
        <f t="shared" si="160"/>
        <v>January</v>
      </c>
      <c r="D923" s="85" t="str">
        <f t="shared" si="158"/>
        <v/>
      </c>
      <c r="E923" s="86"/>
      <c r="F923" s="86"/>
      <c r="G923" s="86"/>
      <c r="H923" s="86"/>
      <c r="I923" s="87" t="str">
        <f>IF(F923=0,"",IF(COUNTIF(F923,"Bao"),[1]Setup!$B$4,IF(COUNTIF(F923,"Soup Dumplings"),[1]Setup!$B$5,F923)))</f>
        <v/>
      </c>
      <c r="J923" s="88" t="str">
        <f t="shared" si="152"/>
        <v/>
      </c>
      <c r="K923" s="88"/>
      <c r="L923" s="87"/>
      <c r="M923" s="87"/>
      <c r="N923" s="87"/>
      <c r="O923" s="87"/>
      <c r="P923" s="89" t="str">
        <f t="shared" si="153"/>
        <v/>
      </c>
      <c r="Q923" s="89" t="str">
        <f t="shared" si="154"/>
        <v/>
      </c>
      <c r="R923" s="89" t="str">
        <f t="shared" si="155"/>
        <v/>
      </c>
      <c r="S923" s="88" t="str">
        <f>IF(F923="Bao",[1]Setup!$B$4,IF(F923="Soup Dumplings",[1]Setup!$B$5,""))</f>
        <v/>
      </c>
      <c r="T923" s="88" t="str">
        <f t="shared" si="156"/>
        <v/>
      </c>
      <c r="U923" s="84" t="str">
        <f t="shared" si="157"/>
        <v/>
      </c>
      <c r="V923" s="88">
        <f>IF(U923="",0,MAX(0,T923)+N923+ROUND(J923*[1]Setup!$B$9,0)+IF(O923&gt;[1]Setup!$B$10,ROUND(J923*[1]Setup!$B$11,0),0))</f>
        <v>0</v>
      </c>
      <c r="W923" s="85" t="str">
        <f>IF(L923="","Open",IF(OR(P923&lt;[1]Setup!$B$6,Q923&gt;[1]Setup!$B$7,R923&gt;[1]Setup!$B$8,O923&gt;[1]Setup!$B$10),"Review","OK"))</f>
        <v>Open</v>
      </c>
      <c r="X923" s="86"/>
    </row>
    <row r="924" spans="1:24" x14ac:dyDescent="0.3">
      <c r="A924" s="84"/>
      <c r="B924" s="100">
        <f t="shared" si="159"/>
        <v>0</v>
      </c>
      <c r="C924" s="84" t="str">
        <f t="shared" si="160"/>
        <v>January</v>
      </c>
      <c r="D924" s="85" t="str">
        <f t="shared" si="158"/>
        <v/>
      </c>
      <c r="E924" s="86"/>
      <c r="F924" s="86"/>
      <c r="G924" s="86"/>
      <c r="H924" s="86"/>
      <c r="I924" s="87" t="str">
        <f>IF(F924=0,"",IF(COUNTIF(F924,"Bao"),[1]Setup!$B$4,IF(COUNTIF(F924,"Soup Dumplings"),[1]Setup!$B$5,F924)))</f>
        <v/>
      </c>
      <c r="J924" s="88" t="str">
        <f t="shared" si="152"/>
        <v/>
      </c>
      <c r="K924" s="88"/>
      <c r="L924" s="87"/>
      <c r="M924" s="87"/>
      <c r="N924" s="87"/>
      <c r="O924" s="87"/>
      <c r="P924" s="89" t="str">
        <f t="shared" si="153"/>
        <v/>
      </c>
      <c r="Q924" s="89" t="str">
        <f t="shared" si="154"/>
        <v/>
      </c>
      <c r="R924" s="89" t="str">
        <f t="shared" si="155"/>
        <v/>
      </c>
      <c r="S924" s="88" t="str">
        <f>IF(F924="Bao",[1]Setup!$B$4,IF(F924="Soup Dumplings",[1]Setup!$B$5,""))</f>
        <v/>
      </c>
      <c r="T924" s="88" t="str">
        <f t="shared" si="156"/>
        <v/>
      </c>
      <c r="U924" s="84" t="str">
        <f t="shared" si="157"/>
        <v/>
      </c>
      <c r="V924" s="88">
        <f>IF(U924="",0,MAX(0,T924)+N924+ROUND(J924*[1]Setup!$B$9,0)+IF(O924&gt;[1]Setup!$B$10,ROUND(J924*[1]Setup!$B$11,0),0))</f>
        <v>0</v>
      </c>
      <c r="W924" s="85" t="str">
        <f>IF(L924="","Open",IF(OR(P924&lt;[1]Setup!$B$6,Q924&gt;[1]Setup!$B$7,R924&gt;[1]Setup!$B$8,O924&gt;[1]Setup!$B$10),"Review","OK"))</f>
        <v>Open</v>
      </c>
      <c r="X924" s="86"/>
    </row>
    <row r="925" spans="1:24" x14ac:dyDescent="0.3">
      <c r="A925" s="84"/>
      <c r="B925" s="100">
        <f t="shared" si="159"/>
        <v>0</v>
      </c>
      <c r="C925" s="84" t="str">
        <f t="shared" si="160"/>
        <v>January</v>
      </c>
      <c r="D925" s="85" t="str">
        <f t="shared" si="158"/>
        <v/>
      </c>
      <c r="E925" s="86"/>
      <c r="F925" s="86"/>
      <c r="G925" s="86"/>
      <c r="H925" s="86"/>
      <c r="I925" s="87" t="str">
        <f>IF(F925=0,"",IF(COUNTIF(F925,"Bao"),[1]Setup!$B$4,IF(COUNTIF(F925,"Soup Dumplings"),[1]Setup!$B$5,F925)))</f>
        <v/>
      </c>
      <c r="J925" s="88" t="str">
        <f t="shared" si="152"/>
        <v/>
      </c>
      <c r="K925" s="88"/>
      <c r="L925" s="87"/>
      <c r="M925" s="87"/>
      <c r="N925" s="87"/>
      <c r="O925" s="87"/>
      <c r="P925" s="89" t="str">
        <f t="shared" si="153"/>
        <v/>
      </c>
      <c r="Q925" s="89" t="str">
        <f t="shared" si="154"/>
        <v/>
      </c>
      <c r="R925" s="89" t="str">
        <f t="shared" si="155"/>
        <v/>
      </c>
      <c r="S925" s="88" t="str">
        <f>IF(F925="Bao",[1]Setup!$B$4,IF(F925="Soup Dumplings",[1]Setup!$B$5,""))</f>
        <v/>
      </c>
      <c r="T925" s="88" t="str">
        <f t="shared" si="156"/>
        <v/>
      </c>
      <c r="U925" s="84" t="str">
        <f t="shared" si="157"/>
        <v/>
      </c>
      <c r="V925" s="88">
        <f>IF(U925="",0,MAX(0,T925)+N925+ROUND(J925*[1]Setup!$B$9,0)+IF(O925&gt;[1]Setup!$B$10,ROUND(J925*[1]Setup!$B$11,0),0))</f>
        <v>0</v>
      </c>
      <c r="W925" s="85" t="str">
        <f>IF(L925="","Open",IF(OR(P925&lt;[1]Setup!$B$6,Q925&gt;[1]Setup!$B$7,R925&gt;[1]Setup!$B$8,O925&gt;[1]Setup!$B$10),"Review","OK"))</f>
        <v>Open</v>
      </c>
      <c r="X925" s="86"/>
    </row>
    <row r="926" spans="1:24" x14ac:dyDescent="0.3">
      <c r="A926" s="84"/>
      <c r="B926" s="100">
        <f t="shared" si="159"/>
        <v>0</v>
      </c>
      <c r="C926" s="84" t="str">
        <f t="shared" si="160"/>
        <v>January</v>
      </c>
      <c r="D926" s="85" t="str">
        <f t="shared" si="158"/>
        <v/>
      </c>
      <c r="E926" s="86"/>
      <c r="F926" s="86"/>
      <c r="G926" s="86"/>
      <c r="H926" s="86"/>
      <c r="I926" s="87" t="str">
        <f>IF(F926=0,"",IF(COUNTIF(F926,"Bao"),[1]Setup!$B$4,IF(COUNTIF(F926,"Soup Dumplings"),[1]Setup!$B$5,F926)))</f>
        <v/>
      </c>
      <c r="J926" s="88" t="str">
        <f t="shared" si="152"/>
        <v/>
      </c>
      <c r="K926" s="88"/>
      <c r="L926" s="87"/>
      <c r="M926" s="87"/>
      <c r="N926" s="87"/>
      <c r="O926" s="87"/>
      <c r="P926" s="89" t="str">
        <f t="shared" si="153"/>
        <v/>
      </c>
      <c r="Q926" s="89" t="str">
        <f t="shared" si="154"/>
        <v/>
      </c>
      <c r="R926" s="89" t="str">
        <f t="shared" si="155"/>
        <v/>
      </c>
      <c r="S926" s="88" t="str">
        <f>IF(F926="Bao",[1]Setup!$B$4,IF(F926="Soup Dumplings",[1]Setup!$B$5,""))</f>
        <v/>
      </c>
      <c r="T926" s="88" t="str">
        <f t="shared" si="156"/>
        <v/>
      </c>
      <c r="U926" s="84" t="str">
        <f t="shared" si="157"/>
        <v/>
      </c>
      <c r="V926" s="88">
        <f>IF(U926="",0,MAX(0,T926)+N926+ROUND(J926*[1]Setup!$B$9,0)+IF(O926&gt;[1]Setup!$B$10,ROUND(J926*[1]Setup!$B$11,0),0))</f>
        <v>0</v>
      </c>
      <c r="W926" s="85" t="str">
        <f>IF(L926="","Open",IF(OR(P926&lt;[1]Setup!$B$6,Q926&gt;[1]Setup!$B$7,R926&gt;[1]Setup!$B$8,O926&gt;[1]Setup!$B$10),"Review","OK"))</f>
        <v>Open</v>
      </c>
      <c r="X926" s="86"/>
    </row>
    <row r="927" spans="1:24" x14ac:dyDescent="0.3">
      <c r="A927" s="84"/>
      <c r="B927" s="100">
        <f t="shared" si="159"/>
        <v>0</v>
      </c>
      <c r="C927" s="84" t="str">
        <f t="shared" si="160"/>
        <v>January</v>
      </c>
      <c r="D927" s="85" t="str">
        <f t="shared" si="158"/>
        <v/>
      </c>
      <c r="E927" s="86"/>
      <c r="F927" s="86"/>
      <c r="G927" s="86"/>
      <c r="H927" s="86"/>
      <c r="I927" s="87" t="str">
        <f>IF(F927=0,"",IF(COUNTIF(F927,"Bao"),[1]Setup!$B$4,IF(COUNTIF(F927,"Soup Dumplings"),[1]Setup!$B$5,F927)))</f>
        <v/>
      </c>
      <c r="J927" s="88" t="str">
        <f t="shared" si="152"/>
        <v/>
      </c>
      <c r="K927" s="88"/>
      <c r="L927" s="87"/>
      <c r="M927" s="87"/>
      <c r="N927" s="87"/>
      <c r="O927" s="87"/>
      <c r="P927" s="89" t="str">
        <f t="shared" si="153"/>
        <v/>
      </c>
      <c r="Q927" s="89" t="str">
        <f t="shared" si="154"/>
        <v/>
      </c>
      <c r="R927" s="89" t="str">
        <f t="shared" si="155"/>
        <v/>
      </c>
      <c r="S927" s="88" t="str">
        <f>IF(F927="Bao",[1]Setup!$B$4,IF(F927="Soup Dumplings",[1]Setup!$B$5,""))</f>
        <v/>
      </c>
      <c r="T927" s="88" t="str">
        <f t="shared" si="156"/>
        <v/>
      </c>
      <c r="U927" s="84" t="str">
        <f t="shared" si="157"/>
        <v/>
      </c>
      <c r="V927" s="88">
        <f>IF(U927="",0,MAX(0,T927)+N927+ROUND(J927*[1]Setup!$B$9,0)+IF(O927&gt;[1]Setup!$B$10,ROUND(J927*[1]Setup!$B$11,0),0))</f>
        <v>0</v>
      </c>
      <c r="W927" s="85" t="str">
        <f>IF(L927="","Open",IF(OR(P927&lt;[1]Setup!$B$6,Q927&gt;[1]Setup!$B$7,R927&gt;[1]Setup!$B$8,O927&gt;[1]Setup!$B$10),"Review","OK"))</f>
        <v>Open</v>
      </c>
      <c r="X927" s="86"/>
    </row>
    <row r="928" spans="1:24" x14ac:dyDescent="0.3">
      <c r="A928" s="84"/>
      <c r="B928" s="100">
        <f t="shared" si="159"/>
        <v>0</v>
      </c>
      <c r="C928" s="84" t="str">
        <f t="shared" si="160"/>
        <v>January</v>
      </c>
      <c r="D928" s="85" t="str">
        <f t="shared" si="158"/>
        <v/>
      </c>
      <c r="E928" s="86"/>
      <c r="F928" s="86"/>
      <c r="G928" s="86"/>
      <c r="H928" s="86"/>
      <c r="I928" s="87" t="str">
        <f>IF(F928=0,"",IF(COUNTIF(F928,"Bao"),[1]Setup!$B$4,IF(COUNTIF(F928,"Soup Dumplings"),[1]Setup!$B$5,F928)))</f>
        <v/>
      </c>
      <c r="J928" s="88" t="str">
        <f t="shared" si="152"/>
        <v/>
      </c>
      <c r="K928" s="88"/>
      <c r="L928" s="87"/>
      <c r="M928" s="87"/>
      <c r="N928" s="87"/>
      <c r="O928" s="87"/>
      <c r="P928" s="89" t="str">
        <f t="shared" si="153"/>
        <v/>
      </c>
      <c r="Q928" s="89" t="str">
        <f t="shared" si="154"/>
        <v/>
      </c>
      <c r="R928" s="89" t="str">
        <f t="shared" si="155"/>
        <v/>
      </c>
      <c r="S928" s="88" t="str">
        <f>IF(F928="Bao",[1]Setup!$B$4,IF(F928="Soup Dumplings",[1]Setup!$B$5,""))</f>
        <v/>
      </c>
      <c r="T928" s="88" t="str">
        <f t="shared" si="156"/>
        <v/>
      </c>
      <c r="U928" s="84" t="str">
        <f t="shared" si="157"/>
        <v/>
      </c>
      <c r="V928" s="88">
        <f>IF(U928="",0,MAX(0,T928)+N928+ROUND(J928*[1]Setup!$B$9,0)+IF(O928&gt;[1]Setup!$B$10,ROUND(J928*[1]Setup!$B$11,0),0))</f>
        <v>0</v>
      </c>
      <c r="W928" s="85" t="str">
        <f>IF(L928="","Open",IF(OR(P928&lt;[1]Setup!$B$6,Q928&gt;[1]Setup!$B$7,R928&gt;[1]Setup!$B$8,O928&gt;[1]Setup!$B$10),"Review","OK"))</f>
        <v>Open</v>
      </c>
      <c r="X928" s="86"/>
    </row>
    <row r="929" spans="1:24" x14ac:dyDescent="0.3">
      <c r="A929" s="84"/>
      <c r="B929" s="100">
        <f t="shared" si="159"/>
        <v>0</v>
      </c>
      <c r="C929" s="84" t="str">
        <f t="shared" si="160"/>
        <v>January</v>
      </c>
      <c r="D929" s="85" t="str">
        <f t="shared" si="158"/>
        <v/>
      </c>
      <c r="E929" s="86"/>
      <c r="F929" s="86"/>
      <c r="G929" s="86"/>
      <c r="H929" s="86"/>
      <c r="I929" s="87" t="str">
        <f>IF(F929=0,"",IF(COUNTIF(F929,"Bao"),[1]Setup!$B$4,IF(COUNTIF(F929,"Soup Dumplings"),[1]Setup!$B$5,F929)))</f>
        <v/>
      </c>
      <c r="J929" s="88" t="str">
        <f t="shared" si="152"/>
        <v/>
      </c>
      <c r="K929" s="88"/>
      <c r="L929" s="87"/>
      <c r="M929" s="87"/>
      <c r="N929" s="87"/>
      <c r="O929" s="87"/>
      <c r="P929" s="89" t="str">
        <f t="shared" si="153"/>
        <v/>
      </c>
      <c r="Q929" s="89" t="str">
        <f t="shared" si="154"/>
        <v/>
      </c>
      <c r="R929" s="89" t="str">
        <f t="shared" si="155"/>
        <v/>
      </c>
      <c r="S929" s="88" t="str">
        <f>IF(F929="Bao",[1]Setup!$B$4,IF(F929="Soup Dumplings",[1]Setup!$B$5,""))</f>
        <v/>
      </c>
      <c r="T929" s="88" t="str">
        <f t="shared" si="156"/>
        <v/>
      </c>
      <c r="U929" s="84" t="str">
        <f t="shared" si="157"/>
        <v/>
      </c>
      <c r="V929" s="88">
        <f>IF(U929="",0,MAX(0,T929)+N929+ROUND(J929*[1]Setup!$B$9,0)+IF(O929&gt;[1]Setup!$B$10,ROUND(J929*[1]Setup!$B$11,0),0))</f>
        <v>0</v>
      </c>
      <c r="W929" s="85" t="str">
        <f>IF(L929="","Open",IF(OR(P929&lt;[1]Setup!$B$6,Q929&gt;[1]Setup!$B$7,R929&gt;[1]Setup!$B$8,O929&gt;[1]Setup!$B$10),"Review","OK"))</f>
        <v>Open</v>
      </c>
      <c r="X929" s="86"/>
    </row>
    <row r="930" spans="1:24" x14ac:dyDescent="0.3">
      <c r="A930" s="84"/>
      <c r="B930" s="100">
        <f t="shared" si="159"/>
        <v>0</v>
      </c>
      <c r="C930" s="84" t="str">
        <f t="shared" si="160"/>
        <v>January</v>
      </c>
      <c r="D930" s="85" t="str">
        <f t="shared" si="158"/>
        <v/>
      </c>
      <c r="E930" s="86"/>
      <c r="F930" s="86"/>
      <c r="G930" s="86"/>
      <c r="H930" s="86"/>
      <c r="I930" s="87" t="str">
        <f>IF(F930=0,"",IF(COUNTIF(F930,"Bao"),[1]Setup!$B$4,IF(COUNTIF(F930,"Soup Dumplings"),[1]Setup!$B$5,F930)))</f>
        <v/>
      </c>
      <c r="J930" s="88" t="str">
        <f t="shared" si="152"/>
        <v/>
      </c>
      <c r="K930" s="88"/>
      <c r="L930" s="87"/>
      <c r="M930" s="87"/>
      <c r="N930" s="87"/>
      <c r="O930" s="87"/>
      <c r="P930" s="89" t="str">
        <f t="shared" si="153"/>
        <v/>
      </c>
      <c r="Q930" s="89" t="str">
        <f t="shared" si="154"/>
        <v/>
      </c>
      <c r="R930" s="89" t="str">
        <f t="shared" si="155"/>
        <v/>
      </c>
      <c r="S930" s="88" t="str">
        <f>IF(F930="Bao",[1]Setup!$B$4,IF(F930="Soup Dumplings",[1]Setup!$B$5,""))</f>
        <v/>
      </c>
      <c r="T930" s="88" t="str">
        <f t="shared" si="156"/>
        <v/>
      </c>
      <c r="U930" s="84" t="str">
        <f t="shared" si="157"/>
        <v/>
      </c>
      <c r="V930" s="88">
        <f>IF(U930="",0,MAX(0,T930)+N930+ROUND(J930*[1]Setup!$B$9,0)+IF(O930&gt;[1]Setup!$B$10,ROUND(J930*[1]Setup!$B$11,0),0))</f>
        <v>0</v>
      </c>
      <c r="W930" s="85" t="str">
        <f>IF(L930="","Open",IF(OR(P930&lt;[1]Setup!$B$6,Q930&gt;[1]Setup!$B$7,R930&gt;[1]Setup!$B$8,O930&gt;[1]Setup!$B$10),"Review","OK"))</f>
        <v>Open</v>
      </c>
      <c r="X930" s="86"/>
    </row>
    <row r="931" spans="1:24" x14ac:dyDescent="0.3">
      <c r="A931" s="84"/>
      <c r="B931" s="100">
        <f t="shared" si="159"/>
        <v>0</v>
      </c>
      <c r="C931" s="84" t="str">
        <f t="shared" si="160"/>
        <v>January</v>
      </c>
      <c r="D931" s="85" t="str">
        <f t="shared" si="158"/>
        <v/>
      </c>
      <c r="E931" s="86"/>
      <c r="F931" s="86"/>
      <c r="G931" s="86"/>
      <c r="H931" s="86"/>
      <c r="I931" s="87" t="str">
        <f>IF(F931=0,"",IF(COUNTIF(F931,"Bao"),[1]Setup!$B$4,IF(COUNTIF(F931,"Soup Dumplings"),[1]Setup!$B$5,F931)))</f>
        <v/>
      </c>
      <c r="J931" s="88" t="str">
        <f t="shared" si="152"/>
        <v/>
      </c>
      <c r="K931" s="88"/>
      <c r="L931" s="87"/>
      <c r="M931" s="87"/>
      <c r="N931" s="87"/>
      <c r="O931" s="87"/>
      <c r="P931" s="89" t="str">
        <f t="shared" si="153"/>
        <v/>
      </c>
      <c r="Q931" s="89" t="str">
        <f t="shared" si="154"/>
        <v/>
      </c>
      <c r="R931" s="89" t="str">
        <f t="shared" si="155"/>
        <v/>
      </c>
      <c r="S931" s="88" t="str">
        <f>IF(F931="Bao",[1]Setup!$B$4,IF(F931="Soup Dumplings",[1]Setup!$B$5,""))</f>
        <v/>
      </c>
      <c r="T931" s="88" t="str">
        <f t="shared" si="156"/>
        <v/>
      </c>
      <c r="U931" s="84" t="str">
        <f t="shared" si="157"/>
        <v/>
      </c>
      <c r="V931" s="88">
        <f>IF(U931="",0,MAX(0,T931)+N931+ROUND(J931*[1]Setup!$B$9,0)+IF(O931&gt;[1]Setup!$B$10,ROUND(J931*[1]Setup!$B$11,0),0))</f>
        <v>0</v>
      </c>
      <c r="W931" s="85" t="str">
        <f>IF(L931="","Open",IF(OR(P931&lt;[1]Setup!$B$6,Q931&gt;[1]Setup!$B$7,R931&gt;[1]Setup!$B$8,O931&gt;[1]Setup!$B$10),"Review","OK"))</f>
        <v>Open</v>
      </c>
      <c r="X931" s="86"/>
    </row>
    <row r="932" spans="1:24" x14ac:dyDescent="0.3">
      <c r="A932" s="84"/>
      <c r="B932" s="100">
        <f t="shared" si="159"/>
        <v>0</v>
      </c>
      <c r="C932" s="84" t="str">
        <f t="shared" si="160"/>
        <v>January</v>
      </c>
      <c r="D932" s="85" t="str">
        <f t="shared" si="158"/>
        <v/>
      </c>
      <c r="E932" s="86"/>
      <c r="F932" s="86"/>
      <c r="G932" s="86"/>
      <c r="H932" s="86"/>
      <c r="I932" s="87" t="str">
        <f>IF(F932=0,"",IF(COUNTIF(F932,"Bao"),[1]Setup!$B$4,IF(COUNTIF(F932,"Soup Dumplings"),[1]Setup!$B$5,F932)))</f>
        <v/>
      </c>
      <c r="J932" s="88" t="str">
        <f t="shared" si="152"/>
        <v/>
      </c>
      <c r="K932" s="88"/>
      <c r="L932" s="87"/>
      <c r="M932" s="87"/>
      <c r="N932" s="87"/>
      <c r="O932" s="87"/>
      <c r="P932" s="89" t="str">
        <f t="shared" si="153"/>
        <v/>
      </c>
      <c r="Q932" s="89" t="str">
        <f t="shared" si="154"/>
        <v/>
      </c>
      <c r="R932" s="89" t="str">
        <f t="shared" si="155"/>
        <v/>
      </c>
      <c r="S932" s="88" t="str">
        <f>IF(F932="Bao",[1]Setup!$B$4,IF(F932="Soup Dumplings",[1]Setup!$B$5,""))</f>
        <v/>
      </c>
      <c r="T932" s="88" t="str">
        <f t="shared" si="156"/>
        <v/>
      </c>
      <c r="U932" s="84" t="str">
        <f t="shared" si="157"/>
        <v/>
      </c>
      <c r="V932" s="88">
        <f>IF(U932="",0,MAX(0,T932)+N932+ROUND(J932*[1]Setup!$B$9,0)+IF(O932&gt;[1]Setup!$B$10,ROUND(J932*[1]Setup!$B$11,0),0))</f>
        <v>0</v>
      </c>
      <c r="W932" s="85" t="str">
        <f>IF(L932="","Open",IF(OR(P932&lt;[1]Setup!$B$6,Q932&gt;[1]Setup!$B$7,R932&gt;[1]Setup!$B$8,O932&gt;[1]Setup!$B$10),"Review","OK"))</f>
        <v>Open</v>
      </c>
      <c r="X932" s="86"/>
    </row>
    <row r="933" spans="1:24" x14ac:dyDescent="0.3">
      <c r="A933" s="84"/>
      <c r="B933" s="100">
        <f t="shared" si="159"/>
        <v>0</v>
      </c>
      <c r="C933" s="84" t="str">
        <f t="shared" si="160"/>
        <v>January</v>
      </c>
      <c r="D933" s="85" t="str">
        <f t="shared" si="158"/>
        <v/>
      </c>
      <c r="E933" s="86"/>
      <c r="F933" s="86"/>
      <c r="G933" s="86"/>
      <c r="H933" s="86"/>
      <c r="I933" s="87" t="str">
        <f>IF(F933=0,"",IF(COUNTIF(F933,"Bao"),[1]Setup!$B$4,IF(COUNTIF(F933,"Soup Dumplings"),[1]Setup!$B$5,F933)))</f>
        <v/>
      </c>
      <c r="J933" s="88" t="str">
        <f t="shared" si="152"/>
        <v/>
      </c>
      <c r="K933" s="88"/>
      <c r="L933" s="87"/>
      <c r="M933" s="87"/>
      <c r="N933" s="87"/>
      <c r="O933" s="87"/>
      <c r="P933" s="89" t="str">
        <f t="shared" si="153"/>
        <v/>
      </c>
      <c r="Q933" s="89" t="str">
        <f t="shared" si="154"/>
        <v/>
      </c>
      <c r="R933" s="89" t="str">
        <f t="shared" si="155"/>
        <v/>
      </c>
      <c r="S933" s="88" t="str">
        <f>IF(F933="Bao",[1]Setup!$B$4,IF(F933="Soup Dumplings",[1]Setup!$B$5,""))</f>
        <v/>
      </c>
      <c r="T933" s="88" t="str">
        <f t="shared" si="156"/>
        <v/>
      </c>
      <c r="U933" s="84" t="str">
        <f t="shared" si="157"/>
        <v/>
      </c>
      <c r="V933" s="88">
        <f>IF(U933="",0,MAX(0,T933)+N933+ROUND(J933*[1]Setup!$B$9,0)+IF(O933&gt;[1]Setup!$B$10,ROUND(J933*[1]Setup!$B$11,0),0))</f>
        <v>0</v>
      </c>
      <c r="W933" s="85" t="str">
        <f>IF(L933="","Open",IF(OR(P933&lt;[1]Setup!$B$6,Q933&gt;[1]Setup!$B$7,R933&gt;[1]Setup!$B$8,O933&gt;[1]Setup!$B$10),"Review","OK"))</f>
        <v>Open</v>
      </c>
      <c r="X933" s="86"/>
    </row>
    <row r="934" spans="1:24" x14ac:dyDescent="0.3">
      <c r="A934" s="84"/>
      <c r="B934" s="100">
        <f t="shared" si="159"/>
        <v>0</v>
      </c>
      <c r="C934" s="84" t="str">
        <f t="shared" si="160"/>
        <v>January</v>
      </c>
      <c r="D934" s="85" t="str">
        <f t="shared" si="158"/>
        <v/>
      </c>
      <c r="E934" s="86"/>
      <c r="F934" s="86"/>
      <c r="G934" s="86"/>
      <c r="H934" s="86"/>
      <c r="I934" s="87" t="str">
        <f>IF(F934=0,"",IF(COUNTIF(F934,"Bao"),[1]Setup!$B$4,IF(COUNTIF(F934,"Soup Dumplings"),[1]Setup!$B$5,F934)))</f>
        <v/>
      </c>
      <c r="J934" s="88" t="str">
        <f t="shared" si="152"/>
        <v/>
      </c>
      <c r="K934" s="88"/>
      <c r="L934" s="87"/>
      <c r="M934" s="87"/>
      <c r="N934" s="87"/>
      <c r="O934" s="87"/>
      <c r="P934" s="89" t="str">
        <f t="shared" si="153"/>
        <v/>
      </c>
      <c r="Q934" s="89" t="str">
        <f t="shared" si="154"/>
        <v/>
      </c>
      <c r="R934" s="89" t="str">
        <f t="shared" si="155"/>
        <v/>
      </c>
      <c r="S934" s="88" t="str">
        <f>IF(F934="Bao",[1]Setup!$B$4,IF(F934="Soup Dumplings",[1]Setup!$B$5,""))</f>
        <v/>
      </c>
      <c r="T934" s="88" t="str">
        <f t="shared" si="156"/>
        <v/>
      </c>
      <c r="U934" s="84" t="str">
        <f t="shared" si="157"/>
        <v/>
      </c>
      <c r="V934" s="88">
        <f>IF(U934="",0,MAX(0,T934)+N934+ROUND(J934*[1]Setup!$B$9,0)+IF(O934&gt;[1]Setup!$B$10,ROUND(J934*[1]Setup!$B$11,0),0))</f>
        <v>0</v>
      </c>
      <c r="W934" s="85" t="str">
        <f>IF(L934="","Open",IF(OR(P934&lt;[1]Setup!$B$6,Q934&gt;[1]Setup!$B$7,R934&gt;[1]Setup!$B$8,O934&gt;[1]Setup!$B$10),"Review","OK"))</f>
        <v>Open</v>
      </c>
      <c r="X934" s="86"/>
    </row>
    <row r="935" spans="1:24" x14ac:dyDescent="0.3">
      <c r="A935" s="84"/>
      <c r="B935" s="100">
        <f t="shared" si="159"/>
        <v>0</v>
      </c>
      <c r="C935" s="84" t="str">
        <f t="shared" si="160"/>
        <v>January</v>
      </c>
      <c r="D935" s="85" t="str">
        <f t="shared" si="158"/>
        <v/>
      </c>
      <c r="E935" s="86"/>
      <c r="F935" s="86"/>
      <c r="G935" s="86"/>
      <c r="H935" s="86"/>
      <c r="I935" s="87" t="str">
        <f>IF(F935=0,"",IF(COUNTIF(F935,"Bao"),[1]Setup!$B$4,IF(COUNTIF(F935,"Soup Dumplings"),[1]Setup!$B$5,F935)))</f>
        <v/>
      </c>
      <c r="J935" s="88" t="str">
        <f t="shared" si="152"/>
        <v/>
      </c>
      <c r="K935" s="88"/>
      <c r="L935" s="87"/>
      <c r="M935" s="87"/>
      <c r="N935" s="87"/>
      <c r="O935" s="87"/>
      <c r="P935" s="89" t="str">
        <f t="shared" si="153"/>
        <v/>
      </c>
      <c r="Q935" s="89" t="str">
        <f t="shared" si="154"/>
        <v/>
      </c>
      <c r="R935" s="89" t="str">
        <f t="shared" si="155"/>
        <v/>
      </c>
      <c r="S935" s="88" t="str">
        <f>IF(F935="Bao",[1]Setup!$B$4,IF(F935="Soup Dumplings",[1]Setup!$B$5,""))</f>
        <v/>
      </c>
      <c r="T935" s="88" t="str">
        <f t="shared" si="156"/>
        <v/>
      </c>
      <c r="U935" s="84" t="str">
        <f t="shared" si="157"/>
        <v/>
      </c>
      <c r="V935" s="88">
        <f>IF(U935="",0,MAX(0,T935)+N935+ROUND(J935*[1]Setup!$B$9,0)+IF(O935&gt;[1]Setup!$B$10,ROUND(J935*[1]Setup!$B$11,0),0))</f>
        <v>0</v>
      </c>
      <c r="W935" s="85" t="str">
        <f>IF(L935="","Open",IF(OR(P935&lt;[1]Setup!$B$6,Q935&gt;[1]Setup!$B$7,R935&gt;[1]Setup!$B$8,O935&gt;[1]Setup!$B$10),"Review","OK"))</f>
        <v>Open</v>
      </c>
      <c r="X935" s="86"/>
    </row>
    <row r="936" spans="1:24" x14ac:dyDescent="0.3">
      <c r="A936" s="84"/>
      <c r="B936" s="100">
        <f t="shared" si="159"/>
        <v>0</v>
      </c>
      <c r="C936" s="84" t="str">
        <f t="shared" si="160"/>
        <v>January</v>
      </c>
      <c r="D936" s="85" t="str">
        <f t="shared" si="158"/>
        <v/>
      </c>
      <c r="E936" s="86"/>
      <c r="F936" s="86"/>
      <c r="G936" s="86"/>
      <c r="H936" s="86"/>
      <c r="I936" s="87" t="str">
        <f>IF(F936=0,"",IF(COUNTIF(F936,"Bao"),[1]Setup!$B$4,IF(COUNTIF(F936,"Soup Dumplings"),[1]Setup!$B$5,F936)))</f>
        <v/>
      </c>
      <c r="J936" s="88" t="str">
        <f t="shared" si="152"/>
        <v/>
      </c>
      <c r="K936" s="88"/>
      <c r="L936" s="87"/>
      <c r="M936" s="87"/>
      <c r="N936" s="87"/>
      <c r="O936" s="87"/>
      <c r="P936" s="89" t="str">
        <f t="shared" si="153"/>
        <v/>
      </c>
      <c r="Q936" s="89" t="str">
        <f t="shared" si="154"/>
        <v/>
      </c>
      <c r="R936" s="89" t="str">
        <f t="shared" si="155"/>
        <v/>
      </c>
      <c r="S936" s="88" t="str">
        <f>IF(F936="Bao",[1]Setup!$B$4,IF(F936="Soup Dumplings",[1]Setup!$B$5,""))</f>
        <v/>
      </c>
      <c r="T936" s="88" t="str">
        <f t="shared" si="156"/>
        <v/>
      </c>
      <c r="U936" s="84" t="str">
        <f t="shared" si="157"/>
        <v/>
      </c>
      <c r="V936" s="88">
        <f>IF(U936="",0,MAX(0,T936)+N936+ROUND(J936*[1]Setup!$B$9,0)+IF(O936&gt;[1]Setup!$B$10,ROUND(J936*[1]Setup!$B$11,0),0))</f>
        <v>0</v>
      </c>
      <c r="W936" s="85" t="str">
        <f>IF(L936="","Open",IF(OR(P936&lt;[1]Setup!$B$6,Q936&gt;[1]Setup!$B$7,R936&gt;[1]Setup!$B$8,O936&gt;[1]Setup!$B$10),"Review","OK"))</f>
        <v>Open</v>
      </c>
      <c r="X936" s="86"/>
    </row>
    <row r="937" spans="1:24" x14ac:dyDescent="0.3">
      <c r="A937" s="84"/>
      <c r="B937" s="100">
        <f t="shared" si="159"/>
        <v>0</v>
      </c>
      <c r="C937" s="84" t="str">
        <f t="shared" si="160"/>
        <v>January</v>
      </c>
      <c r="D937" s="85" t="str">
        <f t="shared" si="158"/>
        <v/>
      </c>
      <c r="E937" s="86"/>
      <c r="F937" s="86"/>
      <c r="G937" s="86"/>
      <c r="H937" s="86"/>
      <c r="I937" s="87" t="str">
        <f>IF(F937=0,"",IF(COUNTIF(F937,"Bao"),[1]Setup!$B$4,IF(COUNTIF(F937,"Soup Dumplings"),[1]Setup!$B$5,F937)))</f>
        <v/>
      </c>
      <c r="J937" s="88" t="str">
        <f t="shared" si="152"/>
        <v/>
      </c>
      <c r="K937" s="88"/>
      <c r="L937" s="87"/>
      <c r="M937" s="87"/>
      <c r="N937" s="87"/>
      <c r="O937" s="87"/>
      <c r="P937" s="89" t="str">
        <f t="shared" si="153"/>
        <v/>
      </c>
      <c r="Q937" s="89" t="str">
        <f t="shared" si="154"/>
        <v/>
      </c>
      <c r="R937" s="89" t="str">
        <f t="shared" si="155"/>
        <v/>
      </c>
      <c r="S937" s="88" t="str">
        <f>IF(F937="Bao",[1]Setup!$B$4,IF(F937="Soup Dumplings",[1]Setup!$B$5,""))</f>
        <v/>
      </c>
      <c r="T937" s="88" t="str">
        <f t="shared" si="156"/>
        <v/>
      </c>
      <c r="U937" s="84" t="str">
        <f t="shared" si="157"/>
        <v/>
      </c>
      <c r="V937" s="88">
        <f>IF(U937="",0,MAX(0,T937)+N937+ROUND(J937*[1]Setup!$B$9,0)+IF(O937&gt;[1]Setup!$B$10,ROUND(J937*[1]Setup!$B$11,0),0))</f>
        <v>0</v>
      </c>
      <c r="W937" s="85" t="str">
        <f>IF(L937="","Open",IF(OR(P937&lt;[1]Setup!$B$6,Q937&gt;[1]Setup!$B$7,R937&gt;[1]Setup!$B$8,O937&gt;[1]Setup!$B$10),"Review","OK"))</f>
        <v>Open</v>
      </c>
      <c r="X937" s="86"/>
    </row>
    <row r="938" spans="1:24" x14ac:dyDescent="0.3">
      <c r="A938" s="84"/>
      <c r="B938" s="100">
        <f t="shared" si="159"/>
        <v>0</v>
      </c>
      <c r="C938" s="84" t="str">
        <f t="shared" si="160"/>
        <v>January</v>
      </c>
      <c r="D938" s="85" t="str">
        <f t="shared" si="158"/>
        <v/>
      </c>
      <c r="E938" s="86"/>
      <c r="F938" s="86"/>
      <c r="G938" s="86"/>
      <c r="H938" s="86"/>
      <c r="I938" s="87" t="str">
        <f>IF(F938=0,"",IF(COUNTIF(F938,"Bao"),[1]Setup!$B$4,IF(COUNTIF(F938,"Soup Dumplings"),[1]Setup!$B$5,F938)))</f>
        <v/>
      </c>
      <c r="J938" s="88" t="str">
        <f t="shared" si="152"/>
        <v/>
      </c>
      <c r="K938" s="88"/>
      <c r="L938" s="87"/>
      <c r="M938" s="87"/>
      <c r="N938" s="87"/>
      <c r="O938" s="87"/>
      <c r="P938" s="89" t="str">
        <f t="shared" si="153"/>
        <v/>
      </c>
      <c r="Q938" s="89" t="str">
        <f t="shared" si="154"/>
        <v/>
      </c>
      <c r="R938" s="89" t="str">
        <f t="shared" si="155"/>
        <v/>
      </c>
      <c r="S938" s="88" t="str">
        <f>IF(F938="Bao",[1]Setup!$B$4,IF(F938="Soup Dumplings",[1]Setup!$B$5,""))</f>
        <v/>
      </c>
      <c r="T938" s="88" t="str">
        <f t="shared" si="156"/>
        <v/>
      </c>
      <c r="U938" s="84" t="str">
        <f t="shared" si="157"/>
        <v/>
      </c>
      <c r="V938" s="88">
        <f>IF(U938="",0,MAX(0,T938)+N938+ROUND(J938*[1]Setup!$B$9,0)+IF(O938&gt;[1]Setup!$B$10,ROUND(J938*[1]Setup!$B$11,0),0))</f>
        <v>0</v>
      </c>
      <c r="W938" s="85" t="str">
        <f>IF(L938="","Open",IF(OR(P938&lt;[1]Setup!$B$6,Q938&gt;[1]Setup!$B$7,R938&gt;[1]Setup!$B$8,O938&gt;[1]Setup!$B$10),"Review","OK"))</f>
        <v>Open</v>
      </c>
      <c r="X938" s="86"/>
    </row>
    <row r="939" spans="1:24" x14ac:dyDescent="0.3">
      <c r="A939" s="84"/>
      <c r="B939" s="100">
        <f t="shared" si="159"/>
        <v>0</v>
      </c>
      <c r="C939" s="84" t="str">
        <f t="shared" si="160"/>
        <v>January</v>
      </c>
      <c r="D939" s="85" t="str">
        <f t="shared" si="158"/>
        <v/>
      </c>
      <c r="E939" s="86"/>
      <c r="F939" s="86"/>
      <c r="G939" s="86"/>
      <c r="H939" s="86"/>
      <c r="I939" s="87" t="str">
        <f>IF(F939=0,"",IF(COUNTIF(F939,"Bao"),[1]Setup!$B$4,IF(COUNTIF(F939,"Soup Dumplings"),[1]Setup!$B$5,F939)))</f>
        <v/>
      </c>
      <c r="J939" s="88" t="str">
        <f t="shared" si="152"/>
        <v/>
      </c>
      <c r="K939" s="88"/>
      <c r="L939" s="87"/>
      <c r="M939" s="87"/>
      <c r="N939" s="87"/>
      <c r="O939" s="87"/>
      <c r="P939" s="89" t="str">
        <f t="shared" si="153"/>
        <v/>
      </c>
      <c r="Q939" s="89" t="str">
        <f t="shared" si="154"/>
        <v/>
      </c>
      <c r="R939" s="89" t="str">
        <f t="shared" si="155"/>
        <v/>
      </c>
      <c r="S939" s="88" t="str">
        <f>IF(F939="Bao",[1]Setup!$B$4,IF(F939="Soup Dumplings",[1]Setup!$B$5,""))</f>
        <v/>
      </c>
      <c r="T939" s="88" t="str">
        <f t="shared" si="156"/>
        <v/>
      </c>
      <c r="U939" s="84" t="str">
        <f t="shared" si="157"/>
        <v/>
      </c>
      <c r="V939" s="88">
        <f>IF(U939="",0,MAX(0,T939)+N939+ROUND(J939*[1]Setup!$B$9,0)+IF(O939&gt;[1]Setup!$B$10,ROUND(J939*[1]Setup!$B$11,0),0))</f>
        <v>0</v>
      </c>
      <c r="W939" s="85" t="str">
        <f>IF(L939="","Open",IF(OR(P939&lt;[1]Setup!$B$6,Q939&gt;[1]Setup!$B$7,R939&gt;[1]Setup!$B$8,O939&gt;[1]Setup!$B$10),"Review","OK"))</f>
        <v>Open</v>
      </c>
      <c r="X939" s="86"/>
    </row>
    <row r="940" spans="1:24" x14ac:dyDescent="0.3">
      <c r="A940" s="84"/>
      <c r="B940" s="100">
        <f t="shared" si="159"/>
        <v>0</v>
      </c>
      <c r="C940" s="84" t="str">
        <f t="shared" si="160"/>
        <v>January</v>
      </c>
      <c r="D940" s="85" t="str">
        <f t="shared" si="158"/>
        <v/>
      </c>
      <c r="E940" s="86"/>
      <c r="F940" s="86"/>
      <c r="G940" s="86"/>
      <c r="H940" s="86"/>
      <c r="I940" s="87" t="str">
        <f>IF(F940=0,"",IF(COUNTIF(F940,"Bao"),[1]Setup!$B$4,IF(COUNTIF(F940,"Soup Dumplings"),[1]Setup!$B$5,F940)))</f>
        <v/>
      </c>
      <c r="J940" s="88" t="str">
        <f t="shared" si="152"/>
        <v/>
      </c>
      <c r="K940" s="88"/>
      <c r="L940" s="87"/>
      <c r="M940" s="87"/>
      <c r="N940" s="87"/>
      <c r="O940" s="87"/>
      <c r="P940" s="89" t="str">
        <f t="shared" si="153"/>
        <v/>
      </c>
      <c r="Q940" s="89" t="str">
        <f t="shared" si="154"/>
        <v/>
      </c>
      <c r="R940" s="89" t="str">
        <f t="shared" si="155"/>
        <v/>
      </c>
      <c r="S940" s="88" t="str">
        <f>IF(F940="Bao",[1]Setup!$B$4,IF(F940="Soup Dumplings",[1]Setup!$B$5,""))</f>
        <v/>
      </c>
      <c r="T940" s="88" t="str">
        <f t="shared" si="156"/>
        <v/>
      </c>
      <c r="U940" s="84" t="str">
        <f t="shared" si="157"/>
        <v/>
      </c>
      <c r="V940" s="88">
        <f>IF(U940="",0,MAX(0,T940)+N940+ROUND(J940*[1]Setup!$B$9,0)+IF(O940&gt;[1]Setup!$B$10,ROUND(J940*[1]Setup!$B$11,0),0))</f>
        <v>0</v>
      </c>
      <c r="W940" s="85" t="str">
        <f>IF(L940="","Open",IF(OR(P940&lt;[1]Setup!$B$6,Q940&gt;[1]Setup!$B$7,R940&gt;[1]Setup!$B$8,O940&gt;[1]Setup!$B$10),"Review","OK"))</f>
        <v>Open</v>
      </c>
      <c r="X940" s="86"/>
    </row>
    <row r="941" spans="1:24" x14ac:dyDescent="0.3">
      <c r="A941" s="84"/>
      <c r="B941" s="100">
        <f t="shared" si="159"/>
        <v>0</v>
      </c>
      <c r="C941" s="84" t="str">
        <f t="shared" si="160"/>
        <v>January</v>
      </c>
      <c r="D941" s="85" t="str">
        <f t="shared" si="158"/>
        <v/>
      </c>
      <c r="E941" s="86"/>
      <c r="F941" s="86"/>
      <c r="G941" s="86"/>
      <c r="H941" s="86"/>
      <c r="I941" s="87" t="str">
        <f>IF(F941=0,"",IF(COUNTIF(F941,"Bao"),[1]Setup!$B$4,IF(COUNTIF(F941,"Soup Dumplings"),[1]Setup!$B$5,F941)))</f>
        <v/>
      </c>
      <c r="J941" s="88" t="str">
        <f t="shared" si="152"/>
        <v/>
      </c>
      <c r="K941" s="88"/>
      <c r="L941" s="87"/>
      <c r="M941" s="87"/>
      <c r="N941" s="87"/>
      <c r="O941" s="87"/>
      <c r="P941" s="89" t="str">
        <f t="shared" si="153"/>
        <v/>
      </c>
      <c r="Q941" s="89" t="str">
        <f t="shared" si="154"/>
        <v/>
      </c>
      <c r="R941" s="89" t="str">
        <f t="shared" si="155"/>
        <v/>
      </c>
      <c r="S941" s="88" t="str">
        <f>IF(F941="Bao",[1]Setup!$B$4,IF(F941="Soup Dumplings",[1]Setup!$B$5,""))</f>
        <v/>
      </c>
      <c r="T941" s="88" t="str">
        <f t="shared" si="156"/>
        <v/>
      </c>
      <c r="U941" s="84" t="str">
        <f t="shared" si="157"/>
        <v/>
      </c>
      <c r="V941" s="88">
        <f>IF(U941="",0,MAX(0,T941)+N941+ROUND(J941*[1]Setup!$B$9,0)+IF(O941&gt;[1]Setup!$B$10,ROUND(J941*[1]Setup!$B$11,0),0))</f>
        <v>0</v>
      </c>
      <c r="W941" s="85" t="str">
        <f>IF(L941="","Open",IF(OR(P941&lt;[1]Setup!$B$6,Q941&gt;[1]Setup!$B$7,R941&gt;[1]Setup!$B$8,O941&gt;[1]Setup!$B$10),"Review","OK"))</f>
        <v>Open</v>
      </c>
      <c r="X941" s="86"/>
    </row>
    <row r="942" spans="1:24" x14ac:dyDescent="0.3">
      <c r="A942" s="84"/>
      <c r="B942" s="100">
        <f t="shared" si="159"/>
        <v>0</v>
      </c>
      <c r="C942" s="84" t="str">
        <f t="shared" si="160"/>
        <v>January</v>
      </c>
      <c r="D942" s="85" t="str">
        <f t="shared" si="158"/>
        <v/>
      </c>
      <c r="E942" s="86"/>
      <c r="F942" s="86"/>
      <c r="G942" s="86"/>
      <c r="H942" s="86"/>
      <c r="I942" s="87" t="str">
        <f>IF(F942=0,"",IF(COUNTIF(F942,"Bao"),[1]Setup!$B$4,IF(COUNTIF(F942,"Soup Dumplings"),[1]Setup!$B$5,F942)))</f>
        <v/>
      </c>
      <c r="J942" s="88" t="str">
        <f t="shared" si="152"/>
        <v/>
      </c>
      <c r="K942" s="88"/>
      <c r="L942" s="87"/>
      <c r="M942" s="87"/>
      <c r="N942" s="87"/>
      <c r="O942" s="87"/>
      <c r="P942" s="89" t="str">
        <f t="shared" si="153"/>
        <v/>
      </c>
      <c r="Q942" s="89" t="str">
        <f t="shared" si="154"/>
        <v/>
      </c>
      <c r="R942" s="89" t="str">
        <f t="shared" si="155"/>
        <v/>
      </c>
      <c r="S942" s="88" t="str">
        <f>IF(F942="Bao",[1]Setup!$B$4,IF(F942="Soup Dumplings",[1]Setup!$B$5,""))</f>
        <v/>
      </c>
      <c r="T942" s="88" t="str">
        <f t="shared" si="156"/>
        <v/>
      </c>
      <c r="U942" s="84" t="str">
        <f t="shared" si="157"/>
        <v/>
      </c>
      <c r="V942" s="88">
        <f>IF(U942="",0,MAX(0,T942)+N942+ROUND(J942*[1]Setup!$B$9,0)+IF(O942&gt;[1]Setup!$B$10,ROUND(J942*[1]Setup!$B$11,0),0))</f>
        <v>0</v>
      </c>
      <c r="W942" s="85" t="str">
        <f>IF(L942="","Open",IF(OR(P942&lt;[1]Setup!$B$6,Q942&gt;[1]Setup!$B$7,R942&gt;[1]Setup!$B$8,O942&gt;[1]Setup!$B$10),"Review","OK"))</f>
        <v>Open</v>
      </c>
      <c r="X942" s="86"/>
    </row>
    <row r="943" spans="1:24" x14ac:dyDescent="0.3">
      <c r="A943" s="84"/>
      <c r="B943" s="100">
        <f t="shared" si="159"/>
        <v>0</v>
      </c>
      <c r="C943" s="84" t="str">
        <f t="shared" si="160"/>
        <v>January</v>
      </c>
      <c r="D943" s="85" t="str">
        <f t="shared" si="158"/>
        <v/>
      </c>
      <c r="E943" s="86"/>
      <c r="F943" s="86"/>
      <c r="G943" s="86"/>
      <c r="H943" s="86"/>
      <c r="I943" s="87" t="str">
        <f>IF(F943=0,"",IF(COUNTIF(F943,"Bao"),[1]Setup!$B$4,IF(COUNTIF(F943,"Soup Dumplings"),[1]Setup!$B$5,F943)))</f>
        <v/>
      </c>
      <c r="J943" s="88" t="str">
        <f t="shared" ref="J943:J1006" si="161">IF(A943="","",
   IFERROR(
      N(I943)+SUMIFS($V$4:$V$30,$U$4:$U$30,A943,$G$4:$G$30,G943),
   0)
)</f>
        <v/>
      </c>
      <c r="K943" s="88"/>
      <c r="L943" s="87"/>
      <c r="M943" s="87"/>
      <c r="N943" s="87"/>
      <c r="O943" s="87"/>
      <c r="P943" s="89" t="str">
        <f t="shared" ref="P943:P1006" si="162">IF(J943="","",IF(J943&gt;0,(L943+M943)/J943,""))</f>
        <v/>
      </c>
      <c r="Q943" s="89" t="str">
        <f t="shared" ref="Q943:Q1006" si="163">IF(J943="","",IF(J943&gt;0,MAX(0,(J943-(L943+M943))/J943),""))</f>
        <v/>
      </c>
      <c r="R943" s="89" t="str">
        <f t="shared" ref="R943:R1006" si="164">IF(J943="","",IF(J943&gt;0,MAX(0,(L943+M943-J943)/J943),""))</f>
        <v/>
      </c>
      <c r="S943" s="88" t="str">
        <f>IF(F943="Bao",[1]Setup!$B$4,IF(F943="Soup Dumplings",[1]Setup!$B$5,""))</f>
        <v/>
      </c>
      <c r="T943" s="88" t="str">
        <f t="shared" ref="T943:T1006" si="165">IF(L943="","",S943-L943)</f>
        <v/>
      </c>
      <c r="U943" s="84" t="str">
        <f t="shared" ref="U943:U1006" si="166">IF(A943="","",A943+1)</f>
        <v/>
      </c>
      <c r="V943" s="88">
        <f>IF(U943="",0,MAX(0,T943)+N943+ROUND(J943*[1]Setup!$B$9,0)+IF(O943&gt;[1]Setup!$B$10,ROUND(J943*[1]Setup!$B$11,0),0))</f>
        <v>0</v>
      </c>
      <c r="W943" s="85" t="str">
        <f>IF(L943="","Open",IF(OR(P943&lt;[1]Setup!$B$6,Q943&gt;[1]Setup!$B$7,R943&gt;[1]Setup!$B$8,O943&gt;[1]Setup!$B$10),"Review","OK"))</f>
        <v>Open</v>
      </c>
      <c r="X943" s="86"/>
    </row>
    <row r="944" spans="1:24" x14ac:dyDescent="0.3">
      <c r="A944" s="84"/>
      <c r="B944" s="100">
        <f t="shared" si="159"/>
        <v>0</v>
      </c>
      <c r="C944" s="84" t="str">
        <f t="shared" si="160"/>
        <v>January</v>
      </c>
      <c r="D944" s="85" t="str">
        <f t="shared" si="158"/>
        <v/>
      </c>
      <c r="E944" s="86"/>
      <c r="F944" s="86"/>
      <c r="G944" s="86"/>
      <c r="H944" s="86"/>
      <c r="I944" s="87" t="str">
        <f>IF(F944=0,"",IF(COUNTIF(F944,"Bao"),[1]Setup!$B$4,IF(COUNTIF(F944,"Soup Dumplings"),[1]Setup!$B$5,F944)))</f>
        <v/>
      </c>
      <c r="J944" s="88" t="str">
        <f t="shared" si="161"/>
        <v/>
      </c>
      <c r="K944" s="88"/>
      <c r="L944" s="87"/>
      <c r="M944" s="87"/>
      <c r="N944" s="87"/>
      <c r="O944" s="87"/>
      <c r="P944" s="89" t="str">
        <f t="shared" si="162"/>
        <v/>
      </c>
      <c r="Q944" s="89" t="str">
        <f t="shared" si="163"/>
        <v/>
      </c>
      <c r="R944" s="89" t="str">
        <f t="shared" si="164"/>
        <v/>
      </c>
      <c r="S944" s="88" t="str">
        <f>IF(F944="Bao",[1]Setup!$B$4,IF(F944="Soup Dumplings",[1]Setup!$B$5,""))</f>
        <v/>
      </c>
      <c r="T944" s="88" t="str">
        <f t="shared" si="165"/>
        <v/>
      </c>
      <c r="U944" s="84" t="str">
        <f t="shared" si="166"/>
        <v/>
      </c>
      <c r="V944" s="88">
        <f>IF(U944="",0,MAX(0,T944)+N944+ROUND(J944*[1]Setup!$B$9,0)+IF(O944&gt;[1]Setup!$B$10,ROUND(J944*[1]Setup!$B$11,0),0))</f>
        <v>0</v>
      </c>
      <c r="W944" s="85" t="str">
        <f>IF(L944="","Open",IF(OR(P944&lt;[1]Setup!$B$6,Q944&gt;[1]Setup!$B$7,R944&gt;[1]Setup!$B$8,O944&gt;[1]Setup!$B$10),"Review","OK"))</f>
        <v>Open</v>
      </c>
      <c r="X944" s="86"/>
    </row>
    <row r="945" spans="1:24" x14ac:dyDescent="0.3">
      <c r="A945" s="84"/>
      <c r="B945" s="100">
        <f t="shared" si="159"/>
        <v>0</v>
      </c>
      <c r="C945" s="84" t="str">
        <f t="shared" si="160"/>
        <v>January</v>
      </c>
      <c r="D945" s="85" t="str">
        <f t="shared" si="158"/>
        <v/>
      </c>
      <c r="E945" s="86"/>
      <c r="F945" s="86"/>
      <c r="G945" s="86"/>
      <c r="H945" s="86"/>
      <c r="I945" s="87" t="str">
        <f>IF(F945=0,"",IF(COUNTIF(F945,"Bao"),[1]Setup!$B$4,IF(COUNTIF(F945,"Soup Dumplings"),[1]Setup!$B$5,F945)))</f>
        <v/>
      </c>
      <c r="J945" s="88" t="str">
        <f t="shared" si="161"/>
        <v/>
      </c>
      <c r="K945" s="88"/>
      <c r="L945" s="87"/>
      <c r="M945" s="87"/>
      <c r="N945" s="87"/>
      <c r="O945" s="87"/>
      <c r="P945" s="89" t="str">
        <f t="shared" si="162"/>
        <v/>
      </c>
      <c r="Q945" s="89" t="str">
        <f t="shared" si="163"/>
        <v/>
      </c>
      <c r="R945" s="89" t="str">
        <f t="shared" si="164"/>
        <v/>
      </c>
      <c r="S945" s="88" t="str">
        <f>IF(F945="Bao",[1]Setup!$B$4,IF(F945="Soup Dumplings",[1]Setup!$B$5,""))</f>
        <v/>
      </c>
      <c r="T945" s="88" t="str">
        <f t="shared" si="165"/>
        <v/>
      </c>
      <c r="U945" s="84" t="str">
        <f t="shared" si="166"/>
        <v/>
      </c>
      <c r="V945" s="88">
        <f>IF(U945="",0,MAX(0,T945)+N945+ROUND(J945*[1]Setup!$B$9,0)+IF(O945&gt;[1]Setup!$B$10,ROUND(J945*[1]Setup!$B$11,0),0))</f>
        <v>0</v>
      </c>
      <c r="W945" s="85" t="str">
        <f>IF(L945="","Open",IF(OR(P945&lt;[1]Setup!$B$6,Q945&gt;[1]Setup!$B$7,R945&gt;[1]Setup!$B$8,O945&gt;[1]Setup!$B$10),"Review","OK"))</f>
        <v>Open</v>
      </c>
      <c r="X945" s="86"/>
    </row>
    <row r="946" spans="1:24" x14ac:dyDescent="0.3">
      <c r="A946" s="84"/>
      <c r="B946" s="100">
        <f t="shared" si="159"/>
        <v>0</v>
      </c>
      <c r="C946" s="84" t="str">
        <f t="shared" si="160"/>
        <v>January</v>
      </c>
      <c r="D946" s="85" t="str">
        <f t="shared" si="158"/>
        <v/>
      </c>
      <c r="E946" s="86"/>
      <c r="F946" s="86"/>
      <c r="G946" s="86"/>
      <c r="H946" s="86"/>
      <c r="I946" s="87" t="str">
        <f>IF(F946=0,"",IF(COUNTIF(F946,"Bao"),[1]Setup!$B$4,IF(COUNTIF(F946,"Soup Dumplings"),[1]Setup!$B$5,F946)))</f>
        <v/>
      </c>
      <c r="J946" s="88" t="str">
        <f t="shared" si="161"/>
        <v/>
      </c>
      <c r="K946" s="88"/>
      <c r="L946" s="87"/>
      <c r="M946" s="87"/>
      <c r="N946" s="87"/>
      <c r="O946" s="87"/>
      <c r="P946" s="89" t="str">
        <f t="shared" si="162"/>
        <v/>
      </c>
      <c r="Q946" s="89" t="str">
        <f t="shared" si="163"/>
        <v/>
      </c>
      <c r="R946" s="89" t="str">
        <f t="shared" si="164"/>
        <v/>
      </c>
      <c r="S946" s="88" t="str">
        <f>IF(F946="Bao",[1]Setup!$B$4,IF(F946="Soup Dumplings",[1]Setup!$B$5,""))</f>
        <v/>
      </c>
      <c r="T946" s="88" t="str">
        <f t="shared" si="165"/>
        <v/>
      </c>
      <c r="U946" s="84" t="str">
        <f t="shared" si="166"/>
        <v/>
      </c>
      <c r="V946" s="88">
        <f>IF(U946="",0,MAX(0,T946)+N946+ROUND(J946*[1]Setup!$B$9,0)+IF(O946&gt;[1]Setup!$B$10,ROUND(J946*[1]Setup!$B$11,0),0))</f>
        <v>0</v>
      </c>
      <c r="W946" s="85" t="str">
        <f>IF(L946="","Open",IF(OR(P946&lt;[1]Setup!$B$6,Q946&gt;[1]Setup!$B$7,R946&gt;[1]Setup!$B$8,O946&gt;[1]Setup!$B$10),"Review","OK"))</f>
        <v>Open</v>
      </c>
      <c r="X946" s="86"/>
    </row>
    <row r="947" spans="1:24" x14ac:dyDescent="0.3">
      <c r="A947" s="84"/>
      <c r="B947" s="100">
        <f t="shared" si="159"/>
        <v>0</v>
      </c>
      <c r="C947" s="84" t="str">
        <f t="shared" si="160"/>
        <v>January</v>
      </c>
      <c r="D947" s="85" t="str">
        <f t="shared" si="158"/>
        <v/>
      </c>
      <c r="E947" s="86"/>
      <c r="F947" s="86"/>
      <c r="G947" s="86"/>
      <c r="H947" s="86"/>
      <c r="I947" s="87" t="str">
        <f>IF(F947=0,"",IF(COUNTIF(F947,"Bao"),[1]Setup!$B$4,IF(COUNTIF(F947,"Soup Dumplings"),[1]Setup!$B$5,F947)))</f>
        <v/>
      </c>
      <c r="J947" s="88" t="str">
        <f t="shared" si="161"/>
        <v/>
      </c>
      <c r="K947" s="88"/>
      <c r="L947" s="87"/>
      <c r="M947" s="87"/>
      <c r="N947" s="87"/>
      <c r="O947" s="87"/>
      <c r="P947" s="89" t="str">
        <f t="shared" si="162"/>
        <v/>
      </c>
      <c r="Q947" s="89" t="str">
        <f t="shared" si="163"/>
        <v/>
      </c>
      <c r="R947" s="89" t="str">
        <f t="shared" si="164"/>
        <v/>
      </c>
      <c r="S947" s="88" t="str">
        <f>IF(F947="Bao",[1]Setup!$B$4,IF(F947="Soup Dumplings",[1]Setup!$B$5,""))</f>
        <v/>
      </c>
      <c r="T947" s="88" t="str">
        <f t="shared" si="165"/>
        <v/>
      </c>
      <c r="U947" s="84" t="str">
        <f t="shared" si="166"/>
        <v/>
      </c>
      <c r="V947" s="88">
        <f>IF(U947="",0,MAX(0,T947)+N947+ROUND(J947*[1]Setup!$B$9,0)+IF(O947&gt;[1]Setup!$B$10,ROUND(J947*[1]Setup!$B$11,0),0))</f>
        <v>0</v>
      </c>
      <c r="W947" s="85" t="str">
        <f>IF(L947="","Open",IF(OR(P947&lt;[1]Setup!$B$6,Q947&gt;[1]Setup!$B$7,R947&gt;[1]Setup!$B$8,O947&gt;[1]Setup!$B$10),"Review","OK"))</f>
        <v>Open</v>
      </c>
      <c r="X947" s="86"/>
    </row>
    <row r="948" spans="1:24" x14ac:dyDescent="0.3">
      <c r="A948" s="84"/>
      <c r="B948" s="100">
        <f t="shared" si="159"/>
        <v>0</v>
      </c>
      <c r="C948" s="84" t="str">
        <f t="shared" si="160"/>
        <v>January</v>
      </c>
      <c r="D948" s="85" t="str">
        <f t="shared" si="158"/>
        <v/>
      </c>
      <c r="E948" s="86"/>
      <c r="F948" s="86"/>
      <c r="G948" s="86"/>
      <c r="H948" s="86"/>
      <c r="I948" s="87" t="str">
        <f>IF(F948=0,"",IF(COUNTIF(F948,"Bao"),[1]Setup!$B$4,IF(COUNTIF(F948,"Soup Dumplings"),[1]Setup!$B$5,F948)))</f>
        <v/>
      </c>
      <c r="J948" s="88" t="str">
        <f t="shared" si="161"/>
        <v/>
      </c>
      <c r="K948" s="88"/>
      <c r="L948" s="87"/>
      <c r="M948" s="87"/>
      <c r="N948" s="87"/>
      <c r="O948" s="87"/>
      <c r="P948" s="89" t="str">
        <f t="shared" si="162"/>
        <v/>
      </c>
      <c r="Q948" s="89" t="str">
        <f t="shared" si="163"/>
        <v/>
      </c>
      <c r="R948" s="89" t="str">
        <f t="shared" si="164"/>
        <v/>
      </c>
      <c r="S948" s="88" t="str">
        <f>IF(F948="Bao",[1]Setup!$B$4,IF(F948="Soup Dumplings",[1]Setup!$B$5,""))</f>
        <v/>
      </c>
      <c r="T948" s="88" t="str">
        <f t="shared" si="165"/>
        <v/>
      </c>
      <c r="U948" s="84" t="str">
        <f t="shared" si="166"/>
        <v/>
      </c>
      <c r="V948" s="88">
        <f>IF(U948="",0,MAX(0,T948)+N948+ROUND(J948*[1]Setup!$B$9,0)+IF(O948&gt;[1]Setup!$B$10,ROUND(J948*[1]Setup!$B$11,0),0))</f>
        <v>0</v>
      </c>
      <c r="W948" s="85" t="str">
        <f>IF(L948="","Open",IF(OR(P948&lt;[1]Setup!$B$6,Q948&gt;[1]Setup!$B$7,R948&gt;[1]Setup!$B$8,O948&gt;[1]Setup!$B$10),"Review","OK"))</f>
        <v>Open</v>
      </c>
      <c r="X948" s="86"/>
    </row>
    <row r="949" spans="1:24" x14ac:dyDescent="0.3">
      <c r="A949" s="84"/>
      <c r="B949" s="100">
        <f t="shared" si="159"/>
        <v>0</v>
      </c>
      <c r="C949" s="84" t="str">
        <f t="shared" si="160"/>
        <v>January</v>
      </c>
      <c r="D949" s="85" t="str">
        <f t="shared" si="158"/>
        <v/>
      </c>
      <c r="E949" s="86"/>
      <c r="F949" s="86"/>
      <c r="G949" s="86"/>
      <c r="H949" s="86"/>
      <c r="I949" s="87" t="str">
        <f>IF(F949=0,"",IF(COUNTIF(F949,"Bao"),[1]Setup!$B$4,IF(COUNTIF(F949,"Soup Dumplings"),[1]Setup!$B$5,F949)))</f>
        <v/>
      </c>
      <c r="J949" s="88" t="str">
        <f t="shared" si="161"/>
        <v/>
      </c>
      <c r="K949" s="88"/>
      <c r="L949" s="87"/>
      <c r="M949" s="87"/>
      <c r="N949" s="87"/>
      <c r="O949" s="87"/>
      <c r="P949" s="89" t="str">
        <f t="shared" si="162"/>
        <v/>
      </c>
      <c r="Q949" s="89" t="str">
        <f t="shared" si="163"/>
        <v/>
      </c>
      <c r="R949" s="89" t="str">
        <f t="shared" si="164"/>
        <v/>
      </c>
      <c r="S949" s="88" t="str">
        <f>IF(F949="Bao",[1]Setup!$B$4,IF(F949="Soup Dumplings",[1]Setup!$B$5,""))</f>
        <v/>
      </c>
      <c r="T949" s="88" t="str">
        <f t="shared" si="165"/>
        <v/>
      </c>
      <c r="U949" s="84" t="str">
        <f t="shared" si="166"/>
        <v/>
      </c>
      <c r="V949" s="88">
        <f>IF(U949="",0,MAX(0,T949)+N949+ROUND(J949*[1]Setup!$B$9,0)+IF(O949&gt;[1]Setup!$B$10,ROUND(J949*[1]Setup!$B$11,0),0))</f>
        <v>0</v>
      </c>
      <c r="W949" s="85" t="str">
        <f>IF(L949="","Open",IF(OR(P949&lt;[1]Setup!$B$6,Q949&gt;[1]Setup!$B$7,R949&gt;[1]Setup!$B$8,O949&gt;[1]Setup!$B$10),"Review","OK"))</f>
        <v>Open</v>
      </c>
      <c r="X949" s="86"/>
    </row>
    <row r="950" spans="1:24" x14ac:dyDescent="0.3">
      <c r="A950" s="84"/>
      <c r="B950" s="100">
        <f t="shared" si="159"/>
        <v>0</v>
      </c>
      <c r="C950" s="84" t="str">
        <f t="shared" si="160"/>
        <v>January</v>
      </c>
      <c r="D950" s="85" t="str">
        <f t="shared" si="158"/>
        <v/>
      </c>
      <c r="E950" s="86"/>
      <c r="F950" s="86"/>
      <c r="G950" s="86"/>
      <c r="H950" s="86"/>
      <c r="I950" s="87" t="str">
        <f>IF(F950=0,"",IF(COUNTIF(F950,"Bao"),[1]Setup!$B$4,IF(COUNTIF(F950,"Soup Dumplings"),[1]Setup!$B$5,F950)))</f>
        <v/>
      </c>
      <c r="J950" s="88" t="str">
        <f t="shared" si="161"/>
        <v/>
      </c>
      <c r="K950" s="88"/>
      <c r="L950" s="87"/>
      <c r="M950" s="87"/>
      <c r="N950" s="87"/>
      <c r="O950" s="87"/>
      <c r="P950" s="89" t="str">
        <f t="shared" si="162"/>
        <v/>
      </c>
      <c r="Q950" s="89" t="str">
        <f t="shared" si="163"/>
        <v/>
      </c>
      <c r="R950" s="89" t="str">
        <f t="shared" si="164"/>
        <v/>
      </c>
      <c r="S950" s="88" t="str">
        <f>IF(F950="Bao",[1]Setup!$B$4,IF(F950="Soup Dumplings",[1]Setup!$B$5,""))</f>
        <v/>
      </c>
      <c r="T950" s="88" t="str">
        <f t="shared" si="165"/>
        <v/>
      </c>
      <c r="U950" s="84" t="str">
        <f t="shared" si="166"/>
        <v/>
      </c>
      <c r="V950" s="88">
        <f>IF(U950="",0,MAX(0,T950)+N950+ROUND(J950*[1]Setup!$B$9,0)+IF(O950&gt;[1]Setup!$B$10,ROUND(J950*[1]Setup!$B$11,0),0))</f>
        <v>0</v>
      </c>
      <c r="W950" s="85" t="str">
        <f>IF(L950="","Open",IF(OR(P950&lt;[1]Setup!$B$6,Q950&gt;[1]Setup!$B$7,R950&gt;[1]Setup!$B$8,O950&gt;[1]Setup!$B$10),"Review","OK"))</f>
        <v>Open</v>
      </c>
      <c r="X950" s="86"/>
    </row>
    <row r="951" spans="1:24" x14ac:dyDescent="0.3">
      <c r="A951" s="84"/>
      <c r="B951" s="100">
        <f t="shared" si="159"/>
        <v>0</v>
      </c>
      <c r="C951" s="84" t="str">
        <f t="shared" si="160"/>
        <v>January</v>
      </c>
      <c r="D951" s="85" t="str">
        <f t="shared" si="158"/>
        <v/>
      </c>
      <c r="E951" s="86"/>
      <c r="F951" s="86"/>
      <c r="G951" s="86"/>
      <c r="H951" s="86"/>
      <c r="I951" s="87" t="str">
        <f>IF(F951=0,"",IF(COUNTIF(F951,"Bao"),[1]Setup!$B$4,IF(COUNTIF(F951,"Soup Dumplings"),[1]Setup!$B$5,F951)))</f>
        <v/>
      </c>
      <c r="J951" s="88" t="str">
        <f t="shared" si="161"/>
        <v/>
      </c>
      <c r="K951" s="88"/>
      <c r="L951" s="87"/>
      <c r="M951" s="87"/>
      <c r="N951" s="87"/>
      <c r="O951" s="87"/>
      <c r="P951" s="89" t="str">
        <f t="shared" si="162"/>
        <v/>
      </c>
      <c r="Q951" s="89" t="str">
        <f t="shared" si="163"/>
        <v/>
      </c>
      <c r="R951" s="89" t="str">
        <f t="shared" si="164"/>
        <v/>
      </c>
      <c r="S951" s="88" t="str">
        <f>IF(F951="Bao",[1]Setup!$B$4,IF(F951="Soup Dumplings",[1]Setup!$B$5,""))</f>
        <v/>
      </c>
      <c r="T951" s="88" t="str">
        <f t="shared" si="165"/>
        <v/>
      </c>
      <c r="U951" s="84" t="str">
        <f t="shared" si="166"/>
        <v/>
      </c>
      <c r="V951" s="88">
        <f>IF(U951="",0,MAX(0,T951)+N951+ROUND(J951*[1]Setup!$B$9,0)+IF(O951&gt;[1]Setup!$B$10,ROUND(J951*[1]Setup!$B$11,0),0))</f>
        <v>0</v>
      </c>
      <c r="W951" s="85" t="str">
        <f>IF(L951="","Open",IF(OR(P951&lt;[1]Setup!$B$6,Q951&gt;[1]Setup!$B$7,R951&gt;[1]Setup!$B$8,O951&gt;[1]Setup!$B$10),"Review","OK"))</f>
        <v>Open</v>
      </c>
      <c r="X951" s="86"/>
    </row>
    <row r="952" spans="1:24" x14ac:dyDescent="0.3">
      <c r="A952" s="84"/>
      <c r="B952" s="100">
        <f t="shared" si="159"/>
        <v>0</v>
      </c>
      <c r="C952" s="84" t="str">
        <f t="shared" si="160"/>
        <v>January</v>
      </c>
      <c r="D952" s="85" t="str">
        <f t="shared" si="158"/>
        <v/>
      </c>
      <c r="E952" s="86"/>
      <c r="F952" s="86"/>
      <c r="G952" s="86"/>
      <c r="H952" s="86"/>
      <c r="I952" s="87" t="str">
        <f>IF(F952=0,"",IF(COUNTIF(F952,"Bao"),[1]Setup!$B$4,IF(COUNTIF(F952,"Soup Dumplings"),[1]Setup!$B$5,F952)))</f>
        <v/>
      </c>
      <c r="J952" s="88" t="str">
        <f t="shared" si="161"/>
        <v/>
      </c>
      <c r="K952" s="88"/>
      <c r="L952" s="87"/>
      <c r="M952" s="87"/>
      <c r="N952" s="87"/>
      <c r="O952" s="87"/>
      <c r="P952" s="89" t="str">
        <f t="shared" si="162"/>
        <v/>
      </c>
      <c r="Q952" s="89" t="str">
        <f t="shared" si="163"/>
        <v/>
      </c>
      <c r="R952" s="89" t="str">
        <f t="shared" si="164"/>
        <v/>
      </c>
      <c r="S952" s="88" t="str">
        <f>IF(F952="Bao",[1]Setup!$B$4,IF(F952="Soup Dumplings",[1]Setup!$B$5,""))</f>
        <v/>
      </c>
      <c r="T952" s="88" t="str">
        <f t="shared" si="165"/>
        <v/>
      </c>
      <c r="U952" s="84" t="str">
        <f t="shared" si="166"/>
        <v/>
      </c>
      <c r="V952" s="88">
        <f>IF(U952="",0,MAX(0,T952)+N952+ROUND(J952*[1]Setup!$B$9,0)+IF(O952&gt;[1]Setup!$B$10,ROUND(J952*[1]Setup!$B$11,0),0))</f>
        <v>0</v>
      </c>
      <c r="W952" s="85" t="str">
        <f>IF(L952="","Open",IF(OR(P952&lt;[1]Setup!$B$6,Q952&gt;[1]Setup!$B$7,R952&gt;[1]Setup!$B$8,O952&gt;[1]Setup!$B$10),"Review","OK"))</f>
        <v>Open</v>
      </c>
      <c r="X952" s="86"/>
    </row>
    <row r="953" spans="1:24" x14ac:dyDescent="0.3">
      <c r="A953" s="84"/>
      <c r="B953" s="100">
        <f t="shared" si="159"/>
        <v>0</v>
      </c>
      <c r="C953" s="84" t="str">
        <f t="shared" si="160"/>
        <v>January</v>
      </c>
      <c r="D953" s="85" t="str">
        <f t="shared" si="158"/>
        <v/>
      </c>
      <c r="E953" s="86"/>
      <c r="F953" s="86"/>
      <c r="G953" s="86"/>
      <c r="H953" s="86"/>
      <c r="I953" s="87" t="str">
        <f>IF(F953=0,"",IF(COUNTIF(F953,"Bao"),[1]Setup!$B$4,IF(COUNTIF(F953,"Soup Dumplings"),[1]Setup!$B$5,F953)))</f>
        <v/>
      </c>
      <c r="J953" s="88" t="str">
        <f t="shared" si="161"/>
        <v/>
      </c>
      <c r="K953" s="88"/>
      <c r="L953" s="87"/>
      <c r="M953" s="87"/>
      <c r="N953" s="87"/>
      <c r="O953" s="87"/>
      <c r="P953" s="89" t="str">
        <f t="shared" si="162"/>
        <v/>
      </c>
      <c r="Q953" s="89" t="str">
        <f t="shared" si="163"/>
        <v/>
      </c>
      <c r="R953" s="89" t="str">
        <f t="shared" si="164"/>
        <v/>
      </c>
      <c r="S953" s="88" t="str">
        <f>IF(F953="Bao",[1]Setup!$B$4,IF(F953="Soup Dumplings",[1]Setup!$B$5,""))</f>
        <v/>
      </c>
      <c r="T953" s="88" t="str">
        <f t="shared" si="165"/>
        <v/>
      </c>
      <c r="U953" s="84" t="str">
        <f t="shared" si="166"/>
        <v/>
      </c>
      <c r="V953" s="88">
        <f>IF(U953="",0,MAX(0,T953)+N953+ROUND(J953*[1]Setup!$B$9,0)+IF(O953&gt;[1]Setup!$B$10,ROUND(J953*[1]Setup!$B$11,0),0))</f>
        <v>0</v>
      </c>
      <c r="W953" s="85" t="str">
        <f>IF(L953="","Open",IF(OR(P953&lt;[1]Setup!$B$6,Q953&gt;[1]Setup!$B$7,R953&gt;[1]Setup!$B$8,O953&gt;[1]Setup!$B$10),"Review","OK"))</f>
        <v>Open</v>
      </c>
      <c r="X953" s="86"/>
    </row>
    <row r="954" spans="1:24" x14ac:dyDescent="0.3">
      <c r="A954" s="84"/>
      <c r="B954" s="100">
        <f t="shared" si="159"/>
        <v>0</v>
      </c>
      <c r="C954" s="84" t="str">
        <f t="shared" si="160"/>
        <v>January</v>
      </c>
      <c r="D954" s="85" t="str">
        <f t="shared" si="158"/>
        <v/>
      </c>
      <c r="E954" s="86"/>
      <c r="F954" s="86"/>
      <c r="G954" s="86"/>
      <c r="H954" s="86"/>
      <c r="I954" s="87" t="str">
        <f>IF(F954=0,"",IF(COUNTIF(F954,"Bao"),[1]Setup!$B$4,IF(COUNTIF(F954,"Soup Dumplings"),[1]Setup!$B$5,F954)))</f>
        <v/>
      </c>
      <c r="J954" s="88" t="str">
        <f t="shared" si="161"/>
        <v/>
      </c>
      <c r="K954" s="88"/>
      <c r="L954" s="87"/>
      <c r="M954" s="87"/>
      <c r="N954" s="87"/>
      <c r="O954" s="87"/>
      <c r="P954" s="89" t="str">
        <f t="shared" si="162"/>
        <v/>
      </c>
      <c r="Q954" s="89" t="str">
        <f t="shared" si="163"/>
        <v/>
      </c>
      <c r="R954" s="89" t="str">
        <f t="shared" si="164"/>
        <v/>
      </c>
      <c r="S954" s="88" t="str">
        <f>IF(F954="Bao",[1]Setup!$B$4,IF(F954="Soup Dumplings",[1]Setup!$B$5,""))</f>
        <v/>
      </c>
      <c r="T954" s="88" t="str">
        <f t="shared" si="165"/>
        <v/>
      </c>
      <c r="U954" s="84" t="str">
        <f t="shared" si="166"/>
        <v/>
      </c>
      <c r="V954" s="88">
        <f>IF(U954="",0,MAX(0,T954)+N954+ROUND(J954*[1]Setup!$B$9,0)+IF(O954&gt;[1]Setup!$B$10,ROUND(J954*[1]Setup!$B$11,0),0))</f>
        <v>0</v>
      </c>
      <c r="W954" s="85" t="str">
        <f>IF(L954="","Open",IF(OR(P954&lt;[1]Setup!$B$6,Q954&gt;[1]Setup!$B$7,R954&gt;[1]Setup!$B$8,O954&gt;[1]Setup!$B$10),"Review","OK"))</f>
        <v>Open</v>
      </c>
      <c r="X954" s="86"/>
    </row>
    <row r="955" spans="1:24" x14ac:dyDescent="0.3">
      <c r="A955" s="84"/>
      <c r="B955" s="100">
        <f t="shared" si="159"/>
        <v>0</v>
      </c>
      <c r="C955" s="84" t="str">
        <f t="shared" si="160"/>
        <v>January</v>
      </c>
      <c r="D955" s="85" t="str">
        <f t="shared" si="158"/>
        <v/>
      </c>
      <c r="E955" s="86"/>
      <c r="F955" s="86"/>
      <c r="G955" s="86"/>
      <c r="H955" s="86"/>
      <c r="I955" s="87" t="str">
        <f>IF(F955=0,"",IF(COUNTIF(F955,"Bao"),[1]Setup!$B$4,IF(COUNTIF(F955,"Soup Dumplings"),[1]Setup!$B$5,F955)))</f>
        <v/>
      </c>
      <c r="J955" s="88" t="str">
        <f t="shared" si="161"/>
        <v/>
      </c>
      <c r="K955" s="88"/>
      <c r="L955" s="87"/>
      <c r="M955" s="87"/>
      <c r="N955" s="87"/>
      <c r="O955" s="87"/>
      <c r="P955" s="89" t="str">
        <f t="shared" si="162"/>
        <v/>
      </c>
      <c r="Q955" s="89" t="str">
        <f t="shared" si="163"/>
        <v/>
      </c>
      <c r="R955" s="89" t="str">
        <f t="shared" si="164"/>
        <v/>
      </c>
      <c r="S955" s="88" t="str">
        <f>IF(F955="Bao",[1]Setup!$B$4,IF(F955="Soup Dumplings",[1]Setup!$B$5,""))</f>
        <v/>
      </c>
      <c r="T955" s="88" t="str">
        <f t="shared" si="165"/>
        <v/>
      </c>
      <c r="U955" s="84" t="str">
        <f t="shared" si="166"/>
        <v/>
      </c>
      <c r="V955" s="88">
        <f>IF(U955="",0,MAX(0,T955)+N955+ROUND(J955*[1]Setup!$B$9,0)+IF(O955&gt;[1]Setup!$B$10,ROUND(J955*[1]Setup!$B$11,0),0))</f>
        <v>0</v>
      </c>
      <c r="W955" s="85" t="str">
        <f>IF(L955="","Open",IF(OR(P955&lt;[1]Setup!$B$6,Q955&gt;[1]Setup!$B$7,R955&gt;[1]Setup!$B$8,O955&gt;[1]Setup!$B$10),"Review","OK"))</f>
        <v>Open</v>
      </c>
      <c r="X955" s="86"/>
    </row>
    <row r="956" spans="1:24" x14ac:dyDescent="0.3">
      <c r="A956" s="84"/>
      <c r="B956" s="100">
        <f t="shared" si="159"/>
        <v>0</v>
      </c>
      <c r="C956" s="84" t="str">
        <f t="shared" si="160"/>
        <v>January</v>
      </c>
      <c r="D956" s="85" t="str">
        <f t="shared" si="158"/>
        <v/>
      </c>
      <c r="E956" s="86"/>
      <c r="F956" s="86"/>
      <c r="G956" s="86"/>
      <c r="H956" s="86"/>
      <c r="I956" s="87" t="str">
        <f>IF(F956=0,"",IF(COUNTIF(F956,"Bao"),[1]Setup!$B$4,IF(COUNTIF(F956,"Soup Dumplings"),[1]Setup!$B$5,F956)))</f>
        <v/>
      </c>
      <c r="J956" s="88" t="str">
        <f t="shared" si="161"/>
        <v/>
      </c>
      <c r="K956" s="88"/>
      <c r="L956" s="87"/>
      <c r="M956" s="87"/>
      <c r="N956" s="87"/>
      <c r="O956" s="87"/>
      <c r="P956" s="89" t="str">
        <f t="shared" si="162"/>
        <v/>
      </c>
      <c r="Q956" s="89" t="str">
        <f t="shared" si="163"/>
        <v/>
      </c>
      <c r="R956" s="89" t="str">
        <f t="shared" si="164"/>
        <v/>
      </c>
      <c r="S956" s="88" t="str">
        <f>IF(F956="Bao",[1]Setup!$B$4,IF(F956="Soup Dumplings",[1]Setup!$B$5,""))</f>
        <v/>
      </c>
      <c r="T956" s="88" t="str">
        <f t="shared" si="165"/>
        <v/>
      </c>
      <c r="U956" s="84" t="str">
        <f t="shared" si="166"/>
        <v/>
      </c>
      <c r="V956" s="88">
        <f>IF(U956="",0,MAX(0,T956)+N956+ROUND(J956*[1]Setup!$B$9,0)+IF(O956&gt;[1]Setup!$B$10,ROUND(J956*[1]Setup!$B$11,0),0))</f>
        <v>0</v>
      </c>
      <c r="W956" s="85" t="str">
        <f>IF(L956="","Open",IF(OR(P956&lt;[1]Setup!$B$6,Q956&gt;[1]Setup!$B$7,R956&gt;[1]Setup!$B$8,O956&gt;[1]Setup!$B$10),"Review","OK"))</f>
        <v>Open</v>
      </c>
      <c r="X956" s="86"/>
    </row>
    <row r="957" spans="1:24" x14ac:dyDescent="0.3">
      <c r="A957" s="84"/>
      <c r="B957" s="100">
        <f t="shared" si="159"/>
        <v>0</v>
      </c>
      <c r="C957" s="84" t="str">
        <f t="shared" si="160"/>
        <v>January</v>
      </c>
      <c r="D957" s="85" t="str">
        <f t="shared" si="158"/>
        <v/>
      </c>
      <c r="E957" s="86"/>
      <c r="F957" s="86"/>
      <c r="G957" s="86"/>
      <c r="H957" s="86"/>
      <c r="I957" s="87" t="str">
        <f>IF(F957=0,"",IF(COUNTIF(F957,"Bao"),[1]Setup!$B$4,IF(COUNTIF(F957,"Soup Dumplings"),[1]Setup!$B$5,F957)))</f>
        <v/>
      </c>
      <c r="J957" s="88" t="str">
        <f t="shared" si="161"/>
        <v/>
      </c>
      <c r="K957" s="88"/>
      <c r="L957" s="87"/>
      <c r="M957" s="87"/>
      <c r="N957" s="87"/>
      <c r="O957" s="87"/>
      <c r="P957" s="89" t="str">
        <f t="shared" si="162"/>
        <v/>
      </c>
      <c r="Q957" s="89" t="str">
        <f t="shared" si="163"/>
        <v/>
      </c>
      <c r="R957" s="89" t="str">
        <f t="shared" si="164"/>
        <v/>
      </c>
      <c r="S957" s="88" t="str">
        <f>IF(F957="Bao",[1]Setup!$B$4,IF(F957="Soup Dumplings",[1]Setup!$B$5,""))</f>
        <v/>
      </c>
      <c r="T957" s="88" t="str">
        <f t="shared" si="165"/>
        <v/>
      </c>
      <c r="U957" s="84" t="str">
        <f t="shared" si="166"/>
        <v/>
      </c>
      <c r="V957" s="88">
        <f>IF(U957="",0,MAX(0,T957)+N957+ROUND(J957*[1]Setup!$B$9,0)+IF(O957&gt;[1]Setup!$B$10,ROUND(J957*[1]Setup!$B$11,0),0))</f>
        <v>0</v>
      </c>
      <c r="W957" s="85" t="str">
        <f>IF(L957="","Open",IF(OR(P957&lt;[1]Setup!$B$6,Q957&gt;[1]Setup!$B$7,R957&gt;[1]Setup!$B$8,O957&gt;[1]Setup!$B$10),"Review","OK"))</f>
        <v>Open</v>
      </c>
      <c r="X957" s="86"/>
    </row>
    <row r="958" spans="1:24" x14ac:dyDescent="0.3">
      <c r="A958" s="84"/>
      <c r="B958" s="100">
        <f t="shared" si="159"/>
        <v>0</v>
      </c>
      <c r="C958" s="84" t="str">
        <f t="shared" si="160"/>
        <v>January</v>
      </c>
      <c r="D958" s="85" t="str">
        <f t="shared" si="158"/>
        <v/>
      </c>
      <c r="E958" s="86"/>
      <c r="F958" s="86"/>
      <c r="G958" s="86"/>
      <c r="H958" s="86"/>
      <c r="I958" s="87" t="str">
        <f>IF(F958=0,"",IF(COUNTIF(F958,"Bao"),[1]Setup!$B$4,IF(COUNTIF(F958,"Soup Dumplings"),[1]Setup!$B$5,F958)))</f>
        <v/>
      </c>
      <c r="J958" s="88" t="str">
        <f t="shared" si="161"/>
        <v/>
      </c>
      <c r="K958" s="88"/>
      <c r="L958" s="87"/>
      <c r="M958" s="87"/>
      <c r="N958" s="87"/>
      <c r="O958" s="87"/>
      <c r="P958" s="89" t="str">
        <f t="shared" si="162"/>
        <v/>
      </c>
      <c r="Q958" s="89" t="str">
        <f t="shared" si="163"/>
        <v/>
      </c>
      <c r="R958" s="89" t="str">
        <f t="shared" si="164"/>
        <v/>
      </c>
      <c r="S958" s="88" t="str">
        <f>IF(F958="Bao",[1]Setup!$B$4,IF(F958="Soup Dumplings",[1]Setup!$B$5,""))</f>
        <v/>
      </c>
      <c r="T958" s="88" t="str">
        <f t="shared" si="165"/>
        <v/>
      </c>
      <c r="U958" s="84" t="str">
        <f t="shared" si="166"/>
        <v/>
      </c>
      <c r="V958" s="88">
        <f>IF(U958="",0,MAX(0,T958)+N958+ROUND(J958*[1]Setup!$B$9,0)+IF(O958&gt;[1]Setup!$B$10,ROUND(J958*[1]Setup!$B$11,0),0))</f>
        <v>0</v>
      </c>
      <c r="W958" s="85" t="str">
        <f>IF(L958="","Open",IF(OR(P958&lt;[1]Setup!$B$6,Q958&gt;[1]Setup!$B$7,R958&gt;[1]Setup!$B$8,O958&gt;[1]Setup!$B$10),"Review","OK"))</f>
        <v>Open</v>
      </c>
      <c r="X958" s="86"/>
    </row>
    <row r="959" spans="1:24" x14ac:dyDescent="0.3">
      <c r="A959" s="84"/>
      <c r="B959" s="100">
        <f t="shared" si="159"/>
        <v>0</v>
      </c>
      <c r="C959" s="84" t="str">
        <f t="shared" si="160"/>
        <v>January</v>
      </c>
      <c r="D959" s="85" t="str">
        <f t="shared" si="158"/>
        <v/>
      </c>
      <c r="E959" s="86"/>
      <c r="F959" s="86"/>
      <c r="G959" s="86"/>
      <c r="H959" s="86"/>
      <c r="I959" s="87" t="str">
        <f>IF(F959=0,"",IF(COUNTIF(F959,"Bao"),[1]Setup!$B$4,IF(COUNTIF(F959,"Soup Dumplings"),[1]Setup!$B$5,F959)))</f>
        <v/>
      </c>
      <c r="J959" s="88" t="str">
        <f t="shared" si="161"/>
        <v/>
      </c>
      <c r="K959" s="88"/>
      <c r="L959" s="87"/>
      <c r="M959" s="87"/>
      <c r="N959" s="87"/>
      <c r="O959" s="87"/>
      <c r="P959" s="89" t="str">
        <f t="shared" si="162"/>
        <v/>
      </c>
      <c r="Q959" s="89" t="str">
        <f t="shared" si="163"/>
        <v/>
      </c>
      <c r="R959" s="89" t="str">
        <f t="shared" si="164"/>
        <v/>
      </c>
      <c r="S959" s="88" t="str">
        <f>IF(F959="Bao",[1]Setup!$B$4,IF(F959="Soup Dumplings",[1]Setup!$B$5,""))</f>
        <v/>
      </c>
      <c r="T959" s="88" t="str">
        <f t="shared" si="165"/>
        <v/>
      </c>
      <c r="U959" s="84" t="str">
        <f t="shared" si="166"/>
        <v/>
      </c>
      <c r="V959" s="88">
        <f>IF(U959="",0,MAX(0,T959)+N959+ROUND(J959*[1]Setup!$B$9,0)+IF(O959&gt;[1]Setup!$B$10,ROUND(J959*[1]Setup!$B$11,0),0))</f>
        <v>0</v>
      </c>
      <c r="W959" s="85" t="str">
        <f>IF(L959="","Open",IF(OR(P959&lt;[1]Setup!$B$6,Q959&gt;[1]Setup!$B$7,R959&gt;[1]Setup!$B$8,O959&gt;[1]Setup!$B$10),"Review","OK"))</f>
        <v>Open</v>
      </c>
      <c r="X959" s="86"/>
    </row>
    <row r="960" spans="1:24" x14ac:dyDescent="0.3">
      <c r="A960" s="84"/>
      <c r="B960" s="100">
        <f t="shared" si="159"/>
        <v>0</v>
      </c>
      <c r="C960" s="84" t="str">
        <f t="shared" si="160"/>
        <v>January</v>
      </c>
      <c r="D960" s="85" t="str">
        <f t="shared" si="158"/>
        <v/>
      </c>
      <c r="E960" s="86"/>
      <c r="F960" s="86"/>
      <c r="G960" s="86"/>
      <c r="H960" s="86"/>
      <c r="I960" s="87" t="str">
        <f>IF(F960=0,"",IF(COUNTIF(F960,"Bao"),[1]Setup!$B$4,IF(COUNTIF(F960,"Soup Dumplings"),[1]Setup!$B$5,F960)))</f>
        <v/>
      </c>
      <c r="J960" s="88" t="str">
        <f t="shared" si="161"/>
        <v/>
      </c>
      <c r="K960" s="88"/>
      <c r="L960" s="87"/>
      <c r="M960" s="87"/>
      <c r="N960" s="87"/>
      <c r="O960" s="87"/>
      <c r="P960" s="89" t="str">
        <f t="shared" si="162"/>
        <v/>
      </c>
      <c r="Q960" s="89" t="str">
        <f t="shared" si="163"/>
        <v/>
      </c>
      <c r="R960" s="89" t="str">
        <f t="shared" si="164"/>
        <v/>
      </c>
      <c r="S960" s="88" t="str">
        <f>IF(F960="Bao",[1]Setup!$B$4,IF(F960="Soup Dumplings",[1]Setup!$B$5,""))</f>
        <v/>
      </c>
      <c r="T960" s="88" t="str">
        <f t="shared" si="165"/>
        <v/>
      </c>
      <c r="U960" s="84" t="str">
        <f t="shared" si="166"/>
        <v/>
      </c>
      <c r="V960" s="88">
        <f>IF(U960="",0,MAX(0,T960)+N960+ROUND(J960*[1]Setup!$B$9,0)+IF(O960&gt;[1]Setup!$B$10,ROUND(J960*[1]Setup!$B$11,0),0))</f>
        <v>0</v>
      </c>
      <c r="W960" s="85" t="str">
        <f>IF(L960="","Open",IF(OR(P960&lt;[1]Setup!$B$6,Q960&gt;[1]Setup!$B$7,R960&gt;[1]Setup!$B$8,O960&gt;[1]Setup!$B$10),"Review","OK"))</f>
        <v>Open</v>
      </c>
      <c r="X960" s="86"/>
    </row>
    <row r="961" spans="1:24" x14ac:dyDescent="0.3">
      <c r="A961" s="84"/>
      <c r="B961" s="100">
        <f t="shared" si="159"/>
        <v>0</v>
      </c>
      <c r="C961" s="84" t="str">
        <f t="shared" si="160"/>
        <v>January</v>
      </c>
      <c r="D961" s="85" t="str">
        <f t="shared" si="158"/>
        <v/>
      </c>
      <c r="E961" s="86"/>
      <c r="F961" s="86"/>
      <c r="G961" s="86"/>
      <c r="H961" s="86"/>
      <c r="I961" s="87" t="str">
        <f>IF(F961=0,"",IF(COUNTIF(F961,"Bao"),[1]Setup!$B$4,IF(COUNTIF(F961,"Soup Dumplings"),[1]Setup!$B$5,F961)))</f>
        <v/>
      </c>
      <c r="J961" s="88" t="str">
        <f t="shared" si="161"/>
        <v/>
      </c>
      <c r="K961" s="88"/>
      <c r="L961" s="87"/>
      <c r="M961" s="87"/>
      <c r="N961" s="87"/>
      <c r="O961" s="87"/>
      <c r="P961" s="89" t="str">
        <f t="shared" si="162"/>
        <v/>
      </c>
      <c r="Q961" s="89" t="str">
        <f t="shared" si="163"/>
        <v/>
      </c>
      <c r="R961" s="89" t="str">
        <f t="shared" si="164"/>
        <v/>
      </c>
      <c r="S961" s="88" t="str">
        <f>IF(F961="Bao",[1]Setup!$B$4,IF(F961="Soup Dumplings",[1]Setup!$B$5,""))</f>
        <v/>
      </c>
      <c r="T961" s="88" t="str">
        <f t="shared" si="165"/>
        <v/>
      </c>
      <c r="U961" s="84" t="str">
        <f t="shared" si="166"/>
        <v/>
      </c>
      <c r="V961" s="88">
        <f>IF(U961="",0,MAX(0,T961)+N961+ROUND(J961*[1]Setup!$B$9,0)+IF(O961&gt;[1]Setup!$B$10,ROUND(J961*[1]Setup!$B$11,0),0))</f>
        <v>0</v>
      </c>
      <c r="W961" s="85" t="str">
        <f>IF(L961="","Open",IF(OR(P961&lt;[1]Setup!$B$6,Q961&gt;[1]Setup!$B$7,R961&gt;[1]Setup!$B$8,O961&gt;[1]Setup!$B$10),"Review","OK"))</f>
        <v>Open</v>
      </c>
      <c r="X961" s="86"/>
    </row>
    <row r="962" spans="1:24" x14ac:dyDescent="0.3">
      <c r="A962" s="84"/>
      <c r="B962" s="100">
        <f t="shared" si="159"/>
        <v>0</v>
      </c>
      <c r="C962" s="84" t="str">
        <f t="shared" si="160"/>
        <v>January</v>
      </c>
      <c r="D962" s="85" t="str">
        <f t="shared" si="158"/>
        <v/>
      </c>
      <c r="E962" s="86"/>
      <c r="F962" s="86"/>
      <c r="G962" s="86"/>
      <c r="H962" s="86"/>
      <c r="I962" s="87" t="str">
        <f>IF(F962=0,"",IF(COUNTIF(F962,"Bao"),[1]Setup!$B$4,IF(COUNTIF(F962,"Soup Dumplings"),[1]Setup!$B$5,F962)))</f>
        <v/>
      </c>
      <c r="J962" s="88" t="str">
        <f t="shared" si="161"/>
        <v/>
      </c>
      <c r="K962" s="88"/>
      <c r="L962" s="87"/>
      <c r="M962" s="87"/>
      <c r="N962" s="87"/>
      <c r="O962" s="87"/>
      <c r="P962" s="89" t="str">
        <f t="shared" si="162"/>
        <v/>
      </c>
      <c r="Q962" s="89" t="str">
        <f t="shared" si="163"/>
        <v/>
      </c>
      <c r="R962" s="89" t="str">
        <f t="shared" si="164"/>
        <v/>
      </c>
      <c r="S962" s="88" t="str">
        <f>IF(F962="Bao",[1]Setup!$B$4,IF(F962="Soup Dumplings",[1]Setup!$B$5,""))</f>
        <v/>
      </c>
      <c r="T962" s="88" t="str">
        <f t="shared" si="165"/>
        <v/>
      </c>
      <c r="U962" s="84" t="str">
        <f t="shared" si="166"/>
        <v/>
      </c>
      <c r="V962" s="88">
        <f>IF(U962="",0,MAX(0,T962)+N962+ROUND(J962*[1]Setup!$B$9,0)+IF(O962&gt;[1]Setup!$B$10,ROUND(J962*[1]Setup!$B$11,0),0))</f>
        <v>0</v>
      </c>
      <c r="W962" s="85" t="str">
        <f>IF(L962="","Open",IF(OR(P962&lt;[1]Setup!$B$6,Q962&gt;[1]Setup!$B$7,R962&gt;[1]Setup!$B$8,O962&gt;[1]Setup!$B$10),"Review","OK"))</f>
        <v>Open</v>
      </c>
      <c r="X962" s="86"/>
    </row>
    <row r="963" spans="1:24" x14ac:dyDescent="0.3">
      <c r="A963" s="84"/>
      <c r="B963" s="100">
        <f t="shared" si="159"/>
        <v>0</v>
      </c>
      <c r="C963" s="84" t="str">
        <f t="shared" si="160"/>
        <v>January</v>
      </c>
      <c r="D963" s="85" t="str">
        <f t="shared" si="158"/>
        <v/>
      </c>
      <c r="E963" s="86"/>
      <c r="F963" s="86"/>
      <c r="G963" s="86"/>
      <c r="H963" s="86"/>
      <c r="I963" s="87" t="str">
        <f>IF(F963=0,"",IF(COUNTIF(F963,"Bao"),[1]Setup!$B$4,IF(COUNTIF(F963,"Soup Dumplings"),[1]Setup!$B$5,F963)))</f>
        <v/>
      </c>
      <c r="J963" s="88" t="str">
        <f t="shared" si="161"/>
        <v/>
      </c>
      <c r="K963" s="88"/>
      <c r="L963" s="87"/>
      <c r="M963" s="87"/>
      <c r="N963" s="87"/>
      <c r="O963" s="87"/>
      <c r="P963" s="89" t="str">
        <f t="shared" si="162"/>
        <v/>
      </c>
      <c r="Q963" s="89" t="str">
        <f t="shared" si="163"/>
        <v/>
      </c>
      <c r="R963" s="89" t="str">
        <f t="shared" si="164"/>
        <v/>
      </c>
      <c r="S963" s="88" t="str">
        <f>IF(F963="Bao",[1]Setup!$B$4,IF(F963="Soup Dumplings",[1]Setup!$B$5,""))</f>
        <v/>
      </c>
      <c r="T963" s="88" t="str">
        <f t="shared" si="165"/>
        <v/>
      </c>
      <c r="U963" s="84" t="str">
        <f t="shared" si="166"/>
        <v/>
      </c>
      <c r="V963" s="88">
        <f>IF(U963="",0,MAX(0,T963)+N963+ROUND(J963*[1]Setup!$B$9,0)+IF(O963&gt;[1]Setup!$B$10,ROUND(J963*[1]Setup!$B$11,0),0))</f>
        <v>0</v>
      </c>
      <c r="W963" s="85" t="str">
        <f>IF(L963="","Open",IF(OR(P963&lt;[1]Setup!$B$6,Q963&gt;[1]Setup!$B$7,R963&gt;[1]Setup!$B$8,O963&gt;[1]Setup!$B$10),"Review","OK"))</f>
        <v>Open</v>
      </c>
      <c r="X963" s="86"/>
    </row>
    <row r="964" spans="1:24" x14ac:dyDescent="0.3">
      <c r="A964" s="84"/>
      <c r="B964" s="100">
        <f t="shared" si="159"/>
        <v>0</v>
      </c>
      <c r="C964" s="84" t="str">
        <f t="shared" si="160"/>
        <v>January</v>
      </c>
      <c r="D964" s="85" t="str">
        <f t="shared" ref="D964:D1027" si="167">IF(A964="","",TEXT(A964,"ddd"))</f>
        <v/>
      </c>
      <c r="E964" s="86"/>
      <c r="F964" s="86"/>
      <c r="G964" s="86"/>
      <c r="H964" s="86"/>
      <c r="I964" s="87" t="str">
        <f>IF(F964=0,"",IF(COUNTIF(F964,"Bao"),[1]Setup!$B$4,IF(COUNTIF(F964,"Soup Dumplings"),[1]Setup!$B$5,F964)))</f>
        <v/>
      </c>
      <c r="J964" s="88" t="str">
        <f t="shared" si="161"/>
        <v/>
      </c>
      <c r="K964" s="88"/>
      <c r="L964" s="87"/>
      <c r="M964" s="87"/>
      <c r="N964" s="87"/>
      <c r="O964" s="87"/>
      <c r="P964" s="89" t="str">
        <f t="shared" si="162"/>
        <v/>
      </c>
      <c r="Q964" s="89" t="str">
        <f t="shared" si="163"/>
        <v/>
      </c>
      <c r="R964" s="89" t="str">
        <f t="shared" si="164"/>
        <v/>
      </c>
      <c r="S964" s="88" t="str">
        <f>IF(F964="Bao",[1]Setup!$B$4,IF(F964="Soup Dumplings",[1]Setup!$B$5,""))</f>
        <v/>
      </c>
      <c r="T964" s="88" t="str">
        <f t="shared" si="165"/>
        <v/>
      </c>
      <c r="U964" s="84" t="str">
        <f t="shared" si="166"/>
        <v/>
      </c>
      <c r="V964" s="88">
        <f>IF(U964="",0,MAX(0,T964)+N964+ROUND(J964*[1]Setup!$B$9,0)+IF(O964&gt;[1]Setup!$B$10,ROUND(J964*[1]Setup!$B$11,0),0))</f>
        <v>0</v>
      </c>
      <c r="W964" s="85" t="str">
        <f>IF(L964="","Open",IF(OR(P964&lt;[1]Setup!$B$6,Q964&gt;[1]Setup!$B$7,R964&gt;[1]Setup!$B$8,O964&gt;[1]Setup!$B$10),"Review","OK"))</f>
        <v>Open</v>
      </c>
      <c r="X964" s="86"/>
    </row>
    <row r="965" spans="1:24" x14ac:dyDescent="0.3">
      <c r="A965" s="84"/>
      <c r="B965" s="100">
        <f t="shared" ref="B965:B1028" si="168">+WEEKNUM(A965)</f>
        <v>0</v>
      </c>
      <c r="C965" s="84" t="str">
        <f t="shared" ref="C965:C1028" si="169">+TEXT(A965,"mmmm")</f>
        <v>January</v>
      </c>
      <c r="D965" s="85" t="str">
        <f t="shared" si="167"/>
        <v/>
      </c>
      <c r="E965" s="86"/>
      <c r="F965" s="86"/>
      <c r="G965" s="86"/>
      <c r="H965" s="86"/>
      <c r="I965" s="87" t="str">
        <f>IF(F965=0,"",IF(COUNTIF(F965,"Bao"),[1]Setup!$B$4,IF(COUNTIF(F965,"Soup Dumplings"),[1]Setup!$B$5,F965)))</f>
        <v/>
      </c>
      <c r="J965" s="88" t="str">
        <f t="shared" si="161"/>
        <v/>
      </c>
      <c r="K965" s="88"/>
      <c r="L965" s="87"/>
      <c r="M965" s="87"/>
      <c r="N965" s="87"/>
      <c r="O965" s="87"/>
      <c r="P965" s="89" t="str">
        <f t="shared" si="162"/>
        <v/>
      </c>
      <c r="Q965" s="89" t="str">
        <f t="shared" si="163"/>
        <v/>
      </c>
      <c r="R965" s="89" t="str">
        <f t="shared" si="164"/>
        <v/>
      </c>
      <c r="S965" s="88" t="str">
        <f>IF(F965="Bao",[1]Setup!$B$4,IF(F965="Soup Dumplings",[1]Setup!$B$5,""))</f>
        <v/>
      </c>
      <c r="T965" s="88" t="str">
        <f t="shared" si="165"/>
        <v/>
      </c>
      <c r="U965" s="84" t="str">
        <f t="shared" si="166"/>
        <v/>
      </c>
      <c r="V965" s="88">
        <f>IF(U965="",0,MAX(0,T965)+N965+ROUND(J965*[1]Setup!$B$9,0)+IF(O965&gt;[1]Setup!$B$10,ROUND(J965*[1]Setup!$B$11,0),0))</f>
        <v>0</v>
      </c>
      <c r="W965" s="85" t="str">
        <f>IF(L965="","Open",IF(OR(P965&lt;[1]Setup!$B$6,Q965&gt;[1]Setup!$B$7,R965&gt;[1]Setup!$B$8,O965&gt;[1]Setup!$B$10),"Review","OK"))</f>
        <v>Open</v>
      </c>
      <c r="X965" s="86"/>
    </row>
    <row r="966" spans="1:24" x14ac:dyDescent="0.3">
      <c r="A966" s="84"/>
      <c r="B966" s="100">
        <f t="shared" si="168"/>
        <v>0</v>
      </c>
      <c r="C966" s="84" t="str">
        <f t="shared" si="169"/>
        <v>January</v>
      </c>
      <c r="D966" s="85" t="str">
        <f t="shared" si="167"/>
        <v/>
      </c>
      <c r="E966" s="86"/>
      <c r="F966" s="86"/>
      <c r="G966" s="86"/>
      <c r="H966" s="86"/>
      <c r="I966" s="87" t="str">
        <f>IF(F966=0,"",IF(COUNTIF(F966,"Bao"),[1]Setup!$B$4,IF(COUNTIF(F966,"Soup Dumplings"),[1]Setup!$B$5,F966)))</f>
        <v/>
      </c>
      <c r="J966" s="88" t="str">
        <f t="shared" si="161"/>
        <v/>
      </c>
      <c r="K966" s="88"/>
      <c r="L966" s="87"/>
      <c r="M966" s="87"/>
      <c r="N966" s="87"/>
      <c r="O966" s="87"/>
      <c r="P966" s="89" t="str">
        <f t="shared" si="162"/>
        <v/>
      </c>
      <c r="Q966" s="89" t="str">
        <f t="shared" si="163"/>
        <v/>
      </c>
      <c r="R966" s="89" t="str">
        <f t="shared" si="164"/>
        <v/>
      </c>
      <c r="S966" s="88" t="str">
        <f>IF(F966="Bao",[1]Setup!$B$4,IF(F966="Soup Dumplings",[1]Setup!$B$5,""))</f>
        <v/>
      </c>
      <c r="T966" s="88" t="str">
        <f t="shared" si="165"/>
        <v/>
      </c>
      <c r="U966" s="84" t="str">
        <f t="shared" si="166"/>
        <v/>
      </c>
      <c r="V966" s="88">
        <f>IF(U966="",0,MAX(0,T966)+N966+ROUND(J966*[1]Setup!$B$9,0)+IF(O966&gt;[1]Setup!$B$10,ROUND(J966*[1]Setup!$B$11,0),0))</f>
        <v>0</v>
      </c>
      <c r="W966" s="85" t="str">
        <f>IF(L966="","Open",IF(OR(P966&lt;[1]Setup!$B$6,Q966&gt;[1]Setup!$B$7,R966&gt;[1]Setup!$B$8,O966&gt;[1]Setup!$B$10),"Review","OK"))</f>
        <v>Open</v>
      </c>
      <c r="X966" s="86"/>
    </row>
    <row r="967" spans="1:24" x14ac:dyDescent="0.3">
      <c r="A967" s="84"/>
      <c r="B967" s="100">
        <f t="shared" si="168"/>
        <v>0</v>
      </c>
      <c r="C967" s="84" t="str">
        <f t="shared" si="169"/>
        <v>January</v>
      </c>
      <c r="D967" s="85" t="str">
        <f t="shared" si="167"/>
        <v/>
      </c>
      <c r="E967" s="86"/>
      <c r="F967" s="86"/>
      <c r="G967" s="86"/>
      <c r="H967" s="86"/>
      <c r="I967" s="87" t="str">
        <f>IF(F967=0,"",IF(COUNTIF(F967,"Bao"),[1]Setup!$B$4,IF(COUNTIF(F967,"Soup Dumplings"),[1]Setup!$B$5,F967)))</f>
        <v/>
      </c>
      <c r="J967" s="88" t="str">
        <f t="shared" si="161"/>
        <v/>
      </c>
      <c r="K967" s="88"/>
      <c r="L967" s="87"/>
      <c r="M967" s="87"/>
      <c r="N967" s="87"/>
      <c r="O967" s="87"/>
      <c r="P967" s="89" t="str">
        <f t="shared" si="162"/>
        <v/>
      </c>
      <c r="Q967" s="89" t="str">
        <f t="shared" si="163"/>
        <v/>
      </c>
      <c r="R967" s="89" t="str">
        <f t="shared" si="164"/>
        <v/>
      </c>
      <c r="S967" s="88" t="str">
        <f>IF(F967="Bao",[1]Setup!$B$4,IF(F967="Soup Dumplings",[1]Setup!$B$5,""))</f>
        <v/>
      </c>
      <c r="T967" s="88" t="str">
        <f t="shared" si="165"/>
        <v/>
      </c>
      <c r="U967" s="84" t="str">
        <f t="shared" si="166"/>
        <v/>
      </c>
      <c r="V967" s="88">
        <f>IF(U967="",0,MAX(0,T967)+N967+ROUND(J967*[1]Setup!$B$9,0)+IF(O967&gt;[1]Setup!$B$10,ROUND(J967*[1]Setup!$B$11,0),0))</f>
        <v>0</v>
      </c>
      <c r="W967" s="85" t="str">
        <f>IF(L967="","Open",IF(OR(P967&lt;[1]Setup!$B$6,Q967&gt;[1]Setup!$B$7,R967&gt;[1]Setup!$B$8,O967&gt;[1]Setup!$B$10),"Review","OK"))</f>
        <v>Open</v>
      </c>
      <c r="X967" s="86"/>
    </row>
    <row r="968" spans="1:24" x14ac:dyDescent="0.3">
      <c r="A968" s="84"/>
      <c r="B968" s="100">
        <f t="shared" si="168"/>
        <v>0</v>
      </c>
      <c r="C968" s="84" t="str">
        <f t="shared" si="169"/>
        <v>January</v>
      </c>
      <c r="D968" s="85" t="str">
        <f t="shared" si="167"/>
        <v/>
      </c>
      <c r="E968" s="86"/>
      <c r="F968" s="86"/>
      <c r="G968" s="86"/>
      <c r="H968" s="86"/>
      <c r="I968" s="87" t="str">
        <f>IF(F968=0,"",IF(COUNTIF(F968,"Bao"),[1]Setup!$B$4,IF(COUNTIF(F968,"Soup Dumplings"),[1]Setup!$B$5,F968)))</f>
        <v/>
      </c>
      <c r="J968" s="88" t="str">
        <f t="shared" si="161"/>
        <v/>
      </c>
      <c r="K968" s="88"/>
      <c r="L968" s="87"/>
      <c r="M968" s="87"/>
      <c r="N968" s="87"/>
      <c r="O968" s="87"/>
      <c r="P968" s="89" t="str">
        <f t="shared" si="162"/>
        <v/>
      </c>
      <c r="Q968" s="89" t="str">
        <f t="shared" si="163"/>
        <v/>
      </c>
      <c r="R968" s="89" t="str">
        <f t="shared" si="164"/>
        <v/>
      </c>
      <c r="S968" s="88" t="str">
        <f>IF(F968="Bao",[1]Setup!$B$4,IF(F968="Soup Dumplings",[1]Setup!$B$5,""))</f>
        <v/>
      </c>
      <c r="T968" s="88" t="str">
        <f t="shared" si="165"/>
        <v/>
      </c>
      <c r="U968" s="84" t="str">
        <f t="shared" si="166"/>
        <v/>
      </c>
      <c r="V968" s="88">
        <f>IF(U968="",0,MAX(0,T968)+N968+ROUND(J968*[1]Setup!$B$9,0)+IF(O968&gt;[1]Setup!$B$10,ROUND(J968*[1]Setup!$B$11,0),0))</f>
        <v>0</v>
      </c>
      <c r="W968" s="85" t="str">
        <f>IF(L968="","Open",IF(OR(P968&lt;[1]Setup!$B$6,Q968&gt;[1]Setup!$B$7,R968&gt;[1]Setup!$B$8,O968&gt;[1]Setup!$B$10),"Review","OK"))</f>
        <v>Open</v>
      </c>
      <c r="X968" s="86"/>
    </row>
    <row r="969" spans="1:24" x14ac:dyDescent="0.3">
      <c r="A969" s="84"/>
      <c r="B969" s="100">
        <f t="shared" si="168"/>
        <v>0</v>
      </c>
      <c r="C969" s="84" t="str">
        <f t="shared" si="169"/>
        <v>January</v>
      </c>
      <c r="D969" s="85" t="str">
        <f t="shared" si="167"/>
        <v/>
      </c>
      <c r="E969" s="86"/>
      <c r="F969" s="86"/>
      <c r="G969" s="86"/>
      <c r="H969" s="86"/>
      <c r="I969" s="87" t="str">
        <f>IF(F969=0,"",IF(COUNTIF(F969,"Bao"),[1]Setup!$B$4,IF(COUNTIF(F969,"Soup Dumplings"),[1]Setup!$B$5,F969)))</f>
        <v/>
      </c>
      <c r="J969" s="88" t="str">
        <f t="shared" si="161"/>
        <v/>
      </c>
      <c r="K969" s="88"/>
      <c r="L969" s="87"/>
      <c r="M969" s="87"/>
      <c r="N969" s="87"/>
      <c r="O969" s="87"/>
      <c r="P969" s="89" t="str">
        <f t="shared" si="162"/>
        <v/>
      </c>
      <c r="Q969" s="89" t="str">
        <f t="shared" si="163"/>
        <v/>
      </c>
      <c r="R969" s="89" t="str">
        <f t="shared" si="164"/>
        <v/>
      </c>
      <c r="S969" s="88" t="str">
        <f>IF(F969="Bao",[1]Setup!$B$4,IF(F969="Soup Dumplings",[1]Setup!$B$5,""))</f>
        <v/>
      </c>
      <c r="T969" s="88" t="str">
        <f t="shared" si="165"/>
        <v/>
      </c>
      <c r="U969" s="84" t="str">
        <f t="shared" si="166"/>
        <v/>
      </c>
      <c r="V969" s="88">
        <f>IF(U969="",0,MAX(0,T969)+N969+ROUND(J969*[1]Setup!$B$9,0)+IF(O969&gt;[1]Setup!$B$10,ROUND(J969*[1]Setup!$B$11,0),0))</f>
        <v>0</v>
      </c>
      <c r="W969" s="85" t="str">
        <f>IF(L969="","Open",IF(OR(P969&lt;[1]Setup!$B$6,Q969&gt;[1]Setup!$B$7,R969&gt;[1]Setup!$B$8,O969&gt;[1]Setup!$B$10),"Review","OK"))</f>
        <v>Open</v>
      </c>
      <c r="X969" s="86"/>
    </row>
    <row r="970" spans="1:24" x14ac:dyDescent="0.3">
      <c r="A970" s="84"/>
      <c r="B970" s="100">
        <f t="shared" si="168"/>
        <v>0</v>
      </c>
      <c r="C970" s="84" t="str">
        <f t="shared" si="169"/>
        <v>January</v>
      </c>
      <c r="D970" s="85" t="str">
        <f t="shared" si="167"/>
        <v/>
      </c>
      <c r="E970" s="86"/>
      <c r="F970" s="86"/>
      <c r="G970" s="86"/>
      <c r="H970" s="86"/>
      <c r="I970" s="87" t="str">
        <f>IF(F970=0,"",IF(COUNTIF(F970,"Bao"),[1]Setup!$B$4,IF(COUNTIF(F970,"Soup Dumplings"),[1]Setup!$B$5,F970)))</f>
        <v/>
      </c>
      <c r="J970" s="88" t="str">
        <f t="shared" si="161"/>
        <v/>
      </c>
      <c r="K970" s="88"/>
      <c r="L970" s="87"/>
      <c r="M970" s="87"/>
      <c r="N970" s="87"/>
      <c r="O970" s="87"/>
      <c r="P970" s="89" t="str">
        <f t="shared" si="162"/>
        <v/>
      </c>
      <c r="Q970" s="89" t="str">
        <f t="shared" si="163"/>
        <v/>
      </c>
      <c r="R970" s="89" t="str">
        <f t="shared" si="164"/>
        <v/>
      </c>
      <c r="S970" s="88" t="str">
        <f>IF(F970="Bao",[1]Setup!$B$4,IF(F970="Soup Dumplings",[1]Setup!$B$5,""))</f>
        <v/>
      </c>
      <c r="T970" s="88" t="str">
        <f t="shared" si="165"/>
        <v/>
      </c>
      <c r="U970" s="84" t="str">
        <f t="shared" si="166"/>
        <v/>
      </c>
      <c r="V970" s="88">
        <f>IF(U970="",0,MAX(0,T970)+N970+ROUND(J970*[1]Setup!$B$9,0)+IF(O970&gt;[1]Setup!$B$10,ROUND(J970*[1]Setup!$B$11,0),0))</f>
        <v>0</v>
      </c>
      <c r="W970" s="85" t="str">
        <f>IF(L970="","Open",IF(OR(P970&lt;[1]Setup!$B$6,Q970&gt;[1]Setup!$B$7,R970&gt;[1]Setup!$B$8,O970&gt;[1]Setup!$B$10),"Review","OK"))</f>
        <v>Open</v>
      </c>
      <c r="X970" s="86"/>
    </row>
    <row r="971" spans="1:24" x14ac:dyDescent="0.3">
      <c r="A971" s="84"/>
      <c r="B971" s="100">
        <f t="shared" si="168"/>
        <v>0</v>
      </c>
      <c r="C971" s="84" t="str">
        <f t="shared" si="169"/>
        <v>January</v>
      </c>
      <c r="D971" s="85" t="str">
        <f t="shared" si="167"/>
        <v/>
      </c>
      <c r="E971" s="86"/>
      <c r="F971" s="86"/>
      <c r="G971" s="86"/>
      <c r="H971" s="86"/>
      <c r="I971" s="87" t="str">
        <f>IF(F971=0,"",IF(COUNTIF(F971,"Bao"),[1]Setup!$B$4,IF(COUNTIF(F971,"Soup Dumplings"),[1]Setup!$B$5,F971)))</f>
        <v/>
      </c>
      <c r="J971" s="88" t="str">
        <f t="shared" si="161"/>
        <v/>
      </c>
      <c r="K971" s="88"/>
      <c r="L971" s="87"/>
      <c r="M971" s="87"/>
      <c r="N971" s="87"/>
      <c r="O971" s="87"/>
      <c r="P971" s="89" t="str">
        <f t="shared" si="162"/>
        <v/>
      </c>
      <c r="Q971" s="89" t="str">
        <f t="shared" si="163"/>
        <v/>
      </c>
      <c r="R971" s="89" t="str">
        <f t="shared" si="164"/>
        <v/>
      </c>
      <c r="S971" s="88" t="str">
        <f>IF(F971="Bao",[1]Setup!$B$4,IF(F971="Soup Dumplings",[1]Setup!$B$5,""))</f>
        <v/>
      </c>
      <c r="T971" s="88" t="str">
        <f t="shared" si="165"/>
        <v/>
      </c>
      <c r="U971" s="84" t="str">
        <f t="shared" si="166"/>
        <v/>
      </c>
      <c r="V971" s="88">
        <f>IF(U971="",0,MAX(0,T971)+N971+ROUND(J971*[1]Setup!$B$9,0)+IF(O971&gt;[1]Setup!$B$10,ROUND(J971*[1]Setup!$B$11,0),0))</f>
        <v>0</v>
      </c>
      <c r="W971" s="85" t="str">
        <f>IF(L971="","Open",IF(OR(P971&lt;[1]Setup!$B$6,Q971&gt;[1]Setup!$B$7,R971&gt;[1]Setup!$B$8,O971&gt;[1]Setup!$B$10),"Review","OK"))</f>
        <v>Open</v>
      </c>
      <c r="X971" s="86"/>
    </row>
    <row r="972" spans="1:24" x14ac:dyDescent="0.3">
      <c r="A972" s="84"/>
      <c r="B972" s="100">
        <f t="shared" si="168"/>
        <v>0</v>
      </c>
      <c r="C972" s="84" t="str">
        <f t="shared" si="169"/>
        <v>January</v>
      </c>
      <c r="D972" s="85" t="str">
        <f t="shared" si="167"/>
        <v/>
      </c>
      <c r="E972" s="86"/>
      <c r="F972" s="86"/>
      <c r="G972" s="86"/>
      <c r="H972" s="86"/>
      <c r="I972" s="87" t="str">
        <f>IF(F972=0,"",IF(COUNTIF(F972,"Bao"),[1]Setup!$B$4,IF(COUNTIF(F972,"Soup Dumplings"),[1]Setup!$B$5,F972)))</f>
        <v/>
      </c>
      <c r="J972" s="88" t="str">
        <f t="shared" si="161"/>
        <v/>
      </c>
      <c r="K972" s="88"/>
      <c r="L972" s="87"/>
      <c r="M972" s="87"/>
      <c r="N972" s="87"/>
      <c r="O972" s="87"/>
      <c r="P972" s="89" t="str">
        <f t="shared" si="162"/>
        <v/>
      </c>
      <c r="Q972" s="89" t="str">
        <f t="shared" si="163"/>
        <v/>
      </c>
      <c r="R972" s="89" t="str">
        <f t="shared" si="164"/>
        <v/>
      </c>
      <c r="S972" s="88" t="str">
        <f>IF(F972="Bao",[1]Setup!$B$4,IF(F972="Soup Dumplings",[1]Setup!$B$5,""))</f>
        <v/>
      </c>
      <c r="T972" s="88" t="str">
        <f t="shared" si="165"/>
        <v/>
      </c>
      <c r="U972" s="84" t="str">
        <f t="shared" si="166"/>
        <v/>
      </c>
      <c r="V972" s="88">
        <f>IF(U972="",0,MAX(0,T972)+N972+ROUND(J972*[1]Setup!$B$9,0)+IF(O972&gt;[1]Setup!$B$10,ROUND(J972*[1]Setup!$B$11,0),0))</f>
        <v>0</v>
      </c>
      <c r="W972" s="85" t="str">
        <f>IF(L972="","Open",IF(OR(P972&lt;[1]Setup!$B$6,Q972&gt;[1]Setup!$B$7,R972&gt;[1]Setup!$B$8,O972&gt;[1]Setup!$B$10),"Review","OK"))</f>
        <v>Open</v>
      </c>
      <c r="X972" s="86"/>
    </row>
    <row r="973" spans="1:24" x14ac:dyDescent="0.3">
      <c r="A973" s="84"/>
      <c r="B973" s="100">
        <f t="shared" si="168"/>
        <v>0</v>
      </c>
      <c r="C973" s="84" t="str">
        <f t="shared" si="169"/>
        <v>January</v>
      </c>
      <c r="D973" s="85" t="str">
        <f t="shared" si="167"/>
        <v/>
      </c>
      <c r="E973" s="86"/>
      <c r="F973" s="86"/>
      <c r="G973" s="86"/>
      <c r="H973" s="86"/>
      <c r="I973" s="87" t="str">
        <f>IF(F973=0,"",IF(COUNTIF(F973,"Bao"),[1]Setup!$B$4,IF(COUNTIF(F973,"Soup Dumplings"),[1]Setup!$B$5,F973)))</f>
        <v/>
      </c>
      <c r="J973" s="88" t="str">
        <f t="shared" si="161"/>
        <v/>
      </c>
      <c r="K973" s="88"/>
      <c r="L973" s="87"/>
      <c r="M973" s="87"/>
      <c r="N973" s="87"/>
      <c r="O973" s="87"/>
      <c r="P973" s="89" t="str">
        <f t="shared" si="162"/>
        <v/>
      </c>
      <c r="Q973" s="89" t="str">
        <f t="shared" si="163"/>
        <v/>
      </c>
      <c r="R973" s="89" t="str">
        <f t="shared" si="164"/>
        <v/>
      </c>
      <c r="S973" s="88" t="str">
        <f>IF(F973="Bao",[1]Setup!$B$4,IF(F973="Soup Dumplings",[1]Setup!$B$5,""))</f>
        <v/>
      </c>
      <c r="T973" s="88" t="str">
        <f t="shared" si="165"/>
        <v/>
      </c>
      <c r="U973" s="84" t="str">
        <f t="shared" si="166"/>
        <v/>
      </c>
      <c r="V973" s="88">
        <f>IF(U973="",0,MAX(0,T973)+N973+ROUND(J973*[1]Setup!$B$9,0)+IF(O973&gt;[1]Setup!$B$10,ROUND(J973*[1]Setup!$B$11,0),0))</f>
        <v>0</v>
      </c>
      <c r="W973" s="85" t="str">
        <f>IF(L973="","Open",IF(OR(P973&lt;[1]Setup!$B$6,Q973&gt;[1]Setup!$B$7,R973&gt;[1]Setup!$B$8,O973&gt;[1]Setup!$B$10),"Review","OK"))</f>
        <v>Open</v>
      </c>
      <c r="X973" s="86"/>
    </row>
    <row r="974" spans="1:24" x14ac:dyDescent="0.3">
      <c r="A974" s="84"/>
      <c r="B974" s="100">
        <f t="shared" si="168"/>
        <v>0</v>
      </c>
      <c r="C974" s="84" t="str">
        <f t="shared" si="169"/>
        <v>January</v>
      </c>
      <c r="D974" s="85" t="str">
        <f t="shared" si="167"/>
        <v/>
      </c>
      <c r="E974" s="86"/>
      <c r="F974" s="86"/>
      <c r="G974" s="86"/>
      <c r="H974" s="86"/>
      <c r="I974" s="87" t="str">
        <f>IF(F974=0,"",IF(COUNTIF(F974,"Bao"),[1]Setup!$B$4,IF(COUNTIF(F974,"Soup Dumplings"),[1]Setup!$B$5,F974)))</f>
        <v/>
      </c>
      <c r="J974" s="88" t="str">
        <f t="shared" si="161"/>
        <v/>
      </c>
      <c r="K974" s="88"/>
      <c r="L974" s="87"/>
      <c r="M974" s="87"/>
      <c r="N974" s="87"/>
      <c r="O974" s="87"/>
      <c r="P974" s="89" t="str">
        <f t="shared" si="162"/>
        <v/>
      </c>
      <c r="Q974" s="89" t="str">
        <f t="shared" si="163"/>
        <v/>
      </c>
      <c r="R974" s="89" t="str">
        <f t="shared" si="164"/>
        <v/>
      </c>
      <c r="S974" s="88" t="str">
        <f>IF(F974="Bao",[1]Setup!$B$4,IF(F974="Soup Dumplings",[1]Setup!$B$5,""))</f>
        <v/>
      </c>
      <c r="T974" s="88" t="str">
        <f t="shared" si="165"/>
        <v/>
      </c>
      <c r="U974" s="84" t="str">
        <f t="shared" si="166"/>
        <v/>
      </c>
      <c r="V974" s="88">
        <f>IF(U974="",0,MAX(0,T974)+N974+ROUND(J974*[1]Setup!$B$9,0)+IF(O974&gt;[1]Setup!$B$10,ROUND(J974*[1]Setup!$B$11,0),0))</f>
        <v>0</v>
      </c>
      <c r="W974" s="85" t="str">
        <f>IF(L974="","Open",IF(OR(P974&lt;[1]Setup!$B$6,Q974&gt;[1]Setup!$B$7,R974&gt;[1]Setup!$B$8,O974&gt;[1]Setup!$B$10),"Review","OK"))</f>
        <v>Open</v>
      </c>
      <c r="X974" s="86"/>
    </row>
    <row r="975" spans="1:24" x14ac:dyDescent="0.3">
      <c r="A975" s="84"/>
      <c r="B975" s="100">
        <f t="shared" si="168"/>
        <v>0</v>
      </c>
      <c r="C975" s="84" t="str">
        <f t="shared" si="169"/>
        <v>January</v>
      </c>
      <c r="D975" s="85" t="str">
        <f t="shared" si="167"/>
        <v/>
      </c>
      <c r="E975" s="86"/>
      <c r="F975" s="86"/>
      <c r="G975" s="86"/>
      <c r="H975" s="86"/>
      <c r="I975" s="87" t="str">
        <f>IF(F975=0,"",IF(COUNTIF(F975,"Bao"),[1]Setup!$B$4,IF(COUNTIF(F975,"Soup Dumplings"),[1]Setup!$B$5,F975)))</f>
        <v/>
      </c>
      <c r="J975" s="88" t="str">
        <f t="shared" si="161"/>
        <v/>
      </c>
      <c r="K975" s="88"/>
      <c r="L975" s="87"/>
      <c r="M975" s="87"/>
      <c r="N975" s="87"/>
      <c r="O975" s="87"/>
      <c r="P975" s="89" t="str">
        <f t="shared" si="162"/>
        <v/>
      </c>
      <c r="Q975" s="89" t="str">
        <f t="shared" si="163"/>
        <v/>
      </c>
      <c r="R975" s="89" t="str">
        <f t="shared" si="164"/>
        <v/>
      </c>
      <c r="S975" s="88" t="str">
        <f>IF(F975="Bao",[1]Setup!$B$4,IF(F975="Soup Dumplings",[1]Setup!$B$5,""))</f>
        <v/>
      </c>
      <c r="T975" s="88" t="str">
        <f t="shared" si="165"/>
        <v/>
      </c>
      <c r="U975" s="84" t="str">
        <f t="shared" si="166"/>
        <v/>
      </c>
      <c r="V975" s="88">
        <f>IF(U975="",0,MAX(0,T975)+N975+ROUND(J975*[1]Setup!$B$9,0)+IF(O975&gt;[1]Setup!$B$10,ROUND(J975*[1]Setup!$B$11,0),0))</f>
        <v>0</v>
      </c>
      <c r="W975" s="85" t="str">
        <f>IF(L975="","Open",IF(OR(P975&lt;[1]Setup!$B$6,Q975&gt;[1]Setup!$B$7,R975&gt;[1]Setup!$B$8,O975&gt;[1]Setup!$B$10),"Review","OK"))</f>
        <v>Open</v>
      </c>
      <c r="X975" s="86"/>
    </row>
    <row r="976" spans="1:24" x14ac:dyDescent="0.3">
      <c r="A976" s="84"/>
      <c r="B976" s="100">
        <f t="shared" si="168"/>
        <v>0</v>
      </c>
      <c r="C976" s="84" t="str">
        <f t="shared" si="169"/>
        <v>January</v>
      </c>
      <c r="D976" s="85" t="str">
        <f t="shared" si="167"/>
        <v/>
      </c>
      <c r="E976" s="86"/>
      <c r="F976" s="86"/>
      <c r="G976" s="86"/>
      <c r="H976" s="86"/>
      <c r="I976" s="87" t="str">
        <f>IF(F976=0,"",IF(COUNTIF(F976,"Bao"),[1]Setup!$B$4,IF(COUNTIF(F976,"Soup Dumplings"),[1]Setup!$B$5,F976)))</f>
        <v/>
      </c>
      <c r="J976" s="88" t="str">
        <f t="shared" si="161"/>
        <v/>
      </c>
      <c r="K976" s="88"/>
      <c r="L976" s="87"/>
      <c r="M976" s="87"/>
      <c r="N976" s="87"/>
      <c r="O976" s="87"/>
      <c r="P976" s="89" t="str">
        <f t="shared" si="162"/>
        <v/>
      </c>
      <c r="Q976" s="89" t="str">
        <f t="shared" si="163"/>
        <v/>
      </c>
      <c r="R976" s="89" t="str">
        <f t="shared" si="164"/>
        <v/>
      </c>
      <c r="S976" s="88" t="str">
        <f>IF(F976="Bao",[1]Setup!$B$4,IF(F976="Soup Dumplings",[1]Setup!$B$5,""))</f>
        <v/>
      </c>
      <c r="T976" s="88" t="str">
        <f t="shared" si="165"/>
        <v/>
      </c>
      <c r="U976" s="84" t="str">
        <f t="shared" si="166"/>
        <v/>
      </c>
      <c r="V976" s="88">
        <f>IF(U976="",0,MAX(0,T976)+N976+ROUND(J976*[1]Setup!$B$9,0)+IF(O976&gt;[1]Setup!$B$10,ROUND(J976*[1]Setup!$B$11,0),0))</f>
        <v>0</v>
      </c>
      <c r="W976" s="85" t="str">
        <f>IF(L976="","Open",IF(OR(P976&lt;[1]Setup!$B$6,Q976&gt;[1]Setup!$B$7,R976&gt;[1]Setup!$B$8,O976&gt;[1]Setup!$B$10),"Review","OK"))</f>
        <v>Open</v>
      </c>
      <c r="X976" s="86"/>
    </row>
    <row r="977" spans="1:24" x14ac:dyDescent="0.3">
      <c r="A977" s="84"/>
      <c r="B977" s="100">
        <f t="shared" si="168"/>
        <v>0</v>
      </c>
      <c r="C977" s="84" t="str">
        <f t="shared" si="169"/>
        <v>January</v>
      </c>
      <c r="D977" s="85" t="str">
        <f t="shared" si="167"/>
        <v/>
      </c>
      <c r="E977" s="86"/>
      <c r="F977" s="86"/>
      <c r="G977" s="86"/>
      <c r="H977" s="86"/>
      <c r="I977" s="87" t="str">
        <f>IF(F977=0,"",IF(COUNTIF(F977,"Bao"),[1]Setup!$B$4,IF(COUNTIF(F977,"Soup Dumplings"),[1]Setup!$B$5,F977)))</f>
        <v/>
      </c>
      <c r="J977" s="88" t="str">
        <f t="shared" si="161"/>
        <v/>
      </c>
      <c r="K977" s="88"/>
      <c r="L977" s="87"/>
      <c r="M977" s="87"/>
      <c r="N977" s="87"/>
      <c r="O977" s="87"/>
      <c r="P977" s="89" t="str">
        <f t="shared" si="162"/>
        <v/>
      </c>
      <c r="Q977" s="89" t="str">
        <f t="shared" si="163"/>
        <v/>
      </c>
      <c r="R977" s="89" t="str">
        <f t="shared" si="164"/>
        <v/>
      </c>
      <c r="S977" s="88" t="str">
        <f>IF(F977="Bao",[1]Setup!$B$4,IF(F977="Soup Dumplings",[1]Setup!$B$5,""))</f>
        <v/>
      </c>
      <c r="T977" s="88" t="str">
        <f t="shared" si="165"/>
        <v/>
      </c>
      <c r="U977" s="84" t="str">
        <f t="shared" si="166"/>
        <v/>
      </c>
      <c r="V977" s="88">
        <f>IF(U977="",0,MAX(0,T977)+N977+ROUND(J977*[1]Setup!$B$9,0)+IF(O977&gt;[1]Setup!$B$10,ROUND(J977*[1]Setup!$B$11,0),0))</f>
        <v>0</v>
      </c>
      <c r="W977" s="85" t="str">
        <f>IF(L977="","Open",IF(OR(P977&lt;[1]Setup!$B$6,Q977&gt;[1]Setup!$B$7,R977&gt;[1]Setup!$B$8,O977&gt;[1]Setup!$B$10),"Review","OK"))</f>
        <v>Open</v>
      </c>
      <c r="X977" s="86"/>
    </row>
    <row r="978" spans="1:24" x14ac:dyDescent="0.3">
      <c r="A978" s="84"/>
      <c r="B978" s="100">
        <f t="shared" si="168"/>
        <v>0</v>
      </c>
      <c r="C978" s="84" t="str">
        <f t="shared" si="169"/>
        <v>January</v>
      </c>
      <c r="D978" s="85" t="str">
        <f t="shared" si="167"/>
        <v/>
      </c>
      <c r="E978" s="86"/>
      <c r="F978" s="86"/>
      <c r="G978" s="86"/>
      <c r="H978" s="86"/>
      <c r="I978" s="87" t="str">
        <f>IF(F978=0,"",IF(COUNTIF(F978,"Bao"),[1]Setup!$B$4,IF(COUNTIF(F978,"Soup Dumplings"),[1]Setup!$B$5,F978)))</f>
        <v/>
      </c>
      <c r="J978" s="88" t="str">
        <f t="shared" si="161"/>
        <v/>
      </c>
      <c r="K978" s="88"/>
      <c r="L978" s="87"/>
      <c r="M978" s="87"/>
      <c r="N978" s="87"/>
      <c r="O978" s="87"/>
      <c r="P978" s="89" t="str">
        <f t="shared" si="162"/>
        <v/>
      </c>
      <c r="Q978" s="89" t="str">
        <f t="shared" si="163"/>
        <v/>
      </c>
      <c r="R978" s="89" t="str">
        <f t="shared" si="164"/>
        <v/>
      </c>
      <c r="S978" s="88" t="str">
        <f>IF(F978="Bao",[1]Setup!$B$4,IF(F978="Soup Dumplings",[1]Setup!$B$5,""))</f>
        <v/>
      </c>
      <c r="T978" s="88" t="str">
        <f t="shared" si="165"/>
        <v/>
      </c>
      <c r="U978" s="84" t="str">
        <f t="shared" si="166"/>
        <v/>
      </c>
      <c r="V978" s="88">
        <f>IF(U978="",0,MAX(0,T978)+N978+ROUND(J978*[1]Setup!$B$9,0)+IF(O978&gt;[1]Setup!$B$10,ROUND(J978*[1]Setup!$B$11,0),0))</f>
        <v>0</v>
      </c>
      <c r="W978" s="85" t="str">
        <f>IF(L978="","Open",IF(OR(P978&lt;[1]Setup!$B$6,Q978&gt;[1]Setup!$B$7,R978&gt;[1]Setup!$B$8,O978&gt;[1]Setup!$B$10),"Review","OK"))</f>
        <v>Open</v>
      </c>
      <c r="X978" s="86"/>
    </row>
    <row r="979" spans="1:24" x14ac:dyDescent="0.3">
      <c r="A979" s="84"/>
      <c r="B979" s="100">
        <f t="shared" si="168"/>
        <v>0</v>
      </c>
      <c r="C979" s="84" t="str">
        <f t="shared" si="169"/>
        <v>January</v>
      </c>
      <c r="D979" s="85" t="str">
        <f t="shared" si="167"/>
        <v/>
      </c>
      <c r="E979" s="86"/>
      <c r="F979" s="86"/>
      <c r="G979" s="86"/>
      <c r="H979" s="86"/>
      <c r="I979" s="87" t="str">
        <f>IF(F979=0,"",IF(COUNTIF(F979,"Bao"),[1]Setup!$B$4,IF(COUNTIF(F979,"Soup Dumplings"),[1]Setup!$B$5,F979)))</f>
        <v/>
      </c>
      <c r="J979" s="88" t="str">
        <f t="shared" si="161"/>
        <v/>
      </c>
      <c r="K979" s="88"/>
      <c r="L979" s="87"/>
      <c r="M979" s="87"/>
      <c r="N979" s="87"/>
      <c r="O979" s="87"/>
      <c r="P979" s="89" t="str">
        <f t="shared" si="162"/>
        <v/>
      </c>
      <c r="Q979" s="89" t="str">
        <f t="shared" si="163"/>
        <v/>
      </c>
      <c r="R979" s="89" t="str">
        <f t="shared" si="164"/>
        <v/>
      </c>
      <c r="S979" s="88" t="str">
        <f>IF(F979="Bao",[1]Setup!$B$4,IF(F979="Soup Dumplings",[1]Setup!$B$5,""))</f>
        <v/>
      </c>
      <c r="T979" s="88" t="str">
        <f t="shared" si="165"/>
        <v/>
      </c>
      <c r="U979" s="84" t="str">
        <f t="shared" si="166"/>
        <v/>
      </c>
      <c r="V979" s="88">
        <f>IF(U979="",0,MAX(0,T979)+N979+ROUND(J979*[1]Setup!$B$9,0)+IF(O979&gt;[1]Setup!$B$10,ROUND(J979*[1]Setup!$B$11,0),0))</f>
        <v>0</v>
      </c>
      <c r="W979" s="85" t="str">
        <f>IF(L979="","Open",IF(OR(P979&lt;[1]Setup!$B$6,Q979&gt;[1]Setup!$B$7,R979&gt;[1]Setup!$B$8,O979&gt;[1]Setup!$B$10),"Review","OK"))</f>
        <v>Open</v>
      </c>
      <c r="X979" s="86"/>
    </row>
    <row r="980" spans="1:24" x14ac:dyDescent="0.3">
      <c r="A980" s="84"/>
      <c r="B980" s="100">
        <f t="shared" si="168"/>
        <v>0</v>
      </c>
      <c r="C980" s="84" t="str">
        <f t="shared" si="169"/>
        <v>January</v>
      </c>
      <c r="D980" s="85" t="str">
        <f t="shared" si="167"/>
        <v/>
      </c>
      <c r="E980" s="86"/>
      <c r="F980" s="86"/>
      <c r="G980" s="86"/>
      <c r="H980" s="86"/>
      <c r="I980" s="87" t="str">
        <f>IF(F980=0,"",IF(COUNTIF(F980,"Bao"),[1]Setup!$B$4,IF(COUNTIF(F980,"Soup Dumplings"),[1]Setup!$B$5,F980)))</f>
        <v/>
      </c>
      <c r="J980" s="88" t="str">
        <f t="shared" si="161"/>
        <v/>
      </c>
      <c r="K980" s="88"/>
      <c r="L980" s="87"/>
      <c r="M980" s="87"/>
      <c r="N980" s="87"/>
      <c r="O980" s="87"/>
      <c r="P980" s="89" t="str">
        <f t="shared" si="162"/>
        <v/>
      </c>
      <c r="Q980" s="89" t="str">
        <f t="shared" si="163"/>
        <v/>
      </c>
      <c r="R980" s="89" t="str">
        <f t="shared" si="164"/>
        <v/>
      </c>
      <c r="S980" s="88" t="str">
        <f>IF(F980="Bao",[1]Setup!$B$4,IF(F980="Soup Dumplings",[1]Setup!$B$5,""))</f>
        <v/>
      </c>
      <c r="T980" s="88" t="str">
        <f t="shared" si="165"/>
        <v/>
      </c>
      <c r="U980" s="84" t="str">
        <f t="shared" si="166"/>
        <v/>
      </c>
      <c r="V980" s="88">
        <f>IF(U980="",0,MAX(0,T980)+N980+ROUND(J980*[1]Setup!$B$9,0)+IF(O980&gt;[1]Setup!$B$10,ROUND(J980*[1]Setup!$B$11,0),0))</f>
        <v>0</v>
      </c>
      <c r="W980" s="85" t="str">
        <f>IF(L980="","Open",IF(OR(P980&lt;[1]Setup!$B$6,Q980&gt;[1]Setup!$B$7,R980&gt;[1]Setup!$B$8,O980&gt;[1]Setup!$B$10),"Review","OK"))</f>
        <v>Open</v>
      </c>
      <c r="X980" s="86"/>
    </row>
    <row r="981" spans="1:24" x14ac:dyDescent="0.3">
      <c r="A981" s="84"/>
      <c r="B981" s="100">
        <f t="shared" si="168"/>
        <v>0</v>
      </c>
      <c r="C981" s="84" t="str">
        <f t="shared" si="169"/>
        <v>January</v>
      </c>
      <c r="D981" s="85" t="str">
        <f t="shared" si="167"/>
        <v/>
      </c>
      <c r="E981" s="86"/>
      <c r="F981" s="86"/>
      <c r="G981" s="86"/>
      <c r="H981" s="86"/>
      <c r="I981" s="87" t="str">
        <f>IF(F981=0,"",IF(COUNTIF(F981,"Bao"),[1]Setup!$B$4,IF(COUNTIF(F981,"Soup Dumplings"),[1]Setup!$B$5,F981)))</f>
        <v/>
      </c>
      <c r="J981" s="88" t="str">
        <f t="shared" si="161"/>
        <v/>
      </c>
      <c r="K981" s="88"/>
      <c r="L981" s="87"/>
      <c r="M981" s="87"/>
      <c r="N981" s="87"/>
      <c r="O981" s="87"/>
      <c r="P981" s="89" t="str">
        <f t="shared" si="162"/>
        <v/>
      </c>
      <c r="Q981" s="89" t="str">
        <f t="shared" si="163"/>
        <v/>
      </c>
      <c r="R981" s="89" t="str">
        <f t="shared" si="164"/>
        <v/>
      </c>
      <c r="S981" s="88" t="str">
        <f>IF(F981="Bao",[1]Setup!$B$4,IF(F981="Soup Dumplings",[1]Setup!$B$5,""))</f>
        <v/>
      </c>
      <c r="T981" s="88" t="str">
        <f t="shared" si="165"/>
        <v/>
      </c>
      <c r="U981" s="84" t="str">
        <f t="shared" si="166"/>
        <v/>
      </c>
      <c r="V981" s="88">
        <f>IF(U981="",0,MAX(0,T981)+N981+ROUND(J981*[1]Setup!$B$9,0)+IF(O981&gt;[1]Setup!$B$10,ROUND(J981*[1]Setup!$B$11,0),0))</f>
        <v>0</v>
      </c>
      <c r="W981" s="85" t="str">
        <f>IF(L981="","Open",IF(OR(P981&lt;[1]Setup!$B$6,Q981&gt;[1]Setup!$B$7,R981&gt;[1]Setup!$B$8,O981&gt;[1]Setup!$B$10),"Review","OK"))</f>
        <v>Open</v>
      </c>
      <c r="X981" s="86"/>
    </row>
    <row r="982" spans="1:24" x14ac:dyDescent="0.3">
      <c r="A982" s="84"/>
      <c r="B982" s="100">
        <f t="shared" si="168"/>
        <v>0</v>
      </c>
      <c r="C982" s="84" t="str">
        <f t="shared" si="169"/>
        <v>January</v>
      </c>
      <c r="D982" s="85" t="str">
        <f t="shared" si="167"/>
        <v/>
      </c>
      <c r="E982" s="86"/>
      <c r="F982" s="86"/>
      <c r="G982" s="86"/>
      <c r="H982" s="86"/>
      <c r="I982" s="87" t="str">
        <f>IF(F982=0,"",IF(COUNTIF(F982,"Bao"),[1]Setup!$B$4,IF(COUNTIF(F982,"Soup Dumplings"),[1]Setup!$B$5,F982)))</f>
        <v/>
      </c>
      <c r="J982" s="88" t="str">
        <f t="shared" si="161"/>
        <v/>
      </c>
      <c r="K982" s="88"/>
      <c r="L982" s="87"/>
      <c r="M982" s="87"/>
      <c r="N982" s="87"/>
      <c r="O982" s="87"/>
      <c r="P982" s="89" t="str">
        <f t="shared" si="162"/>
        <v/>
      </c>
      <c r="Q982" s="89" t="str">
        <f t="shared" si="163"/>
        <v/>
      </c>
      <c r="R982" s="89" t="str">
        <f t="shared" si="164"/>
        <v/>
      </c>
      <c r="S982" s="88" t="str">
        <f>IF(F982="Bao",[1]Setup!$B$4,IF(F982="Soup Dumplings",[1]Setup!$B$5,""))</f>
        <v/>
      </c>
      <c r="T982" s="88" t="str">
        <f t="shared" si="165"/>
        <v/>
      </c>
      <c r="U982" s="84" t="str">
        <f t="shared" si="166"/>
        <v/>
      </c>
      <c r="V982" s="88">
        <f>IF(U982="",0,MAX(0,T982)+N982+ROUND(J982*[1]Setup!$B$9,0)+IF(O982&gt;[1]Setup!$B$10,ROUND(J982*[1]Setup!$B$11,0),0))</f>
        <v>0</v>
      </c>
      <c r="W982" s="85" t="str">
        <f>IF(L982="","Open",IF(OR(P982&lt;[1]Setup!$B$6,Q982&gt;[1]Setup!$B$7,R982&gt;[1]Setup!$B$8,O982&gt;[1]Setup!$B$10),"Review","OK"))</f>
        <v>Open</v>
      </c>
      <c r="X982" s="86"/>
    </row>
    <row r="983" spans="1:24" x14ac:dyDescent="0.3">
      <c r="A983" s="84"/>
      <c r="B983" s="100">
        <f t="shared" si="168"/>
        <v>0</v>
      </c>
      <c r="C983" s="84" t="str">
        <f t="shared" si="169"/>
        <v>January</v>
      </c>
      <c r="D983" s="85" t="str">
        <f t="shared" si="167"/>
        <v/>
      </c>
      <c r="E983" s="86"/>
      <c r="F983" s="86"/>
      <c r="G983" s="86"/>
      <c r="H983" s="86"/>
      <c r="I983" s="87" t="str">
        <f>IF(F983=0,"",IF(COUNTIF(F983,"Bao"),[1]Setup!$B$4,IF(COUNTIF(F983,"Soup Dumplings"),[1]Setup!$B$5,F983)))</f>
        <v/>
      </c>
      <c r="J983" s="88" t="str">
        <f t="shared" si="161"/>
        <v/>
      </c>
      <c r="K983" s="88"/>
      <c r="L983" s="87"/>
      <c r="M983" s="87"/>
      <c r="N983" s="87"/>
      <c r="O983" s="87"/>
      <c r="P983" s="89" t="str">
        <f t="shared" si="162"/>
        <v/>
      </c>
      <c r="Q983" s="89" t="str">
        <f t="shared" si="163"/>
        <v/>
      </c>
      <c r="R983" s="89" t="str">
        <f t="shared" si="164"/>
        <v/>
      </c>
      <c r="S983" s="88" t="str">
        <f>IF(F983="Bao",[1]Setup!$B$4,IF(F983="Soup Dumplings",[1]Setup!$B$5,""))</f>
        <v/>
      </c>
      <c r="T983" s="88" t="str">
        <f t="shared" si="165"/>
        <v/>
      </c>
      <c r="U983" s="84" t="str">
        <f t="shared" si="166"/>
        <v/>
      </c>
      <c r="V983" s="88">
        <f>IF(U983="",0,MAX(0,T983)+N983+ROUND(J983*[1]Setup!$B$9,0)+IF(O983&gt;[1]Setup!$B$10,ROUND(J983*[1]Setup!$B$11,0),0))</f>
        <v>0</v>
      </c>
      <c r="W983" s="85" t="str">
        <f>IF(L983="","Open",IF(OR(P983&lt;[1]Setup!$B$6,Q983&gt;[1]Setup!$B$7,R983&gt;[1]Setup!$B$8,O983&gt;[1]Setup!$B$10),"Review","OK"))</f>
        <v>Open</v>
      </c>
      <c r="X983" s="86"/>
    </row>
    <row r="984" spans="1:24" x14ac:dyDescent="0.3">
      <c r="A984" s="84"/>
      <c r="B984" s="100">
        <f t="shared" si="168"/>
        <v>0</v>
      </c>
      <c r="C984" s="84" t="str">
        <f t="shared" si="169"/>
        <v>January</v>
      </c>
      <c r="D984" s="85" t="str">
        <f t="shared" si="167"/>
        <v/>
      </c>
      <c r="E984" s="86"/>
      <c r="F984" s="86"/>
      <c r="G984" s="86"/>
      <c r="H984" s="86"/>
      <c r="I984" s="87" t="str">
        <f>IF(F984=0,"",IF(COUNTIF(F984,"Bao"),[1]Setup!$B$4,IF(COUNTIF(F984,"Soup Dumplings"),[1]Setup!$B$5,F984)))</f>
        <v/>
      </c>
      <c r="J984" s="88" t="str">
        <f t="shared" si="161"/>
        <v/>
      </c>
      <c r="K984" s="88"/>
      <c r="L984" s="87"/>
      <c r="M984" s="87"/>
      <c r="N984" s="87"/>
      <c r="O984" s="87"/>
      <c r="P984" s="89" t="str">
        <f t="shared" si="162"/>
        <v/>
      </c>
      <c r="Q984" s="89" t="str">
        <f t="shared" si="163"/>
        <v/>
      </c>
      <c r="R984" s="89" t="str">
        <f t="shared" si="164"/>
        <v/>
      </c>
      <c r="S984" s="88" t="str">
        <f>IF(F984="Bao",[1]Setup!$B$4,IF(F984="Soup Dumplings",[1]Setup!$B$5,""))</f>
        <v/>
      </c>
      <c r="T984" s="88" t="str">
        <f t="shared" si="165"/>
        <v/>
      </c>
      <c r="U984" s="84" t="str">
        <f t="shared" si="166"/>
        <v/>
      </c>
      <c r="V984" s="88">
        <f>IF(U984="",0,MAX(0,T984)+N984+ROUND(J984*[1]Setup!$B$9,0)+IF(O984&gt;[1]Setup!$B$10,ROUND(J984*[1]Setup!$B$11,0),0))</f>
        <v>0</v>
      </c>
      <c r="W984" s="85" t="str">
        <f>IF(L984="","Open",IF(OR(P984&lt;[1]Setup!$B$6,Q984&gt;[1]Setup!$B$7,R984&gt;[1]Setup!$B$8,O984&gt;[1]Setup!$B$10),"Review","OK"))</f>
        <v>Open</v>
      </c>
      <c r="X984" s="86"/>
    </row>
    <row r="985" spans="1:24" x14ac:dyDescent="0.3">
      <c r="A985" s="84"/>
      <c r="B985" s="100">
        <f t="shared" si="168"/>
        <v>0</v>
      </c>
      <c r="C985" s="84" t="str">
        <f t="shared" si="169"/>
        <v>January</v>
      </c>
      <c r="D985" s="85" t="str">
        <f t="shared" si="167"/>
        <v/>
      </c>
      <c r="E985" s="86"/>
      <c r="F985" s="86"/>
      <c r="G985" s="86"/>
      <c r="H985" s="86"/>
      <c r="I985" s="87" t="str">
        <f>IF(F985=0,"",IF(COUNTIF(F985,"Bao"),[1]Setup!$B$4,IF(COUNTIF(F985,"Soup Dumplings"),[1]Setup!$B$5,F985)))</f>
        <v/>
      </c>
      <c r="J985" s="88" t="str">
        <f t="shared" si="161"/>
        <v/>
      </c>
      <c r="K985" s="88"/>
      <c r="L985" s="87"/>
      <c r="M985" s="87"/>
      <c r="N985" s="87"/>
      <c r="O985" s="87"/>
      <c r="P985" s="89" t="str">
        <f t="shared" si="162"/>
        <v/>
      </c>
      <c r="Q985" s="89" t="str">
        <f t="shared" si="163"/>
        <v/>
      </c>
      <c r="R985" s="89" t="str">
        <f t="shared" si="164"/>
        <v/>
      </c>
      <c r="S985" s="88" t="str">
        <f>IF(F985="Bao",[1]Setup!$B$4,IF(F985="Soup Dumplings",[1]Setup!$B$5,""))</f>
        <v/>
      </c>
      <c r="T985" s="88" t="str">
        <f t="shared" si="165"/>
        <v/>
      </c>
      <c r="U985" s="84" t="str">
        <f t="shared" si="166"/>
        <v/>
      </c>
      <c r="V985" s="88">
        <f>IF(U985="",0,MAX(0,T985)+N985+ROUND(J985*[1]Setup!$B$9,0)+IF(O985&gt;[1]Setup!$B$10,ROUND(J985*[1]Setup!$B$11,0),0))</f>
        <v>0</v>
      </c>
      <c r="W985" s="85" t="str">
        <f>IF(L985="","Open",IF(OR(P985&lt;[1]Setup!$B$6,Q985&gt;[1]Setup!$B$7,R985&gt;[1]Setup!$B$8,O985&gt;[1]Setup!$B$10),"Review","OK"))</f>
        <v>Open</v>
      </c>
      <c r="X985" s="86"/>
    </row>
    <row r="986" spans="1:24" x14ac:dyDescent="0.3">
      <c r="A986" s="84"/>
      <c r="B986" s="100">
        <f t="shared" si="168"/>
        <v>0</v>
      </c>
      <c r="C986" s="84" t="str">
        <f t="shared" si="169"/>
        <v>January</v>
      </c>
      <c r="D986" s="85" t="str">
        <f t="shared" si="167"/>
        <v/>
      </c>
      <c r="E986" s="86"/>
      <c r="F986" s="86"/>
      <c r="G986" s="86"/>
      <c r="H986" s="86"/>
      <c r="I986" s="87" t="str">
        <f>IF(F986=0,"",IF(COUNTIF(F986,"Bao"),[1]Setup!$B$4,IF(COUNTIF(F986,"Soup Dumplings"),[1]Setup!$B$5,F986)))</f>
        <v/>
      </c>
      <c r="J986" s="88" t="str">
        <f t="shared" si="161"/>
        <v/>
      </c>
      <c r="K986" s="88"/>
      <c r="L986" s="87"/>
      <c r="M986" s="87"/>
      <c r="N986" s="87"/>
      <c r="O986" s="87"/>
      <c r="P986" s="89" t="str">
        <f t="shared" si="162"/>
        <v/>
      </c>
      <c r="Q986" s="89" t="str">
        <f t="shared" si="163"/>
        <v/>
      </c>
      <c r="R986" s="89" t="str">
        <f t="shared" si="164"/>
        <v/>
      </c>
      <c r="S986" s="88" t="str">
        <f>IF(F986="Bao",[1]Setup!$B$4,IF(F986="Soup Dumplings",[1]Setup!$B$5,""))</f>
        <v/>
      </c>
      <c r="T986" s="88" t="str">
        <f t="shared" si="165"/>
        <v/>
      </c>
      <c r="U986" s="84" t="str">
        <f t="shared" si="166"/>
        <v/>
      </c>
      <c r="V986" s="88">
        <f>IF(U986="",0,MAX(0,T986)+N986+ROUND(J986*[1]Setup!$B$9,0)+IF(O986&gt;[1]Setup!$B$10,ROUND(J986*[1]Setup!$B$11,0),0))</f>
        <v>0</v>
      </c>
      <c r="W986" s="85" t="str">
        <f>IF(L986="","Open",IF(OR(P986&lt;[1]Setup!$B$6,Q986&gt;[1]Setup!$B$7,R986&gt;[1]Setup!$B$8,O986&gt;[1]Setup!$B$10),"Review","OK"))</f>
        <v>Open</v>
      </c>
      <c r="X986" s="86"/>
    </row>
    <row r="987" spans="1:24" x14ac:dyDescent="0.3">
      <c r="A987" s="84"/>
      <c r="B987" s="100">
        <f t="shared" si="168"/>
        <v>0</v>
      </c>
      <c r="C987" s="84" t="str">
        <f t="shared" si="169"/>
        <v>January</v>
      </c>
      <c r="D987" s="85" t="str">
        <f t="shared" si="167"/>
        <v/>
      </c>
      <c r="E987" s="86"/>
      <c r="F987" s="86"/>
      <c r="G987" s="86"/>
      <c r="H987" s="86"/>
      <c r="I987" s="87" t="str">
        <f>IF(F987=0,"",IF(COUNTIF(F987,"Bao"),[1]Setup!$B$4,IF(COUNTIF(F987,"Soup Dumplings"),[1]Setup!$B$5,F987)))</f>
        <v/>
      </c>
      <c r="J987" s="88" t="str">
        <f t="shared" si="161"/>
        <v/>
      </c>
      <c r="K987" s="88"/>
      <c r="L987" s="87"/>
      <c r="M987" s="87"/>
      <c r="N987" s="87"/>
      <c r="O987" s="87"/>
      <c r="P987" s="89" t="str">
        <f t="shared" si="162"/>
        <v/>
      </c>
      <c r="Q987" s="89" t="str">
        <f t="shared" si="163"/>
        <v/>
      </c>
      <c r="R987" s="89" t="str">
        <f t="shared" si="164"/>
        <v/>
      </c>
      <c r="S987" s="88" t="str">
        <f>IF(F987="Bao",[1]Setup!$B$4,IF(F987="Soup Dumplings",[1]Setup!$B$5,""))</f>
        <v/>
      </c>
      <c r="T987" s="88" t="str">
        <f t="shared" si="165"/>
        <v/>
      </c>
      <c r="U987" s="84" t="str">
        <f t="shared" si="166"/>
        <v/>
      </c>
      <c r="V987" s="88">
        <f>IF(U987="",0,MAX(0,T987)+N987+ROUND(J987*[1]Setup!$B$9,0)+IF(O987&gt;[1]Setup!$B$10,ROUND(J987*[1]Setup!$B$11,0),0))</f>
        <v>0</v>
      </c>
      <c r="W987" s="85" t="str">
        <f>IF(L987="","Open",IF(OR(P987&lt;[1]Setup!$B$6,Q987&gt;[1]Setup!$B$7,R987&gt;[1]Setup!$B$8,O987&gt;[1]Setup!$B$10),"Review","OK"))</f>
        <v>Open</v>
      </c>
      <c r="X987" s="86"/>
    </row>
    <row r="988" spans="1:24" x14ac:dyDescent="0.3">
      <c r="A988" s="84"/>
      <c r="B988" s="100">
        <f t="shared" si="168"/>
        <v>0</v>
      </c>
      <c r="C988" s="84" t="str">
        <f t="shared" si="169"/>
        <v>January</v>
      </c>
      <c r="D988" s="85" t="str">
        <f t="shared" si="167"/>
        <v/>
      </c>
      <c r="E988" s="86"/>
      <c r="F988" s="86"/>
      <c r="G988" s="86"/>
      <c r="H988" s="86"/>
      <c r="I988" s="87" t="str">
        <f>IF(F988=0,"",IF(COUNTIF(F988,"Bao"),[1]Setup!$B$4,IF(COUNTIF(F988,"Soup Dumplings"),[1]Setup!$B$5,F988)))</f>
        <v/>
      </c>
      <c r="J988" s="88" t="str">
        <f t="shared" si="161"/>
        <v/>
      </c>
      <c r="K988" s="88"/>
      <c r="L988" s="87"/>
      <c r="M988" s="87"/>
      <c r="N988" s="87"/>
      <c r="O988" s="87"/>
      <c r="P988" s="89" t="str">
        <f t="shared" si="162"/>
        <v/>
      </c>
      <c r="Q988" s="89" t="str">
        <f t="shared" si="163"/>
        <v/>
      </c>
      <c r="R988" s="89" t="str">
        <f t="shared" si="164"/>
        <v/>
      </c>
      <c r="S988" s="88" t="str">
        <f>IF(F988="Bao",[1]Setup!$B$4,IF(F988="Soup Dumplings",[1]Setup!$B$5,""))</f>
        <v/>
      </c>
      <c r="T988" s="88" t="str">
        <f t="shared" si="165"/>
        <v/>
      </c>
      <c r="U988" s="84" t="str">
        <f t="shared" si="166"/>
        <v/>
      </c>
      <c r="V988" s="88">
        <f>IF(U988="",0,MAX(0,T988)+N988+ROUND(J988*[1]Setup!$B$9,0)+IF(O988&gt;[1]Setup!$B$10,ROUND(J988*[1]Setup!$B$11,0),0))</f>
        <v>0</v>
      </c>
      <c r="W988" s="85" t="str">
        <f>IF(L988="","Open",IF(OR(P988&lt;[1]Setup!$B$6,Q988&gt;[1]Setup!$B$7,R988&gt;[1]Setup!$B$8,O988&gt;[1]Setup!$B$10),"Review","OK"))</f>
        <v>Open</v>
      </c>
      <c r="X988" s="86"/>
    </row>
    <row r="989" spans="1:24" x14ac:dyDescent="0.3">
      <c r="A989" s="84"/>
      <c r="B989" s="100">
        <f t="shared" si="168"/>
        <v>0</v>
      </c>
      <c r="C989" s="84" t="str">
        <f t="shared" si="169"/>
        <v>January</v>
      </c>
      <c r="D989" s="85" t="str">
        <f t="shared" si="167"/>
        <v/>
      </c>
      <c r="E989" s="86"/>
      <c r="F989" s="86"/>
      <c r="G989" s="86"/>
      <c r="H989" s="86"/>
      <c r="I989" s="87" t="str">
        <f>IF(F989=0,"",IF(COUNTIF(F989,"Bao"),[1]Setup!$B$4,IF(COUNTIF(F989,"Soup Dumplings"),[1]Setup!$B$5,F989)))</f>
        <v/>
      </c>
      <c r="J989" s="88" t="str">
        <f t="shared" si="161"/>
        <v/>
      </c>
      <c r="K989" s="88"/>
      <c r="L989" s="87"/>
      <c r="M989" s="87"/>
      <c r="N989" s="87"/>
      <c r="O989" s="87"/>
      <c r="P989" s="89" t="str">
        <f t="shared" si="162"/>
        <v/>
      </c>
      <c r="Q989" s="89" t="str">
        <f t="shared" si="163"/>
        <v/>
      </c>
      <c r="R989" s="89" t="str">
        <f t="shared" si="164"/>
        <v/>
      </c>
      <c r="S989" s="88" t="str">
        <f>IF(F989="Bao",[1]Setup!$B$4,IF(F989="Soup Dumplings",[1]Setup!$B$5,""))</f>
        <v/>
      </c>
      <c r="T989" s="88" t="str">
        <f t="shared" si="165"/>
        <v/>
      </c>
      <c r="U989" s="84" t="str">
        <f t="shared" si="166"/>
        <v/>
      </c>
      <c r="V989" s="88">
        <f>IF(U989="",0,MAX(0,T989)+N989+ROUND(J989*[1]Setup!$B$9,0)+IF(O989&gt;[1]Setup!$B$10,ROUND(J989*[1]Setup!$B$11,0),0))</f>
        <v>0</v>
      </c>
      <c r="W989" s="85" t="str">
        <f>IF(L989="","Open",IF(OR(P989&lt;[1]Setup!$B$6,Q989&gt;[1]Setup!$B$7,R989&gt;[1]Setup!$B$8,O989&gt;[1]Setup!$B$10),"Review","OK"))</f>
        <v>Open</v>
      </c>
      <c r="X989" s="86"/>
    </row>
    <row r="990" spans="1:24" x14ac:dyDescent="0.3">
      <c r="A990" s="84"/>
      <c r="B990" s="100">
        <f t="shared" si="168"/>
        <v>0</v>
      </c>
      <c r="C990" s="84" t="str">
        <f t="shared" si="169"/>
        <v>January</v>
      </c>
      <c r="D990" s="85" t="str">
        <f t="shared" si="167"/>
        <v/>
      </c>
      <c r="E990" s="86"/>
      <c r="F990" s="86"/>
      <c r="G990" s="86"/>
      <c r="H990" s="86"/>
      <c r="I990" s="87" t="str">
        <f>IF(F990=0,"",IF(COUNTIF(F990,"Bao"),[1]Setup!$B$4,IF(COUNTIF(F990,"Soup Dumplings"),[1]Setup!$B$5,F990)))</f>
        <v/>
      </c>
      <c r="J990" s="88" t="str">
        <f t="shared" si="161"/>
        <v/>
      </c>
      <c r="K990" s="88"/>
      <c r="L990" s="87"/>
      <c r="M990" s="87"/>
      <c r="N990" s="87"/>
      <c r="O990" s="87"/>
      <c r="P990" s="89" t="str">
        <f t="shared" si="162"/>
        <v/>
      </c>
      <c r="Q990" s="89" t="str">
        <f t="shared" si="163"/>
        <v/>
      </c>
      <c r="R990" s="89" t="str">
        <f t="shared" si="164"/>
        <v/>
      </c>
      <c r="S990" s="88" t="str">
        <f>IF(F990="Bao",[1]Setup!$B$4,IF(F990="Soup Dumplings",[1]Setup!$B$5,""))</f>
        <v/>
      </c>
      <c r="T990" s="88" t="str">
        <f t="shared" si="165"/>
        <v/>
      </c>
      <c r="U990" s="84" t="str">
        <f t="shared" si="166"/>
        <v/>
      </c>
      <c r="V990" s="88">
        <f>IF(U990="",0,MAX(0,T990)+N990+ROUND(J990*[1]Setup!$B$9,0)+IF(O990&gt;[1]Setup!$B$10,ROUND(J990*[1]Setup!$B$11,0),0))</f>
        <v>0</v>
      </c>
      <c r="W990" s="85" t="str">
        <f>IF(L990="","Open",IF(OR(P990&lt;[1]Setup!$B$6,Q990&gt;[1]Setup!$B$7,R990&gt;[1]Setup!$B$8,O990&gt;[1]Setup!$B$10),"Review","OK"))</f>
        <v>Open</v>
      </c>
      <c r="X990" s="86"/>
    </row>
    <row r="991" spans="1:24" x14ac:dyDescent="0.3">
      <c r="A991" s="84"/>
      <c r="B991" s="100">
        <f t="shared" si="168"/>
        <v>0</v>
      </c>
      <c r="C991" s="84" t="str">
        <f t="shared" si="169"/>
        <v>January</v>
      </c>
      <c r="D991" s="85" t="str">
        <f t="shared" si="167"/>
        <v/>
      </c>
      <c r="E991" s="86"/>
      <c r="F991" s="86"/>
      <c r="G991" s="86"/>
      <c r="H991" s="86"/>
      <c r="I991" s="87" t="str">
        <f>IF(F991=0,"",IF(COUNTIF(F991,"Bao"),[1]Setup!$B$4,IF(COUNTIF(F991,"Soup Dumplings"),[1]Setup!$B$5,F991)))</f>
        <v/>
      </c>
      <c r="J991" s="88" t="str">
        <f t="shared" si="161"/>
        <v/>
      </c>
      <c r="K991" s="88"/>
      <c r="L991" s="87"/>
      <c r="M991" s="87"/>
      <c r="N991" s="87"/>
      <c r="O991" s="87"/>
      <c r="P991" s="89" t="str">
        <f t="shared" si="162"/>
        <v/>
      </c>
      <c r="Q991" s="89" t="str">
        <f t="shared" si="163"/>
        <v/>
      </c>
      <c r="R991" s="89" t="str">
        <f t="shared" si="164"/>
        <v/>
      </c>
      <c r="S991" s="88" t="str">
        <f>IF(F991="Bao",[1]Setup!$B$4,IF(F991="Soup Dumplings",[1]Setup!$B$5,""))</f>
        <v/>
      </c>
      <c r="T991" s="88" t="str">
        <f t="shared" si="165"/>
        <v/>
      </c>
      <c r="U991" s="84" t="str">
        <f t="shared" si="166"/>
        <v/>
      </c>
      <c r="V991" s="88">
        <f>IF(U991="",0,MAX(0,T991)+N991+ROUND(J991*[1]Setup!$B$9,0)+IF(O991&gt;[1]Setup!$B$10,ROUND(J991*[1]Setup!$B$11,0),0))</f>
        <v>0</v>
      </c>
      <c r="W991" s="85" t="str">
        <f>IF(L991="","Open",IF(OR(P991&lt;[1]Setup!$B$6,Q991&gt;[1]Setup!$B$7,R991&gt;[1]Setup!$B$8,O991&gt;[1]Setup!$B$10),"Review","OK"))</f>
        <v>Open</v>
      </c>
      <c r="X991" s="86"/>
    </row>
    <row r="992" spans="1:24" x14ac:dyDescent="0.3">
      <c r="A992" s="84"/>
      <c r="B992" s="100">
        <f t="shared" si="168"/>
        <v>0</v>
      </c>
      <c r="C992" s="84" t="str">
        <f t="shared" si="169"/>
        <v>January</v>
      </c>
      <c r="D992" s="85" t="str">
        <f t="shared" si="167"/>
        <v/>
      </c>
      <c r="E992" s="86"/>
      <c r="F992" s="86"/>
      <c r="G992" s="86"/>
      <c r="H992" s="86"/>
      <c r="I992" s="87" t="str">
        <f>IF(F992=0,"",IF(COUNTIF(F992,"Bao"),[1]Setup!$B$4,IF(COUNTIF(F992,"Soup Dumplings"),[1]Setup!$B$5,F992)))</f>
        <v/>
      </c>
      <c r="J992" s="88" t="str">
        <f t="shared" si="161"/>
        <v/>
      </c>
      <c r="K992" s="88"/>
      <c r="L992" s="87"/>
      <c r="M992" s="87"/>
      <c r="N992" s="87"/>
      <c r="O992" s="87"/>
      <c r="P992" s="89" t="str">
        <f t="shared" si="162"/>
        <v/>
      </c>
      <c r="Q992" s="89" t="str">
        <f t="shared" si="163"/>
        <v/>
      </c>
      <c r="R992" s="89" t="str">
        <f t="shared" si="164"/>
        <v/>
      </c>
      <c r="S992" s="88" t="str">
        <f>IF(F992="Bao",[1]Setup!$B$4,IF(F992="Soup Dumplings",[1]Setup!$B$5,""))</f>
        <v/>
      </c>
      <c r="T992" s="88" t="str">
        <f t="shared" si="165"/>
        <v/>
      </c>
      <c r="U992" s="84" t="str">
        <f t="shared" si="166"/>
        <v/>
      </c>
      <c r="V992" s="88">
        <f>IF(U992="",0,MAX(0,T992)+N992+ROUND(J992*[1]Setup!$B$9,0)+IF(O992&gt;[1]Setup!$B$10,ROUND(J992*[1]Setup!$B$11,0),0))</f>
        <v>0</v>
      </c>
      <c r="W992" s="85" t="str">
        <f>IF(L992="","Open",IF(OR(P992&lt;[1]Setup!$B$6,Q992&gt;[1]Setup!$B$7,R992&gt;[1]Setup!$B$8,O992&gt;[1]Setup!$B$10),"Review","OK"))</f>
        <v>Open</v>
      </c>
      <c r="X992" s="86"/>
    </row>
    <row r="993" spans="1:24" x14ac:dyDescent="0.3">
      <c r="A993" s="84"/>
      <c r="B993" s="100">
        <f t="shared" si="168"/>
        <v>0</v>
      </c>
      <c r="C993" s="84" t="str">
        <f t="shared" si="169"/>
        <v>January</v>
      </c>
      <c r="D993" s="85" t="str">
        <f t="shared" si="167"/>
        <v/>
      </c>
      <c r="E993" s="86"/>
      <c r="F993" s="86"/>
      <c r="G993" s="86"/>
      <c r="H993" s="86"/>
      <c r="I993" s="87" t="str">
        <f>IF(F993=0,"",IF(COUNTIF(F993,"Bao"),[1]Setup!$B$4,IF(COUNTIF(F993,"Soup Dumplings"),[1]Setup!$B$5,F993)))</f>
        <v/>
      </c>
      <c r="J993" s="88" t="str">
        <f t="shared" si="161"/>
        <v/>
      </c>
      <c r="K993" s="88"/>
      <c r="L993" s="87"/>
      <c r="M993" s="87"/>
      <c r="N993" s="87"/>
      <c r="O993" s="87"/>
      <c r="P993" s="89" t="str">
        <f t="shared" si="162"/>
        <v/>
      </c>
      <c r="Q993" s="89" t="str">
        <f t="shared" si="163"/>
        <v/>
      </c>
      <c r="R993" s="89" t="str">
        <f t="shared" si="164"/>
        <v/>
      </c>
      <c r="S993" s="88" t="str">
        <f>IF(F993="Bao",[1]Setup!$B$4,IF(F993="Soup Dumplings",[1]Setup!$B$5,""))</f>
        <v/>
      </c>
      <c r="T993" s="88" t="str">
        <f t="shared" si="165"/>
        <v/>
      </c>
      <c r="U993" s="84" t="str">
        <f t="shared" si="166"/>
        <v/>
      </c>
      <c r="V993" s="88">
        <f>IF(U993="",0,MAX(0,T993)+N993+ROUND(J993*[1]Setup!$B$9,0)+IF(O993&gt;[1]Setup!$B$10,ROUND(J993*[1]Setup!$B$11,0),0))</f>
        <v>0</v>
      </c>
      <c r="W993" s="85" t="str">
        <f>IF(L993="","Open",IF(OR(P993&lt;[1]Setup!$B$6,Q993&gt;[1]Setup!$B$7,R993&gt;[1]Setup!$B$8,O993&gt;[1]Setup!$B$10),"Review","OK"))</f>
        <v>Open</v>
      </c>
      <c r="X993" s="86"/>
    </row>
    <row r="994" spans="1:24" x14ac:dyDescent="0.3">
      <c r="A994" s="84"/>
      <c r="B994" s="100">
        <f t="shared" si="168"/>
        <v>0</v>
      </c>
      <c r="C994" s="84" t="str">
        <f t="shared" si="169"/>
        <v>January</v>
      </c>
      <c r="D994" s="85" t="str">
        <f t="shared" si="167"/>
        <v/>
      </c>
      <c r="E994" s="86"/>
      <c r="F994" s="86"/>
      <c r="G994" s="86"/>
      <c r="H994" s="86"/>
      <c r="I994" s="87" t="str">
        <f>IF(F994=0,"",IF(COUNTIF(F994,"Bao"),[1]Setup!$B$4,IF(COUNTIF(F994,"Soup Dumplings"),[1]Setup!$B$5,F994)))</f>
        <v/>
      </c>
      <c r="J994" s="88" t="str">
        <f t="shared" si="161"/>
        <v/>
      </c>
      <c r="K994" s="88"/>
      <c r="L994" s="87"/>
      <c r="M994" s="87"/>
      <c r="N994" s="87"/>
      <c r="O994" s="87"/>
      <c r="P994" s="89" t="str">
        <f t="shared" si="162"/>
        <v/>
      </c>
      <c r="Q994" s="89" t="str">
        <f t="shared" si="163"/>
        <v/>
      </c>
      <c r="R994" s="89" t="str">
        <f t="shared" si="164"/>
        <v/>
      </c>
      <c r="S994" s="88" t="str">
        <f>IF(F994="Bao",[1]Setup!$B$4,IF(F994="Soup Dumplings",[1]Setup!$B$5,""))</f>
        <v/>
      </c>
      <c r="T994" s="88" t="str">
        <f t="shared" si="165"/>
        <v/>
      </c>
      <c r="U994" s="84" t="str">
        <f t="shared" si="166"/>
        <v/>
      </c>
      <c r="V994" s="88">
        <f>IF(U994="",0,MAX(0,T994)+N994+ROUND(J994*[1]Setup!$B$9,0)+IF(O994&gt;[1]Setup!$B$10,ROUND(J994*[1]Setup!$B$11,0),0))</f>
        <v>0</v>
      </c>
      <c r="W994" s="85" t="str">
        <f>IF(L994="","Open",IF(OR(P994&lt;[1]Setup!$B$6,Q994&gt;[1]Setup!$B$7,R994&gt;[1]Setup!$B$8,O994&gt;[1]Setup!$B$10),"Review","OK"))</f>
        <v>Open</v>
      </c>
      <c r="X994" s="86"/>
    </row>
    <row r="995" spans="1:24" x14ac:dyDescent="0.3">
      <c r="A995" s="84"/>
      <c r="B995" s="100">
        <f t="shared" si="168"/>
        <v>0</v>
      </c>
      <c r="C995" s="84" t="str">
        <f t="shared" si="169"/>
        <v>January</v>
      </c>
      <c r="D995" s="85" t="str">
        <f t="shared" si="167"/>
        <v/>
      </c>
      <c r="E995" s="86"/>
      <c r="F995" s="86"/>
      <c r="G995" s="86"/>
      <c r="H995" s="86"/>
      <c r="I995" s="87" t="str">
        <f>IF(F995=0,"",IF(COUNTIF(F995,"Bao"),[1]Setup!$B$4,IF(COUNTIF(F995,"Soup Dumplings"),[1]Setup!$B$5,F995)))</f>
        <v/>
      </c>
      <c r="J995" s="88" t="str">
        <f t="shared" si="161"/>
        <v/>
      </c>
      <c r="K995" s="88"/>
      <c r="L995" s="87"/>
      <c r="M995" s="87"/>
      <c r="N995" s="87"/>
      <c r="O995" s="87"/>
      <c r="P995" s="89" t="str">
        <f t="shared" si="162"/>
        <v/>
      </c>
      <c r="Q995" s="89" t="str">
        <f t="shared" si="163"/>
        <v/>
      </c>
      <c r="R995" s="89" t="str">
        <f t="shared" si="164"/>
        <v/>
      </c>
      <c r="S995" s="88" t="str">
        <f>IF(F995="Bao",[1]Setup!$B$4,IF(F995="Soup Dumplings",[1]Setup!$B$5,""))</f>
        <v/>
      </c>
      <c r="T995" s="88" t="str">
        <f t="shared" si="165"/>
        <v/>
      </c>
      <c r="U995" s="84" t="str">
        <f t="shared" si="166"/>
        <v/>
      </c>
      <c r="V995" s="88">
        <f>IF(U995="",0,MAX(0,T995)+N995+ROUND(J995*[1]Setup!$B$9,0)+IF(O995&gt;[1]Setup!$B$10,ROUND(J995*[1]Setup!$B$11,0),0))</f>
        <v>0</v>
      </c>
      <c r="W995" s="85" t="str">
        <f>IF(L995="","Open",IF(OR(P995&lt;[1]Setup!$B$6,Q995&gt;[1]Setup!$B$7,R995&gt;[1]Setup!$B$8,O995&gt;[1]Setup!$B$10),"Review","OK"))</f>
        <v>Open</v>
      </c>
      <c r="X995" s="86"/>
    </row>
    <row r="996" spans="1:24" x14ac:dyDescent="0.3">
      <c r="A996" s="84"/>
      <c r="B996" s="100">
        <f t="shared" si="168"/>
        <v>0</v>
      </c>
      <c r="C996" s="84" t="str">
        <f t="shared" si="169"/>
        <v>January</v>
      </c>
      <c r="D996" s="85" t="str">
        <f t="shared" si="167"/>
        <v/>
      </c>
      <c r="E996" s="86"/>
      <c r="F996" s="86"/>
      <c r="G996" s="86"/>
      <c r="H996" s="86"/>
      <c r="I996" s="87" t="str">
        <f>IF(F996=0,"",IF(COUNTIF(F996,"Bao"),[1]Setup!$B$4,IF(COUNTIF(F996,"Soup Dumplings"),[1]Setup!$B$5,F996)))</f>
        <v/>
      </c>
      <c r="J996" s="88" t="str">
        <f t="shared" si="161"/>
        <v/>
      </c>
      <c r="K996" s="88"/>
      <c r="L996" s="87"/>
      <c r="M996" s="87"/>
      <c r="N996" s="87"/>
      <c r="O996" s="87"/>
      <c r="P996" s="89" t="str">
        <f t="shared" si="162"/>
        <v/>
      </c>
      <c r="Q996" s="89" t="str">
        <f t="shared" si="163"/>
        <v/>
      </c>
      <c r="R996" s="89" t="str">
        <f t="shared" si="164"/>
        <v/>
      </c>
      <c r="S996" s="88" t="str">
        <f>IF(F996="Bao",[1]Setup!$B$4,IF(F996="Soup Dumplings",[1]Setup!$B$5,""))</f>
        <v/>
      </c>
      <c r="T996" s="88" t="str">
        <f t="shared" si="165"/>
        <v/>
      </c>
      <c r="U996" s="84" t="str">
        <f t="shared" si="166"/>
        <v/>
      </c>
      <c r="V996" s="88">
        <f>IF(U996="",0,MAX(0,T996)+N996+ROUND(J996*[1]Setup!$B$9,0)+IF(O996&gt;[1]Setup!$B$10,ROUND(J996*[1]Setup!$B$11,0),0))</f>
        <v>0</v>
      </c>
      <c r="W996" s="85" t="str">
        <f>IF(L996="","Open",IF(OR(P996&lt;[1]Setup!$B$6,Q996&gt;[1]Setup!$B$7,R996&gt;[1]Setup!$B$8,O996&gt;[1]Setup!$B$10),"Review","OK"))</f>
        <v>Open</v>
      </c>
      <c r="X996" s="86"/>
    </row>
    <row r="997" spans="1:24" x14ac:dyDescent="0.3">
      <c r="A997" s="84"/>
      <c r="B997" s="100">
        <f t="shared" si="168"/>
        <v>0</v>
      </c>
      <c r="C997" s="84" t="str">
        <f t="shared" si="169"/>
        <v>January</v>
      </c>
      <c r="D997" s="85" t="str">
        <f t="shared" si="167"/>
        <v/>
      </c>
      <c r="E997" s="86"/>
      <c r="F997" s="86"/>
      <c r="G997" s="86"/>
      <c r="H997" s="86"/>
      <c r="I997" s="87" t="str">
        <f>IF(F997=0,"",IF(COUNTIF(F997,"Bao"),[1]Setup!$B$4,IF(COUNTIF(F997,"Soup Dumplings"),[1]Setup!$B$5,F997)))</f>
        <v/>
      </c>
      <c r="J997" s="88" t="str">
        <f t="shared" si="161"/>
        <v/>
      </c>
      <c r="K997" s="88"/>
      <c r="L997" s="87"/>
      <c r="M997" s="87"/>
      <c r="N997" s="87"/>
      <c r="O997" s="87"/>
      <c r="P997" s="89" t="str">
        <f t="shared" si="162"/>
        <v/>
      </c>
      <c r="Q997" s="89" t="str">
        <f t="shared" si="163"/>
        <v/>
      </c>
      <c r="R997" s="89" t="str">
        <f t="shared" si="164"/>
        <v/>
      </c>
      <c r="S997" s="88" t="str">
        <f>IF(F997="Bao",[1]Setup!$B$4,IF(F997="Soup Dumplings",[1]Setup!$B$5,""))</f>
        <v/>
      </c>
      <c r="T997" s="88" t="str">
        <f t="shared" si="165"/>
        <v/>
      </c>
      <c r="U997" s="84" t="str">
        <f t="shared" si="166"/>
        <v/>
      </c>
      <c r="V997" s="88">
        <f>IF(U997="",0,MAX(0,T997)+N997+ROUND(J997*[1]Setup!$B$9,0)+IF(O997&gt;[1]Setup!$B$10,ROUND(J997*[1]Setup!$B$11,0),0))</f>
        <v>0</v>
      </c>
      <c r="W997" s="85" t="str">
        <f>IF(L997="","Open",IF(OR(P997&lt;[1]Setup!$B$6,Q997&gt;[1]Setup!$B$7,R997&gt;[1]Setup!$B$8,O997&gt;[1]Setup!$B$10),"Review","OK"))</f>
        <v>Open</v>
      </c>
      <c r="X997" s="86"/>
    </row>
    <row r="998" spans="1:24" x14ac:dyDescent="0.3">
      <c r="A998" s="84"/>
      <c r="B998" s="100">
        <f t="shared" si="168"/>
        <v>0</v>
      </c>
      <c r="C998" s="84" t="str">
        <f t="shared" si="169"/>
        <v>January</v>
      </c>
      <c r="D998" s="85" t="str">
        <f t="shared" si="167"/>
        <v/>
      </c>
      <c r="E998" s="86"/>
      <c r="F998" s="86"/>
      <c r="G998" s="86"/>
      <c r="H998" s="86"/>
      <c r="I998" s="87" t="str">
        <f>IF(F998=0,"",IF(COUNTIF(F998,"Bao"),[1]Setup!$B$4,IF(COUNTIF(F998,"Soup Dumplings"),[1]Setup!$B$5,F998)))</f>
        <v/>
      </c>
      <c r="J998" s="88" t="str">
        <f t="shared" si="161"/>
        <v/>
      </c>
      <c r="K998" s="88"/>
      <c r="L998" s="87"/>
      <c r="M998" s="87"/>
      <c r="N998" s="87"/>
      <c r="O998" s="87"/>
      <c r="P998" s="89" t="str">
        <f t="shared" si="162"/>
        <v/>
      </c>
      <c r="Q998" s="89" t="str">
        <f t="shared" si="163"/>
        <v/>
      </c>
      <c r="R998" s="89" t="str">
        <f t="shared" si="164"/>
        <v/>
      </c>
      <c r="S998" s="88" t="str">
        <f>IF(F998="Bao",[1]Setup!$B$4,IF(F998="Soup Dumplings",[1]Setup!$B$5,""))</f>
        <v/>
      </c>
      <c r="T998" s="88" t="str">
        <f t="shared" si="165"/>
        <v/>
      </c>
      <c r="U998" s="84" t="str">
        <f t="shared" si="166"/>
        <v/>
      </c>
      <c r="V998" s="88">
        <f>IF(U998="",0,MAX(0,T998)+N998+ROUND(J998*[1]Setup!$B$9,0)+IF(O998&gt;[1]Setup!$B$10,ROUND(J998*[1]Setup!$B$11,0),0))</f>
        <v>0</v>
      </c>
      <c r="W998" s="85" t="str">
        <f>IF(L998="","Open",IF(OR(P998&lt;[1]Setup!$B$6,Q998&gt;[1]Setup!$B$7,R998&gt;[1]Setup!$B$8,O998&gt;[1]Setup!$B$10),"Review","OK"))</f>
        <v>Open</v>
      </c>
      <c r="X998" s="86"/>
    </row>
    <row r="999" spans="1:24" x14ac:dyDescent="0.3">
      <c r="A999" s="84"/>
      <c r="B999" s="100">
        <f t="shared" si="168"/>
        <v>0</v>
      </c>
      <c r="C999" s="84" t="str">
        <f t="shared" si="169"/>
        <v>January</v>
      </c>
      <c r="D999" s="85" t="str">
        <f t="shared" si="167"/>
        <v/>
      </c>
      <c r="E999" s="86"/>
      <c r="F999" s="86"/>
      <c r="G999" s="86"/>
      <c r="H999" s="86"/>
      <c r="I999" s="87" t="str">
        <f>IF(F999=0,"",IF(COUNTIF(F999,"Bao"),[1]Setup!$B$4,IF(COUNTIF(F999,"Soup Dumplings"),[1]Setup!$B$5,F999)))</f>
        <v/>
      </c>
      <c r="J999" s="88" t="str">
        <f t="shared" si="161"/>
        <v/>
      </c>
      <c r="K999" s="88"/>
      <c r="L999" s="87"/>
      <c r="M999" s="87"/>
      <c r="N999" s="87"/>
      <c r="O999" s="87"/>
      <c r="P999" s="89" t="str">
        <f t="shared" si="162"/>
        <v/>
      </c>
      <c r="Q999" s="89" t="str">
        <f t="shared" si="163"/>
        <v/>
      </c>
      <c r="R999" s="89" t="str">
        <f t="shared" si="164"/>
        <v/>
      </c>
      <c r="S999" s="88" t="str">
        <f>IF(F999="Bao",[1]Setup!$B$4,IF(F999="Soup Dumplings",[1]Setup!$B$5,""))</f>
        <v/>
      </c>
      <c r="T999" s="88" t="str">
        <f t="shared" si="165"/>
        <v/>
      </c>
      <c r="U999" s="84" t="str">
        <f t="shared" si="166"/>
        <v/>
      </c>
      <c r="V999" s="88">
        <f>IF(U999="",0,MAX(0,T999)+N999+ROUND(J999*[1]Setup!$B$9,0)+IF(O999&gt;[1]Setup!$B$10,ROUND(J999*[1]Setup!$B$11,0),0))</f>
        <v>0</v>
      </c>
      <c r="W999" s="85" t="str">
        <f>IF(L999="","Open",IF(OR(P999&lt;[1]Setup!$B$6,Q999&gt;[1]Setup!$B$7,R999&gt;[1]Setup!$B$8,O999&gt;[1]Setup!$B$10),"Review","OK"))</f>
        <v>Open</v>
      </c>
      <c r="X999" s="86"/>
    </row>
    <row r="1000" spans="1:24" x14ac:dyDescent="0.3">
      <c r="A1000" s="84"/>
      <c r="B1000" s="100">
        <f t="shared" si="168"/>
        <v>0</v>
      </c>
      <c r="C1000" s="84" t="str">
        <f t="shared" si="169"/>
        <v>January</v>
      </c>
      <c r="D1000" s="85" t="str">
        <f t="shared" si="167"/>
        <v/>
      </c>
      <c r="E1000" s="86"/>
      <c r="F1000" s="86"/>
      <c r="G1000" s="86"/>
      <c r="H1000" s="86"/>
      <c r="I1000" s="87" t="str">
        <f>IF(F1000=0,"",IF(COUNTIF(F1000,"Bao"),[1]Setup!$B$4,IF(COUNTIF(F1000,"Soup Dumplings"),[1]Setup!$B$5,F1000)))</f>
        <v/>
      </c>
      <c r="J1000" s="88" t="str">
        <f t="shared" si="161"/>
        <v/>
      </c>
      <c r="K1000" s="88"/>
      <c r="L1000" s="87"/>
      <c r="M1000" s="87"/>
      <c r="N1000" s="87"/>
      <c r="O1000" s="87"/>
      <c r="P1000" s="89" t="str">
        <f t="shared" si="162"/>
        <v/>
      </c>
      <c r="Q1000" s="89" t="str">
        <f t="shared" si="163"/>
        <v/>
      </c>
      <c r="R1000" s="89" t="str">
        <f t="shared" si="164"/>
        <v/>
      </c>
      <c r="S1000" s="88" t="str">
        <f>IF(F1000="Bao",[1]Setup!$B$4,IF(F1000="Soup Dumplings",[1]Setup!$B$5,""))</f>
        <v/>
      </c>
      <c r="T1000" s="88" t="str">
        <f t="shared" si="165"/>
        <v/>
      </c>
      <c r="U1000" s="84" t="str">
        <f t="shared" si="166"/>
        <v/>
      </c>
      <c r="V1000" s="88">
        <f>IF(U1000="",0,MAX(0,T1000)+N1000+ROUND(J1000*[1]Setup!$B$9,0)+IF(O1000&gt;[1]Setup!$B$10,ROUND(J1000*[1]Setup!$B$11,0),0))</f>
        <v>0</v>
      </c>
      <c r="W1000" s="85" t="str">
        <f>IF(L1000="","Open",IF(OR(P1000&lt;[1]Setup!$B$6,Q1000&gt;[1]Setup!$B$7,R1000&gt;[1]Setup!$B$8,O1000&gt;[1]Setup!$B$10),"Review","OK"))</f>
        <v>Open</v>
      </c>
      <c r="X1000" s="86"/>
    </row>
    <row r="1001" spans="1:24" x14ac:dyDescent="0.3">
      <c r="A1001" s="84"/>
      <c r="B1001" s="100">
        <f t="shared" si="168"/>
        <v>0</v>
      </c>
      <c r="C1001" s="84" t="str">
        <f t="shared" si="169"/>
        <v>January</v>
      </c>
      <c r="D1001" s="85" t="str">
        <f t="shared" si="167"/>
        <v/>
      </c>
      <c r="E1001" s="86"/>
      <c r="F1001" s="86"/>
      <c r="G1001" s="86"/>
      <c r="H1001" s="86"/>
      <c r="I1001" s="87" t="str">
        <f>IF(F1001=0,"",IF(COUNTIF(F1001,"Bao"),[1]Setup!$B$4,IF(COUNTIF(F1001,"Soup Dumplings"),[1]Setup!$B$5,F1001)))</f>
        <v/>
      </c>
      <c r="J1001" s="88" t="str">
        <f t="shared" si="161"/>
        <v/>
      </c>
      <c r="K1001" s="88"/>
      <c r="L1001" s="87"/>
      <c r="M1001" s="87"/>
      <c r="N1001" s="87"/>
      <c r="O1001" s="87"/>
      <c r="P1001" s="89" t="str">
        <f t="shared" si="162"/>
        <v/>
      </c>
      <c r="Q1001" s="89" t="str">
        <f t="shared" si="163"/>
        <v/>
      </c>
      <c r="R1001" s="89" t="str">
        <f t="shared" si="164"/>
        <v/>
      </c>
      <c r="S1001" s="88" t="str">
        <f>IF(F1001="Bao",[1]Setup!$B$4,IF(F1001="Soup Dumplings",[1]Setup!$B$5,""))</f>
        <v/>
      </c>
      <c r="T1001" s="88" t="str">
        <f t="shared" si="165"/>
        <v/>
      </c>
      <c r="U1001" s="84" t="str">
        <f t="shared" si="166"/>
        <v/>
      </c>
      <c r="V1001" s="88">
        <f>IF(U1001="",0,MAX(0,T1001)+N1001+ROUND(J1001*[1]Setup!$B$9,0)+IF(O1001&gt;[1]Setup!$B$10,ROUND(J1001*[1]Setup!$B$11,0),0))</f>
        <v>0</v>
      </c>
      <c r="W1001" s="85" t="str">
        <f>IF(L1001="","Open",IF(OR(P1001&lt;[1]Setup!$B$6,Q1001&gt;[1]Setup!$B$7,R1001&gt;[1]Setup!$B$8,O1001&gt;[1]Setup!$B$10),"Review","OK"))</f>
        <v>Open</v>
      </c>
      <c r="X1001" s="86"/>
    </row>
    <row r="1002" spans="1:24" x14ac:dyDescent="0.3">
      <c r="A1002" s="84"/>
      <c r="B1002" s="100">
        <f t="shared" si="168"/>
        <v>0</v>
      </c>
      <c r="C1002" s="84" t="str">
        <f t="shared" si="169"/>
        <v>January</v>
      </c>
      <c r="D1002" s="85" t="str">
        <f t="shared" si="167"/>
        <v/>
      </c>
      <c r="E1002" s="86"/>
      <c r="F1002" s="86"/>
      <c r="G1002" s="86"/>
      <c r="H1002" s="86"/>
      <c r="I1002" s="87" t="str">
        <f>IF(F1002=0,"",IF(COUNTIF(F1002,"Bao"),[1]Setup!$B$4,IF(COUNTIF(F1002,"Soup Dumplings"),[1]Setup!$B$5,F1002)))</f>
        <v/>
      </c>
      <c r="J1002" s="88" t="str">
        <f t="shared" si="161"/>
        <v/>
      </c>
      <c r="K1002" s="88"/>
      <c r="L1002" s="87"/>
      <c r="M1002" s="87"/>
      <c r="N1002" s="87"/>
      <c r="O1002" s="87"/>
      <c r="P1002" s="89" t="str">
        <f t="shared" si="162"/>
        <v/>
      </c>
      <c r="Q1002" s="89" t="str">
        <f t="shared" si="163"/>
        <v/>
      </c>
      <c r="R1002" s="89" t="str">
        <f t="shared" si="164"/>
        <v/>
      </c>
      <c r="S1002" s="88" t="str">
        <f>IF(F1002="Bao",[1]Setup!$B$4,IF(F1002="Soup Dumplings",[1]Setup!$B$5,""))</f>
        <v/>
      </c>
      <c r="T1002" s="88" t="str">
        <f t="shared" si="165"/>
        <v/>
      </c>
      <c r="U1002" s="84" t="str">
        <f t="shared" si="166"/>
        <v/>
      </c>
      <c r="V1002" s="88">
        <f>IF(U1002="",0,MAX(0,T1002)+N1002+ROUND(J1002*[1]Setup!$B$9,0)+IF(O1002&gt;[1]Setup!$B$10,ROUND(J1002*[1]Setup!$B$11,0),0))</f>
        <v>0</v>
      </c>
      <c r="W1002" s="85" t="str">
        <f>IF(L1002="","Open",IF(OR(P1002&lt;[1]Setup!$B$6,Q1002&gt;[1]Setup!$B$7,R1002&gt;[1]Setup!$B$8,O1002&gt;[1]Setup!$B$10),"Review","OK"))</f>
        <v>Open</v>
      </c>
      <c r="X1002" s="86"/>
    </row>
    <row r="1003" spans="1:24" x14ac:dyDescent="0.3">
      <c r="A1003" s="84"/>
      <c r="B1003" s="100">
        <f t="shared" si="168"/>
        <v>0</v>
      </c>
      <c r="C1003" s="84" t="str">
        <f t="shared" si="169"/>
        <v>January</v>
      </c>
      <c r="D1003" s="85" t="str">
        <f t="shared" si="167"/>
        <v/>
      </c>
      <c r="E1003" s="86"/>
      <c r="F1003" s="86"/>
      <c r="G1003" s="86"/>
      <c r="H1003" s="86"/>
      <c r="I1003" s="87" t="str">
        <f>IF(F1003=0,"",IF(COUNTIF(F1003,"Bao"),[1]Setup!$B$4,IF(COUNTIF(F1003,"Soup Dumplings"),[1]Setup!$B$5,F1003)))</f>
        <v/>
      </c>
      <c r="J1003" s="88" t="str">
        <f t="shared" si="161"/>
        <v/>
      </c>
      <c r="K1003" s="88"/>
      <c r="L1003" s="87"/>
      <c r="M1003" s="87"/>
      <c r="N1003" s="87"/>
      <c r="O1003" s="87"/>
      <c r="P1003" s="89" t="str">
        <f t="shared" si="162"/>
        <v/>
      </c>
      <c r="Q1003" s="89" t="str">
        <f t="shared" si="163"/>
        <v/>
      </c>
      <c r="R1003" s="89" t="str">
        <f t="shared" si="164"/>
        <v/>
      </c>
      <c r="S1003" s="88" t="str">
        <f>IF(F1003="Bao",[1]Setup!$B$4,IF(F1003="Soup Dumplings",[1]Setup!$B$5,""))</f>
        <v/>
      </c>
      <c r="T1003" s="88" t="str">
        <f t="shared" si="165"/>
        <v/>
      </c>
      <c r="U1003" s="84" t="str">
        <f t="shared" si="166"/>
        <v/>
      </c>
      <c r="V1003" s="88">
        <f>IF(U1003="",0,MAX(0,T1003)+N1003+ROUND(J1003*[1]Setup!$B$9,0)+IF(O1003&gt;[1]Setup!$B$10,ROUND(J1003*[1]Setup!$B$11,0),0))</f>
        <v>0</v>
      </c>
      <c r="W1003" s="85" t="str">
        <f>IF(L1003="","Open",IF(OR(P1003&lt;[1]Setup!$B$6,Q1003&gt;[1]Setup!$B$7,R1003&gt;[1]Setup!$B$8,O1003&gt;[1]Setup!$B$10),"Review","OK"))</f>
        <v>Open</v>
      </c>
      <c r="X1003" s="86"/>
    </row>
    <row r="1004" spans="1:24" x14ac:dyDescent="0.3">
      <c r="A1004" s="84"/>
      <c r="B1004" s="100">
        <f t="shared" si="168"/>
        <v>0</v>
      </c>
      <c r="C1004" s="84" t="str">
        <f t="shared" si="169"/>
        <v>January</v>
      </c>
      <c r="D1004" s="85" t="str">
        <f t="shared" si="167"/>
        <v/>
      </c>
      <c r="E1004" s="86"/>
      <c r="F1004" s="86"/>
      <c r="G1004" s="86"/>
      <c r="H1004" s="86"/>
      <c r="I1004" s="87" t="str">
        <f>IF(F1004=0,"",IF(COUNTIF(F1004,"Bao"),[1]Setup!$B$4,IF(COUNTIF(F1004,"Soup Dumplings"),[1]Setup!$B$5,F1004)))</f>
        <v/>
      </c>
      <c r="J1004" s="88" t="str">
        <f t="shared" si="161"/>
        <v/>
      </c>
      <c r="K1004" s="88"/>
      <c r="L1004" s="87"/>
      <c r="M1004" s="87"/>
      <c r="N1004" s="87"/>
      <c r="O1004" s="87"/>
      <c r="P1004" s="89" t="str">
        <f t="shared" si="162"/>
        <v/>
      </c>
      <c r="Q1004" s="89" t="str">
        <f t="shared" si="163"/>
        <v/>
      </c>
      <c r="R1004" s="89" t="str">
        <f t="shared" si="164"/>
        <v/>
      </c>
      <c r="S1004" s="88" t="str">
        <f>IF(F1004="Bao",[1]Setup!$B$4,IF(F1004="Soup Dumplings",[1]Setup!$B$5,""))</f>
        <v/>
      </c>
      <c r="T1004" s="88" t="str">
        <f t="shared" si="165"/>
        <v/>
      </c>
      <c r="U1004" s="84" t="str">
        <f t="shared" si="166"/>
        <v/>
      </c>
      <c r="V1004" s="88">
        <f>IF(U1004="",0,MAX(0,T1004)+N1004+ROUND(J1004*[1]Setup!$B$9,0)+IF(O1004&gt;[1]Setup!$B$10,ROUND(J1004*[1]Setup!$B$11,0),0))</f>
        <v>0</v>
      </c>
      <c r="W1004" s="85" t="str">
        <f>IF(L1004="","Open",IF(OR(P1004&lt;[1]Setup!$B$6,Q1004&gt;[1]Setup!$B$7,R1004&gt;[1]Setup!$B$8,O1004&gt;[1]Setup!$B$10),"Review","OK"))</f>
        <v>Open</v>
      </c>
      <c r="X1004" s="86"/>
    </row>
    <row r="1005" spans="1:24" x14ac:dyDescent="0.3">
      <c r="A1005" s="84"/>
      <c r="B1005" s="100">
        <f t="shared" si="168"/>
        <v>0</v>
      </c>
      <c r="C1005" s="84" t="str">
        <f t="shared" si="169"/>
        <v>January</v>
      </c>
      <c r="D1005" s="85" t="str">
        <f t="shared" si="167"/>
        <v/>
      </c>
      <c r="E1005" s="86"/>
      <c r="F1005" s="86"/>
      <c r="G1005" s="86"/>
      <c r="H1005" s="86"/>
      <c r="I1005" s="87" t="str">
        <f>IF(F1005=0,"",IF(COUNTIF(F1005,"Bao"),[1]Setup!$B$4,IF(COUNTIF(F1005,"Soup Dumplings"),[1]Setup!$B$5,F1005)))</f>
        <v/>
      </c>
      <c r="J1005" s="88" t="str">
        <f t="shared" si="161"/>
        <v/>
      </c>
      <c r="K1005" s="88"/>
      <c r="L1005" s="87"/>
      <c r="M1005" s="87"/>
      <c r="N1005" s="87"/>
      <c r="O1005" s="87"/>
      <c r="P1005" s="89" t="str">
        <f t="shared" si="162"/>
        <v/>
      </c>
      <c r="Q1005" s="89" t="str">
        <f t="shared" si="163"/>
        <v/>
      </c>
      <c r="R1005" s="89" t="str">
        <f t="shared" si="164"/>
        <v/>
      </c>
      <c r="S1005" s="88" t="str">
        <f>IF(F1005="Bao",[1]Setup!$B$4,IF(F1005="Soup Dumplings",[1]Setup!$B$5,""))</f>
        <v/>
      </c>
      <c r="T1005" s="88" t="str">
        <f t="shared" si="165"/>
        <v/>
      </c>
      <c r="U1005" s="84" t="str">
        <f t="shared" si="166"/>
        <v/>
      </c>
      <c r="V1005" s="88">
        <f>IF(U1005="",0,MAX(0,T1005)+N1005+ROUND(J1005*[1]Setup!$B$9,0)+IF(O1005&gt;[1]Setup!$B$10,ROUND(J1005*[1]Setup!$B$11,0),0))</f>
        <v>0</v>
      </c>
      <c r="W1005" s="85" t="str">
        <f>IF(L1005="","Open",IF(OR(P1005&lt;[1]Setup!$B$6,Q1005&gt;[1]Setup!$B$7,R1005&gt;[1]Setup!$B$8,O1005&gt;[1]Setup!$B$10),"Review","OK"))</f>
        <v>Open</v>
      </c>
      <c r="X1005" s="86"/>
    </row>
    <row r="1006" spans="1:24" x14ac:dyDescent="0.3">
      <c r="A1006" s="84"/>
      <c r="B1006" s="100">
        <f t="shared" si="168"/>
        <v>0</v>
      </c>
      <c r="C1006" s="84" t="str">
        <f t="shared" si="169"/>
        <v>January</v>
      </c>
      <c r="D1006" s="85" t="str">
        <f t="shared" si="167"/>
        <v/>
      </c>
      <c r="E1006" s="86"/>
      <c r="F1006" s="86"/>
      <c r="G1006" s="86"/>
      <c r="H1006" s="86"/>
      <c r="I1006" s="87" t="str">
        <f>IF(F1006=0,"",IF(COUNTIF(F1006,"Bao"),[1]Setup!$B$4,IF(COUNTIF(F1006,"Soup Dumplings"),[1]Setup!$B$5,F1006)))</f>
        <v/>
      </c>
      <c r="J1006" s="88" t="str">
        <f t="shared" si="161"/>
        <v/>
      </c>
      <c r="K1006" s="88"/>
      <c r="L1006" s="87"/>
      <c r="M1006" s="87"/>
      <c r="N1006" s="87"/>
      <c r="O1006" s="87"/>
      <c r="P1006" s="89" t="str">
        <f t="shared" si="162"/>
        <v/>
      </c>
      <c r="Q1006" s="89" t="str">
        <f t="shared" si="163"/>
        <v/>
      </c>
      <c r="R1006" s="89" t="str">
        <f t="shared" si="164"/>
        <v/>
      </c>
      <c r="S1006" s="88" t="str">
        <f>IF(F1006="Bao",[1]Setup!$B$4,IF(F1006="Soup Dumplings",[1]Setup!$B$5,""))</f>
        <v/>
      </c>
      <c r="T1006" s="88" t="str">
        <f t="shared" si="165"/>
        <v/>
      </c>
      <c r="U1006" s="84" t="str">
        <f t="shared" si="166"/>
        <v/>
      </c>
      <c r="V1006" s="88">
        <f>IF(U1006="",0,MAX(0,T1006)+N1006+ROUND(J1006*[1]Setup!$B$9,0)+IF(O1006&gt;[1]Setup!$B$10,ROUND(J1006*[1]Setup!$B$11,0),0))</f>
        <v>0</v>
      </c>
      <c r="W1006" s="85" t="str">
        <f>IF(L1006="","Open",IF(OR(P1006&lt;[1]Setup!$B$6,Q1006&gt;[1]Setup!$B$7,R1006&gt;[1]Setup!$B$8,O1006&gt;[1]Setup!$B$10),"Review","OK"))</f>
        <v>Open</v>
      </c>
      <c r="X1006" s="86"/>
    </row>
    <row r="1007" spans="1:24" x14ac:dyDescent="0.3">
      <c r="A1007" s="84"/>
      <c r="B1007" s="100">
        <f t="shared" si="168"/>
        <v>0</v>
      </c>
      <c r="C1007" s="84" t="str">
        <f t="shared" si="169"/>
        <v>January</v>
      </c>
      <c r="D1007" s="85" t="str">
        <f t="shared" si="167"/>
        <v/>
      </c>
      <c r="E1007" s="86"/>
      <c r="F1007" s="86"/>
      <c r="G1007" s="86"/>
      <c r="H1007" s="86"/>
      <c r="I1007" s="87" t="str">
        <f>IF(F1007=0,"",IF(COUNTIF(F1007,"Bao"),[1]Setup!$B$4,IF(COUNTIF(F1007,"Soup Dumplings"),[1]Setup!$B$5,F1007)))</f>
        <v/>
      </c>
      <c r="J1007" s="88" t="str">
        <f t="shared" ref="J1007:J1070" si="170">IF(A1007="","",
   IFERROR(
      N(I1007)+SUMIFS($V$4:$V$30,$U$4:$U$30,A1007,$G$4:$G$30,G1007),
   0)
)</f>
        <v/>
      </c>
      <c r="K1007" s="88"/>
      <c r="L1007" s="87"/>
      <c r="M1007" s="87"/>
      <c r="N1007" s="87"/>
      <c r="O1007" s="87"/>
      <c r="P1007" s="89" t="str">
        <f t="shared" ref="P1007:P1070" si="171">IF(J1007="","",IF(J1007&gt;0,(L1007+M1007)/J1007,""))</f>
        <v/>
      </c>
      <c r="Q1007" s="89" t="str">
        <f t="shared" ref="Q1007:Q1070" si="172">IF(J1007="","",IF(J1007&gt;0,MAX(0,(J1007-(L1007+M1007))/J1007),""))</f>
        <v/>
      </c>
      <c r="R1007" s="89" t="str">
        <f t="shared" ref="R1007:R1070" si="173">IF(J1007="","",IF(J1007&gt;0,MAX(0,(L1007+M1007-J1007)/J1007),""))</f>
        <v/>
      </c>
      <c r="S1007" s="88" t="str">
        <f>IF(F1007="Bao",[1]Setup!$B$4,IF(F1007="Soup Dumplings",[1]Setup!$B$5,""))</f>
        <v/>
      </c>
      <c r="T1007" s="88" t="str">
        <f t="shared" ref="T1007:T1070" si="174">IF(L1007="","",S1007-L1007)</f>
        <v/>
      </c>
      <c r="U1007" s="84" t="str">
        <f t="shared" ref="U1007:U1070" si="175">IF(A1007="","",A1007+1)</f>
        <v/>
      </c>
      <c r="V1007" s="88">
        <f>IF(U1007="",0,MAX(0,T1007)+N1007+ROUND(J1007*[1]Setup!$B$9,0)+IF(O1007&gt;[1]Setup!$B$10,ROUND(J1007*[1]Setup!$B$11,0),0))</f>
        <v>0</v>
      </c>
      <c r="W1007" s="85" t="str">
        <f>IF(L1007="","Open",IF(OR(P1007&lt;[1]Setup!$B$6,Q1007&gt;[1]Setup!$B$7,R1007&gt;[1]Setup!$B$8,O1007&gt;[1]Setup!$B$10),"Review","OK"))</f>
        <v>Open</v>
      </c>
      <c r="X1007" s="86"/>
    </row>
    <row r="1008" spans="1:24" x14ac:dyDescent="0.3">
      <c r="A1008" s="84"/>
      <c r="B1008" s="100">
        <f t="shared" si="168"/>
        <v>0</v>
      </c>
      <c r="C1008" s="84" t="str">
        <f t="shared" si="169"/>
        <v>January</v>
      </c>
      <c r="D1008" s="85" t="str">
        <f t="shared" si="167"/>
        <v/>
      </c>
      <c r="E1008" s="86"/>
      <c r="F1008" s="86"/>
      <c r="G1008" s="86"/>
      <c r="H1008" s="86"/>
      <c r="I1008" s="87" t="str">
        <f>IF(F1008=0,"",IF(COUNTIF(F1008,"Bao"),[1]Setup!$B$4,IF(COUNTIF(F1008,"Soup Dumplings"),[1]Setup!$B$5,F1008)))</f>
        <v/>
      </c>
      <c r="J1008" s="88" t="str">
        <f t="shared" si="170"/>
        <v/>
      </c>
      <c r="K1008" s="88"/>
      <c r="L1008" s="87"/>
      <c r="M1008" s="87"/>
      <c r="N1008" s="87"/>
      <c r="O1008" s="87"/>
      <c r="P1008" s="89" t="str">
        <f t="shared" si="171"/>
        <v/>
      </c>
      <c r="Q1008" s="89" t="str">
        <f t="shared" si="172"/>
        <v/>
      </c>
      <c r="R1008" s="89" t="str">
        <f t="shared" si="173"/>
        <v/>
      </c>
      <c r="S1008" s="88" t="str">
        <f>IF(F1008="Bao",[1]Setup!$B$4,IF(F1008="Soup Dumplings",[1]Setup!$B$5,""))</f>
        <v/>
      </c>
      <c r="T1008" s="88" t="str">
        <f t="shared" si="174"/>
        <v/>
      </c>
      <c r="U1008" s="84" t="str">
        <f t="shared" si="175"/>
        <v/>
      </c>
      <c r="V1008" s="88">
        <f>IF(U1008="",0,MAX(0,T1008)+N1008+ROUND(J1008*[1]Setup!$B$9,0)+IF(O1008&gt;[1]Setup!$B$10,ROUND(J1008*[1]Setup!$B$11,0),0))</f>
        <v>0</v>
      </c>
      <c r="W1008" s="85" t="str">
        <f>IF(L1008="","Open",IF(OR(P1008&lt;[1]Setup!$B$6,Q1008&gt;[1]Setup!$B$7,R1008&gt;[1]Setup!$B$8,O1008&gt;[1]Setup!$B$10),"Review","OK"))</f>
        <v>Open</v>
      </c>
      <c r="X1008" s="86"/>
    </row>
    <row r="1009" spans="1:24" x14ac:dyDescent="0.3">
      <c r="A1009" s="84"/>
      <c r="B1009" s="100">
        <f t="shared" si="168"/>
        <v>0</v>
      </c>
      <c r="C1009" s="84" t="str">
        <f t="shared" si="169"/>
        <v>January</v>
      </c>
      <c r="D1009" s="85" t="str">
        <f t="shared" si="167"/>
        <v/>
      </c>
      <c r="E1009" s="86"/>
      <c r="F1009" s="86"/>
      <c r="G1009" s="86"/>
      <c r="H1009" s="86"/>
      <c r="I1009" s="87" t="str">
        <f>IF(F1009=0,"",IF(COUNTIF(F1009,"Bao"),[1]Setup!$B$4,IF(COUNTIF(F1009,"Soup Dumplings"),[1]Setup!$B$5,F1009)))</f>
        <v/>
      </c>
      <c r="J1009" s="88" t="str">
        <f t="shared" si="170"/>
        <v/>
      </c>
      <c r="K1009" s="88"/>
      <c r="L1009" s="87"/>
      <c r="M1009" s="87"/>
      <c r="N1009" s="87"/>
      <c r="O1009" s="87"/>
      <c r="P1009" s="89" t="str">
        <f t="shared" si="171"/>
        <v/>
      </c>
      <c r="Q1009" s="89" t="str">
        <f t="shared" si="172"/>
        <v/>
      </c>
      <c r="R1009" s="89" t="str">
        <f t="shared" si="173"/>
        <v/>
      </c>
      <c r="S1009" s="88" t="str">
        <f>IF(F1009="Bao",[1]Setup!$B$4,IF(F1009="Soup Dumplings",[1]Setup!$B$5,""))</f>
        <v/>
      </c>
      <c r="T1009" s="88" t="str">
        <f t="shared" si="174"/>
        <v/>
      </c>
      <c r="U1009" s="84" t="str">
        <f t="shared" si="175"/>
        <v/>
      </c>
      <c r="V1009" s="88">
        <f>IF(U1009="",0,MAX(0,T1009)+N1009+ROUND(J1009*[1]Setup!$B$9,0)+IF(O1009&gt;[1]Setup!$B$10,ROUND(J1009*[1]Setup!$B$11,0),0))</f>
        <v>0</v>
      </c>
      <c r="W1009" s="85" t="str">
        <f>IF(L1009="","Open",IF(OR(P1009&lt;[1]Setup!$B$6,Q1009&gt;[1]Setup!$B$7,R1009&gt;[1]Setup!$B$8,O1009&gt;[1]Setup!$B$10),"Review","OK"))</f>
        <v>Open</v>
      </c>
      <c r="X1009" s="86"/>
    </row>
    <row r="1010" spans="1:24" x14ac:dyDescent="0.3">
      <c r="A1010" s="84"/>
      <c r="B1010" s="100">
        <f t="shared" si="168"/>
        <v>0</v>
      </c>
      <c r="C1010" s="84" t="str">
        <f t="shared" si="169"/>
        <v>January</v>
      </c>
      <c r="D1010" s="85" t="str">
        <f t="shared" si="167"/>
        <v/>
      </c>
      <c r="E1010" s="86"/>
      <c r="F1010" s="86"/>
      <c r="G1010" s="86"/>
      <c r="H1010" s="86"/>
      <c r="I1010" s="87" t="str">
        <f>IF(F1010=0,"",IF(COUNTIF(F1010,"Bao"),[1]Setup!$B$4,IF(COUNTIF(F1010,"Soup Dumplings"),[1]Setup!$B$5,F1010)))</f>
        <v/>
      </c>
      <c r="J1010" s="88" t="str">
        <f t="shared" si="170"/>
        <v/>
      </c>
      <c r="K1010" s="88"/>
      <c r="L1010" s="87"/>
      <c r="M1010" s="87"/>
      <c r="N1010" s="87"/>
      <c r="O1010" s="87"/>
      <c r="P1010" s="89" t="str">
        <f t="shared" si="171"/>
        <v/>
      </c>
      <c r="Q1010" s="89" t="str">
        <f t="shared" si="172"/>
        <v/>
      </c>
      <c r="R1010" s="89" t="str">
        <f t="shared" si="173"/>
        <v/>
      </c>
      <c r="S1010" s="88" t="str">
        <f>IF(F1010="Bao",[1]Setup!$B$4,IF(F1010="Soup Dumplings",[1]Setup!$B$5,""))</f>
        <v/>
      </c>
      <c r="T1010" s="88" t="str">
        <f t="shared" si="174"/>
        <v/>
      </c>
      <c r="U1010" s="84" t="str">
        <f t="shared" si="175"/>
        <v/>
      </c>
      <c r="V1010" s="88">
        <f>IF(U1010="",0,MAX(0,T1010)+N1010+ROUND(J1010*[1]Setup!$B$9,0)+IF(O1010&gt;[1]Setup!$B$10,ROUND(J1010*[1]Setup!$B$11,0),0))</f>
        <v>0</v>
      </c>
      <c r="W1010" s="85" t="str">
        <f>IF(L1010="","Open",IF(OR(P1010&lt;[1]Setup!$B$6,Q1010&gt;[1]Setup!$B$7,R1010&gt;[1]Setup!$B$8,O1010&gt;[1]Setup!$B$10),"Review","OK"))</f>
        <v>Open</v>
      </c>
      <c r="X1010" s="86"/>
    </row>
    <row r="1011" spans="1:24" x14ac:dyDescent="0.3">
      <c r="A1011" s="84"/>
      <c r="B1011" s="100">
        <f t="shared" si="168"/>
        <v>0</v>
      </c>
      <c r="C1011" s="84" t="str">
        <f t="shared" si="169"/>
        <v>January</v>
      </c>
      <c r="D1011" s="85" t="str">
        <f t="shared" si="167"/>
        <v/>
      </c>
      <c r="E1011" s="86"/>
      <c r="F1011" s="86"/>
      <c r="G1011" s="86"/>
      <c r="H1011" s="86"/>
      <c r="I1011" s="87" t="str">
        <f>IF(F1011=0,"",IF(COUNTIF(F1011,"Bao"),[1]Setup!$B$4,IF(COUNTIF(F1011,"Soup Dumplings"),[1]Setup!$B$5,F1011)))</f>
        <v/>
      </c>
      <c r="J1011" s="88" t="str">
        <f t="shared" si="170"/>
        <v/>
      </c>
      <c r="K1011" s="88"/>
      <c r="L1011" s="87"/>
      <c r="M1011" s="87"/>
      <c r="N1011" s="87"/>
      <c r="O1011" s="87"/>
      <c r="P1011" s="89" t="str">
        <f t="shared" si="171"/>
        <v/>
      </c>
      <c r="Q1011" s="89" t="str">
        <f t="shared" si="172"/>
        <v/>
      </c>
      <c r="R1011" s="89" t="str">
        <f t="shared" si="173"/>
        <v/>
      </c>
      <c r="S1011" s="88" t="str">
        <f>IF(F1011="Bao",[1]Setup!$B$4,IF(F1011="Soup Dumplings",[1]Setup!$B$5,""))</f>
        <v/>
      </c>
      <c r="T1011" s="88" t="str">
        <f t="shared" si="174"/>
        <v/>
      </c>
      <c r="U1011" s="84" t="str">
        <f t="shared" si="175"/>
        <v/>
      </c>
      <c r="V1011" s="88">
        <f>IF(U1011="",0,MAX(0,T1011)+N1011+ROUND(J1011*[1]Setup!$B$9,0)+IF(O1011&gt;[1]Setup!$B$10,ROUND(J1011*[1]Setup!$B$11,0),0))</f>
        <v>0</v>
      </c>
      <c r="W1011" s="85" t="str">
        <f>IF(L1011="","Open",IF(OR(P1011&lt;[1]Setup!$B$6,Q1011&gt;[1]Setup!$B$7,R1011&gt;[1]Setup!$B$8,O1011&gt;[1]Setup!$B$10),"Review","OK"))</f>
        <v>Open</v>
      </c>
      <c r="X1011" s="86"/>
    </row>
    <row r="1012" spans="1:24" x14ac:dyDescent="0.3">
      <c r="A1012" s="84"/>
      <c r="B1012" s="100">
        <f t="shared" si="168"/>
        <v>0</v>
      </c>
      <c r="C1012" s="84" t="str">
        <f t="shared" si="169"/>
        <v>January</v>
      </c>
      <c r="D1012" s="85" t="str">
        <f t="shared" si="167"/>
        <v/>
      </c>
      <c r="E1012" s="86"/>
      <c r="F1012" s="86"/>
      <c r="G1012" s="86"/>
      <c r="H1012" s="86"/>
      <c r="I1012" s="87" t="str">
        <f>IF(F1012=0,"",IF(COUNTIF(F1012,"Bao"),[1]Setup!$B$4,IF(COUNTIF(F1012,"Soup Dumplings"),[1]Setup!$B$5,F1012)))</f>
        <v/>
      </c>
      <c r="J1012" s="88" t="str">
        <f t="shared" si="170"/>
        <v/>
      </c>
      <c r="K1012" s="88"/>
      <c r="L1012" s="87"/>
      <c r="M1012" s="87"/>
      <c r="N1012" s="87"/>
      <c r="O1012" s="87"/>
      <c r="P1012" s="89" t="str">
        <f t="shared" si="171"/>
        <v/>
      </c>
      <c r="Q1012" s="89" t="str">
        <f t="shared" si="172"/>
        <v/>
      </c>
      <c r="R1012" s="89" t="str">
        <f t="shared" si="173"/>
        <v/>
      </c>
      <c r="S1012" s="88" t="str">
        <f>IF(F1012="Bao",[1]Setup!$B$4,IF(F1012="Soup Dumplings",[1]Setup!$B$5,""))</f>
        <v/>
      </c>
      <c r="T1012" s="88" t="str">
        <f t="shared" si="174"/>
        <v/>
      </c>
      <c r="U1012" s="84" t="str">
        <f t="shared" si="175"/>
        <v/>
      </c>
      <c r="V1012" s="88">
        <f>IF(U1012="",0,MAX(0,T1012)+N1012+ROUND(J1012*[1]Setup!$B$9,0)+IF(O1012&gt;[1]Setup!$B$10,ROUND(J1012*[1]Setup!$B$11,0),0))</f>
        <v>0</v>
      </c>
      <c r="W1012" s="85" t="str">
        <f>IF(L1012="","Open",IF(OR(P1012&lt;[1]Setup!$B$6,Q1012&gt;[1]Setup!$B$7,R1012&gt;[1]Setup!$B$8,O1012&gt;[1]Setup!$B$10),"Review","OK"))</f>
        <v>Open</v>
      </c>
      <c r="X1012" s="86"/>
    </row>
    <row r="1013" spans="1:24" x14ac:dyDescent="0.3">
      <c r="A1013" s="84"/>
      <c r="B1013" s="100">
        <f t="shared" si="168"/>
        <v>0</v>
      </c>
      <c r="C1013" s="84" t="str">
        <f t="shared" si="169"/>
        <v>January</v>
      </c>
      <c r="D1013" s="85" t="str">
        <f t="shared" si="167"/>
        <v/>
      </c>
      <c r="E1013" s="86"/>
      <c r="F1013" s="86"/>
      <c r="G1013" s="86"/>
      <c r="H1013" s="86"/>
      <c r="I1013" s="87" t="str">
        <f>IF(F1013=0,"",IF(COUNTIF(F1013,"Bao"),[1]Setup!$B$4,IF(COUNTIF(F1013,"Soup Dumplings"),[1]Setup!$B$5,F1013)))</f>
        <v/>
      </c>
      <c r="J1013" s="88" t="str">
        <f t="shared" si="170"/>
        <v/>
      </c>
      <c r="K1013" s="88"/>
      <c r="L1013" s="87"/>
      <c r="M1013" s="87"/>
      <c r="N1013" s="87"/>
      <c r="O1013" s="87"/>
      <c r="P1013" s="89" t="str">
        <f t="shared" si="171"/>
        <v/>
      </c>
      <c r="Q1013" s="89" t="str">
        <f t="shared" si="172"/>
        <v/>
      </c>
      <c r="R1013" s="89" t="str">
        <f t="shared" si="173"/>
        <v/>
      </c>
      <c r="S1013" s="88" t="str">
        <f>IF(F1013="Bao",[1]Setup!$B$4,IF(F1013="Soup Dumplings",[1]Setup!$B$5,""))</f>
        <v/>
      </c>
      <c r="T1013" s="88" t="str">
        <f t="shared" si="174"/>
        <v/>
      </c>
      <c r="U1013" s="84" t="str">
        <f t="shared" si="175"/>
        <v/>
      </c>
      <c r="V1013" s="88">
        <f>IF(U1013="",0,MAX(0,T1013)+N1013+ROUND(J1013*[1]Setup!$B$9,0)+IF(O1013&gt;[1]Setup!$B$10,ROUND(J1013*[1]Setup!$B$11,0),0))</f>
        <v>0</v>
      </c>
      <c r="W1013" s="85" t="str">
        <f>IF(L1013="","Open",IF(OR(P1013&lt;[1]Setup!$B$6,Q1013&gt;[1]Setup!$B$7,R1013&gt;[1]Setup!$B$8,O1013&gt;[1]Setup!$B$10),"Review","OK"))</f>
        <v>Open</v>
      </c>
      <c r="X1013" s="86"/>
    </row>
    <row r="1014" spans="1:24" x14ac:dyDescent="0.3">
      <c r="A1014" s="84"/>
      <c r="B1014" s="100">
        <f t="shared" si="168"/>
        <v>0</v>
      </c>
      <c r="C1014" s="84" t="str">
        <f t="shared" si="169"/>
        <v>January</v>
      </c>
      <c r="D1014" s="85" t="str">
        <f t="shared" si="167"/>
        <v/>
      </c>
      <c r="E1014" s="86"/>
      <c r="F1014" s="86"/>
      <c r="G1014" s="86"/>
      <c r="H1014" s="86"/>
      <c r="I1014" s="87" t="str">
        <f>IF(F1014=0,"",IF(COUNTIF(F1014,"Bao"),[1]Setup!$B$4,IF(COUNTIF(F1014,"Soup Dumplings"),[1]Setup!$B$5,F1014)))</f>
        <v/>
      </c>
      <c r="J1014" s="88" t="str">
        <f t="shared" si="170"/>
        <v/>
      </c>
      <c r="K1014" s="88"/>
      <c r="L1014" s="87"/>
      <c r="M1014" s="87"/>
      <c r="N1014" s="87"/>
      <c r="O1014" s="87"/>
      <c r="P1014" s="89" t="str">
        <f t="shared" si="171"/>
        <v/>
      </c>
      <c r="Q1014" s="89" t="str">
        <f t="shared" si="172"/>
        <v/>
      </c>
      <c r="R1014" s="89" t="str">
        <f t="shared" si="173"/>
        <v/>
      </c>
      <c r="S1014" s="88" t="str">
        <f>IF(F1014="Bao",[1]Setup!$B$4,IF(F1014="Soup Dumplings",[1]Setup!$B$5,""))</f>
        <v/>
      </c>
      <c r="T1014" s="88" t="str">
        <f t="shared" si="174"/>
        <v/>
      </c>
      <c r="U1014" s="84" t="str">
        <f t="shared" si="175"/>
        <v/>
      </c>
      <c r="V1014" s="88">
        <f>IF(U1014="",0,MAX(0,T1014)+N1014+ROUND(J1014*[1]Setup!$B$9,0)+IF(O1014&gt;[1]Setup!$B$10,ROUND(J1014*[1]Setup!$B$11,0),0))</f>
        <v>0</v>
      </c>
      <c r="W1014" s="85" t="str">
        <f>IF(L1014="","Open",IF(OR(P1014&lt;[1]Setup!$B$6,Q1014&gt;[1]Setup!$B$7,R1014&gt;[1]Setup!$B$8,O1014&gt;[1]Setup!$B$10),"Review","OK"))</f>
        <v>Open</v>
      </c>
      <c r="X1014" s="86"/>
    </row>
    <row r="1015" spans="1:24" x14ac:dyDescent="0.3">
      <c r="A1015" s="84"/>
      <c r="B1015" s="100">
        <f t="shared" si="168"/>
        <v>0</v>
      </c>
      <c r="C1015" s="84" t="str">
        <f t="shared" si="169"/>
        <v>January</v>
      </c>
      <c r="D1015" s="85" t="str">
        <f t="shared" si="167"/>
        <v/>
      </c>
      <c r="E1015" s="86"/>
      <c r="F1015" s="86"/>
      <c r="G1015" s="86"/>
      <c r="H1015" s="86"/>
      <c r="I1015" s="87" t="str">
        <f>IF(F1015=0,"",IF(COUNTIF(F1015,"Bao"),[1]Setup!$B$4,IF(COUNTIF(F1015,"Soup Dumplings"),[1]Setup!$B$5,F1015)))</f>
        <v/>
      </c>
      <c r="J1015" s="88" t="str">
        <f t="shared" si="170"/>
        <v/>
      </c>
      <c r="K1015" s="88"/>
      <c r="L1015" s="87"/>
      <c r="M1015" s="87"/>
      <c r="N1015" s="87"/>
      <c r="O1015" s="87"/>
      <c r="P1015" s="89" t="str">
        <f t="shared" si="171"/>
        <v/>
      </c>
      <c r="Q1015" s="89" t="str">
        <f t="shared" si="172"/>
        <v/>
      </c>
      <c r="R1015" s="89" t="str">
        <f t="shared" si="173"/>
        <v/>
      </c>
      <c r="S1015" s="88" t="str">
        <f>IF(F1015="Bao",[1]Setup!$B$4,IF(F1015="Soup Dumplings",[1]Setup!$B$5,""))</f>
        <v/>
      </c>
      <c r="T1015" s="88" t="str">
        <f t="shared" si="174"/>
        <v/>
      </c>
      <c r="U1015" s="84" t="str">
        <f t="shared" si="175"/>
        <v/>
      </c>
      <c r="V1015" s="88">
        <f>IF(U1015="",0,MAX(0,T1015)+N1015+ROUND(J1015*[1]Setup!$B$9,0)+IF(O1015&gt;[1]Setup!$B$10,ROUND(J1015*[1]Setup!$B$11,0),0))</f>
        <v>0</v>
      </c>
      <c r="W1015" s="85" t="str">
        <f>IF(L1015="","Open",IF(OR(P1015&lt;[1]Setup!$B$6,Q1015&gt;[1]Setup!$B$7,R1015&gt;[1]Setup!$B$8,O1015&gt;[1]Setup!$B$10),"Review","OK"))</f>
        <v>Open</v>
      </c>
      <c r="X1015" s="86"/>
    </row>
    <row r="1016" spans="1:24" x14ac:dyDescent="0.3">
      <c r="A1016" s="84"/>
      <c r="B1016" s="100">
        <f t="shared" si="168"/>
        <v>0</v>
      </c>
      <c r="C1016" s="84" t="str">
        <f t="shared" si="169"/>
        <v>January</v>
      </c>
      <c r="D1016" s="85" t="str">
        <f t="shared" si="167"/>
        <v/>
      </c>
      <c r="E1016" s="86"/>
      <c r="F1016" s="86"/>
      <c r="G1016" s="86"/>
      <c r="H1016" s="86"/>
      <c r="I1016" s="87" t="str">
        <f>IF(F1016=0,"",IF(COUNTIF(F1016,"Bao"),[1]Setup!$B$4,IF(COUNTIF(F1016,"Soup Dumplings"),[1]Setup!$B$5,F1016)))</f>
        <v/>
      </c>
      <c r="J1016" s="88" t="str">
        <f t="shared" si="170"/>
        <v/>
      </c>
      <c r="K1016" s="88"/>
      <c r="L1016" s="87"/>
      <c r="M1016" s="87"/>
      <c r="N1016" s="87"/>
      <c r="O1016" s="87"/>
      <c r="P1016" s="89" t="str">
        <f t="shared" si="171"/>
        <v/>
      </c>
      <c r="Q1016" s="89" t="str">
        <f t="shared" si="172"/>
        <v/>
      </c>
      <c r="R1016" s="89" t="str">
        <f t="shared" si="173"/>
        <v/>
      </c>
      <c r="S1016" s="88" t="str">
        <f>IF(F1016="Bao",[1]Setup!$B$4,IF(F1016="Soup Dumplings",[1]Setup!$B$5,""))</f>
        <v/>
      </c>
      <c r="T1016" s="88" t="str">
        <f t="shared" si="174"/>
        <v/>
      </c>
      <c r="U1016" s="84" t="str">
        <f t="shared" si="175"/>
        <v/>
      </c>
      <c r="V1016" s="88">
        <f>IF(U1016="",0,MAX(0,T1016)+N1016+ROUND(J1016*[1]Setup!$B$9,0)+IF(O1016&gt;[1]Setup!$B$10,ROUND(J1016*[1]Setup!$B$11,0),0))</f>
        <v>0</v>
      </c>
      <c r="W1016" s="85" t="str">
        <f>IF(L1016="","Open",IF(OR(P1016&lt;[1]Setup!$B$6,Q1016&gt;[1]Setup!$B$7,R1016&gt;[1]Setup!$B$8,O1016&gt;[1]Setup!$B$10),"Review","OK"))</f>
        <v>Open</v>
      </c>
      <c r="X1016" s="86"/>
    </row>
    <row r="1017" spans="1:24" x14ac:dyDescent="0.3">
      <c r="A1017" s="84"/>
      <c r="B1017" s="100">
        <f t="shared" si="168"/>
        <v>0</v>
      </c>
      <c r="C1017" s="84" t="str">
        <f t="shared" si="169"/>
        <v>January</v>
      </c>
      <c r="D1017" s="85" t="str">
        <f t="shared" si="167"/>
        <v/>
      </c>
      <c r="E1017" s="86"/>
      <c r="F1017" s="86"/>
      <c r="G1017" s="86"/>
      <c r="H1017" s="86"/>
      <c r="I1017" s="87" t="str">
        <f>IF(F1017=0,"",IF(COUNTIF(F1017,"Bao"),[1]Setup!$B$4,IF(COUNTIF(F1017,"Soup Dumplings"),[1]Setup!$B$5,F1017)))</f>
        <v/>
      </c>
      <c r="J1017" s="88" t="str">
        <f t="shared" si="170"/>
        <v/>
      </c>
      <c r="K1017" s="88"/>
      <c r="L1017" s="87"/>
      <c r="M1017" s="87"/>
      <c r="N1017" s="87"/>
      <c r="O1017" s="87"/>
      <c r="P1017" s="89" t="str">
        <f t="shared" si="171"/>
        <v/>
      </c>
      <c r="Q1017" s="89" t="str">
        <f t="shared" si="172"/>
        <v/>
      </c>
      <c r="R1017" s="89" t="str">
        <f t="shared" si="173"/>
        <v/>
      </c>
      <c r="S1017" s="88" t="str">
        <f>IF(F1017="Bao",[1]Setup!$B$4,IF(F1017="Soup Dumplings",[1]Setup!$B$5,""))</f>
        <v/>
      </c>
      <c r="T1017" s="88" t="str">
        <f t="shared" si="174"/>
        <v/>
      </c>
      <c r="U1017" s="84" t="str">
        <f t="shared" si="175"/>
        <v/>
      </c>
      <c r="V1017" s="88">
        <f>IF(U1017="",0,MAX(0,T1017)+N1017+ROUND(J1017*[1]Setup!$B$9,0)+IF(O1017&gt;[1]Setup!$B$10,ROUND(J1017*[1]Setup!$B$11,0),0))</f>
        <v>0</v>
      </c>
      <c r="W1017" s="85" t="str">
        <f>IF(L1017="","Open",IF(OR(P1017&lt;[1]Setup!$B$6,Q1017&gt;[1]Setup!$B$7,R1017&gt;[1]Setup!$B$8,O1017&gt;[1]Setup!$B$10),"Review","OK"))</f>
        <v>Open</v>
      </c>
      <c r="X1017" s="86"/>
    </row>
    <row r="1018" spans="1:24" x14ac:dyDescent="0.3">
      <c r="A1018" s="84"/>
      <c r="B1018" s="100">
        <f t="shared" si="168"/>
        <v>0</v>
      </c>
      <c r="C1018" s="84" t="str">
        <f t="shared" si="169"/>
        <v>January</v>
      </c>
      <c r="D1018" s="85" t="str">
        <f t="shared" si="167"/>
        <v/>
      </c>
      <c r="E1018" s="86"/>
      <c r="F1018" s="86"/>
      <c r="G1018" s="86"/>
      <c r="H1018" s="86"/>
      <c r="I1018" s="87" t="str">
        <f>IF(F1018=0,"",IF(COUNTIF(F1018,"Bao"),[1]Setup!$B$4,IF(COUNTIF(F1018,"Soup Dumplings"),[1]Setup!$B$5,F1018)))</f>
        <v/>
      </c>
      <c r="J1018" s="88" t="str">
        <f t="shared" si="170"/>
        <v/>
      </c>
      <c r="K1018" s="88"/>
      <c r="L1018" s="87"/>
      <c r="M1018" s="87"/>
      <c r="N1018" s="87"/>
      <c r="O1018" s="87"/>
      <c r="P1018" s="89" t="str">
        <f t="shared" si="171"/>
        <v/>
      </c>
      <c r="Q1018" s="89" t="str">
        <f t="shared" si="172"/>
        <v/>
      </c>
      <c r="R1018" s="89" t="str">
        <f t="shared" si="173"/>
        <v/>
      </c>
      <c r="S1018" s="88" t="str">
        <f>IF(F1018="Bao",[1]Setup!$B$4,IF(F1018="Soup Dumplings",[1]Setup!$B$5,""))</f>
        <v/>
      </c>
      <c r="T1018" s="88" t="str">
        <f t="shared" si="174"/>
        <v/>
      </c>
      <c r="U1018" s="84" t="str">
        <f t="shared" si="175"/>
        <v/>
      </c>
      <c r="V1018" s="88">
        <f>IF(U1018="",0,MAX(0,T1018)+N1018+ROUND(J1018*[1]Setup!$B$9,0)+IF(O1018&gt;[1]Setup!$B$10,ROUND(J1018*[1]Setup!$B$11,0),0))</f>
        <v>0</v>
      </c>
      <c r="W1018" s="85" t="str">
        <f>IF(L1018="","Open",IF(OR(P1018&lt;[1]Setup!$B$6,Q1018&gt;[1]Setup!$B$7,R1018&gt;[1]Setup!$B$8,O1018&gt;[1]Setup!$B$10),"Review","OK"))</f>
        <v>Open</v>
      </c>
      <c r="X1018" s="86"/>
    </row>
    <row r="1019" spans="1:24" x14ac:dyDescent="0.3">
      <c r="A1019" s="84"/>
      <c r="B1019" s="100">
        <f t="shared" si="168"/>
        <v>0</v>
      </c>
      <c r="C1019" s="84" t="str">
        <f t="shared" si="169"/>
        <v>January</v>
      </c>
      <c r="D1019" s="85" t="str">
        <f t="shared" si="167"/>
        <v/>
      </c>
      <c r="E1019" s="86"/>
      <c r="F1019" s="86"/>
      <c r="G1019" s="86"/>
      <c r="H1019" s="86"/>
      <c r="I1019" s="87" t="str">
        <f>IF(F1019=0,"",IF(COUNTIF(F1019,"Bao"),[1]Setup!$B$4,IF(COUNTIF(F1019,"Soup Dumplings"),[1]Setup!$B$5,F1019)))</f>
        <v/>
      </c>
      <c r="J1019" s="88" t="str">
        <f t="shared" si="170"/>
        <v/>
      </c>
      <c r="K1019" s="88"/>
      <c r="L1019" s="87"/>
      <c r="M1019" s="87"/>
      <c r="N1019" s="87"/>
      <c r="O1019" s="87"/>
      <c r="P1019" s="89" t="str">
        <f t="shared" si="171"/>
        <v/>
      </c>
      <c r="Q1019" s="89" t="str">
        <f t="shared" si="172"/>
        <v/>
      </c>
      <c r="R1019" s="89" t="str">
        <f t="shared" si="173"/>
        <v/>
      </c>
      <c r="S1019" s="88" t="str">
        <f>IF(F1019="Bao",[1]Setup!$B$4,IF(F1019="Soup Dumplings",[1]Setup!$B$5,""))</f>
        <v/>
      </c>
      <c r="T1019" s="88" t="str">
        <f t="shared" si="174"/>
        <v/>
      </c>
      <c r="U1019" s="84" t="str">
        <f t="shared" si="175"/>
        <v/>
      </c>
      <c r="V1019" s="88">
        <f>IF(U1019="",0,MAX(0,T1019)+N1019+ROUND(J1019*[1]Setup!$B$9,0)+IF(O1019&gt;[1]Setup!$B$10,ROUND(J1019*[1]Setup!$B$11,0),0))</f>
        <v>0</v>
      </c>
      <c r="W1019" s="85" t="str">
        <f>IF(L1019="","Open",IF(OR(P1019&lt;[1]Setup!$B$6,Q1019&gt;[1]Setup!$B$7,R1019&gt;[1]Setup!$B$8,O1019&gt;[1]Setup!$B$10),"Review","OK"))</f>
        <v>Open</v>
      </c>
      <c r="X1019" s="86"/>
    </row>
    <row r="1020" spans="1:24" x14ac:dyDescent="0.3">
      <c r="A1020" s="84"/>
      <c r="B1020" s="100">
        <f t="shared" si="168"/>
        <v>0</v>
      </c>
      <c r="C1020" s="84" t="str">
        <f t="shared" si="169"/>
        <v>January</v>
      </c>
      <c r="D1020" s="85" t="str">
        <f t="shared" si="167"/>
        <v/>
      </c>
      <c r="E1020" s="86"/>
      <c r="F1020" s="86"/>
      <c r="G1020" s="86"/>
      <c r="H1020" s="86"/>
      <c r="I1020" s="87" t="str">
        <f>IF(F1020=0,"",IF(COUNTIF(F1020,"Bao"),[1]Setup!$B$4,IF(COUNTIF(F1020,"Soup Dumplings"),[1]Setup!$B$5,F1020)))</f>
        <v/>
      </c>
      <c r="J1020" s="88" t="str">
        <f t="shared" si="170"/>
        <v/>
      </c>
      <c r="K1020" s="88"/>
      <c r="L1020" s="87"/>
      <c r="M1020" s="87"/>
      <c r="N1020" s="87"/>
      <c r="O1020" s="87"/>
      <c r="P1020" s="89" t="str">
        <f t="shared" si="171"/>
        <v/>
      </c>
      <c r="Q1020" s="89" t="str">
        <f t="shared" si="172"/>
        <v/>
      </c>
      <c r="R1020" s="89" t="str">
        <f t="shared" si="173"/>
        <v/>
      </c>
      <c r="S1020" s="88" t="str">
        <f>IF(F1020="Bao",[1]Setup!$B$4,IF(F1020="Soup Dumplings",[1]Setup!$B$5,""))</f>
        <v/>
      </c>
      <c r="T1020" s="88" t="str">
        <f t="shared" si="174"/>
        <v/>
      </c>
      <c r="U1020" s="84" t="str">
        <f t="shared" si="175"/>
        <v/>
      </c>
      <c r="V1020" s="88">
        <f>IF(U1020="",0,MAX(0,T1020)+N1020+ROUND(J1020*[1]Setup!$B$9,0)+IF(O1020&gt;[1]Setup!$B$10,ROUND(J1020*[1]Setup!$B$11,0),0))</f>
        <v>0</v>
      </c>
      <c r="W1020" s="85" t="str">
        <f>IF(L1020="","Open",IF(OR(P1020&lt;[1]Setup!$B$6,Q1020&gt;[1]Setup!$B$7,R1020&gt;[1]Setup!$B$8,O1020&gt;[1]Setup!$B$10),"Review","OK"))</f>
        <v>Open</v>
      </c>
      <c r="X1020" s="86"/>
    </row>
    <row r="1021" spans="1:24" x14ac:dyDescent="0.3">
      <c r="A1021" s="84"/>
      <c r="B1021" s="100">
        <f t="shared" si="168"/>
        <v>0</v>
      </c>
      <c r="C1021" s="84" t="str">
        <f t="shared" si="169"/>
        <v>January</v>
      </c>
      <c r="D1021" s="85" t="str">
        <f t="shared" si="167"/>
        <v/>
      </c>
      <c r="E1021" s="86"/>
      <c r="F1021" s="86"/>
      <c r="G1021" s="86"/>
      <c r="H1021" s="86"/>
      <c r="I1021" s="87" t="str">
        <f>IF(F1021=0,"",IF(COUNTIF(F1021,"Bao"),[1]Setup!$B$4,IF(COUNTIF(F1021,"Soup Dumplings"),[1]Setup!$B$5,F1021)))</f>
        <v/>
      </c>
      <c r="J1021" s="88" t="str">
        <f t="shared" si="170"/>
        <v/>
      </c>
      <c r="K1021" s="88"/>
      <c r="L1021" s="87"/>
      <c r="M1021" s="87"/>
      <c r="N1021" s="87"/>
      <c r="O1021" s="87"/>
      <c r="P1021" s="89" t="str">
        <f t="shared" si="171"/>
        <v/>
      </c>
      <c r="Q1021" s="89" t="str">
        <f t="shared" si="172"/>
        <v/>
      </c>
      <c r="R1021" s="89" t="str">
        <f t="shared" si="173"/>
        <v/>
      </c>
      <c r="S1021" s="88" t="str">
        <f>IF(F1021="Bao",[1]Setup!$B$4,IF(F1021="Soup Dumplings",[1]Setup!$B$5,""))</f>
        <v/>
      </c>
      <c r="T1021" s="88" t="str">
        <f t="shared" si="174"/>
        <v/>
      </c>
      <c r="U1021" s="84" t="str">
        <f t="shared" si="175"/>
        <v/>
      </c>
      <c r="V1021" s="88">
        <f>IF(U1021="",0,MAX(0,T1021)+N1021+ROUND(J1021*[1]Setup!$B$9,0)+IF(O1021&gt;[1]Setup!$B$10,ROUND(J1021*[1]Setup!$B$11,0),0))</f>
        <v>0</v>
      </c>
      <c r="W1021" s="85" t="str">
        <f>IF(L1021="","Open",IF(OR(P1021&lt;[1]Setup!$B$6,Q1021&gt;[1]Setup!$B$7,R1021&gt;[1]Setup!$B$8,O1021&gt;[1]Setup!$B$10),"Review","OK"))</f>
        <v>Open</v>
      </c>
      <c r="X1021" s="86"/>
    </row>
    <row r="1022" spans="1:24" x14ac:dyDescent="0.3">
      <c r="A1022" s="84"/>
      <c r="B1022" s="100">
        <f t="shared" si="168"/>
        <v>0</v>
      </c>
      <c r="C1022" s="84" t="str">
        <f t="shared" si="169"/>
        <v>January</v>
      </c>
      <c r="D1022" s="85" t="str">
        <f t="shared" si="167"/>
        <v/>
      </c>
      <c r="E1022" s="86"/>
      <c r="F1022" s="86"/>
      <c r="G1022" s="86"/>
      <c r="H1022" s="86"/>
      <c r="I1022" s="87" t="str">
        <f>IF(F1022=0,"",IF(COUNTIF(F1022,"Bao"),[1]Setup!$B$4,IF(COUNTIF(F1022,"Soup Dumplings"),[1]Setup!$B$5,F1022)))</f>
        <v/>
      </c>
      <c r="J1022" s="88" t="str">
        <f t="shared" si="170"/>
        <v/>
      </c>
      <c r="K1022" s="88"/>
      <c r="L1022" s="87"/>
      <c r="M1022" s="87"/>
      <c r="N1022" s="87"/>
      <c r="O1022" s="87"/>
      <c r="P1022" s="89" t="str">
        <f t="shared" si="171"/>
        <v/>
      </c>
      <c r="Q1022" s="89" t="str">
        <f t="shared" si="172"/>
        <v/>
      </c>
      <c r="R1022" s="89" t="str">
        <f t="shared" si="173"/>
        <v/>
      </c>
      <c r="S1022" s="88" t="str">
        <f>IF(F1022="Bao",[1]Setup!$B$4,IF(F1022="Soup Dumplings",[1]Setup!$B$5,""))</f>
        <v/>
      </c>
      <c r="T1022" s="88" t="str">
        <f t="shared" si="174"/>
        <v/>
      </c>
      <c r="U1022" s="84" t="str">
        <f t="shared" si="175"/>
        <v/>
      </c>
      <c r="V1022" s="88">
        <f>IF(U1022="",0,MAX(0,T1022)+N1022+ROUND(J1022*[1]Setup!$B$9,0)+IF(O1022&gt;[1]Setup!$B$10,ROUND(J1022*[1]Setup!$B$11,0),0))</f>
        <v>0</v>
      </c>
      <c r="W1022" s="85" t="str">
        <f>IF(L1022="","Open",IF(OR(P1022&lt;[1]Setup!$B$6,Q1022&gt;[1]Setup!$B$7,R1022&gt;[1]Setup!$B$8,O1022&gt;[1]Setup!$B$10),"Review","OK"))</f>
        <v>Open</v>
      </c>
      <c r="X1022" s="86"/>
    </row>
    <row r="1023" spans="1:24" x14ac:dyDescent="0.3">
      <c r="A1023" s="84"/>
      <c r="B1023" s="100">
        <f t="shared" si="168"/>
        <v>0</v>
      </c>
      <c r="C1023" s="84" t="str">
        <f t="shared" si="169"/>
        <v>January</v>
      </c>
      <c r="D1023" s="85" t="str">
        <f t="shared" si="167"/>
        <v/>
      </c>
      <c r="E1023" s="86"/>
      <c r="F1023" s="86"/>
      <c r="G1023" s="86"/>
      <c r="H1023" s="86"/>
      <c r="I1023" s="87" t="str">
        <f>IF(F1023=0,"",IF(COUNTIF(F1023,"Bao"),[1]Setup!$B$4,IF(COUNTIF(F1023,"Soup Dumplings"),[1]Setup!$B$5,F1023)))</f>
        <v/>
      </c>
      <c r="J1023" s="88" t="str">
        <f t="shared" si="170"/>
        <v/>
      </c>
      <c r="K1023" s="88"/>
      <c r="L1023" s="87"/>
      <c r="M1023" s="87"/>
      <c r="N1023" s="87"/>
      <c r="O1023" s="87"/>
      <c r="P1023" s="89" t="str">
        <f t="shared" si="171"/>
        <v/>
      </c>
      <c r="Q1023" s="89" t="str">
        <f t="shared" si="172"/>
        <v/>
      </c>
      <c r="R1023" s="89" t="str">
        <f t="shared" si="173"/>
        <v/>
      </c>
      <c r="S1023" s="88" t="str">
        <f>IF(F1023="Bao",[1]Setup!$B$4,IF(F1023="Soup Dumplings",[1]Setup!$B$5,""))</f>
        <v/>
      </c>
      <c r="T1023" s="88" t="str">
        <f t="shared" si="174"/>
        <v/>
      </c>
      <c r="U1023" s="84" t="str">
        <f t="shared" si="175"/>
        <v/>
      </c>
      <c r="V1023" s="88">
        <f>IF(U1023="",0,MAX(0,T1023)+N1023+ROUND(J1023*[1]Setup!$B$9,0)+IF(O1023&gt;[1]Setup!$B$10,ROUND(J1023*[1]Setup!$B$11,0),0))</f>
        <v>0</v>
      </c>
      <c r="W1023" s="85" t="str">
        <f>IF(L1023="","Open",IF(OR(P1023&lt;[1]Setup!$B$6,Q1023&gt;[1]Setup!$B$7,R1023&gt;[1]Setup!$B$8,O1023&gt;[1]Setup!$B$10),"Review","OK"))</f>
        <v>Open</v>
      </c>
      <c r="X1023" s="86"/>
    </row>
    <row r="1024" spans="1:24" x14ac:dyDescent="0.3">
      <c r="A1024" s="84"/>
      <c r="B1024" s="100">
        <f t="shared" si="168"/>
        <v>0</v>
      </c>
      <c r="C1024" s="84" t="str">
        <f t="shared" si="169"/>
        <v>January</v>
      </c>
      <c r="D1024" s="85" t="str">
        <f t="shared" si="167"/>
        <v/>
      </c>
      <c r="E1024" s="86"/>
      <c r="F1024" s="86"/>
      <c r="G1024" s="86"/>
      <c r="H1024" s="86"/>
      <c r="I1024" s="87" t="str">
        <f>IF(F1024=0,"",IF(COUNTIF(F1024,"Bao"),[1]Setup!$B$4,IF(COUNTIF(F1024,"Soup Dumplings"),[1]Setup!$B$5,F1024)))</f>
        <v/>
      </c>
      <c r="J1024" s="88" t="str">
        <f t="shared" si="170"/>
        <v/>
      </c>
      <c r="K1024" s="88"/>
      <c r="L1024" s="87"/>
      <c r="M1024" s="87"/>
      <c r="N1024" s="87"/>
      <c r="O1024" s="87"/>
      <c r="P1024" s="89" t="str">
        <f t="shared" si="171"/>
        <v/>
      </c>
      <c r="Q1024" s="89" t="str">
        <f t="shared" si="172"/>
        <v/>
      </c>
      <c r="R1024" s="89" t="str">
        <f t="shared" si="173"/>
        <v/>
      </c>
      <c r="S1024" s="88" t="str">
        <f>IF(F1024="Bao",[1]Setup!$B$4,IF(F1024="Soup Dumplings",[1]Setup!$B$5,""))</f>
        <v/>
      </c>
      <c r="T1024" s="88" t="str">
        <f t="shared" si="174"/>
        <v/>
      </c>
      <c r="U1024" s="84" t="str">
        <f t="shared" si="175"/>
        <v/>
      </c>
      <c r="V1024" s="88">
        <f>IF(U1024="",0,MAX(0,T1024)+N1024+ROUND(J1024*[1]Setup!$B$9,0)+IF(O1024&gt;[1]Setup!$B$10,ROUND(J1024*[1]Setup!$B$11,0),0))</f>
        <v>0</v>
      </c>
      <c r="W1024" s="85" t="str">
        <f>IF(L1024="","Open",IF(OR(P1024&lt;[1]Setup!$B$6,Q1024&gt;[1]Setup!$B$7,R1024&gt;[1]Setup!$B$8,O1024&gt;[1]Setup!$B$10),"Review","OK"))</f>
        <v>Open</v>
      </c>
      <c r="X1024" s="86"/>
    </row>
    <row r="1025" spans="1:24" x14ac:dyDescent="0.3">
      <c r="A1025" s="84"/>
      <c r="B1025" s="100">
        <f t="shared" si="168"/>
        <v>0</v>
      </c>
      <c r="C1025" s="84" t="str">
        <f t="shared" si="169"/>
        <v>January</v>
      </c>
      <c r="D1025" s="85" t="str">
        <f t="shared" si="167"/>
        <v/>
      </c>
      <c r="E1025" s="86"/>
      <c r="F1025" s="86"/>
      <c r="G1025" s="86"/>
      <c r="H1025" s="86"/>
      <c r="I1025" s="87" t="str">
        <f>IF(F1025=0,"",IF(COUNTIF(F1025,"Bao"),[1]Setup!$B$4,IF(COUNTIF(F1025,"Soup Dumplings"),[1]Setup!$B$5,F1025)))</f>
        <v/>
      </c>
      <c r="J1025" s="88" t="str">
        <f t="shared" si="170"/>
        <v/>
      </c>
      <c r="K1025" s="88"/>
      <c r="L1025" s="87"/>
      <c r="M1025" s="87"/>
      <c r="N1025" s="87"/>
      <c r="O1025" s="87"/>
      <c r="P1025" s="89" t="str">
        <f t="shared" si="171"/>
        <v/>
      </c>
      <c r="Q1025" s="89" t="str">
        <f t="shared" si="172"/>
        <v/>
      </c>
      <c r="R1025" s="89" t="str">
        <f t="shared" si="173"/>
        <v/>
      </c>
      <c r="S1025" s="88" t="str">
        <f>IF(F1025="Bao",[1]Setup!$B$4,IF(F1025="Soup Dumplings",[1]Setup!$B$5,""))</f>
        <v/>
      </c>
      <c r="T1025" s="88" t="str">
        <f t="shared" si="174"/>
        <v/>
      </c>
      <c r="U1025" s="84" t="str">
        <f t="shared" si="175"/>
        <v/>
      </c>
      <c r="V1025" s="88">
        <f>IF(U1025="",0,MAX(0,T1025)+N1025+ROUND(J1025*[1]Setup!$B$9,0)+IF(O1025&gt;[1]Setup!$B$10,ROUND(J1025*[1]Setup!$B$11,0),0))</f>
        <v>0</v>
      </c>
      <c r="W1025" s="85" t="str">
        <f>IF(L1025="","Open",IF(OR(P1025&lt;[1]Setup!$B$6,Q1025&gt;[1]Setup!$B$7,R1025&gt;[1]Setup!$B$8,O1025&gt;[1]Setup!$B$10),"Review","OK"))</f>
        <v>Open</v>
      </c>
      <c r="X1025" s="86"/>
    </row>
    <row r="1026" spans="1:24" x14ac:dyDescent="0.3">
      <c r="A1026" s="84"/>
      <c r="B1026" s="100">
        <f t="shared" si="168"/>
        <v>0</v>
      </c>
      <c r="C1026" s="84" t="str">
        <f t="shared" si="169"/>
        <v>January</v>
      </c>
      <c r="D1026" s="85" t="str">
        <f t="shared" si="167"/>
        <v/>
      </c>
      <c r="E1026" s="86"/>
      <c r="F1026" s="86"/>
      <c r="G1026" s="86"/>
      <c r="H1026" s="86"/>
      <c r="I1026" s="87" t="str">
        <f>IF(F1026=0,"",IF(COUNTIF(F1026,"Bao"),[1]Setup!$B$4,IF(COUNTIF(F1026,"Soup Dumplings"),[1]Setup!$B$5,F1026)))</f>
        <v/>
      </c>
      <c r="J1026" s="88" t="str">
        <f t="shared" si="170"/>
        <v/>
      </c>
      <c r="K1026" s="88"/>
      <c r="L1026" s="87"/>
      <c r="M1026" s="87"/>
      <c r="N1026" s="87"/>
      <c r="O1026" s="87"/>
      <c r="P1026" s="89" t="str">
        <f t="shared" si="171"/>
        <v/>
      </c>
      <c r="Q1026" s="89" t="str">
        <f t="shared" si="172"/>
        <v/>
      </c>
      <c r="R1026" s="89" t="str">
        <f t="shared" si="173"/>
        <v/>
      </c>
      <c r="S1026" s="88" t="str">
        <f>IF(F1026="Bao",[1]Setup!$B$4,IF(F1026="Soup Dumplings",[1]Setup!$B$5,""))</f>
        <v/>
      </c>
      <c r="T1026" s="88" t="str">
        <f t="shared" si="174"/>
        <v/>
      </c>
      <c r="U1026" s="84" t="str">
        <f t="shared" si="175"/>
        <v/>
      </c>
      <c r="V1026" s="88">
        <f>IF(U1026="",0,MAX(0,T1026)+N1026+ROUND(J1026*[1]Setup!$B$9,0)+IF(O1026&gt;[1]Setup!$B$10,ROUND(J1026*[1]Setup!$B$11,0),0))</f>
        <v>0</v>
      </c>
      <c r="W1026" s="85" t="str">
        <f>IF(L1026="","Open",IF(OR(P1026&lt;[1]Setup!$B$6,Q1026&gt;[1]Setup!$B$7,R1026&gt;[1]Setup!$B$8,O1026&gt;[1]Setup!$B$10),"Review","OK"))</f>
        <v>Open</v>
      </c>
      <c r="X1026" s="86"/>
    </row>
    <row r="1027" spans="1:24" x14ac:dyDescent="0.3">
      <c r="A1027" s="84"/>
      <c r="B1027" s="100">
        <f t="shared" si="168"/>
        <v>0</v>
      </c>
      <c r="C1027" s="84" t="str">
        <f t="shared" si="169"/>
        <v>January</v>
      </c>
      <c r="D1027" s="85" t="str">
        <f t="shared" si="167"/>
        <v/>
      </c>
      <c r="E1027" s="86"/>
      <c r="F1027" s="86"/>
      <c r="G1027" s="86"/>
      <c r="H1027" s="86"/>
      <c r="I1027" s="87" t="str">
        <f>IF(F1027=0,"",IF(COUNTIF(F1027,"Bao"),[1]Setup!$B$4,IF(COUNTIF(F1027,"Soup Dumplings"),[1]Setup!$B$5,F1027)))</f>
        <v/>
      </c>
      <c r="J1027" s="88" t="str">
        <f t="shared" si="170"/>
        <v/>
      </c>
      <c r="K1027" s="88"/>
      <c r="L1027" s="87"/>
      <c r="M1027" s="87"/>
      <c r="N1027" s="87"/>
      <c r="O1027" s="87"/>
      <c r="P1027" s="89" t="str">
        <f t="shared" si="171"/>
        <v/>
      </c>
      <c r="Q1027" s="89" t="str">
        <f t="shared" si="172"/>
        <v/>
      </c>
      <c r="R1027" s="89" t="str">
        <f t="shared" si="173"/>
        <v/>
      </c>
      <c r="S1027" s="88" t="str">
        <f>IF(F1027="Bao",[1]Setup!$B$4,IF(F1027="Soup Dumplings",[1]Setup!$B$5,""))</f>
        <v/>
      </c>
      <c r="T1027" s="88" t="str">
        <f t="shared" si="174"/>
        <v/>
      </c>
      <c r="U1027" s="84" t="str">
        <f t="shared" si="175"/>
        <v/>
      </c>
      <c r="V1027" s="88">
        <f>IF(U1027="",0,MAX(0,T1027)+N1027+ROUND(J1027*[1]Setup!$B$9,0)+IF(O1027&gt;[1]Setup!$B$10,ROUND(J1027*[1]Setup!$B$11,0),0))</f>
        <v>0</v>
      </c>
      <c r="W1027" s="85" t="str">
        <f>IF(L1027="","Open",IF(OR(P1027&lt;[1]Setup!$B$6,Q1027&gt;[1]Setup!$B$7,R1027&gt;[1]Setup!$B$8,O1027&gt;[1]Setup!$B$10),"Review","OK"))</f>
        <v>Open</v>
      </c>
      <c r="X1027" s="86"/>
    </row>
    <row r="1028" spans="1:24" x14ac:dyDescent="0.3">
      <c r="A1028" s="84"/>
      <c r="B1028" s="100">
        <f t="shared" si="168"/>
        <v>0</v>
      </c>
      <c r="C1028" s="84" t="str">
        <f t="shared" si="169"/>
        <v>January</v>
      </c>
      <c r="D1028" s="85" t="str">
        <f t="shared" ref="D1028:D1091" si="176">IF(A1028="","",TEXT(A1028,"ddd"))</f>
        <v/>
      </c>
      <c r="E1028" s="86"/>
      <c r="F1028" s="86"/>
      <c r="G1028" s="86"/>
      <c r="H1028" s="86"/>
      <c r="I1028" s="87" t="str">
        <f>IF(F1028=0,"",IF(COUNTIF(F1028,"Bao"),[1]Setup!$B$4,IF(COUNTIF(F1028,"Soup Dumplings"),[1]Setup!$B$5,F1028)))</f>
        <v/>
      </c>
      <c r="J1028" s="88" t="str">
        <f t="shared" si="170"/>
        <v/>
      </c>
      <c r="K1028" s="88"/>
      <c r="L1028" s="87"/>
      <c r="M1028" s="87"/>
      <c r="N1028" s="87"/>
      <c r="O1028" s="87"/>
      <c r="P1028" s="89" t="str">
        <f t="shared" si="171"/>
        <v/>
      </c>
      <c r="Q1028" s="89" t="str">
        <f t="shared" si="172"/>
        <v/>
      </c>
      <c r="R1028" s="89" t="str">
        <f t="shared" si="173"/>
        <v/>
      </c>
      <c r="S1028" s="88" t="str">
        <f>IF(F1028="Bao",[1]Setup!$B$4,IF(F1028="Soup Dumplings",[1]Setup!$B$5,""))</f>
        <v/>
      </c>
      <c r="T1028" s="88" t="str">
        <f t="shared" si="174"/>
        <v/>
      </c>
      <c r="U1028" s="84" t="str">
        <f t="shared" si="175"/>
        <v/>
      </c>
      <c r="V1028" s="88">
        <f>IF(U1028="",0,MAX(0,T1028)+N1028+ROUND(J1028*[1]Setup!$B$9,0)+IF(O1028&gt;[1]Setup!$B$10,ROUND(J1028*[1]Setup!$B$11,0),0))</f>
        <v>0</v>
      </c>
      <c r="W1028" s="85" t="str">
        <f>IF(L1028="","Open",IF(OR(P1028&lt;[1]Setup!$B$6,Q1028&gt;[1]Setup!$B$7,R1028&gt;[1]Setup!$B$8,O1028&gt;[1]Setup!$B$10),"Review","OK"))</f>
        <v>Open</v>
      </c>
      <c r="X1028" s="86"/>
    </row>
    <row r="1029" spans="1:24" x14ac:dyDescent="0.3">
      <c r="A1029" s="84"/>
      <c r="B1029" s="100">
        <f t="shared" ref="B1029:B1092" si="177">+WEEKNUM(A1029)</f>
        <v>0</v>
      </c>
      <c r="C1029" s="84" t="str">
        <f t="shared" ref="C1029:C1092" si="178">+TEXT(A1029,"mmmm")</f>
        <v>January</v>
      </c>
      <c r="D1029" s="85" t="str">
        <f t="shared" si="176"/>
        <v/>
      </c>
      <c r="E1029" s="86"/>
      <c r="F1029" s="86"/>
      <c r="G1029" s="86"/>
      <c r="H1029" s="86"/>
      <c r="I1029" s="87" t="str">
        <f>IF(F1029=0,"",IF(COUNTIF(F1029,"Bao"),[1]Setup!$B$4,IF(COUNTIF(F1029,"Soup Dumplings"),[1]Setup!$B$5,F1029)))</f>
        <v/>
      </c>
      <c r="J1029" s="88" t="str">
        <f t="shared" si="170"/>
        <v/>
      </c>
      <c r="K1029" s="88"/>
      <c r="L1029" s="87"/>
      <c r="M1029" s="87"/>
      <c r="N1029" s="87"/>
      <c r="O1029" s="87"/>
      <c r="P1029" s="89" t="str">
        <f t="shared" si="171"/>
        <v/>
      </c>
      <c r="Q1029" s="89" t="str">
        <f t="shared" si="172"/>
        <v/>
      </c>
      <c r="R1029" s="89" t="str">
        <f t="shared" si="173"/>
        <v/>
      </c>
      <c r="S1029" s="88" t="str">
        <f>IF(F1029="Bao",[1]Setup!$B$4,IF(F1029="Soup Dumplings",[1]Setup!$B$5,""))</f>
        <v/>
      </c>
      <c r="T1029" s="88" t="str">
        <f t="shared" si="174"/>
        <v/>
      </c>
      <c r="U1029" s="84" t="str">
        <f t="shared" si="175"/>
        <v/>
      </c>
      <c r="V1029" s="88">
        <f>IF(U1029="",0,MAX(0,T1029)+N1029+ROUND(J1029*[1]Setup!$B$9,0)+IF(O1029&gt;[1]Setup!$B$10,ROUND(J1029*[1]Setup!$B$11,0),0))</f>
        <v>0</v>
      </c>
      <c r="W1029" s="85" t="str">
        <f>IF(L1029="","Open",IF(OR(P1029&lt;[1]Setup!$B$6,Q1029&gt;[1]Setup!$B$7,R1029&gt;[1]Setup!$B$8,O1029&gt;[1]Setup!$B$10),"Review","OK"))</f>
        <v>Open</v>
      </c>
      <c r="X1029" s="86"/>
    </row>
    <row r="1030" spans="1:24" x14ac:dyDescent="0.3">
      <c r="A1030" s="84"/>
      <c r="B1030" s="100">
        <f t="shared" si="177"/>
        <v>0</v>
      </c>
      <c r="C1030" s="84" t="str">
        <f t="shared" si="178"/>
        <v>January</v>
      </c>
      <c r="D1030" s="85" t="str">
        <f t="shared" si="176"/>
        <v/>
      </c>
      <c r="E1030" s="86"/>
      <c r="F1030" s="86"/>
      <c r="G1030" s="86"/>
      <c r="H1030" s="86"/>
      <c r="I1030" s="87" t="str">
        <f>IF(F1030=0,"",IF(COUNTIF(F1030,"Bao"),[1]Setup!$B$4,IF(COUNTIF(F1030,"Soup Dumplings"),[1]Setup!$B$5,F1030)))</f>
        <v/>
      </c>
      <c r="J1030" s="88" t="str">
        <f t="shared" si="170"/>
        <v/>
      </c>
      <c r="K1030" s="88"/>
      <c r="L1030" s="87"/>
      <c r="M1030" s="87"/>
      <c r="N1030" s="87"/>
      <c r="O1030" s="87"/>
      <c r="P1030" s="89" t="str">
        <f t="shared" si="171"/>
        <v/>
      </c>
      <c r="Q1030" s="89" t="str">
        <f t="shared" si="172"/>
        <v/>
      </c>
      <c r="R1030" s="89" t="str">
        <f t="shared" si="173"/>
        <v/>
      </c>
      <c r="S1030" s="88" t="str">
        <f>IF(F1030="Bao",[1]Setup!$B$4,IF(F1030="Soup Dumplings",[1]Setup!$B$5,""))</f>
        <v/>
      </c>
      <c r="T1030" s="88" t="str">
        <f t="shared" si="174"/>
        <v/>
      </c>
      <c r="U1030" s="84" t="str">
        <f t="shared" si="175"/>
        <v/>
      </c>
      <c r="V1030" s="88">
        <f>IF(U1030="",0,MAX(0,T1030)+N1030+ROUND(J1030*[1]Setup!$B$9,0)+IF(O1030&gt;[1]Setup!$B$10,ROUND(J1030*[1]Setup!$B$11,0),0))</f>
        <v>0</v>
      </c>
      <c r="W1030" s="85" t="str">
        <f>IF(L1030="","Open",IF(OR(P1030&lt;[1]Setup!$B$6,Q1030&gt;[1]Setup!$B$7,R1030&gt;[1]Setup!$B$8,O1030&gt;[1]Setup!$B$10),"Review","OK"))</f>
        <v>Open</v>
      </c>
      <c r="X1030" s="86"/>
    </row>
    <row r="1031" spans="1:24" x14ac:dyDescent="0.3">
      <c r="A1031" s="84"/>
      <c r="B1031" s="100">
        <f t="shared" si="177"/>
        <v>0</v>
      </c>
      <c r="C1031" s="84" t="str">
        <f t="shared" si="178"/>
        <v>January</v>
      </c>
      <c r="D1031" s="85" t="str">
        <f t="shared" si="176"/>
        <v/>
      </c>
      <c r="E1031" s="86"/>
      <c r="F1031" s="86"/>
      <c r="G1031" s="86"/>
      <c r="H1031" s="86"/>
      <c r="I1031" s="87" t="str">
        <f>IF(F1031=0,"",IF(COUNTIF(F1031,"Bao"),[1]Setup!$B$4,IF(COUNTIF(F1031,"Soup Dumplings"),[1]Setup!$B$5,F1031)))</f>
        <v/>
      </c>
      <c r="J1031" s="88" t="str">
        <f t="shared" si="170"/>
        <v/>
      </c>
      <c r="K1031" s="88"/>
      <c r="L1031" s="87"/>
      <c r="M1031" s="87"/>
      <c r="N1031" s="87"/>
      <c r="O1031" s="87"/>
      <c r="P1031" s="89" t="str">
        <f t="shared" si="171"/>
        <v/>
      </c>
      <c r="Q1031" s="89" t="str">
        <f t="shared" si="172"/>
        <v/>
      </c>
      <c r="R1031" s="89" t="str">
        <f t="shared" si="173"/>
        <v/>
      </c>
      <c r="S1031" s="88" t="str">
        <f>IF(F1031="Bao",[1]Setup!$B$4,IF(F1031="Soup Dumplings",[1]Setup!$B$5,""))</f>
        <v/>
      </c>
      <c r="T1031" s="88" t="str">
        <f t="shared" si="174"/>
        <v/>
      </c>
      <c r="U1031" s="84" t="str">
        <f t="shared" si="175"/>
        <v/>
      </c>
      <c r="V1031" s="88">
        <f>IF(U1031="",0,MAX(0,T1031)+N1031+ROUND(J1031*[1]Setup!$B$9,0)+IF(O1031&gt;[1]Setup!$B$10,ROUND(J1031*[1]Setup!$B$11,0),0))</f>
        <v>0</v>
      </c>
      <c r="W1031" s="85" t="str">
        <f>IF(L1031="","Open",IF(OR(P1031&lt;[1]Setup!$B$6,Q1031&gt;[1]Setup!$B$7,R1031&gt;[1]Setup!$B$8,O1031&gt;[1]Setup!$B$10),"Review","OK"))</f>
        <v>Open</v>
      </c>
      <c r="X1031" s="86"/>
    </row>
    <row r="1032" spans="1:24" x14ac:dyDescent="0.3">
      <c r="A1032" s="84"/>
      <c r="B1032" s="100">
        <f t="shared" si="177"/>
        <v>0</v>
      </c>
      <c r="C1032" s="84" t="str">
        <f t="shared" si="178"/>
        <v>January</v>
      </c>
      <c r="D1032" s="85" t="str">
        <f t="shared" si="176"/>
        <v/>
      </c>
      <c r="E1032" s="86"/>
      <c r="F1032" s="86"/>
      <c r="G1032" s="86"/>
      <c r="H1032" s="86"/>
      <c r="I1032" s="87" t="str">
        <f>IF(F1032=0,"",IF(COUNTIF(F1032,"Bao"),[1]Setup!$B$4,IF(COUNTIF(F1032,"Soup Dumplings"),[1]Setup!$B$5,F1032)))</f>
        <v/>
      </c>
      <c r="J1032" s="88" t="str">
        <f t="shared" si="170"/>
        <v/>
      </c>
      <c r="K1032" s="88"/>
      <c r="L1032" s="87"/>
      <c r="M1032" s="87"/>
      <c r="N1032" s="87"/>
      <c r="O1032" s="87"/>
      <c r="P1032" s="89" t="str">
        <f t="shared" si="171"/>
        <v/>
      </c>
      <c r="Q1032" s="89" t="str">
        <f t="shared" si="172"/>
        <v/>
      </c>
      <c r="R1032" s="89" t="str">
        <f t="shared" si="173"/>
        <v/>
      </c>
      <c r="S1032" s="88" t="str">
        <f>IF(F1032="Bao",[1]Setup!$B$4,IF(F1032="Soup Dumplings",[1]Setup!$B$5,""))</f>
        <v/>
      </c>
      <c r="T1032" s="88" t="str">
        <f t="shared" si="174"/>
        <v/>
      </c>
      <c r="U1032" s="84" t="str">
        <f t="shared" si="175"/>
        <v/>
      </c>
      <c r="V1032" s="88">
        <f>IF(U1032="",0,MAX(0,T1032)+N1032+ROUND(J1032*[1]Setup!$B$9,0)+IF(O1032&gt;[1]Setup!$B$10,ROUND(J1032*[1]Setup!$B$11,0),0))</f>
        <v>0</v>
      </c>
      <c r="W1032" s="85" t="str">
        <f>IF(L1032="","Open",IF(OR(P1032&lt;[1]Setup!$B$6,Q1032&gt;[1]Setup!$B$7,R1032&gt;[1]Setup!$B$8,O1032&gt;[1]Setup!$B$10),"Review","OK"))</f>
        <v>Open</v>
      </c>
      <c r="X1032" s="86"/>
    </row>
    <row r="1033" spans="1:24" x14ac:dyDescent="0.3">
      <c r="A1033" s="84"/>
      <c r="B1033" s="100">
        <f t="shared" si="177"/>
        <v>0</v>
      </c>
      <c r="C1033" s="84" t="str">
        <f t="shared" si="178"/>
        <v>January</v>
      </c>
      <c r="D1033" s="85" t="str">
        <f t="shared" si="176"/>
        <v/>
      </c>
      <c r="E1033" s="86"/>
      <c r="F1033" s="86"/>
      <c r="G1033" s="86"/>
      <c r="H1033" s="86"/>
      <c r="I1033" s="87" t="str">
        <f>IF(F1033=0,"",IF(COUNTIF(F1033,"Bao"),[1]Setup!$B$4,IF(COUNTIF(F1033,"Soup Dumplings"),[1]Setup!$B$5,F1033)))</f>
        <v/>
      </c>
      <c r="J1033" s="88" t="str">
        <f t="shared" si="170"/>
        <v/>
      </c>
      <c r="K1033" s="88"/>
      <c r="L1033" s="87"/>
      <c r="M1033" s="87"/>
      <c r="N1033" s="87"/>
      <c r="O1033" s="87"/>
      <c r="P1033" s="89" t="str">
        <f t="shared" si="171"/>
        <v/>
      </c>
      <c r="Q1033" s="89" t="str">
        <f t="shared" si="172"/>
        <v/>
      </c>
      <c r="R1033" s="89" t="str">
        <f t="shared" si="173"/>
        <v/>
      </c>
      <c r="S1033" s="88" t="str">
        <f>IF(F1033="Bao",[1]Setup!$B$4,IF(F1033="Soup Dumplings",[1]Setup!$B$5,""))</f>
        <v/>
      </c>
      <c r="T1033" s="88" t="str">
        <f t="shared" si="174"/>
        <v/>
      </c>
      <c r="U1033" s="84" t="str">
        <f t="shared" si="175"/>
        <v/>
      </c>
      <c r="V1033" s="88">
        <f>IF(U1033="",0,MAX(0,T1033)+N1033+ROUND(J1033*[1]Setup!$B$9,0)+IF(O1033&gt;[1]Setup!$B$10,ROUND(J1033*[1]Setup!$B$11,0),0))</f>
        <v>0</v>
      </c>
      <c r="W1033" s="85" t="str">
        <f>IF(L1033="","Open",IF(OR(P1033&lt;[1]Setup!$B$6,Q1033&gt;[1]Setup!$B$7,R1033&gt;[1]Setup!$B$8,O1033&gt;[1]Setup!$B$10),"Review","OK"))</f>
        <v>Open</v>
      </c>
      <c r="X1033" s="86"/>
    </row>
    <row r="1034" spans="1:24" x14ac:dyDescent="0.3">
      <c r="A1034" s="84"/>
      <c r="B1034" s="100">
        <f t="shared" si="177"/>
        <v>0</v>
      </c>
      <c r="C1034" s="84" t="str">
        <f t="shared" si="178"/>
        <v>January</v>
      </c>
      <c r="D1034" s="85" t="str">
        <f t="shared" si="176"/>
        <v/>
      </c>
      <c r="E1034" s="86"/>
      <c r="F1034" s="86"/>
      <c r="G1034" s="86"/>
      <c r="H1034" s="86"/>
      <c r="I1034" s="87" t="str">
        <f>IF(F1034=0,"",IF(COUNTIF(F1034,"Bao"),[1]Setup!$B$4,IF(COUNTIF(F1034,"Soup Dumplings"),[1]Setup!$B$5,F1034)))</f>
        <v/>
      </c>
      <c r="J1034" s="88" t="str">
        <f t="shared" si="170"/>
        <v/>
      </c>
      <c r="K1034" s="88"/>
      <c r="L1034" s="87"/>
      <c r="M1034" s="87"/>
      <c r="N1034" s="87"/>
      <c r="O1034" s="87"/>
      <c r="P1034" s="89" t="str">
        <f t="shared" si="171"/>
        <v/>
      </c>
      <c r="Q1034" s="89" t="str">
        <f t="shared" si="172"/>
        <v/>
      </c>
      <c r="R1034" s="89" t="str">
        <f t="shared" si="173"/>
        <v/>
      </c>
      <c r="S1034" s="88" t="str">
        <f>IF(F1034="Bao",[1]Setup!$B$4,IF(F1034="Soup Dumplings",[1]Setup!$B$5,""))</f>
        <v/>
      </c>
      <c r="T1034" s="88" t="str">
        <f t="shared" si="174"/>
        <v/>
      </c>
      <c r="U1034" s="84" t="str">
        <f t="shared" si="175"/>
        <v/>
      </c>
      <c r="V1034" s="88">
        <f>IF(U1034="",0,MAX(0,T1034)+N1034+ROUND(J1034*[1]Setup!$B$9,0)+IF(O1034&gt;[1]Setup!$B$10,ROUND(J1034*[1]Setup!$B$11,0),0))</f>
        <v>0</v>
      </c>
      <c r="W1034" s="85" t="str">
        <f>IF(L1034="","Open",IF(OR(P1034&lt;[1]Setup!$B$6,Q1034&gt;[1]Setup!$B$7,R1034&gt;[1]Setup!$B$8,O1034&gt;[1]Setup!$B$10),"Review","OK"))</f>
        <v>Open</v>
      </c>
      <c r="X1034" s="86"/>
    </row>
    <row r="1035" spans="1:24" x14ac:dyDescent="0.3">
      <c r="A1035" s="84"/>
      <c r="B1035" s="100">
        <f t="shared" si="177"/>
        <v>0</v>
      </c>
      <c r="C1035" s="84" t="str">
        <f t="shared" si="178"/>
        <v>January</v>
      </c>
      <c r="D1035" s="85" t="str">
        <f t="shared" si="176"/>
        <v/>
      </c>
      <c r="E1035" s="86"/>
      <c r="F1035" s="86"/>
      <c r="G1035" s="86"/>
      <c r="H1035" s="86"/>
      <c r="I1035" s="87" t="str">
        <f>IF(F1035=0,"",IF(COUNTIF(F1035,"Bao"),[1]Setup!$B$4,IF(COUNTIF(F1035,"Soup Dumplings"),[1]Setup!$B$5,F1035)))</f>
        <v/>
      </c>
      <c r="J1035" s="88" t="str">
        <f t="shared" si="170"/>
        <v/>
      </c>
      <c r="K1035" s="88"/>
      <c r="L1035" s="87"/>
      <c r="M1035" s="87"/>
      <c r="N1035" s="87"/>
      <c r="O1035" s="87"/>
      <c r="P1035" s="89" t="str">
        <f t="shared" si="171"/>
        <v/>
      </c>
      <c r="Q1035" s="89" t="str">
        <f t="shared" si="172"/>
        <v/>
      </c>
      <c r="R1035" s="89" t="str">
        <f t="shared" si="173"/>
        <v/>
      </c>
      <c r="S1035" s="88" t="str">
        <f>IF(F1035="Bao",[1]Setup!$B$4,IF(F1035="Soup Dumplings",[1]Setup!$B$5,""))</f>
        <v/>
      </c>
      <c r="T1035" s="88" t="str">
        <f t="shared" si="174"/>
        <v/>
      </c>
      <c r="U1035" s="84" t="str">
        <f t="shared" si="175"/>
        <v/>
      </c>
      <c r="V1035" s="88">
        <f>IF(U1035="",0,MAX(0,T1035)+N1035+ROUND(J1035*[1]Setup!$B$9,0)+IF(O1035&gt;[1]Setup!$B$10,ROUND(J1035*[1]Setup!$B$11,0),0))</f>
        <v>0</v>
      </c>
      <c r="W1035" s="85" t="str">
        <f>IF(L1035="","Open",IF(OR(P1035&lt;[1]Setup!$B$6,Q1035&gt;[1]Setup!$B$7,R1035&gt;[1]Setup!$B$8,O1035&gt;[1]Setup!$B$10),"Review","OK"))</f>
        <v>Open</v>
      </c>
      <c r="X1035" s="86"/>
    </row>
    <row r="1036" spans="1:24" x14ac:dyDescent="0.3">
      <c r="A1036" s="84"/>
      <c r="B1036" s="100">
        <f t="shared" si="177"/>
        <v>0</v>
      </c>
      <c r="C1036" s="84" t="str">
        <f t="shared" si="178"/>
        <v>January</v>
      </c>
      <c r="D1036" s="85" t="str">
        <f t="shared" si="176"/>
        <v/>
      </c>
      <c r="E1036" s="86"/>
      <c r="F1036" s="86"/>
      <c r="G1036" s="86"/>
      <c r="H1036" s="86"/>
      <c r="I1036" s="87" t="str">
        <f>IF(F1036=0,"",IF(COUNTIF(F1036,"Bao"),[1]Setup!$B$4,IF(COUNTIF(F1036,"Soup Dumplings"),[1]Setup!$B$5,F1036)))</f>
        <v/>
      </c>
      <c r="J1036" s="88" t="str">
        <f t="shared" si="170"/>
        <v/>
      </c>
      <c r="K1036" s="88"/>
      <c r="L1036" s="87"/>
      <c r="M1036" s="87"/>
      <c r="N1036" s="87"/>
      <c r="O1036" s="87"/>
      <c r="P1036" s="89" t="str">
        <f t="shared" si="171"/>
        <v/>
      </c>
      <c r="Q1036" s="89" t="str">
        <f t="shared" si="172"/>
        <v/>
      </c>
      <c r="R1036" s="89" t="str">
        <f t="shared" si="173"/>
        <v/>
      </c>
      <c r="S1036" s="88" t="str">
        <f>IF(F1036="Bao",[1]Setup!$B$4,IF(F1036="Soup Dumplings",[1]Setup!$B$5,""))</f>
        <v/>
      </c>
      <c r="T1036" s="88" t="str">
        <f t="shared" si="174"/>
        <v/>
      </c>
      <c r="U1036" s="84" t="str">
        <f t="shared" si="175"/>
        <v/>
      </c>
      <c r="V1036" s="88">
        <f>IF(U1036="",0,MAX(0,T1036)+N1036+ROUND(J1036*[1]Setup!$B$9,0)+IF(O1036&gt;[1]Setup!$B$10,ROUND(J1036*[1]Setup!$B$11,0),0))</f>
        <v>0</v>
      </c>
      <c r="W1036" s="85" t="str">
        <f>IF(L1036="","Open",IF(OR(P1036&lt;[1]Setup!$B$6,Q1036&gt;[1]Setup!$B$7,R1036&gt;[1]Setup!$B$8,O1036&gt;[1]Setup!$B$10),"Review","OK"))</f>
        <v>Open</v>
      </c>
      <c r="X1036" s="86"/>
    </row>
    <row r="1037" spans="1:24" x14ac:dyDescent="0.3">
      <c r="A1037" s="84"/>
      <c r="B1037" s="100">
        <f t="shared" si="177"/>
        <v>0</v>
      </c>
      <c r="C1037" s="84" t="str">
        <f t="shared" si="178"/>
        <v>January</v>
      </c>
      <c r="D1037" s="85" t="str">
        <f t="shared" si="176"/>
        <v/>
      </c>
      <c r="E1037" s="86"/>
      <c r="F1037" s="86"/>
      <c r="G1037" s="86"/>
      <c r="H1037" s="86"/>
      <c r="I1037" s="87" t="str">
        <f>IF(F1037=0,"",IF(COUNTIF(F1037,"Bao"),[1]Setup!$B$4,IF(COUNTIF(F1037,"Soup Dumplings"),[1]Setup!$B$5,F1037)))</f>
        <v/>
      </c>
      <c r="J1037" s="88" t="str">
        <f t="shared" si="170"/>
        <v/>
      </c>
      <c r="K1037" s="88"/>
      <c r="L1037" s="87"/>
      <c r="M1037" s="87"/>
      <c r="N1037" s="87"/>
      <c r="O1037" s="87"/>
      <c r="P1037" s="89" t="str">
        <f t="shared" si="171"/>
        <v/>
      </c>
      <c r="Q1037" s="89" t="str">
        <f t="shared" si="172"/>
        <v/>
      </c>
      <c r="R1037" s="89" t="str">
        <f t="shared" si="173"/>
        <v/>
      </c>
      <c r="S1037" s="88" t="str">
        <f>IF(F1037="Bao",[1]Setup!$B$4,IF(F1037="Soup Dumplings",[1]Setup!$B$5,""))</f>
        <v/>
      </c>
      <c r="T1037" s="88" t="str">
        <f t="shared" si="174"/>
        <v/>
      </c>
      <c r="U1037" s="84" t="str">
        <f t="shared" si="175"/>
        <v/>
      </c>
      <c r="V1037" s="88">
        <f>IF(U1037="",0,MAX(0,T1037)+N1037+ROUND(J1037*[1]Setup!$B$9,0)+IF(O1037&gt;[1]Setup!$B$10,ROUND(J1037*[1]Setup!$B$11,0),0))</f>
        <v>0</v>
      </c>
      <c r="W1037" s="85" t="str">
        <f>IF(L1037="","Open",IF(OR(P1037&lt;[1]Setup!$B$6,Q1037&gt;[1]Setup!$B$7,R1037&gt;[1]Setup!$B$8,O1037&gt;[1]Setup!$B$10),"Review","OK"))</f>
        <v>Open</v>
      </c>
      <c r="X1037" s="86"/>
    </row>
    <row r="1038" spans="1:24" x14ac:dyDescent="0.3">
      <c r="A1038" s="84"/>
      <c r="B1038" s="100">
        <f t="shared" si="177"/>
        <v>0</v>
      </c>
      <c r="C1038" s="84" t="str">
        <f t="shared" si="178"/>
        <v>January</v>
      </c>
      <c r="D1038" s="85" t="str">
        <f t="shared" si="176"/>
        <v/>
      </c>
      <c r="E1038" s="86"/>
      <c r="F1038" s="86"/>
      <c r="G1038" s="86"/>
      <c r="H1038" s="86"/>
      <c r="I1038" s="87" t="str">
        <f>IF(F1038=0,"",IF(COUNTIF(F1038,"Bao"),[1]Setup!$B$4,IF(COUNTIF(F1038,"Soup Dumplings"),[1]Setup!$B$5,F1038)))</f>
        <v/>
      </c>
      <c r="J1038" s="88" t="str">
        <f t="shared" si="170"/>
        <v/>
      </c>
      <c r="K1038" s="88"/>
      <c r="L1038" s="87"/>
      <c r="M1038" s="87"/>
      <c r="N1038" s="87"/>
      <c r="O1038" s="87"/>
      <c r="P1038" s="89" t="str">
        <f t="shared" si="171"/>
        <v/>
      </c>
      <c r="Q1038" s="89" t="str">
        <f t="shared" si="172"/>
        <v/>
      </c>
      <c r="R1038" s="89" t="str">
        <f t="shared" si="173"/>
        <v/>
      </c>
      <c r="S1038" s="88" t="str">
        <f>IF(F1038="Bao",[1]Setup!$B$4,IF(F1038="Soup Dumplings",[1]Setup!$B$5,""))</f>
        <v/>
      </c>
      <c r="T1038" s="88" t="str">
        <f t="shared" si="174"/>
        <v/>
      </c>
      <c r="U1038" s="84" t="str">
        <f t="shared" si="175"/>
        <v/>
      </c>
      <c r="V1038" s="88">
        <f>IF(U1038="",0,MAX(0,T1038)+N1038+ROUND(J1038*[1]Setup!$B$9,0)+IF(O1038&gt;[1]Setup!$B$10,ROUND(J1038*[1]Setup!$B$11,0),0))</f>
        <v>0</v>
      </c>
      <c r="W1038" s="85" t="str">
        <f>IF(L1038="","Open",IF(OR(P1038&lt;[1]Setup!$B$6,Q1038&gt;[1]Setup!$B$7,R1038&gt;[1]Setup!$B$8,O1038&gt;[1]Setup!$B$10),"Review","OK"))</f>
        <v>Open</v>
      </c>
      <c r="X1038" s="86"/>
    </row>
    <row r="1039" spans="1:24" x14ac:dyDescent="0.3">
      <c r="A1039" s="84"/>
      <c r="B1039" s="100">
        <f t="shared" si="177"/>
        <v>0</v>
      </c>
      <c r="C1039" s="84" t="str">
        <f t="shared" si="178"/>
        <v>January</v>
      </c>
      <c r="D1039" s="85" t="str">
        <f t="shared" si="176"/>
        <v/>
      </c>
      <c r="E1039" s="86"/>
      <c r="F1039" s="86"/>
      <c r="G1039" s="86"/>
      <c r="H1039" s="86"/>
      <c r="I1039" s="87" t="str">
        <f>IF(F1039=0,"",IF(COUNTIF(F1039,"Bao"),[1]Setup!$B$4,IF(COUNTIF(F1039,"Soup Dumplings"),[1]Setup!$B$5,F1039)))</f>
        <v/>
      </c>
      <c r="J1039" s="88" t="str">
        <f t="shared" si="170"/>
        <v/>
      </c>
      <c r="K1039" s="88"/>
      <c r="L1039" s="87"/>
      <c r="M1039" s="87"/>
      <c r="N1039" s="87"/>
      <c r="O1039" s="87"/>
      <c r="P1039" s="89" t="str">
        <f t="shared" si="171"/>
        <v/>
      </c>
      <c r="Q1039" s="89" t="str">
        <f t="shared" si="172"/>
        <v/>
      </c>
      <c r="R1039" s="89" t="str">
        <f t="shared" si="173"/>
        <v/>
      </c>
      <c r="S1039" s="88" t="str">
        <f>IF(F1039="Bao",[1]Setup!$B$4,IF(F1039="Soup Dumplings",[1]Setup!$B$5,""))</f>
        <v/>
      </c>
      <c r="T1039" s="88" t="str">
        <f t="shared" si="174"/>
        <v/>
      </c>
      <c r="U1039" s="84" t="str">
        <f t="shared" si="175"/>
        <v/>
      </c>
      <c r="V1039" s="88">
        <f>IF(U1039="",0,MAX(0,T1039)+N1039+ROUND(J1039*[1]Setup!$B$9,0)+IF(O1039&gt;[1]Setup!$B$10,ROUND(J1039*[1]Setup!$B$11,0),0))</f>
        <v>0</v>
      </c>
      <c r="W1039" s="85" t="str">
        <f>IF(L1039="","Open",IF(OR(P1039&lt;[1]Setup!$B$6,Q1039&gt;[1]Setup!$B$7,R1039&gt;[1]Setup!$B$8,O1039&gt;[1]Setup!$B$10),"Review","OK"))</f>
        <v>Open</v>
      </c>
      <c r="X1039" s="86"/>
    </row>
    <row r="1040" spans="1:24" x14ac:dyDescent="0.3">
      <c r="A1040" s="84"/>
      <c r="B1040" s="100">
        <f t="shared" si="177"/>
        <v>0</v>
      </c>
      <c r="C1040" s="84" t="str">
        <f t="shared" si="178"/>
        <v>January</v>
      </c>
      <c r="D1040" s="85" t="str">
        <f t="shared" si="176"/>
        <v/>
      </c>
      <c r="E1040" s="86"/>
      <c r="F1040" s="86"/>
      <c r="G1040" s="86"/>
      <c r="H1040" s="86"/>
      <c r="I1040" s="87" t="str">
        <f>IF(F1040=0,"",IF(COUNTIF(F1040,"Bao"),[1]Setup!$B$4,IF(COUNTIF(F1040,"Soup Dumplings"),[1]Setup!$B$5,F1040)))</f>
        <v/>
      </c>
      <c r="J1040" s="88" t="str">
        <f t="shared" si="170"/>
        <v/>
      </c>
      <c r="K1040" s="88"/>
      <c r="L1040" s="87"/>
      <c r="M1040" s="87"/>
      <c r="N1040" s="87"/>
      <c r="O1040" s="87"/>
      <c r="P1040" s="89" t="str">
        <f t="shared" si="171"/>
        <v/>
      </c>
      <c r="Q1040" s="89" t="str">
        <f t="shared" si="172"/>
        <v/>
      </c>
      <c r="R1040" s="89" t="str">
        <f t="shared" si="173"/>
        <v/>
      </c>
      <c r="S1040" s="88" t="str">
        <f>IF(F1040="Bao",[1]Setup!$B$4,IF(F1040="Soup Dumplings",[1]Setup!$B$5,""))</f>
        <v/>
      </c>
      <c r="T1040" s="88" t="str">
        <f t="shared" si="174"/>
        <v/>
      </c>
      <c r="U1040" s="84" t="str">
        <f t="shared" si="175"/>
        <v/>
      </c>
      <c r="V1040" s="88">
        <f>IF(U1040="",0,MAX(0,T1040)+N1040+ROUND(J1040*[1]Setup!$B$9,0)+IF(O1040&gt;[1]Setup!$B$10,ROUND(J1040*[1]Setup!$B$11,0),0))</f>
        <v>0</v>
      </c>
      <c r="W1040" s="85" t="str">
        <f>IF(L1040="","Open",IF(OR(P1040&lt;[1]Setup!$B$6,Q1040&gt;[1]Setup!$B$7,R1040&gt;[1]Setup!$B$8,O1040&gt;[1]Setup!$B$10),"Review","OK"))</f>
        <v>Open</v>
      </c>
      <c r="X1040" s="86"/>
    </row>
    <row r="1041" spans="1:24" x14ac:dyDescent="0.3">
      <c r="A1041" s="84"/>
      <c r="B1041" s="100">
        <f t="shared" si="177"/>
        <v>0</v>
      </c>
      <c r="C1041" s="84" t="str">
        <f t="shared" si="178"/>
        <v>January</v>
      </c>
      <c r="D1041" s="85" t="str">
        <f t="shared" si="176"/>
        <v/>
      </c>
      <c r="E1041" s="86"/>
      <c r="F1041" s="86"/>
      <c r="G1041" s="86"/>
      <c r="H1041" s="86"/>
      <c r="I1041" s="87" t="str">
        <f>IF(F1041=0,"",IF(COUNTIF(F1041,"Bao"),[1]Setup!$B$4,IF(COUNTIF(F1041,"Soup Dumplings"),[1]Setup!$B$5,F1041)))</f>
        <v/>
      </c>
      <c r="J1041" s="88" t="str">
        <f t="shared" si="170"/>
        <v/>
      </c>
      <c r="K1041" s="88"/>
      <c r="L1041" s="87"/>
      <c r="M1041" s="87"/>
      <c r="N1041" s="87"/>
      <c r="O1041" s="87"/>
      <c r="P1041" s="89" t="str">
        <f t="shared" si="171"/>
        <v/>
      </c>
      <c r="Q1041" s="89" t="str">
        <f t="shared" si="172"/>
        <v/>
      </c>
      <c r="R1041" s="89" t="str">
        <f t="shared" si="173"/>
        <v/>
      </c>
      <c r="S1041" s="88" t="str">
        <f>IF(F1041="Bao",[1]Setup!$B$4,IF(F1041="Soup Dumplings",[1]Setup!$B$5,""))</f>
        <v/>
      </c>
      <c r="T1041" s="88" t="str">
        <f t="shared" si="174"/>
        <v/>
      </c>
      <c r="U1041" s="84" t="str">
        <f t="shared" si="175"/>
        <v/>
      </c>
      <c r="V1041" s="88">
        <f>IF(U1041="",0,MAX(0,T1041)+N1041+ROUND(J1041*[1]Setup!$B$9,0)+IF(O1041&gt;[1]Setup!$B$10,ROUND(J1041*[1]Setup!$B$11,0),0))</f>
        <v>0</v>
      </c>
      <c r="W1041" s="85" t="str">
        <f>IF(L1041="","Open",IF(OR(P1041&lt;[1]Setup!$B$6,Q1041&gt;[1]Setup!$B$7,R1041&gt;[1]Setup!$B$8,O1041&gt;[1]Setup!$B$10),"Review","OK"))</f>
        <v>Open</v>
      </c>
      <c r="X1041" s="86"/>
    </row>
    <row r="1042" spans="1:24" x14ac:dyDescent="0.3">
      <c r="A1042" s="84"/>
      <c r="B1042" s="100">
        <f t="shared" si="177"/>
        <v>0</v>
      </c>
      <c r="C1042" s="84" t="str">
        <f t="shared" si="178"/>
        <v>January</v>
      </c>
      <c r="D1042" s="85" t="str">
        <f t="shared" si="176"/>
        <v/>
      </c>
      <c r="E1042" s="86"/>
      <c r="F1042" s="86"/>
      <c r="G1042" s="86"/>
      <c r="H1042" s="86"/>
      <c r="I1042" s="87" t="str">
        <f>IF(F1042=0,"",IF(COUNTIF(F1042,"Bao"),[1]Setup!$B$4,IF(COUNTIF(F1042,"Soup Dumplings"),[1]Setup!$B$5,F1042)))</f>
        <v/>
      </c>
      <c r="J1042" s="88" t="str">
        <f t="shared" si="170"/>
        <v/>
      </c>
      <c r="K1042" s="88"/>
      <c r="L1042" s="87"/>
      <c r="M1042" s="87"/>
      <c r="N1042" s="87"/>
      <c r="O1042" s="87"/>
      <c r="P1042" s="89" t="str">
        <f t="shared" si="171"/>
        <v/>
      </c>
      <c r="Q1042" s="89" t="str">
        <f t="shared" si="172"/>
        <v/>
      </c>
      <c r="R1042" s="89" t="str">
        <f t="shared" si="173"/>
        <v/>
      </c>
      <c r="S1042" s="88" t="str">
        <f>IF(F1042="Bao",[1]Setup!$B$4,IF(F1042="Soup Dumplings",[1]Setup!$B$5,""))</f>
        <v/>
      </c>
      <c r="T1042" s="88" t="str">
        <f t="shared" si="174"/>
        <v/>
      </c>
      <c r="U1042" s="84" t="str">
        <f t="shared" si="175"/>
        <v/>
      </c>
      <c r="V1042" s="88">
        <f>IF(U1042="",0,MAX(0,T1042)+N1042+ROUND(J1042*[1]Setup!$B$9,0)+IF(O1042&gt;[1]Setup!$B$10,ROUND(J1042*[1]Setup!$B$11,0),0))</f>
        <v>0</v>
      </c>
      <c r="W1042" s="85" t="str">
        <f>IF(L1042="","Open",IF(OR(P1042&lt;[1]Setup!$B$6,Q1042&gt;[1]Setup!$B$7,R1042&gt;[1]Setup!$B$8,O1042&gt;[1]Setup!$B$10),"Review","OK"))</f>
        <v>Open</v>
      </c>
      <c r="X1042" s="86"/>
    </row>
    <row r="1043" spans="1:24" x14ac:dyDescent="0.3">
      <c r="A1043" s="84"/>
      <c r="B1043" s="100">
        <f t="shared" si="177"/>
        <v>0</v>
      </c>
      <c r="C1043" s="84" t="str">
        <f t="shared" si="178"/>
        <v>January</v>
      </c>
      <c r="D1043" s="85" t="str">
        <f t="shared" si="176"/>
        <v/>
      </c>
      <c r="E1043" s="86"/>
      <c r="F1043" s="86"/>
      <c r="G1043" s="86"/>
      <c r="H1043" s="86"/>
      <c r="I1043" s="87" t="str">
        <f>IF(F1043=0,"",IF(COUNTIF(F1043,"Bao"),[1]Setup!$B$4,IF(COUNTIF(F1043,"Soup Dumplings"),[1]Setup!$B$5,F1043)))</f>
        <v/>
      </c>
      <c r="J1043" s="88" t="str">
        <f t="shared" si="170"/>
        <v/>
      </c>
      <c r="K1043" s="88"/>
      <c r="L1043" s="87"/>
      <c r="M1043" s="87"/>
      <c r="N1043" s="87"/>
      <c r="O1043" s="87"/>
      <c r="P1043" s="89" t="str">
        <f t="shared" si="171"/>
        <v/>
      </c>
      <c r="Q1043" s="89" t="str">
        <f t="shared" si="172"/>
        <v/>
      </c>
      <c r="R1043" s="89" t="str">
        <f t="shared" si="173"/>
        <v/>
      </c>
      <c r="S1043" s="88" t="str">
        <f>IF(F1043="Bao",[1]Setup!$B$4,IF(F1043="Soup Dumplings",[1]Setup!$B$5,""))</f>
        <v/>
      </c>
      <c r="T1043" s="88" t="str">
        <f t="shared" si="174"/>
        <v/>
      </c>
      <c r="U1043" s="84" t="str">
        <f t="shared" si="175"/>
        <v/>
      </c>
      <c r="V1043" s="88">
        <f>IF(U1043="",0,MAX(0,T1043)+N1043+ROUND(J1043*[1]Setup!$B$9,0)+IF(O1043&gt;[1]Setup!$B$10,ROUND(J1043*[1]Setup!$B$11,0),0))</f>
        <v>0</v>
      </c>
      <c r="W1043" s="85" t="str">
        <f>IF(L1043="","Open",IF(OR(P1043&lt;[1]Setup!$B$6,Q1043&gt;[1]Setup!$B$7,R1043&gt;[1]Setup!$B$8,O1043&gt;[1]Setup!$B$10),"Review","OK"))</f>
        <v>Open</v>
      </c>
      <c r="X1043" s="86"/>
    </row>
    <row r="1044" spans="1:24" x14ac:dyDescent="0.3">
      <c r="A1044" s="84"/>
      <c r="B1044" s="100">
        <f t="shared" si="177"/>
        <v>0</v>
      </c>
      <c r="C1044" s="84" t="str">
        <f t="shared" si="178"/>
        <v>January</v>
      </c>
      <c r="D1044" s="85" t="str">
        <f t="shared" si="176"/>
        <v/>
      </c>
      <c r="E1044" s="86"/>
      <c r="F1044" s="86"/>
      <c r="G1044" s="86"/>
      <c r="H1044" s="86"/>
      <c r="I1044" s="87" t="str">
        <f>IF(F1044=0,"",IF(COUNTIF(F1044,"Bao"),[1]Setup!$B$4,IF(COUNTIF(F1044,"Soup Dumplings"),[1]Setup!$B$5,F1044)))</f>
        <v/>
      </c>
      <c r="J1044" s="88" t="str">
        <f t="shared" si="170"/>
        <v/>
      </c>
      <c r="K1044" s="88"/>
      <c r="L1044" s="87"/>
      <c r="M1044" s="87"/>
      <c r="N1044" s="87"/>
      <c r="O1044" s="87"/>
      <c r="P1044" s="89" t="str">
        <f t="shared" si="171"/>
        <v/>
      </c>
      <c r="Q1044" s="89" t="str">
        <f t="shared" si="172"/>
        <v/>
      </c>
      <c r="R1044" s="89" t="str">
        <f t="shared" si="173"/>
        <v/>
      </c>
      <c r="S1044" s="88" t="str">
        <f>IF(F1044="Bao",[1]Setup!$B$4,IF(F1044="Soup Dumplings",[1]Setup!$B$5,""))</f>
        <v/>
      </c>
      <c r="T1044" s="88" t="str">
        <f t="shared" si="174"/>
        <v/>
      </c>
      <c r="U1044" s="84" t="str">
        <f t="shared" si="175"/>
        <v/>
      </c>
      <c r="V1044" s="88">
        <f>IF(U1044="",0,MAX(0,T1044)+N1044+ROUND(J1044*[1]Setup!$B$9,0)+IF(O1044&gt;[1]Setup!$B$10,ROUND(J1044*[1]Setup!$B$11,0),0))</f>
        <v>0</v>
      </c>
      <c r="W1044" s="85" t="str">
        <f>IF(L1044="","Open",IF(OR(P1044&lt;[1]Setup!$B$6,Q1044&gt;[1]Setup!$B$7,R1044&gt;[1]Setup!$B$8,O1044&gt;[1]Setup!$B$10),"Review","OK"))</f>
        <v>Open</v>
      </c>
      <c r="X1044" s="86"/>
    </row>
    <row r="1045" spans="1:24" x14ac:dyDescent="0.3">
      <c r="A1045" s="84"/>
      <c r="B1045" s="100">
        <f t="shared" si="177"/>
        <v>0</v>
      </c>
      <c r="C1045" s="84" t="str">
        <f t="shared" si="178"/>
        <v>January</v>
      </c>
      <c r="D1045" s="85" t="str">
        <f t="shared" si="176"/>
        <v/>
      </c>
      <c r="E1045" s="86"/>
      <c r="F1045" s="86"/>
      <c r="G1045" s="86"/>
      <c r="H1045" s="86"/>
      <c r="I1045" s="87" t="str">
        <f>IF(F1045=0,"",IF(COUNTIF(F1045,"Bao"),[1]Setup!$B$4,IF(COUNTIF(F1045,"Soup Dumplings"),[1]Setup!$B$5,F1045)))</f>
        <v/>
      </c>
      <c r="J1045" s="88" t="str">
        <f t="shared" si="170"/>
        <v/>
      </c>
      <c r="K1045" s="88"/>
      <c r="L1045" s="87"/>
      <c r="M1045" s="87"/>
      <c r="N1045" s="87"/>
      <c r="O1045" s="87"/>
      <c r="P1045" s="89" t="str">
        <f t="shared" si="171"/>
        <v/>
      </c>
      <c r="Q1045" s="89" t="str">
        <f t="shared" si="172"/>
        <v/>
      </c>
      <c r="R1045" s="89" t="str">
        <f t="shared" si="173"/>
        <v/>
      </c>
      <c r="S1045" s="88" t="str">
        <f>IF(F1045="Bao",[1]Setup!$B$4,IF(F1045="Soup Dumplings",[1]Setup!$B$5,""))</f>
        <v/>
      </c>
      <c r="T1045" s="88" t="str">
        <f t="shared" si="174"/>
        <v/>
      </c>
      <c r="U1045" s="84" t="str">
        <f t="shared" si="175"/>
        <v/>
      </c>
      <c r="V1045" s="88">
        <f>IF(U1045="",0,MAX(0,T1045)+N1045+ROUND(J1045*[1]Setup!$B$9,0)+IF(O1045&gt;[1]Setup!$B$10,ROUND(J1045*[1]Setup!$B$11,0),0))</f>
        <v>0</v>
      </c>
      <c r="W1045" s="85" t="str">
        <f>IF(L1045="","Open",IF(OR(P1045&lt;[1]Setup!$B$6,Q1045&gt;[1]Setup!$B$7,R1045&gt;[1]Setup!$B$8,O1045&gt;[1]Setup!$B$10),"Review","OK"))</f>
        <v>Open</v>
      </c>
      <c r="X1045" s="86"/>
    </row>
    <row r="1046" spans="1:24" x14ac:dyDescent="0.3">
      <c r="A1046" s="84"/>
      <c r="B1046" s="100">
        <f t="shared" si="177"/>
        <v>0</v>
      </c>
      <c r="C1046" s="84" t="str">
        <f t="shared" si="178"/>
        <v>January</v>
      </c>
      <c r="D1046" s="85" t="str">
        <f t="shared" si="176"/>
        <v/>
      </c>
      <c r="E1046" s="86"/>
      <c r="F1046" s="86"/>
      <c r="G1046" s="86"/>
      <c r="H1046" s="86"/>
      <c r="I1046" s="87" t="str">
        <f>IF(F1046=0,"",IF(COUNTIF(F1046,"Bao"),[1]Setup!$B$4,IF(COUNTIF(F1046,"Soup Dumplings"),[1]Setup!$B$5,F1046)))</f>
        <v/>
      </c>
      <c r="J1046" s="88" t="str">
        <f t="shared" si="170"/>
        <v/>
      </c>
      <c r="K1046" s="88"/>
      <c r="L1046" s="87"/>
      <c r="M1046" s="87"/>
      <c r="N1046" s="87"/>
      <c r="O1046" s="87"/>
      <c r="P1046" s="89" t="str">
        <f t="shared" si="171"/>
        <v/>
      </c>
      <c r="Q1046" s="89" t="str">
        <f t="shared" si="172"/>
        <v/>
      </c>
      <c r="R1046" s="89" t="str">
        <f t="shared" si="173"/>
        <v/>
      </c>
      <c r="S1046" s="88" t="str">
        <f>IF(F1046="Bao",[1]Setup!$B$4,IF(F1046="Soup Dumplings",[1]Setup!$B$5,""))</f>
        <v/>
      </c>
      <c r="T1046" s="88" t="str">
        <f t="shared" si="174"/>
        <v/>
      </c>
      <c r="U1046" s="84" t="str">
        <f t="shared" si="175"/>
        <v/>
      </c>
      <c r="V1046" s="88">
        <f>IF(U1046="",0,MAX(0,T1046)+N1046+ROUND(J1046*[1]Setup!$B$9,0)+IF(O1046&gt;[1]Setup!$B$10,ROUND(J1046*[1]Setup!$B$11,0),0))</f>
        <v>0</v>
      </c>
      <c r="W1046" s="85" t="str">
        <f>IF(L1046="","Open",IF(OR(P1046&lt;[1]Setup!$B$6,Q1046&gt;[1]Setup!$B$7,R1046&gt;[1]Setup!$B$8,O1046&gt;[1]Setup!$B$10),"Review","OK"))</f>
        <v>Open</v>
      </c>
      <c r="X1046" s="86"/>
    </row>
    <row r="1047" spans="1:24" x14ac:dyDescent="0.3">
      <c r="A1047" s="84"/>
      <c r="B1047" s="100">
        <f t="shared" si="177"/>
        <v>0</v>
      </c>
      <c r="C1047" s="84" t="str">
        <f t="shared" si="178"/>
        <v>January</v>
      </c>
      <c r="D1047" s="85" t="str">
        <f t="shared" si="176"/>
        <v/>
      </c>
      <c r="E1047" s="86"/>
      <c r="F1047" s="86"/>
      <c r="G1047" s="86"/>
      <c r="H1047" s="86"/>
      <c r="I1047" s="87" t="str">
        <f>IF(F1047=0,"",IF(COUNTIF(F1047,"Bao"),[1]Setup!$B$4,IF(COUNTIF(F1047,"Soup Dumplings"),[1]Setup!$B$5,F1047)))</f>
        <v/>
      </c>
      <c r="J1047" s="88" t="str">
        <f t="shared" si="170"/>
        <v/>
      </c>
      <c r="K1047" s="88"/>
      <c r="L1047" s="87"/>
      <c r="M1047" s="87"/>
      <c r="N1047" s="87"/>
      <c r="O1047" s="87"/>
      <c r="P1047" s="89" t="str">
        <f t="shared" si="171"/>
        <v/>
      </c>
      <c r="Q1047" s="89" t="str">
        <f t="shared" si="172"/>
        <v/>
      </c>
      <c r="R1047" s="89" t="str">
        <f t="shared" si="173"/>
        <v/>
      </c>
      <c r="S1047" s="88" t="str">
        <f>IF(F1047="Bao",[1]Setup!$B$4,IF(F1047="Soup Dumplings",[1]Setup!$B$5,""))</f>
        <v/>
      </c>
      <c r="T1047" s="88" t="str">
        <f t="shared" si="174"/>
        <v/>
      </c>
      <c r="U1047" s="84" t="str">
        <f t="shared" si="175"/>
        <v/>
      </c>
      <c r="V1047" s="88">
        <f>IF(U1047="",0,MAX(0,T1047)+N1047+ROUND(J1047*[1]Setup!$B$9,0)+IF(O1047&gt;[1]Setup!$B$10,ROUND(J1047*[1]Setup!$B$11,0),0))</f>
        <v>0</v>
      </c>
      <c r="W1047" s="85" t="str">
        <f>IF(L1047="","Open",IF(OR(P1047&lt;[1]Setup!$B$6,Q1047&gt;[1]Setup!$B$7,R1047&gt;[1]Setup!$B$8,O1047&gt;[1]Setup!$B$10),"Review","OK"))</f>
        <v>Open</v>
      </c>
      <c r="X1047" s="86"/>
    </row>
    <row r="1048" spans="1:24" x14ac:dyDescent="0.3">
      <c r="A1048" s="84"/>
      <c r="B1048" s="100">
        <f t="shared" si="177"/>
        <v>0</v>
      </c>
      <c r="C1048" s="84" t="str">
        <f t="shared" si="178"/>
        <v>January</v>
      </c>
      <c r="D1048" s="85" t="str">
        <f t="shared" si="176"/>
        <v/>
      </c>
      <c r="E1048" s="86"/>
      <c r="F1048" s="86"/>
      <c r="G1048" s="86"/>
      <c r="H1048" s="86"/>
      <c r="I1048" s="87" t="str">
        <f>IF(F1048=0,"",IF(COUNTIF(F1048,"Bao"),[1]Setup!$B$4,IF(COUNTIF(F1048,"Soup Dumplings"),[1]Setup!$B$5,F1048)))</f>
        <v/>
      </c>
      <c r="J1048" s="88" t="str">
        <f t="shared" si="170"/>
        <v/>
      </c>
      <c r="K1048" s="88"/>
      <c r="L1048" s="87"/>
      <c r="M1048" s="87"/>
      <c r="N1048" s="87"/>
      <c r="O1048" s="87"/>
      <c r="P1048" s="89" t="str">
        <f t="shared" si="171"/>
        <v/>
      </c>
      <c r="Q1048" s="89" t="str">
        <f t="shared" si="172"/>
        <v/>
      </c>
      <c r="R1048" s="89" t="str">
        <f t="shared" si="173"/>
        <v/>
      </c>
      <c r="S1048" s="88" t="str">
        <f>IF(F1048="Bao",[1]Setup!$B$4,IF(F1048="Soup Dumplings",[1]Setup!$B$5,""))</f>
        <v/>
      </c>
      <c r="T1048" s="88" t="str">
        <f t="shared" si="174"/>
        <v/>
      </c>
      <c r="U1048" s="84" t="str">
        <f t="shared" si="175"/>
        <v/>
      </c>
      <c r="V1048" s="88">
        <f>IF(U1048="",0,MAX(0,T1048)+N1048+ROUND(J1048*[1]Setup!$B$9,0)+IF(O1048&gt;[1]Setup!$B$10,ROUND(J1048*[1]Setup!$B$11,0),0))</f>
        <v>0</v>
      </c>
      <c r="W1048" s="85" t="str">
        <f>IF(L1048="","Open",IF(OR(P1048&lt;[1]Setup!$B$6,Q1048&gt;[1]Setup!$B$7,R1048&gt;[1]Setup!$B$8,O1048&gt;[1]Setup!$B$10),"Review","OK"))</f>
        <v>Open</v>
      </c>
      <c r="X1048" s="86"/>
    </row>
    <row r="1049" spans="1:24" x14ac:dyDescent="0.3">
      <c r="A1049" s="84"/>
      <c r="B1049" s="100">
        <f t="shared" si="177"/>
        <v>0</v>
      </c>
      <c r="C1049" s="84" t="str">
        <f t="shared" si="178"/>
        <v>January</v>
      </c>
      <c r="D1049" s="85" t="str">
        <f t="shared" si="176"/>
        <v/>
      </c>
      <c r="E1049" s="86"/>
      <c r="F1049" s="86"/>
      <c r="G1049" s="86"/>
      <c r="H1049" s="86"/>
      <c r="I1049" s="87" t="str">
        <f>IF(F1049=0,"",IF(COUNTIF(F1049,"Bao"),[1]Setup!$B$4,IF(COUNTIF(F1049,"Soup Dumplings"),[1]Setup!$B$5,F1049)))</f>
        <v/>
      </c>
      <c r="J1049" s="88" t="str">
        <f t="shared" si="170"/>
        <v/>
      </c>
      <c r="K1049" s="88"/>
      <c r="L1049" s="87"/>
      <c r="M1049" s="87"/>
      <c r="N1049" s="87"/>
      <c r="O1049" s="87"/>
      <c r="P1049" s="89" t="str">
        <f t="shared" si="171"/>
        <v/>
      </c>
      <c r="Q1049" s="89" t="str">
        <f t="shared" si="172"/>
        <v/>
      </c>
      <c r="R1049" s="89" t="str">
        <f t="shared" si="173"/>
        <v/>
      </c>
      <c r="S1049" s="88" t="str">
        <f>IF(F1049="Bao",[1]Setup!$B$4,IF(F1049="Soup Dumplings",[1]Setup!$B$5,""))</f>
        <v/>
      </c>
      <c r="T1049" s="88" t="str">
        <f t="shared" si="174"/>
        <v/>
      </c>
      <c r="U1049" s="84" t="str">
        <f t="shared" si="175"/>
        <v/>
      </c>
      <c r="V1049" s="88">
        <f>IF(U1049="",0,MAX(0,T1049)+N1049+ROUND(J1049*[1]Setup!$B$9,0)+IF(O1049&gt;[1]Setup!$B$10,ROUND(J1049*[1]Setup!$B$11,0),0))</f>
        <v>0</v>
      </c>
      <c r="W1049" s="85" t="str">
        <f>IF(L1049="","Open",IF(OR(P1049&lt;[1]Setup!$B$6,Q1049&gt;[1]Setup!$B$7,R1049&gt;[1]Setup!$B$8,O1049&gt;[1]Setup!$B$10),"Review","OK"))</f>
        <v>Open</v>
      </c>
      <c r="X1049" s="86"/>
    </row>
    <row r="1050" spans="1:24" x14ac:dyDescent="0.3">
      <c r="A1050" s="84"/>
      <c r="B1050" s="100">
        <f t="shared" si="177"/>
        <v>0</v>
      </c>
      <c r="C1050" s="84" t="str">
        <f t="shared" si="178"/>
        <v>January</v>
      </c>
      <c r="D1050" s="85" t="str">
        <f t="shared" si="176"/>
        <v/>
      </c>
      <c r="E1050" s="86"/>
      <c r="F1050" s="86"/>
      <c r="G1050" s="86"/>
      <c r="H1050" s="86"/>
      <c r="I1050" s="87" t="str">
        <f>IF(F1050=0,"",IF(COUNTIF(F1050,"Bao"),[1]Setup!$B$4,IF(COUNTIF(F1050,"Soup Dumplings"),[1]Setup!$B$5,F1050)))</f>
        <v/>
      </c>
      <c r="J1050" s="88" t="str">
        <f t="shared" si="170"/>
        <v/>
      </c>
      <c r="K1050" s="88"/>
      <c r="L1050" s="87"/>
      <c r="M1050" s="87"/>
      <c r="N1050" s="87"/>
      <c r="O1050" s="87"/>
      <c r="P1050" s="89" t="str">
        <f t="shared" si="171"/>
        <v/>
      </c>
      <c r="Q1050" s="89" t="str">
        <f t="shared" si="172"/>
        <v/>
      </c>
      <c r="R1050" s="89" t="str">
        <f t="shared" si="173"/>
        <v/>
      </c>
      <c r="S1050" s="88" t="str">
        <f>IF(F1050="Bao",[1]Setup!$B$4,IF(F1050="Soup Dumplings",[1]Setup!$B$5,""))</f>
        <v/>
      </c>
      <c r="T1050" s="88" t="str">
        <f t="shared" si="174"/>
        <v/>
      </c>
      <c r="U1050" s="84" t="str">
        <f t="shared" si="175"/>
        <v/>
      </c>
      <c r="V1050" s="88">
        <f>IF(U1050="",0,MAX(0,T1050)+N1050+ROUND(J1050*[1]Setup!$B$9,0)+IF(O1050&gt;[1]Setup!$B$10,ROUND(J1050*[1]Setup!$B$11,0),0))</f>
        <v>0</v>
      </c>
      <c r="W1050" s="85" t="str">
        <f>IF(L1050="","Open",IF(OR(P1050&lt;[1]Setup!$B$6,Q1050&gt;[1]Setup!$B$7,R1050&gt;[1]Setup!$B$8,O1050&gt;[1]Setup!$B$10),"Review","OK"))</f>
        <v>Open</v>
      </c>
      <c r="X1050" s="86"/>
    </row>
    <row r="1051" spans="1:24" x14ac:dyDescent="0.3">
      <c r="A1051" s="84"/>
      <c r="B1051" s="100">
        <f t="shared" si="177"/>
        <v>0</v>
      </c>
      <c r="C1051" s="84" t="str">
        <f t="shared" si="178"/>
        <v>January</v>
      </c>
      <c r="D1051" s="85" t="str">
        <f t="shared" si="176"/>
        <v/>
      </c>
      <c r="E1051" s="86"/>
      <c r="F1051" s="86"/>
      <c r="G1051" s="86"/>
      <c r="H1051" s="86"/>
      <c r="I1051" s="87" t="str">
        <f>IF(F1051=0,"",IF(COUNTIF(F1051,"Bao"),[1]Setup!$B$4,IF(COUNTIF(F1051,"Soup Dumplings"),[1]Setup!$B$5,F1051)))</f>
        <v/>
      </c>
      <c r="J1051" s="88" t="str">
        <f t="shared" si="170"/>
        <v/>
      </c>
      <c r="K1051" s="88"/>
      <c r="L1051" s="87"/>
      <c r="M1051" s="87"/>
      <c r="N1051" s="87"/>
      <c r="O1051" s="87"/>
      <c r="P1051" s="89" t="str">
        <f t="shared" si="171"/>
        <v/>
      </c>
      <c r="Q1051" s="89" t="str">
        <f t="shared" si="172"/>
        <v/>
      </c>
      <c r="R1051" s="89" t="str">
        <f t="shared" si="173"/>
        <v/>
      </c>
      <c r="S1051" s="88" t="str">
        <f>IF(F1051="Bao",[1]Setup!$B$4,IF(F1051="Soup Dumplings",[1]Setup!$B$5,""))</f>
        <v/>
      </c>
      <c r="T1051" s="88" t="str">
        <f t="shared" si="174"/>
        <v/>
      </c>
      <c r="U1051" s="84" t="str">
        <f t="shared" si="175"/>
        <v/>
      </c>
      <c r="V1051" s="88">
        <f>IF(U1051="",0,MAX(0,T1051)+N1051+ROUND(J1051*[1]Setup!$B$9,0)+IF(O1051&gt;[1]Setup!$B$10,ROUND(J1051*[1]Setup!$B$11,0),0))</f>
        <v>0</v>
      </c>
      <c r="W1051" s="85" t="str">
        <f>IF(L1051="","Open",IF(OR(P1051&lt;[1]Setup!$B$6,Q1051&gt;[1]Setup!$B$7,R1051&gt;[1]Setup!$B$8,O1051&gt;[1]Setup!$B$10),"Review","OK"))</f>
        <v>Open</v>
      </c>
      <c r="X1051" s="86"/>
    </row>
    <row r="1052" spans="1:24" x14ac:dyDescent="0.3">
      <c r="A1052" s="84"/>
      <c r="B1052" s="100">
        <f t="shared" si="177"/>
        <v>0</v>
      </c>
      <c r="C1052" s="84" t="str">
        <f t="shared" si="178"/>
        <v>January</v>
      </c>
      <c r="D1052" s="85" t="str">
        <f t="shared" si="176"/>
        <v/>
      </c>
      <c r="E1052" s="86"/>
      <c r="F1052" s="86"/>
      <c r="G1052" s="86"/>
      <c r="H1052" s="86"/>
      <c r="I1052" s="87" t="str">
        <f>IF(F1052=0,"",IF(COUNTIF(F1052,"Bao"),[1]Setup!$B$4,IF(COUNTIF(F1052,"Soup Dumplings"),[1]Setup!$B$5,F1052)))</f>
        <v/>
      </c>
      <c r="J1052" s="88" t="str">
        <f t="shared" si="170"/>
        <v/>
      </c>
      <c r="K1052" s="88"/>
      <c r="L1052" s="87"/>
      <c r="M1052" s="87"/>
      <c r="N1052" s="87"/>
      <c r="O1052" s="87"/>
      <c r="P1052" s="89" t="str">
        <f t="shared" si="171"/>
        <v/>
      </c>
      <c r="Q1052" s="89" t="str">
        <f t="shared" si="172"/>
        <v/>
      </c>
      <c r="R1052" s="89" t="str">
        <f t="shared" si="173"/>
        <v/>
      </c>
      <c r="S1052" s="88" t="str">
        <f>IF(F1052="Bao",[1]Setup!$B$4,IF(F1052="Soup Dumplings",[1]Setup!$B$5,""))</f>
        <v/>
      </c>
      <c r="T1052" s="88" t="str">
        <f t="shared" si="174"/>
        <v/>
      </c>
      <c r="U1052" s="84" t="str">
        <f t="shared" si="175"/>
        <v/>
      </c>
      <c r="V1052" s="88">
        <f>IF(U1052="",0,MAX(0,T1052)+N1052+ROUND(J1052*[1]Setup!$B$9,0)+IF(O1052&gt;[1]Setup!$B$10,ROUND(J1052*[1]Setup!$B$11,0),0))</f>
        <v>0</v>
      </c>
      <c r="W1052" s="85" t="str">
        <f>IF(L1052="","Open",IF(OR(P1052&lt;[1]Setup!$B$6,Q1052&gt;[1]Setup!$B$7,R1052&gt;[1]Setup!$B$8,O1052&gt;[1]Setup!$B$10),"Review","OK"))</f>
        <v>Open</v>
      </c>
      <c r="X1052" s="86"/>
    </row>
    <row r="1053" spans="1:24" x14ac:dyDescent="0.3">
      <c r="A1053" s="84"/>
      <c r="B1053" s="100">
        <f t="shared" si="177"/>
        <v>0</v>
      </c>
      <c r="C1053" s="84" t="str">
        <f t="shared" si="178"/>
        <v>January</v>
      </c>
      <c r="D1053" s="85" t="str">
        <f t="shared" si="176"/>
        <v/>
      </c>
      <c r="E1053" s="86"/>
      <c r="F1053" s="86"/>
      <c r="G1053" s="86"/>
      <c r="H1053" s="86"/>
      <c r="I1053" s="87" t="str">
        <f>IF(F1053=0,"",IF(COUNTIF(F1053,"Bao"),[1]Setup!$B$4,IF(COUNTIF(F1053,"Soup Dumplings"),[1]Setup!$B$5,F1053)))</f>
        <v/>
      </c>
      <c r="J1053" s="88" t="str">
        <f t="shared" si="170"/>
        <v/>
      </c>
      <c r="K1053" s="88"/>
      <c r="L1053" s="87"/>
      <c r="M1053" s="87"/>
      <c r="N1053" s="87"/>
      <c r="O1053" s="87"/>
      <c r="P1053" s="89" t="str">
        <f t="shared" si="171"/>
        <v/>
      </c>
      <c r="Q1053" s="89" t="str">
        <f t="shared" si="172"/>
        <v/>
      </c>
      <c r="R1053" s="89" t="str">
        <f t="shared" si="173"/>
        <v/>
      </c>
      <c r="S1053" s="88" t="str">
        <f>IF(F1053="Bao",[1]Setup!$B$4,IF(F1053="Soup Dumplings",[1]Setup!$B$5,""))</f>
        <v/>
      </c>
      <c r="T1053" s="88" t="str">
        <f t="shared" si="174"/>
        <v/>
      </c>
      <c r="U1053" s="84" t="str">
        <f t="shared" si="175"/>
        <v/>
      </c>
      <c r="V1053" s="88">
        <f>IF(U1053="",0,MAX(0,T1053)+N1053+ROUND(J1053*[1]Setup!$B$9,0)+IF(O1053&gt;[1]Setup!$B$10,ROUND(J1053*[1]Setup!$B$11,0),0))</f>
        <v>0</v>
      </c>
      <c r="W1053" s="85" t="str">
        <f>IF(L1053="","Open",IF(OR(P1053&lt;[1]Setup!$B$6,Q1053&gt;[1]Setup!$B$7,R1053&gt;[1]Setup!$B$8,O1053&gt;[1]Setup!$B$10),"Review","OK"))</f>
        <v>Open</v>
      </c>
      <c r="X1053" s="86"/>
    </row>
    <row r="1054" spans="1:24" x14ac:dyDescent="0.3">
      <c r="A1054" s="84"/>
      <c r="B1054" s="100">
        <f t="shared" si="177"/>
        <v>0</v>
      </c>
      <c r="C1054" s="84" t="str">
        <f t="shared" si="178"/>
        <v>January</v>
      </c>
      <c r="D1054" s="85" t="str">
        <f t="shared" si="176"/>
        <v/>
      </c>
      <c r="E1054" s="86"/>
      <c r="F1054" s="86"/>
      <c r="G1054" s="86"/>
      <c r="H1054" s="86"/>
      <c r="I1054" s="87" t="str">
        <f>IF(F1054=0,"",IF(COUNTIF(F1054,"Bao"),[1]Setup!$B$4,IF(COUNTIF(F1054,"Soup Dumplings"),[1]Setup!$B$5,F1054)))</f>
        <v/>
      </c>
      <c r="J1054" s="88" t="str">
        <f t="shared" si="170"/>
        <v/>
      </c>
      <c r="K1054" s="88"/>
      <c r="L1054" s="87"/>
      <c r="M1054" s="87"/>
      <c r="N1054" s="87"/>
      <c r="O1054" s="87"/>
      <c r="P1054" s="89" t="str">
        <f t="shared" si="171"/>
        <v/>
      </c>
      <c r="Q1054" s="89" t="str">
        <f t="shared" si="172"/>
        <v/>
      </c>
      <c r="R1054" s="89" t="str">
        <f t="shared" si="173"/>
        <v/>
      </c>
      <c r="S1054" s="88" t="str">
        <f>IF(F1054="Bao",[1]Setup!$B$4,IF(F1054="Soup Dumplings",[1]Setup!$B$5,""))</f>
        <v/>
      </c>
      <c r="T1054" s="88" t="str">
        <f t="shared" si="174"/>
        <v/>
      </c>
      <c r="U1054" s="84" t="str">
        <f t="shared" si="175"/>
        <v/>
      </c>
      <c r="V1054" s="88">
        <f>IF(U1054="",0,MAX(0,T1054)+N1054+ROUND(J1054*[1]Setup!$B$9,0)+IF(O1054&gt;[1]Setup!$B$10,ROUND(J1054*[1]Setup!$B$11,0),0))</f>
        <v>0</v>
      </c>
      <c r="W1054" s="85" t="str">
        <f>IF(L1054="","Open",IF(OR(P1054&lt;[1]Setup!$B$6,Q1054&gt;[1]Setup!$B$7,R1054&gt;[1]Setup!$B$8,O1054&gt;[1]Setup!$B$10),"Review","OK"))</f>
        <v>Open</v>
      </c>
      <c r="X1054" s="86"/>
    </row>
    <row r="1055" spans="1:24" x14ac:dyDescent="0.3">
      <c r="A1055" s="84"/>
      <c r="B1055" s="100">
        <f t="shared" si="177"/>
        <v>0</v>
      </c>
      <c r="C1055" s="84" t="str">
        <f t="shared" si="178"/>
        <v>January</v>
      </c>
      <c r="D1055" s="85" t="str">
        <f t="shared" si="176"/>
        <v/>
      </c>
      <c r="E1055" s="86"/>
      <c r="F1055" s="86"/>
      <c r="G1055" s="86"/>
      <c r="H1055" s="86"/>
      <c r="I1055" s="87" t="str">
        <f>IF(F1055=0,"",IF(COUNTIF(F1055,"Bao"),[1]Setup!$B$4,IF(COUNTIF(F1055,"Soup Dumplings"),[1]Setup!$B$5,F1055)))</f>
        <v/>
      </c>
      <c r="J1055" s="88" t="str">
        <f t="shared" si="170"/>
        <v/>
      </c>
      <c r="K1055" s="88"/>
      <c r="L1055" s="87"/>
      <c r="M1055" s="87"/>
      <c r="N1055" s="87"/>
      <c r="O1055" s="87"/>
      <c r="P1055" s="89" t="str">
        <f t="shared" si="171"/>
        <v/>
      </c>
      <c r="Q1055" s="89" t="str">
        <f t="shared" si="172"/>
        <v/>
      </c>
      <c r="R1055" s="89" t="str">
        <f t="shared" si="173"/>
        <v/>
      </c>
      <c r="S1055" s="88" t="str">
        <f>IF(F1055="Bao",[1]Setup!$B$4,IF(F1055="Soup Dumplings",[1]Setup!$B$5,""))</f>
        <v/>
      </c>
      <c r="T1055" s="88" t="str">
        <f t="shared" si="174"/>
        <v/>
      </c>
      <c r="U1055" s="84" t="str">
        <f t="shared" si="175"/>
        <v/>
      </c>
      <c r="V1055" s="88">
        <f>IF(U1055="",0,MAX(0,T1055)+N1055+ROUND(J1055*[1]Setup!$B$9,0)+IF(O1055&gt;[1]Setup!$B$10,ROUND(J1055*[1]Setup!$B$11,0),0))</f>
        <v>0</v>
      </c>
      <c r="W1055" s="85" t="str">
        <f>IF(L1055="","Open",IF(OR(P1055&lt;[1]Setup!$B$6,Q1055&gt;[1]Setup!$B$7,R1055&gt;[1]Setup!$B$8,O1055&gt;[1]Setup!$B$10),"Review","OK"))</f>
        <v>Open</v>
      </c>
      <c r="X1055" s="86"/>
    </row>
    <row r="1056" spans="1:24" x14ac:dyDescent="0.3">
      <c r="A1056" s="84"/>
      <c r="B1056" s="100">
        <f t="shared" si="177"/>
        <v>0</v>
      </c>
      <c r="C1056" s="84" t="str">
        <f t="shared" si="178"/>
        <v>January</v>
      </c>
      <c r="D1056" s="85" t="str">
        <f t="shared" si="176"/>
        <v/>
      </c>
      <c r="E1056" s="86"/>
      <c r="F1056" s="86"/>
      <c r="G1056" s="86"/>
      <c r="H1056" s="86"/>
      <c r="I1056" s="87" t="str">
        <f>IF(F1056=0,"",IF(COUNTIF(F1056,"Bao"),[1]Setup!$B$4,IF(COUNTIF(F1056,"Soup Dumplings"),[1]Setup!$B$5,F1056)))</f>
        <v/>
      </c>
      <c r="J1056" s="88" t="str">
        <f t="shared" si="170"/>
        <v/>
      </c>
      <c r="K1056" s="88"/>
      <c r="L1056" s="87"/>
      <c r="M1056" s="87"/>
      <c r="N1056" s="87"/>
      <c r="O1056" s="87"/>
      <c r="P1056" s="89" t="str">
        <f t="shared" si="171"/>
        <v/>
      </c>
      <c r="Q1056" s="89" t="str">
        <f t="shared" si="172"/>
        <v/>
      </c>
      <c r="R1056" s="89" t="str">
        <f t="shared" si="173"/>
        <v/>
      </c>
      <c r="S1056" s="88" t="str">
        <f>IF(F1056="Bao",[1]Setup!$B$4,IF(F1056="Soup Dumplings",[1]Setup!$B$5,""))</f>
        <v/>
      </c>
      <c r="T1056" s="88" t="str">
        <f t="shared" si="174"/>
        <v/>
      </c>
      <c r="U1056" s="84" t="str">
        <f t="shared" si="175"/>
        <v/>
      </c>
      <c r="V1056" s="88">
        <f>IF(U1056="",0,MAX(0,T1056)+N1056+ROUND(J1056*[1]Setup!$B$9,0)+IF(O1056&gt;[1]Setup!$B$10,ROUND(J1056*[1]Setup!$B$11,0),0))</f>
        <v>0</v>
      </c>
      <c r="W1056" s="85" t="str">
        <f>IF(L1056="","Open",IF(OR(P1056&lt;[1]Setup!$B$6,Q1056&gt;[1]Setup!$B$7,R1056&gt;[1]Setup!$B$8,O1056&gt;[1]Setup!$B$10),"Review","OK"))</f>
        <v>Open</v>
      </c>
      <c r="X1056" s="86"/>
    </row>
    <row r="1057" spans="1:24" x14ac:dyDescent="0.3">
      <c r="A1057" s="84"/>
      <c r="B1057" s="100">
        <f t="shared" si="177"/>
        <v>0</v>
      </c>
      <c r="C1057" s="84" t="str">
        <f t="shared" si="178"/>
        <v>January</v>
      </c>
      <c r="D1057" s="85" t="str">
        <f t="shared" si="176"/>
        <v/>
      </c>
      <c r="E1057" s="86"/>
      <c r="F1057" s="86"/>
      <c r="G1057" s="86"/>
      <c r="H1057" s="86"/>
      <c r="I1057" s="87" t="str">
        <f>IF(F1057=0,"",IF(COUNTIF(F1057,"Bao"),[1]Setup!$B$4,IF(COUNTIF(F1057,"Soup Dumplings"),[1]Setup!$B$5,F1057)))</f>
        <v/>
      </c>
      <c r="J1057" s="88" t="str">
        <f t="shared" si="170"/>
        <v/>
      </c>
      <c r="K1057" s="88"/>
      <c r="L1057" s="87"/>
      <c r="M1057" s="87"/>
      <c r="N1057" s="87"/>
      <c r="O1057" s="87"/>
      <c r="P1057" s="89" t="str">
        <f t="shared" si="171"/>
        <v/>
      </c>
      <c r="Q1057" s="89" t="str">
        <f t="shared" si="172"/>
        <v/>
      </c>
      <c r="R1057" s="89" t="str">
        <f t="shared" si="173"/>
        <v/>
      </c>
      <c r="S1057" s="88" t="str">
        <f>IF(F1057="Bao",[1]Setup!$B$4,IF(F1057="Soup Dumplings",[1]Setup!$B$5,""))</f>
        <v/>
      </c>
      <c r="T1057" s="88" t="str">
        <f t="shared" si="174"/>
        <v/>
      </c>
      <c r="U1057" s="84" t="str">
        <f t="shared" si="175"/>
        <v/>
      </c>
      <c r="V1057" s="88">
        <f>IF(U1057="",0,MAX(0,T1057)+N1057+ROUND(J1057*[1]Setup!$B$9,0)+IF(O1057&gt;[1]Setup!$B$10,ROUND(J1057*[1]Setup!$B$11,0),0))</f>
        <v>0</v>
      </c>
      <c r="W1057" s="85" t="str">
        <f>IF(L1057="","Open",IF(OR(P1057&lt;[1]Setup!$B$6,Q1057&gt;[1]Setup!$B$7,R1057&gt;[1]Setup!$B$8,O1057&gt;[1]Setup!$B$10),"Review","OK"))</f>
        <v>Open</v>
      </c>
      <c r="X1057" s="86"/>
    </row>
    <row r="1058" spans="1:24" x14ac:dyDescent="0.3">
      <c r="A1058" s="84"/>
      <c r="B1058" s="100">
        <f t="shared" si="177"/>
        <v>0</v>
      </c>
      <c r="C1058" s="84" t="str">
        <f t="shared" si="178"/>
        <v>January</v>
      </c>
      <c r="D1058" s="85" t="str">
        <f t="shared" si="176"/>
        <v/>
      </c>
      <c r="E1058" s="86"/>
      <c r="F1058" s="86"/>
      <c r="G1058" s="86"/>
      <c r="H1058" s="86"/>
      <c r="I1058" s="87" t="str">
        <f>IF(F1058=0,"",IF(COUNTIF(F1058,"Bao"),[1]Setup!$B$4,IF(COUNTIF(F1058,"Soup Dumplings"),[1]Setup!$B$5,F1058)))</f>
        <v/>
      </c>
      <c r="J1058" s="88" t="str">
        <f t="shared" si="170"/>
        <v/>
      </c>
      <c r="K1058" s="88"/>
      <c r="L1058" s="87"/>
      <c r="M1058" s="87"/>
      <c r="N1058" s="87"/>
      <c r="O1058" s="87"/>
      <c r="P1058" s="89" t="str">
        <f t="shared" si="171"/>
        <v/>
      </c>
      <c r="Q1058" s="89" t="str">
        <f t="shared" si="172"/>
        <v/>
      </c>
      <c r="R1058" s="89" t="str">
        <f t="shared" si="173"/>
        <v/>
      </c>
      <c r="S1058" s="88" t="str">
        <f>IF(F1058="Bao",[1]Setup!$B$4,IF(F1058="Soup Dumplings",[1]Setup!$B$5,""))</f>
        <v/>
      </c>
      <c r="T1058" s="88" t="str">
        <f t="shared" si="174"/>
        <v/>
      </c>
      <c r="U1058" s="84" t="str">
        <f t="shared" si="175"/>
        <v/>
      </c>
      <c r="V1058" s="88">
        <f>IF(U1058="",0,MAX(0,T1058)+N1058+ROUND(J1058*[1]Setup!$B$9,0)+IF(O1058&gt;[1]Setup!$B$10,ROUND(J1058*[1]Setup!$B$11,0),0))</f>
        <v>0</v>
      </c>
      <c r="W1058" s="85" t="str">
        <f>IF(L1058="","Open",IF(OR(P1058&lt;[1]Setup!$B$6,Q1058&gt;[1]Setup!$B$7,R1058&gt;[1]Setup!$B$8,O1058&gt;[1]Setup!$B$10),"Review","OK"))</f>
        <v>Open</v>
      </c>
      <c r="X1058" s="86"/>
    </row>
    <row r="1059" spans="1:24" x14ac:dyDescent="0.3">
      <c r="A1059" s="84"/>
      <c r="B1059" s="100">
        <f t="shared" si="177"/>
        <v>0</v>
      </c>
      <c r="C1059" s="84" t="str">
        <f t="shared" si="178"/>
        <v>January</v>
      </c>
      <c r="D1059" s="85" t="str">
        <f t="shared" si="176"/>
        <v/>
      </c>
      <c r="E1059" s="86"/>
      <c r="F1059" s="86"/>
      <c r="G1059" s="86"/>
      <c r="H1059" s="86"/>
      <c r="I1059" s="87" t="str">
        <f>IF(F1059=0,"",IF(COUNTIF(F1059,"Bao"),[1]Setup!$B$4,IF(COUNTIF(F1059,"Soup Dumplings"),[1]Setup!$B$5,F1059)))</f>
        <v/>
      </c>
      <c r="J1059" s="88" t="str">
        <f t="shared" si="170"/>
        <v/>
      </c>
      <c r="K1059" s="88"/>
      <c r="L1059" s="87"/>
      <c r="M1059" s="87"/>
      <c r="N1059" s="87"/>
      <c r="O1059" s="87"/>
      <c r="P1059" s="89" t="str">
        <f t="shared" si="171"/>
        <v/>
      </c>
      <c r="Q1059" s="89" t="str">
        <f t="shared" si="172"/>
        <v/>
      </c>
      <c r="R1059" s="89" t="str">
        <f t="shared" si="173"/>
        <v/>
      </c>
      <c r="S1059" s="88" t="str">
        <f>IF(F1059="Bao",[1]Setup!$B$4,IF(F1059="Soup Dumplings",[1]Setup!$B$5,""))</f>
        <v/>
      </c>
      <c r="T1059" s="88" t="str">
        <f t="shared" si="174"/>
        <v/>
      </c>
      <c r="U1059" s="84" t="str">
        <f t="shared" si="175"/>
        <v/>
      </c>
      <c r="V1059" s="88">
        <f>IF(U1059="",0,MAX(0,T1059)+N1059+ROUND(J1059*[1]Setup!$B$9,0)+IF(O1059&gt;[1]Setup!$B$10,ROUND(J1059*[1]Setup!$B$11,0),0))</f>
        <v>0</v>
      </c>
      <c r="W1059" s="85" t="str">
        <f>IF(L1059="","Open",IF(OR(P1059&lt;[1]Setup!$B$6,Q1059&gt;[1]Setup!$B$7,R1059&gt;[1]Setup!$B$8,O1059&gt;[1]Setup!$B$10),"Review","OK"))</f>
        <v>Open</v>
      </c>
      <c r="X1059" s="86"/>
    </row>
    <row r="1060" spans="1:24" x14ac:dyDescent="0.3">
      <c r="A1060" s="84"/>
      <c r="B1060" s="100">
        <f t="shared" si="177"/>
        <v>0</v>
      </c>
      <c r="C1060" s="84" t="str">
        <f t="shared" si="178"/>
        <v>January</v>
      </c>
      <c r="D1060" s="85" t="str">
        <f t="shared" si="176"/>
        <v/>
      </c>
      <c r="E1060" s="86"/>
      <c r="F1060" s="86"/>
      <c r="G1060" s="86"/>
      <c r="H1060" s="86"/>
      <c r="I1060" s="87" t="str">
        <f>IF(F1060=0,"",IF(COUNTIF(F1060,"Bao"),[1]Setup!$B$4,IF(COUNTIF(F1060,"Soup Dumplings"),[1]Setup!$B$5,F1060)))</f>
        <v/>
      </c>
      <c r="J1060" s="88" t="str">
        <f t="shared" si="170"/>
        <v/>
      </c>
      <c r="K1060" s="88"/>
      <c r="L1060" s="87"/>
      <c r="M1060" s="87"/>
      <c r="N1060" s="87"/>
      <c r="O1060" s="87"/>
      <c r="P1060" s="89" t="str">
        <f t="shared" si="171"/>
        <v/>
      </c>
      <c r="Q1060" s="89" t="str">
        <f t="shared" si="172"/>
        <v/>
      </c>
      <c r="R1060" s="89" t="str">
        <f t="shared" si="173"/>
        <v/>
      </c>
      <c r="S1060" s="88" t="str">
        <f>IF(F1060="Bao",[1]Setup!$B$4,IF(F1060="Soup Dumplings",[1]Setup!$B$5,""))</f>
        <v/>
      </c>
      <c r="T1060" s="88" t="str">
        <f t="shared" si="174"/>
        <v/>
      </c>
      <c r="U1060" s="84" t="str">
        <f t="shared" si="175"/>
        <v/>
      </c>
      <c r="V1060" s="88">
        <f>IF(U1060="",0,MAX(0,T1060)+N1060+ROUND(J1060*[1]Setup!$B$9,0)+IF(O1060&gt;[1]Setup!$B$10,ROUND(J1060*[1]Setup!$B$11,0),0))</f>
        <v>0</v>
      </c>
      <c r="W1060" s="85" t="str">
        <f>IF(L1060="","Open",IF(OR(P1060&lt;[1]Setup!$B$6,Q1060&gt;[1]Setup!$B$7,R1060&gt;[1]Setup!$B$8,O1060&gt;[1]Setup!$B$10),"Review","OK"))</f>
        <v>Open</v>
      </c>
      <c r="X1060" s="86"/>
    </row>
    <row r="1061" spans="1:24" x14ac:dyDescent="0.3">
      <c r="A1061" s="84"/>
      <c r="B1061" s="100">
        <f t="shared" si="177"/>
        <v>0</v>
      </c>
      <c r="C1061" s="84" t="str">
        <f t="shared" si="178"/>
        <v>January</v>
      </c>
      <c r="D1061" s="85" t="str">
        <f t="shared" si="176"/>
        <v/>
      </c>
      <c r="E1061" s="86"/>
      <c r="F1061" s="86"/>
      <c r="G1061" s="86"/>
      <c r="H1061" s="86"/>
      <c r="I1061" s="87" t="str">
        <f>IF(F1061=0,"",IF(COUNTIF(F1061,"Bao"),[1]Setup!$B$4,IF(COUNTIF(F1061,"Soup Dumplings"),[1]Setup!$B$5,F1061)))</f>
        <v/>
      </c>
      <c r="J1061" s="88" t="str">
        <f t="shared" si="170"/>
        <v/>
      </c>
      <c r="K1061" s="88"/>
      <c r="L1061" s="87"/>
      <c r="M1061" s="87"/>
      <c r="N1061" s="87"/>
      <c r="O1061" s="87"/>
      <c r="P1061" s="89" t="str">
        <f t="shared" si="171"/>
        <v/>
      </c>
      <c r="Q1061" s="89" t="str">
        <f t="shared" si="172"/>
        <v/>
      </c>
      <c r="R1061" s="89" t="str">
        <f t="shared" si="173"/>
        <v/>
      </c>
      <c r="S1061" s="88" t="str">
        <f>IF(F1061="Bao",[1]Setup!$B$4,IF(F1061="Soup Dumplings",[1]Setup!$B$5,""))</f>
        <v/>
      </c>
      <c r="T1061" s="88" t="str">
        <f t="shared" si="174"/>
        <v/>
      </c>
      <c r="U1061" s="84" t="str">
        <f t="shared" si="175"/>
        <v/>
      </c>
      <c r="V1061" s="88">
        <f>IF(U1061="",0,MAX(0,T1061)+N1061+ROUND(J1061*[1]Setup!$B$9,0)+IF(O1061&gt;[1]Setup!$B$10,ROUND(J1061*[1]Setup!$B$11,0),0))</f>
        <v>0</v>
      </c>
      <c r="W1061" s="85" t="str">
        <f>IF(L1061="","Open",IF(OR(P1061&lt;[1]Setup!$B$6,Q1061&gt;[1]Setup!$B$7,R1061&gt;[1]Setup!$B$8,O1061&gt;[1]Setup!$B$10),"Review","OK"))</f>
        <v>Open</v>
      </c>
      <c r="X1061" s="86"/>
    </row>
    <row r="1062" spans="1:24" x14ac:dyDescent="0.3">
      <c r="A1062" s="84"/>
      <c r="B1062" s="100">
        <f t="shared" si="177"/>
        <v>0</v>
      </c>
      <c r="C1062" s="84" t="str">
        <f t="shared" si="178"/>
        <v>January</v>
      </c>
      <c r="D1062" s="85" t="str">
        <f t="shared" si="176"/>
        <v/>
      </c>
      <c r="E1062" s="86"/>
      <c r="F1062" s="86"/>
      <c r="G1062" s="86"/>
      <c r="H1062" s="86"/>
      <c r="I1062" s="87" t="str">
        <f>IF(F1062=0,"",IF(COUNTIF(F1062,"Bao"),[1]Setup!$B$4,IF(COUNTIF(F1062,"Soup Dumplings"),[1]Setup!$B$5,F1062)))</f>
        <v/>
      </c>
      <c r="J1062" s="88" t="str">
        <f t="shared" si="170"/>
        <v/>
      </c>
      <c r="K1062" s="88"/>
      <c r="L1062" s="87"/>
      <c r="M1062" s="87"/>
      <c r="N1062" s="87"/>
      <c r="O1062" s="87"/>
      <c r="P1062" s="89" t="str">
        <f t="shared" si="171"/>
        <v/>
      </c>
      <c r="Q1062" s="89" t="str">
        <f t="shared" si="172"/>
        <v/>
      </c>
      <c r="R1062" s="89" t="str">
        <f t="shared" si="173"/>
        <v/>
      </c>
      <c r="S1062" s="88" t="str">
        <f>IF(F1062="Bao",[1]Setup!$B$4,IF(F1062="Soup Dumplings",[1]Setup!$B$5,""))</f>
        <v/>
      </c>
      <c r="T1062" s="88" t="str">
        <f t="shared" si="174"/>
        <v/>
      </c>
      <c r="U1062" s="84" t="str">
        <f t="shared" si="175"/>
        <v/>
      </c>
      <c r="V1062" s="88">
        <f>IF(U1062="",0,MAX(0,T1062)+N1062+ROUND(J1062*[1]Setup!$B$9,0)+IF(O1062&gt;[1]Setup!$B$10,ROUND(J1062*[1]Setup!$B$11,0),0))</f>
        <v>0</v>
      </c>
      <c r="W1062" s="85" t="str">
        <f>IF(L1062="","Open",IF(OR(P1062&lt;[1]Setup!$B$6,Q1062&gt;[1]Setup!$B$7,R1062&gt;[1]Setup!$B$8,O1062&gt;[1]Setup!$B$10),"Review","OK"))</f>
        <v>Open</v>
      </c>
      <c r="X1062" s="86"/>
    </row>
    <row r="1063" spans="1:24" x14ac:dyDescent="0.3">
      <c r="A1063" s="84"/>
      <c r="B1063" s="100">
        <f t="shared" si="177"/>
        <v>0</v>
      </c>
      <c r="C1063" s="84" t="str">
        <f t="shared" si="178"/>
        <v>January</v>
      </c>
      <c r="D1063" s="85" t="str">
        <f t="shared" si="176"/>
        <v/>
      </c>
      <c r="E1063" s="86"/>
      <c r="F1063" s="86"/>
      <c r="G1063" s="86"/>
      <c r="H1063" s="86"/>
      <c r="I1063" s="87" t="str">
        <f>IF(F1063=0,"",IF(COUNTIF(F1063,"Bao"),[1]Setup!$B$4,IF(COUNTIF(F1063,"Soup Dumplings"),[1]Setup!$B$5,F1063)))</f>
        <v/>
      </c>
      <c r="J1063" s="88" t="str">
        <f t="shared" si="170"/>
        <v/>
      </c>
      <c r="K1063" s="88"/>
      <c r="L1063" s="87"/>
      <c r="M1063" s="87"/>
      <c r="N1063" s="87"/>
      <c r="O1063" s="87"/>
      <c r="P1063" s="89" t="str">
        <f t="shared" si="171"/>
        <v/>
      </c>
      <c r="Q1063" s="89" t="str">
        <f t="shared" si="172"/>
        <v/>
      </c>
      <c r="R1063" s="89" t="str">
        <f t="shared" si="173"/>
        <v/>
      </c>
      <c r="S1063" s="88" t="str">
        <f>IF(F1063="Bao",[1]Setup!$B$4,IF(F1063="Soup Dumplings",[1]Setup!$B$5,""))</f>
        <v/>
      </c>
      <c r="T1063" s="88" t="str">
        <f t="shared" si="174"/>
        <v/>
      </c>
      <c r="U1063" s="84" t="str">
        <f t="shared" si="175"/>
        <v/>
      </c>
      <c r="V1063" s="88">
        <f>IF(U1063="",0,MAX(0,T1063)+N1063+ROUND(J1063*[1]Setup!$B$9,0)+IF(O1063&gt;[1]Setup!$B$10,ROUND(J1063*[1]Setup!$B$11,0),0))</f>
        <v>0</v>
      </c>
      <c r="W1063" s="85" t="str">
        <f>IF(L1063="","Open",IF(OR(P1063&lt;[1]Setup!$B$6,Q1063&gt;[1]Setup!$B$7,R1063&gt;[1]Setup!$B$8,O1063&gt;[1]Setup!$B$10),"Review","OK"))</f>
        <v>Open</v>
      </c>
      <c r="X1063" s="86"/>
    </row>
    <row r="1064" spans="1:24" x14ac:dyDescent="0.3">
      <c r="A1064" s="84"/>
      <c r="B1064" s="100">
        <f t="shared" si="177"/>
        <v>0</v>
      </c>
      <c r="C1064" s="84" t="str">
        <f t="shared" si="178"/>
        <v>January</v>
      </c>
      <c r="D1064" s="85" t="str">
        <f t="shared" si="176"/>
        <v/>
      </c>
      <c r="E1064" s="86"/>
      <c r="F1064" s="86"/>
      <c r="G1064" s="86"/>
      <c r="H1064" s="86"/>
      <c r="I1064" s="87" t="str">
        <f>IF(F1064=0,"",IF(COUNTIF(F1064,"Bao"),[1]Setup!$B$4,IF(COUNTIF(F1064,"Soup Dumplings"),[1]Setup!$B$5,F1064)))</f>
        <v/>
      </c>
      <c r="J1064" s="88" t="str">
        <f t="shared" si="170"/>
        <v/>
      </c>
      <c r="K1064" s="88"/>
      <c r="L1064" s="87"/>
      <c r="M1064" s="87"/>
      <c r="N1064" s="87"/>
      <c r="O1064" s="87"/>
      <c r="P1064" s="89" t="str">
        <f t="shared" si="171"/>
        <v/>
      </c>
      <c r="Q1064" s="89" t="str">
        <f t="shared" si="172"/>
        <v/>
      </c>
      <c r="R1064" s="89" t="str">
        <f t="shared" si="173"/>
        <v/>
      </c>
      <c r="S1064" s="88" t="str">
        <f>IF(F1064="Bao",[1]Setup!$B$4,IF(F1064="Soup Dumplings",[1]Setup!$B$5,""))</f>
        <v/>
      </c>
      <c r="T1064" s="88" t="str">
        <f t="shared" si="174"/>
        <v/>
      </c>
      <c r="U1064" s="84" t="str">
        <f t="shared" si="175"/>
        <v/>
      </c>
      <c r="V1064" s="88">
        <f>IF(U1064="",0,MAX(0,T1064)+N1064+ROUND(J1064*[1]Setup!$B$9,0)+IF(O1064&gt;[1]Setup!$B$10,ROUND(J1064*[1]Setup!$B$11,0),0))</f>
        <v>0</v>
      </c>
      <c r="W1064" s="85" t="str">
        <f>IF(L1064="","Open",IF(OR(P1064&lt;[1]Setup!$B$6,Q1064&gt;[1]Setup!$B$7,R1064&gt;[1]Setup!$B$8,O1064&gt;[1]Setup!$B$10),"Review","OK"))</f>
        <v>Open</v>
      </c>
      <c r="X1064" s="86"/>
    </row>
    <row r="1065" spans="1:24" x14ac:dyDescent="0.3">
      <c r="A1065" s="84"/>
      <c r="B1065" s="100">
        <f t="shared" si="177"/>
        <v>0</v>
      </c>
      <c r="C1065" s="84" t="str">
        <f t="shared" si="178"/>
        <v>January</v>
      </c>
      <c r="D1065" s="85" t="str">
        <f t="shared" si="176"/>
        <v/>
      </c>
      <c r="E1065" s="86"/>
      <c r="F1065" s="86"/>
      <c r="G1065" s="86"/>
      <c r="H1065" s="86"/>
      <c r="I1065" s="87" t="str">
        <f>IF(F1065=0,"",IF(COUNTIF(F1065,"Bao"),[1]Setup!$B$4,IF(COUNTIF(F1065,"Soup Dumplings"),[1]Setup!$B$5,F1065)))</f>
        <v/>
      </c>
      <c r="J1065" s="88" t="str">
        <f t="shared" si="170"/>
        <v/>
      </c>
      <c r="K1065" s="88"/>
      <c r="L1065" s="87"/>
      <c r="M1065" s="87"/>
      <c r="N1065" s="87"/>
      <c r="O1065" s="87"/>
      <c r="P1065" s="89" t="str">
        <f t="shared" si="171"/>
        <v/>
      </c>
      <c r="Q1065" s="89" t="str">
        <f t="shared" si="172"/>
        <v/>
      </c>
      <c r="R1065" s="89" t="str">
        <f t="shared" si="173"/>
        <v/>
      </c>
      <c r="S1065" s="88" t="str">
        <f>IF(F1065="Bao",[1]Setup!$B$4,IF(F1065="Soup Dumplings",[1]Setup!$B$5,""))</f>
        <v/>
      </c>
      <c r="T1065" s="88" t="str">
        <f t="shared" si="174"/>
        <v/>
      </c>
      <c r="U1065" s="84" t="str">
        <f t="shared" si="175"/>
        <v/>
      </c>
      <c r="V1065" s="88">
        <f>IF(U1065="",0,MAX(0,T1065)+N1065+ROUND(J1065*[1]Setup!$B$9,0)+IF(O1065&gt;[1]Setup!$B$10,ROUND(J1065*[1]Setup!$B$11,0),0))</f>
        <v>0</v>
      </c>
      <c r="W1065" s="85" t="str">
        <f>IF(L1065="","Open",IF(OR(P1065&lt;[1]Setup!$B$6,Q1065&gt;[1]Setup!$B$7,R1065&gt;[1]Setup!$B$8,O1065&gt;[1]Setup!$B$10),"Review","OK"))</f>
        <v>Open</v>
      </c>
      <c r="X1065" s="86"/>
    </row>
    <row r="1066" spans="1:24" x14ac:dyDescent="0.3">
      <c r="A1066" s="84"/>
      <c r="B1066" s="100">
        <f t="shared" si="177"/>
        <v>0</v>
      </c>
      <c r="C1066" s="84" t="str">
        <f t="shared" si="178"/>
        <v>January</v>
      </c>
      <c r="D1066" s="85" t="str">
        <f t="shared" si="176"/>
        <v/>
      </c>
      <c r="E1066" s="86"/>
      <c r="F1066" s="86"/>
      <c r="G1066" s="86"/>
      <c r="H1066" s="86"/>
      <c r="I1066" s="87" t="str">
        <f>IF(F1066=0,"",IF(COUNTIF(F1066,"Bao"),[1]Setup!$B$4,IF(COUNTIF(F1066,"Soup Dumplings"),[1]Setup!$B$5,F1066)))</f>
        <v/>
      </c>
      <c r="J1066" s="88" t="str">
        <f t="shared" si="170"/>
        <v/>
      </c>
      <c r="K1066" s="88"/>
      <c r="L1066" s="87"/>
      <c r="M1066" s="87"/>
      <c r="N1066" s="87"/>
      <c r="O1066" s="87"/>
      <c r="P1066" s="89" t="str">
        <f t="shared" si="171"/>
        <v/>
      </c>
      <c r="Q1066" s="89" t="str">
        <f t="shared" si="172"/>
        <v/>
      </c>
      <c r="R1066" s="89" t="str">
        <f t="shared" si="173"/>
        <v/>
      </c>
      <c r="S1066" s="88" t="str">
        <f>IF(F1066="Bao",[1]Setup!$B$4,IF(F1066="Soup Dumplings",[1]Setup!$B$5,""))</f>
        <v/>
      </c>
      <c r="T1066" s="88" t="str">
        <f t="shared" si="174"/>
        <v/>
      </c>
      <c r="U1066" s="84" t="str">
        <f t="shared" si="175"/>
        <v/>
      </c>
      <c r="V1066" s="88">
        <f>IF(U1066="",0,MAX(0,T1066)+N1066+ROUND(J1066*[1]Setup!$B$9,0)+IF(O1066&gt;[1]Setup!$B$10,ROUND(J1066*[1]Setup!$B$11,0),0))</f>
        <v>0</v>
      </c>
      <c r="W1066" s="85" t="str">
        <f>IF(L1066="","Open",IF(OR(P1066&lt;[1]Setup!$B$6,Q1066&gt;[1]Setup!$B$7,R1066&gt;[1]Setup!$B$8,O1066&gt;[1]Setup!$B$10),"Review","OK"))</f>
        <v>Open</v>
      </c>
      <c r="X1066" s="86"/>
    </row>
    <row r="1067" spans="1:24" x14ac:dyDescent="0.3">
      <c r="A1067" s="84"/>
      <c r="B1067" s="100">
        <f t="shared" si="177"/>
        <v>0</v>
      </c>
      <c r="C1067" s="84" t="str">
        <f t="shared" si="178"/>
        <v>January</v>
      </c>
      <c r="D1067" s="85" t="str">
        <f t="shared" si="176"/>
        <v/>
      </c>
      <c r="E1067" s="86"/>
      <c r="F1067" s="86"/>
      <c r="G1067" s="86"/>
      <c r="H1067" s="86"/>
      <c r="I1067" s="87" t="str">
        <f>IF(F1067=0,"",IF(COUNTIF(F1067,"Bao"),[1]Setup!$B$4,IF(COUNTIF(F1067,"Soup Dumplings"),[1]Setup!$B$5,F1067)))</f>
        <v/>
      </c>
      <c r="J1067" s="88" t="str">
        <f t="shared" si="170"/>
        <v/>
      </c>
      <c r="K1067" s="88"/>
      <c r="L1067" s="87"/>
      <c r="M1067" s="87"/>
      <c r="N1067" s="87"/>
      <c r="O1067" s="87"/>
      <c r="P1067" s="89" t="str">
        <f t="shared" si="171"/>
        <v/>
      </c>
      <c r="Q1067" s="89" t="str">
        <f t="shared" si="172"/>
        <v/>
      </c>
      <c r="R1067" s="89" t="str">
        <f t="shared" si="173"/>
        <v/>
      </c>
      <c r="S1067" s="88" t="str">
        <f>IF(F1067="Bao",[1]Setup!$B$4,IF(F1067="Soup Dumplings",[1]Setup!$B$5,""))</f>
        <v/>
      </c>
      <c r="T1067" s="88" t="str">
        <f t="shared" si="174"/>
        <v/>
      </c>
      <c r="U1067" s="84" t="str">
        <f t="shared" si="175"/>
        <v/>
      </c>
      <c r="V1067" s="88">
        <f>IF(U1067="",0,MAX(0,T1067)+N1067+ROUND(J1067*[1]Setup!$B$9,0)+IF(O1067&gt;[1]Setup!$B$10,ROUND(J1067*[1]Setup!$B$11,0),0))</f>
        <v>0</v>
      </c>
      <c r="W1067" s="85" t="str">
        <f>IF(L1067="","Open",IF(OR(P1067&lt;[1]Setup!$B$6,Q1067&gt;[1]Setup!$B$7,R1067&gt;[1]Setup!$B$8,O1067&gt;[1]Setup!$B$10),"Review","OK"))</f>
        <v>Open</v>
      </c>
      <c r="X1067" s="86"/>
    </row>
    <row r="1068" spans="1:24" x14ac:dyDescent="0.3">
      <c r="A1068" s="84"/>
      <c r="B1068" s="100">
        <f t="shared" si="177"/>
        <v>0</v>
      </c>
      <c r="C1068" s="84" t="str">
        <f t="shared" si="178"/>
        <v>January</v>
      </c>
      <c r="D1068" s="85" t="str">
        <f t="shared" si="176"/>
        <v/>
      </c>
      <c r="E1068" s="86"/>
      <c r="F1068" s="86"/>
      <c r="G1068" s="86"/>
      <c r="H1068" s="86"/>
      <c r="I1068" s="87" t="str">
        <f>IF(F1068=0,"",IF(COUNTIF(F1068,"Bao"),[1]Setup!$B$4,IF(COUNTIF(F1068,"Soup Dumplings"),[1]Setup!$B$5,F1068)))</f>
        <v/>
      </c>
      <c r="J1068" s="88" t="str">
        <f t="shared" si="170"/>
        <v/>
      </c>
      <c r="K1068" s="88"/>
      <c r="L1068" s="87"/>
      <c r="M1068" s="87"/>
      <c r="N1068" s="87"/>
      <c r="O1068" s="87"/>
      <c r="P1068" s="89" t="str">
        <f t="shared" si="171"/>
        <v/>
      </c>
      <c r="Q1068" s="89" t="str">
        <f t="shared" si="172"/>
        <v/>
      </c>
      <c r="R1068" s="89" t="str">
        <f t="shared" si="173"/>
        <v/>
      </c>
      <c r="S1068" s="88" t="str">
        <f>IF(F1068="Bao",[1]Setup!$B$4,IF(F1068="Soup Dumplings",[1]Setup!$B$5,""))</f>
        <v/>
      </c>
      <c r="T1068" s="88" t="str">
        <f t="shared" si="174"/>
        <v/>
      </c>
      <c r="U1068" s="84" t="str">
        <f t="shared" si="175"/>
        <v/>
      </c>
      <c r="V1068" s="88">
        <f>IF(U1068="",0,MAX(0,T1068)+N1068+ROUND(J1068*[1]Setup!$B$9,0)+IF(O1068&gt;[1]Setup!$B$10,ROUND(J1068*[1]Setup!$B$11,0),0))</f>
        <v>0</v>
      </c>
      <c r="W1068" s="85" t="str">
        <f>IF(L1068="","Open",IF(OR(P1068&lt;[1]Setup!$B$6,Q1068&gt;[1]Setup!$B$7,R1068&gt;[1]Setup!$B$8,O1068&gt;[1]Setup!$B$10),"Review","OK"))</f>
        <v>Open</v>
      </c>
      <c r="X1068" s="86"/>
    </row>
    <row r="1069" spans="1:24" x14ac:dyDescent="0.3">
      <c r="A1069" s="84"/>
      <c r="B1069" s="100">
        <f t="shared" si="177"/>
        <v>0</v>
      </c>
      <c r="C1069" s="84" t="str">
        <f t="shared" si="178"/>
        <v>January</v>
      </c>
      <c r="D1069" s="85" t="str">
        <f t="shared" si="176"/>
        <v/>
      </c>
      <c r="E1069" s="86"/>
      <c r="F1069" s="86"/>
      <c r="G1069" s="86"/>
      <c r="H1069" s="86"/>
      <c r="I1069" s="87" t="str">
        <f>IF(F1069=0,"",IF(COUNTIF(F1069,"Bao"),[1]Setup!$B$4,IF(COUNTIF(F1069,"Soup Dumplings"),[1]Setup!$B$5,F1069)))</f>
        <v/>
      </c>
      <c r="J1069" s="88" t="str">
        <f t="shared" si="170"/>
        <v/>
      </c>
      <c r="K1069" s="88"/>
      <c r="L1069" s="87"/>
      <c r="M1069" s="87"/>
      <c r="N1069" s="87"/>
      <c r="O1069" s="87"/>
      <c r="P1069" s="89" t="str">
        <f t="shared" si="171"/>
        <v/>
      </c>
      <c r="Q1069" s="89" t="str">
        <f t="shared" si="172"/>
        <v/>
      </c>
      <c r="R1069" s="89" t="str">
        <f t="shared" si="173"/>
        <v/>
      </c>
      <c r="S1069" s="88" t="str">
        <f>IF(F1069="Bao",[1]Setup!$B$4,IF(F1069="Soup Dumplings",[1]Setup!$B$5,""))</f>
        <v/>
      </c>
      <c r="T1069" s="88" t="str">
        <f t="shared" si="174"/>
        <v/>
      </c>
      <c r="U1069" s="84" t="str">
        <f t="shared" si="175"/>
        <v/>
      </c>
      <c r="V1069" s="88">
        <f>IF(U1069="",0,MAX(0,T1069)+N1069+ROUND(J1069*[1]Setup!$B$9,0)+IF(O1069&gt;[1]Setup!$B$10,ROUND(J1069*[1]Setup!$B$11,0),0))</f>
        <v>0</v>
      </c>
      <c r="W1069" s="85" t="str">
        <f>IF(L1069="","Open",IF(OR(P1069&lt;[1]Setup!$B$6,Q1069&gt;[1]Setup!$B$7,R1069&gt;[1]Setup!$B$8,O1069&gt;[1]Setup!$B$10),"Review","OK"))</f>
        <v>Open</v>
      </c>
      <c r="X1069" s="86"/>
    </row>
    <row r="1070" spans="1:24" x14ac:dyDescent="0.3">
      <c r="A1070" s="84"/>
      <c r="B1070" s="100">
        <f t="shared" si="177"/>
        <v>0</v>
      </c>
      <c r="C1070" s="84" t="str">
        <f t="shared" si="178"/>
        <v>January</v>
      </c>
      <c r="D1070" s="85" t="str">
        <f t="shared" si="176"/>
        <v/>
      </c>
      <c r="E1070" s="86"/>
      <c r="F1070" s="86"/>
      <c r="G1070" s="86"/>
      <c r="H1070" s="86"/>
      <c r="I1070" s="87" t="str">
        <f>IF(F1070=0,"",IF(COUNTIF(F1070,"Bao"),[1]Setup!$B$4,IF(COUNTIF(F1070,"Soup Dumplings"),[1]Setup!$B$5,F1070)))</f>
        <v/>
      </c>
      <c r="J1070" s="88" t="str">
        <f t="shared" si="170"/>
        <v/>
      </c>
      <c r="K1070" s="88"/>
      <c r="L1070" s="87"/>
      <c r="M1070" s="87"/>
      <c r="N1070" s="87"/>
      <c r="O1070" s="87"/>
      <c r="P1070" s="89" t="str">
        <f t="shared" si="171"/>
        <v/>
      </c>
      <c r="Q1070" s="89" t="str">
        <f t="shared" si="172"/>
        <v/>
      </c>
      <c r="R1070" s="89" t="str">
        <f t="shared" si="173"/>
        <v/>
      </c>
      <c r="S1070" s="88" t="str">
        <f>IF(F1070="Bao",[1]Setup!$B$4,IF(F1070="Soup Dumplings",[1]Setup!$B$5,""))</f>
        <v/>
      </c>
      <c r="T1070" s="88" t="str">
        <f t="shared" si="174"/>
        <v/>
      </c>
      <c r="U1070" s="84" t="str">
        <f t="shared" si="175"/>
        <v/>
      </c>
      <c r="V1070" s="88">
        <f>IF(U1070="",0,MAX(0,T1070)+N1070+ROUND(J1070*[1]Setup!$B$9,0)+IF(O1070&gt;[1]Setup!$B$10,ROUND(J1070*[1]Setup!$B$11,0),0))</f>
        <v>0</v>
      </c>
      <c r="W1070" s="85" t="str">
        <f>IF(L1070="","Open",IF(OR(P1070&lt;[1]Setup!$B$6,Q1070&gt;[1]Setup!$B$7,R1070&gt;[1]Setup!$B$8,O1070&gt;[1]Setup!$B$10),"Review","OK"))</f>
        <v>Open</v>
      </c>
      <c r="X1070" s="86"/>
    </row>
    <row r="1071" spans="1:24" x14ac:dyDescent="0.3">
      <c r="A1071" s="84"/>
      <c r="B1071" s="100">
        <f t="shared" si="177"/>
        <v>0</v>
      </c>
      <c r="C1071" s="84" t="str">
        <f t="shared" si="178"/>
        <v>January</v>
      </c>
      <c r="D1071" s="85" t="str">
        <f t="shared" si="176"/>
        <v/>
      </c>
      <c r="E1071" s="86"/>
      <c r="F1071" s="86"/>
      <c r="G1071" s="86"/>
      <c r="H1071" s="86"/>
      <c r="I1071" s="87" t="str">
        <f>IF(F1071=0,"",IF(COUNTIF(F1071,"Bao"),[1]Setup!$B$4,IF(COUNTIF(F1071,"Soup Dumplings"),[1]Setup!$B$5,F1071)))</f>
        <v/>
      </c>
      <c r="J1071" s="88" t="str">
        <f t="shared" ref="J1071:J1134" si="179">IF(A1071="","",
   IFERROR(
      N(I1071)+SUMIFS($V$4:$V$30,$U$4:$U$30,A1071,$G$4:$G$30,G1071),
   0)
)</f>
        <v/>
      </c>
      <c r="K1071" s="88"/>
      <c r="L1071" s="87"/>
      <c r="M1071" s="87"/>
      <c r="N1071" s="87"/>
      <c r="O1071" s="87"/>
      <c r="P1071" s="89" t="str">
        <f t="shared" ref="P1071:P1134" si="180">IF(J1071="","",IF(J1071&gt;0,(L1071+M1071)/J1071,""))</f>
        <v/>
      </c>
      <c r="Q1071" s="89" t="str">
        <f t="shared" ref="Q1071:Q1134" si="181">IF(J1071="","",IF(J1071&gt;0,MAX(0,(J1071-(L1071+M1071))/J1071),""))</f>
        <v/>
      </c>
      <c r="R1071" s="89" t="str">
        <f t="shared" ref="R1071:R1134" si="182">IF(J1071="","",IF(J1071&gt;0,MAX(0,(L1071+M1071-J1071)/J1071),""))</f>
        <v/>
      </c>
      <c r="S1071" s="88" t="str">
        <f>IF(F1071="Bao",[1]Setup!$B$4,IF(F1071="Soup Dumplings",[1]Setup!$B$5,""))</f>
        <v/>
      </c>
      <c r="T1071" s="88" t="str">
        <f t="shared" ref="T1071:T1134" si="183">IF(L1071="","",S1071-L1071)</f>
        <v/>
      </c>
      <c r="U1071" s="84" t="str">
        <f t="shared" ref="U1071:U1134" si="184">IF(A1071="","",A1071+1)</f>
        <v/>
      </c>
      <c r="V1071" s="88">
        <f>IF(U1071="",0,MAX(0,T1071)+N1071+ROUND(J1071*[1]Setup!$B$9,0)+IF(O1071&gt;[1]Setup!$B$10,ROUND(J1071*[1]Setup!$B$11,0),0))</f>
        <v>0</v>
      </c>
      <c r="W1071" s="85" t="str">
        <f>IF(L1071="","Open",IF(OR(P1071&lt;[1]Setup!$B$6,Q1071&gt;[1]Setup!$B$7,R1071&gt;[1]Setup!$B$8,O1071&gt;[1]Setup!$B$10),"Review","OK"))</f>
        <v>Open</v>
      </c>
      <c r="X1071" s="86"/>
    </row>
    <row r="1072" spans="1:24" x14ac:dyDescent="0.3">
      <c r="A1072" s="84"/>
      <c r="B1072" s="100">
        <f t="shared" si="177"/>
        <v>0</v>
      </c>
      <c r="C1072" s="84" t="str">
        <f t="shared" si="178"/>
        <v>January</v>
      </c>
      <c r="D1072" s="85" t="str">
        <f t="shared" si="176"/>
        <v/>
      </c>
      <c r="E1072" s="86"/>
      <c r="F1072" s="86"/>
      <c r="G1072" s="86"/>
      <c r="H1072" s="86"/>
      <c r="I1072" s="87" t="str">
        <f>IF(F1072=0,"",IF(COUNTIF(F1072,"Bao"),[1]Setup!$B$4,IF(COUNTIF(F1072,"Soup Dumplings"),[1]Setup!$B$5,F1072)))</f>
        <v/>
      </c>
      <c r="J1072" s="88" t="str">
        <f t="shared" si="179"/>
        <v/>
      </c>
      <c r="K1072" s="88"/>
      <c r="L1072" s="87"/>
      <c r="M1072" s="87"/>
      <c r="N1072" s="87"/>
      <c r="O1072" s="87"/>
      <c r="P1072" s="89" t="str">
        <f t="shared" si="180"/>
        <v/>
      </c>
      <c r="Q1072" s="89" t="str">
        <f t="shared" si="181"/>
        <v/>
      </c>
      <c r="R1072" s="89" t="str">
        <f t="shared" si="182"/>
        <v/>
      </c>
      <c r="S1072" s="88" t="str">
        <f>IF(F1072="Bao",[1]Setup!$B$4,IF(F1072="Soup Dumplings",[1]Setup!$B$5,""))</f>
        <v/>
      </c>
      <c r="T1072" s="88" t="str">
        <f t="shared" si="183"/>
        <v/>
      </c>
      <c r="U1072" s="84" t="str">
        <f t="shared" si="184"/>
        <v/>
      </c>
      <c r="V1072" s="88">
        <f>IF(U1072="",0,MAX(0,T1072)+N1072+ROUND(J1072*[1]Setup!$B$9,0)+IF(O1072&gt;[1]Setup!$B$10,ROUND(J1072*[1]Setup!$B$11,0),0))</f>
        <v>0</v>
      </c>
      <c r="W1072" s="85" t="str">
        <f>IF(L1072="","Open",IF(OR(P1072&lt;[1]Setup!$B$6,Q1072&gt;[1]Setup!$B$7,R1072&gt;[1]Setup!$B$8,O1072&gt;[1]Setup!$B$10),"Review","OK"))</f>
        <v>Open</v>
      </c>
      <c r="X1072" s="86"/>
    </row>
    <row r="1073" spans="1:24" x14ac:dyDescent="0.3">
      <c r="A1073" s="84"/>
      <c r="B1073" s="100">
        <f t="shared" si="177"/>
        <v>0</v>
      </c>
      <c r="C1073" s="84" t="str">
        <f t="shared" si="178"/>
        <v>January</v>
      </c>
      <c r="D1073" s="85" t="str">
        <f t="shared" si="176"/>
        <v/>
      </c>
      <c r="E1073" s="86"/>
      <c r="F1073" s="86"/>
      <c r="G1073" s="86"/>
      <c r="H1073" s="86"/>
      <c r="I1073" s="87" t="str">
        <f>IF(F1073=0,"",IF(COUNTIF(F1073,"Bao"),[1]Setup!$B$4,IF(COUNTIF(F1073,"Soup Dumplings"),[1]Setup!$B$5,F1073)))</f>
        <v/>
      </c>
      <c r="J1073" s="88" t="str">
        <f t="shared" si="179"/>
        <v/>
      </c>
      <c r="K1073" s="88"/>
      <c r="L1073" s="87"/>
      <c r="M1073" s="87"/>
      <c r="N1073" s="87"/>
      <c r="O1073" s="87"/>
      <c r="P1073" s="89" t="str">
        <f t="shared" si="180"/>
        <v/>
      </c>
      <c r="Q1073" s="89" t="str">
        <f t="shared" si="181"/>
        <v/>
      </c>
      <c r="R1073" s="89" t="str">
        <f t="shared" si="182"/>
        <v/>
      </c>
      <c r="S1073" s="88" t="str">
        <f>IF(F1073="Bao",[1]Setup!$B$4,IF(F1073="Soup Dumplings",[1]Setup!$B$5,""))</f>
        <v/>
      </c>
      <c r="T1073" s="88" t="str">
        <f t="shared" si="183"/>
        <v/>
      </c>
      <c r="U1073" s="84" t="str">
        <f t="shared" si="184"/>
        <v/>
      </c>
      <c r="V1073" s="88">
        <f>IF(U1073="",0,MAX(0,T1073)+N1073+ROUND(J1073*[1]Setup!$B$9,0)+IF(O1073&gt;[1]Setup!$B$10,ROUND(J1073*[1]Setup!$B$11,0),0))</f>
        <v>0</v>
      </c>
      <c r="W1073" s="85" t="str">
        <f>IF(L1073="","Open",IF(OR(P1073&lt;[1]Setup!$B$6,Q1073&gt;[1]Setup!$B$7,R1073&gt;[1]Setup!$B$8,O1073&gt;[1]Setup!$B$10),"Review","OK"))</f>
        <v>Open</v>
      </c>
      <c r="X1073" s="86"/>
    </row>
    <row r="1074" spans="1:24" x14ac:dyDescent="0.3">
      <c r="A1074" s="84"/>
      <c r="B1074" s="100">
        <f t="shared" si="177"/>
        <v>0</v>
      </c>
      <c r="C1074" s="84" t="str">
        <f t="shared" si="178"/>
        <v>January</v>
      </c>
      <c r="D1074" s="85" t="str">
        <f t="shared" si="176"/>
        <v/>
      </c>
      <c r="E1074" s="86"/>
      <c r="F1074" s="86"/>
      <c r="G1074" s="86"/>
      <c r="H1074" s="86"/>
      <c r="I1074" s="87" t="str">
        <f>IF(F1074=0,"",IF(COUNTIF(F1074,"Bao"),[1]Setup!$B$4,IF(COUNTIF(F1074,"Soup Dumplings"),[1]Setup!$B$5,F1074)))</f>
        <v/>
      </c>
      <c r="J1074" s="88" t="str">
        <f t="shared" si="179"/>
        <v/>
      </c>
      <c r="K1074" s="88"/>
      <c r="L1074" s="87"/>
      <c r="M1074" s="87"/>
      <c r="N1074" s="87"/>
      <c r="O1074" s="87"/>
      <c r="P1074" s="89" t="str">
        <f t="shared" si="180"/>
        <v/>
      </c>
      <c r="Q1074" s="89" t="str">
        <f t="shared" si="181"/>
        <v/>
      </c>
      <c r="R1074" s="89" t="str">
        <f t="shared" si="182"/>
        <v/>
      </c>
      <c r="S1074" s="88" t="str">
        <f>IF(F1074="Bao",[1]Setup!$B$4,IF(F1074="Soup Dumplings",[1]Setup!$B$5,""))</f>
        <v/>
      </c>
      <c r="T1074" s="88" t="str">
        <f t="shared" si="183"/>
        <v/>
      </c>
      <c r="U1074" s="84" t="str">
        <f t="shared" si="184"/>
        <v/>
      </c>
      <c r="V1074" s="88">
        <f>IF(U1074="",0,MAX(0,T1074)+N1074+ROUND(J1074*[1]Setup!$B$9,0)+IF(O1074&gt;[1]Setup!$B$10,ROUND(J1074*[1]Setup!$B$11,0),0))</f>
        <v>0</v>
      </c>
      <c r="W1074" s="85" t="str">
        <f>IF(L1074="","Open",IF(OR(P1074&lt;[1]Setup!$B$6,Q1074&gt;[1]Setup!$B$7,R1074&gt;[1]Setup!$B$8,O1074&gt;[1]Setup!$B$10),"Review","OK"))</f>
        <v>Open</v>
      </c>
      <c r="X1074" s="86"/>
    </row>
    <row r="1075" spans="1:24" x14ac:dyDescent="0.3">
      <c r="A1075" s="84"/>
      <c r="B1075" s="100">
        <f t="shared" si="177"/>
        <v>0</v>
      </c>
      <c r="C1075" s="84" t="str">
        <f t="shared" si="178"/>
        <v>January</v>
      </c>
      <c r="D1075" s="85" t="str">
        <f t="shared" si="176"/>
        <v/>
      </c>
      <c r="E1075" s="86"/>
      <c r="F1075" s="86"/>
      <c r="G1075" s="86"/>
      <c r="H1075" s="86"/>
      <c r="I1075" s="87" t="str">
        <f>IF(F1075=0,"",IF(COUNTIF(F1075,"Bao"),[1]Setup!$B$4,IF(COUNTIF(F1075,"Soup Dumplings"),[1]Setup!$B$5,F1075)))</f>
        <v/>
      </c>
      <c r="J1075" s="88" t="str">
        <f t="shared" si="179"/>
        <v/>
      </c>
      <c r="K1075" s="88"/>
      <c r="L1075" s="87"/>
      <c r="M1075" s="87"/>
      <c r="N1075" s="87"/>
      <c r="O1075" s="87"/>
      <c r="P1075" s="89" t="str">
        <f t="shared" si="180"/>
        <v/>
      </c>
      <c r="Q1075" s="89" t="str">
        <f t="shared" si="181"/>
        <v/>
      </c>
      <c r="R1075" s="89" t="str">
        <f t="shared" si="182"/>
        <v/>
      </c>
      <c r="S1075" s="88" t="str">
        <f>IF(F1075="Bao",[1]Setup!$B$4,IF(F1075="Soup Dumplings",[1]Setup!$B$5,""))</f>
        <v/>
      </c>
      <c r="T1075" s="88" t="str">
        <f t="shared" si="183"/>
        <v/>
      </c>
      <c r="U1075" s="84" t="str">
        <f t="shared" si="184"/>
        <v/>
      </c>
      <c r="V1075" s="88">
        <f>IF(U1075="",0,MAX(0,T1075)+N1075+ROUND(J1075*[1]Setup!$B$9,0)+IF(O1075&gt;[1]Setup!$B$10,ROUND(J1075*[1]Setup!$B$11,0),0))</f>
        <v>0</v>
      </c>
      <c r="W1075" s="85" t="str">
        <f>IF(L1075="","Open",IF(OR(P1075&lt;[1]Setup!$B$6,Q1075&gt;[1]Setup!$B$7,R1075&gt;[1]Setup!$B$8,O1075&gt;[1]Setup!$B$10),"Review","OK"))</f>
        <v>Open</v>
      </c>
      <c r="X1075" s="86"/>
    </row>
    <row r="1076" spans="1:24" x14ac:dyDescent="0.3">
      <c r="A1076" s="84"/>
      <c r="B1076" s="100">
        <f t="shared" si="177"/>
        <v>0</v>
      </c>
      <c r="C1076" s="84" t="str">
        <f t="shared" si="178"/>
        <v>January</v>
      </c>
      <c r="D1076" s="85" t="str">
        <f t="shared" si="176"/>
        <v/>
      </c>
      <c r="E1076" s="86"/>
      <c r="F1076" s="86"/>
      <c r="G1076" s="86"/>
      <c r="H1076" s="86"/>
      <c r="I1076" s="87" t="str">
        <f>IF(F1076=0,"",IF(COUNTIF(F1076,"Bao"),[1]Setup!$B$4,IF(COUNTIF(F1076,"Soup Dumplings"),[1]Setup!$B$5,F1076)))</f>
        <v/>
      </c>
      <c r="J1076" s="88" t="str">
        <f t="shared" si="179"/>
        <v/>
      </c>
      <c r="K1076" s="88"/>
      <c r="L1076" s="87"/>
      <c r="M1076" s="87"/>
      <c r="N1076" s="87"/>
      <c r="O1076" s="87"/>
      <c r="P1076" s="89" t="str">
        <f t="shared" si="180"/>
        <v/>
      </c>
      <c r="Q1076" s="89" t="str">
        <f t="shared" si="181"/>
        <v/>
      </c>
      <c r="R1076" s="89" t="str">
        <f t="shared" si="182"/>
        <v/>
      </c>
      <c r="S1076" s="88" t="str">
        <f>IF(F1076="Bao",[1]Setup!$B$4,IF(F1076="Soup Dumplings",[1]Setup!$B$5,""))</f>
        <v/>
      </c>
      <c r="T1076" s="88" t="str">
        <f t="shared" si="183"/>
        <v/>
      </c>
      <c r="U1076" s="84" t="str">
        <f t="shared" si="184"/>
        <v/>
      </c>
      <c r="V1076" s="88">
        <f>IF(U1076="",0,MAX(0,T1076)+N1076+ROUND(J1076*[1]Setup!$B$9,0)+IF(O1076&gt;[1]Setup!$B$10,ROUND(J1076*[1]Setup!$B$11,0),0))</f>
        <v>0</v>
      </c>
      <c r="W1076" s="85" t="str">
        <f>IF(L1076="","Open",IF(OR(P1076&lt;[1]Setup!$B$6,Q1076&gt;[1]Setup!$B$7,R1076&gt;[1]Setup!$B$8,O1076&gt;[1]Setup!$B$10),"Review","OK"))</f>
        <v>Open</v>
      </c>
      <c r="X1076" s="86"/>
    </row>
    <row r="1077" spans="1:24" x14ac:dyDescent="0.3">
      <c r="A1077" s="84"/>
      <c r="B1077" s="100">
        <f t="shared" si="177"/>
        <v>0</v>
      </c>
      <c r="C1077" s="84" t="str">
        <f t="shared" si="178"/>
        <v>January</v>
      </c>
      <c r="D1077" s="85" t="str">
        <f t="shared" si="176"/>
        <v/>
      </c>
      <c r="E1077" s="86"/>
      <c r="F1077" s="86"/>
      <c r="G1077" s="86"/>
      <c r="H1077" s="86"/>
      <c r="I1077" s="87" t="str">
        <f>IF(F1077=0,"",IF(COUNTIF(F1077,"Bao"),[1]Setup!$B$4,IF(COUNTIF(F1077,"Soup Dumplings"),[1]Setup!$B$5,F1077)))</f>
        <v/>
      </c>
      <c r="J1077" s="88" t="str">
        <f t="shared" si="179"/>
        <v/>
      </c>
      <c r="K1077" s="88"/>
      <c r="L1077" s="87"/>
      <c r="M1077" s="87"/>
      <c r="N1077" s="87"/>
      <c r="O1077" s="87"/>
      <c r="P1077" s="89" t="str">
        <f t="shared" si="180"/>
        <v/>
      </c>
      <c r="Q1077" s="89" t="str">
        <f t="shared" si="181"/>
        <v/>
      </c>
      <c r="R1077" s="89" t="str">
        <f t="shared" si="182"/>
        <v/>
      </c>
      <c r="S1077" s="88" t="str">
        <f>IF(F1077="Bao",[1]Setup!$B$4,IF(F1077="Soup Dumplings",[1]Setup!$B$5,""))</f>
        <v/>
      </c>
      <c r="T1077" s="88" t="str">
        <f t="shared" si="183"/>
        <v/>
      </c>
      <c r="U1077" s="84" t="str">
        <f t="shared" si="184"/>
        <v/>
      </c>
      <c r="V1077" s="88">
        <f>IF(U1077="",0,MAX(0,T1077)+N1077+ROUND(J1077*[1]Setup!$B$9,0)+IF(O1077&gt;[1]Setup!$B$10,ROUND(J1077*[1]Setup!$B$11,0),0))</f>
        <v>0</v>
      </c>
      <c r="W1077" s="85" t="str">
        <f>IF(L1077="","Open",IF(OR(P1077&lt;[1]Setup!$B$6,Q1077&gt;[1]Setup!$B$7,R1077&gt;[1]Setup!$B$8,O1077&gt;[1]Setup!$B$10),"Review","OK"))</f>
        <v>Open</v>
      </c>
      <c r="X1077" s="86"/>
    </row>
    <row r="1078" spans="1:24" x14ac:dyDescent="0.3">
      <c r="A1078" s="84"/>
      <c r="B1078" s="100">
        <f t="shared" si="177"/>
        <v>0</v>
      </c>
      <c r="C1078" s="84" t="str">
        <f t="shared" si="178"/>
        <v>January</v>
      </c>
      <c r="D1078" s="85" t="str">
        <f t="shared" si="176"/>
        <v/>
      </c>
      <c r="E1078" s="86"/>
      <c r="F1078" s="86"/>
      <c r="G1078" s="86"/>
      <c r="H1078" s="86"/>
      <c r="I1078" s="87" t="str">
        <f>IF(F1078=0,"",IF(COUNTIF(F1078,"Bao"),[1]Setup!$B$4,IF(COUNTIF(F1078,"Soup Dumplings"),[1]Setup!$B$5,F1078)))</f>
        <v/>
      </c>
      <c r="J1078" s="88" t="str">
        <f t="shared" si="179"/>
        <v/>
      </c>
      <c r="K1078" s="88"/>
      <c r="L1078" s="87"/>
      <c r="M1078" s="87"/>
      <c r="N1078" s="87"/>
      <c r="O1078" s="87"/>
      <c r="P1078" s="89" t="str">
        <f t="shared" si="180"/>
        <v/>
      </c>
      <c r="Q1078" s="89" t="str">
        <f t="shared" si="181"/>
        <v/>
      </c>
      <c r="R1078" s="89" t="str">
        <f t="shared" si="182"/>
        <v/>
      </c>
      <c r="S1078" s="88" t="str">
        <f>IF(F1078="Bao",[1]Setup!$B$4,IF(F1078="Soup Dumplings",[1]Setup!$B$5,""))</f>
        <v/>
      </c>
      <c r="T1078" s="88" t="str">
        <f t="shared" si="183"/>
        <v/>
      </c>
      <c r="U1078" s="84" t="str">
        <f t="shared" si="184"/>
        <v/>
      </c>
      <c r="V1078" s="88">
        <f>IF(U1078="",0,MAX(0,T1078)+N1078+ROUND(J1078*[1]Setup!$B$9,0)+IF(O1078&gt;[1]Setup!$B$10,ROUND(J1078*[1]Setup!$B$11,0),0))</f>
        <v>0</v>
      </c>
      <c r="W1078" s="85" t="str">
        <f>IF(L1078="","Open",IF(OR(P1078&lt;[1]Setup!$B$6,Q1078&gt;[1]Setup!$B$7,R1078&gt;[1]Setup!$B$8,O1078&gt;[1]Setup!$B$10),"Review","OK"))</f>
        <v>Open</v>
      </c>
      <c r="X1078" s="86"/>
    </row>
    <row r="1079" spans="1:24" x14ac:dyDescent="0.3">
      <c r="A1079" s="84"/>
      <c r="B1079" s="100">
        <f t="shared" si="177"/>
        <v>0</v>
      </c>
      <c r="C1079" s="84" t="str">
        <f t="shared" si="178"/>
        <v>January</v>
      </c>
      <c r="D1079" s="85" t="str">
        <f t="shared" si="176"/>
        <v/>
      </c>
      <c r="E1079" s="86"/>
      <c r="F1079" s="86"/>
      <c r="G1079" s="86"/>
      <c r="H1079" s="86"/>
      <c r="I1079" s="87" t="str">
        <f>IF(F1079=0,"",IF(COUNTIF(F1079,"Bao"),[1]Setup!$B$4,IF(COUNTIF(F1079,"Soup Dumplings"),[1]Setup!$B$5,F1079)))</f>
        <v/>
      </c>
      <c r="J1079" s="88" t="str">
        <f t="shared" si="179"/>
        <v/>
      </c>
      <c r="K1079" s="88"/>
      <c r="L1079" s="87"/>
      <c r="M1079" s="87"/>
      <c r="N1079" s="87"/>
      <c r="O1079" s="87"/>
      <c r="P1079" s="89" t="str">
        <f t="shared" si="180"/>
        <v/>
      </c>
      <c r="Q1079" s="89" t="str">
        <f t="shared" si="181"/>
        <v/>
      </c>
      <c r="R1079" s="89" t="str">
        <f t="shared" si="182"/>
        <v/>
      </c>
      <c r="S1079" s="88" t="str">
        <f>IF(F1079="Bao",[1]Setup!$B$4,IF(F1079="Soup Dumplings",[1]Setup!$B$5,""))</f>
        <v/>
      </c>
      <c r="T1079" s="88" t="str">
        <f t="shared" si="183"/>
        <v/>
      </c>
      <c r="U1079" s="84" t="str">
        <f t="shared" si="184"/>
        <v/>
      </c>
      <c r="V1079" s="88">
        <f>IF(U1079="",0,MAX(0,T1079)+N1079+ROUND(J1079*[1]Setup!$B$9,0)+IF(O1079&gt;[1]Setup!$B$10,ROUND(J1079*[1]Setup!$B$11,0),0))</f>
        <v>0</v>
      </c>
      <c r="W1079" s="85" t="str">
        <f>IF(L1079="","Open",IF(OR(P1079&lt;[1]Setup!$B$6,Q1079&gt;[1]Setup!$B$7,R1079&gt;[1]Setup!$B$8,O1079&gt;[1]Setup!$B$10),"Review","OK"))</f>
        <v>Open</v>
      </c>
      <c r="X1079" s="86"/>
    </row>
    <row r="1080" spans="1:24" x14ac:dyDescent="0.3">
      <c r="A1080" s="84"/>
      <c r="B1080" s="100">
        <f t="shared" si="177"/>
        <v>0</v>
      </c>
      <c r="C1080" s="84" t="str">
        <f t="shared" si="178"/>
        <v>January</v>
      </c>
      <c r="D1080" s="85" t="str">
        <f t="shared" si="176"/>
        <v/>
      </c>
      <c r="E1080" s="86"/>
      <c r="F1080" s="86"/>
      <c r="G1080" s="86"/>
      <c r="H1080" s="86"/>
      <c r="I1080" s="87" t="str">
        <f>IF(F1080=0,"",IF(COUNTIF(F1080,"Bao"),[1]Setup!$B$4,IF(COUNTIF(F1080,"Soup Dumplings"),[1]Setup!$B$5,F1080)))</f>
        <v/>
      </c>
      <c r="J1080" s="88" t="str">
        <f t="shared" si="179"/>
        <v/>
      </c>
      <c r="K1080" s="88"/>
      <c r="L1080" s="87"/>
      <c r="M1080" s="87"/>
      <c r="N1080" s="87"/>
      <c r="O1080" s="87"/>
      <c r="P1080" s="89" t="str">
        <f t="shared" si="180"/>
        <v/>
      </c>
      <c r="Q1080" s="89" t="str">
        <f t="shared" si="181"/>
        <v/>
      </c>
      <c r="R1080" s="89" t="str">
        <f t="shared" si="182"/>
        <v/>
      </c>
      <c r="S1080" s="88" t="str">
        <f>IF(F1080="Bao",[1]Setup!$B$4,IF(F1080="Soup Dumplings",[1]Setup!$B$5,""))</f>
        <v/>
      </c>
      <c r="T1080" s="88" t="str">
        <f t="shared" si="183"/>
        <v/>
      </c>
      <c r="U1080" s="84" t="str">
        <f t="shared" si="184"/>
        <v/>
      </c>
      <c r="V1080" s="88">
        <f>IF(U1080="",0,MAX(0,T1080)+N1080+ROUND(J1080*[1]Setup!$B$9,0)+IF(O1080&gt;[1]Setup!$B$10,ROUND(J1080*[1]Setup!$B$11,0),0))</f>
        <v>0</v>
      </c>
      <c r="W1080" s="85" t="str">
        <f>IF(L1080="","Open",IF(OR(P1080&lt;[1]Setup!$B$6,Q1080&gt;[1]Setup!$B$7,R1080&gt;[1]Setup!$B$8,O1080&gt;[1]Setup!$B$10),"Review","OK"))</f>
        <v>Open</v>
      </c>
      <c r="X1080" s="86"/>
    </row>
    <row r="1081" spans="1:24" x14ac:dyDescent="0.3">
      <c r="A1081" s="84"/>
      <c r="B1081" s="100">
        <f t="shared" si="177"/>
        <v>0</v>
      </c>
      <c r="C1081" s="84" t="str">
        <f t="shared" si="178"/>
        <v>January</v>
      </c>
      <c r="D1081" s="85" t="str">
        <f t="shared" si="176"/>
        <v/>
      </c>
      <c r="E1081" s="86"/>
      <c r="F1081" s="86"/>
      <c r="G1081" s="86"/>
      <c r="H1081" s="86"/>
      <c r="I1081" s="87" t="str">
        <f>IF(F1081=0,"",IF(COUNTIF(F1081,"Bao"),[1]Setup!$B$4,IF(COUNTIF(F1081,"Soup Dumplings"),[1]Setup!$B$5,F1081)))</f>
        <v/>
      </c>
      <c r="J1081" s="88" t="str">
        <f t="shared" si="179"/>
        <v/>
      </c>
      <c r="K1081" s="88"/>
      <c r="L1081" s="87"/>
      <c r="M1081" s="87"/>
      <c r="N1081" s="87"/>
      <c r="O1081" s="87"/>
      <c r="P1081" s="89" t="str">
        <f t="shared" si="180"/>
        <v/>
      </c>
      <c r="Q1081" s="89" t="str">
        <f t="shared" si="181"/>
        <v/>
      </c>
      <c r="R1081" s="89" t="str">
        <f t="shared" si="182"/>
        <v/>
      </c>
      <c r="S1081" s="88" t="str">
        <f>IF(F1081="Bao",[1]Setup!$B$4,IF(F1081="Soup Dumplings",[1]Setup!$B$5,""))</f>
        <v/>
      </c>
      <c r="T1081" s="88" t="str">
        <f t="shared" si="183"/>
        <v/>
      </c>
      <c r="U1081" s="84" t="str">
        <f t="shared" si="184"/>
        <v/>
      </c>
      <c r="V1081" s="88">
        <f>IF(U1081="",0,MAX(0,T1081)+N1081+ROUND(J1081*[1]Setup!$B$9,0)+IF(O1081&gt;[1]Setup!$B$10,ROUND(J1081*[1]Setup!$B$11,0),0))</f>
        <v>0</v>
      </c>
      <c r="W1081" s="85" t="str">
        <f>IF(L1081="","Open",IF(OR(P1081&lt;[1]Setup!$B$6,Q1081&gt;[1]Setup!$B$7,R1081&gt;[1]Setup!$B$8,O1081&gt;[1]Setup!$B$10),"Review","OK"))</f>
        <v>Open</v>
      </c>
      <c r="X1081" s="86"/>
    </row>
    <row r="1082" spans="1:24" x14ac:dyDescent="0.3">
      <c r="A1082" s="84"/>
      <c r="B1082" s="100">
        <f t="shared" si="177"/>
        <v>0</v>
      </c>
      <c r="C1082" s="84" t="str">
        <f t="shared" si="178"/>
        <v>January</v>
      </c>
      <c r="D1082" s="85" t="str">
        <f t="shared" si="176"/>
        <v/>
      </c>
      <c r="E1082" s="86"/>
      <c r="F1082" s="86"/>
      <c r="G1082" s="86"/>
      <c r="H1082" s="86"/>
      <c r="I1082" s="87" t="str">
        <f>IF(F1082=0,"",IF(COUNTIF(F1082,"Bao"),[1]Setup!$B$4,IF(COUNTIF(F1082,"Soup Dumplings"),[1]Setup!$B$5,F1082)))</f>
        <v/>
      </c>
      <c r="J1082" s="88" t="str">
        <f t="shared" si="179"/>
        <v/>
      </c>
      <c r="K1082" s="88"/>
      <c r="L1082" s="87"/>
      <c r="M1082" s="87"/>
      <c r="N1082" s="87"/>
      <c r="O1082" s="87"/>
      <c r="P1082" s="89" t="str">
        <f t="shared" si="180"/>
        <v/>
      </c>
      <c r="Q1082" s="89" t="str">
        <f t="shared" si="181"/>
        <v/>
      </c>
      <c r="R1082" s="89" t="str">
        <f t="shared" si="182"/>
        <v/>
      </c>
      <c r="S1082" s="88" t="str">
        <f>IF(F1082="Bao",[1]Setup!$B$4,IF(F1082="Soup Dumplings",[1]Setup!$B$5,""))</f>
        <v/>
      </c>
      <c r="T1082" s="88" t="str">
        <f t="shared" si="183"/>
        <v/>
      </c>
      <c r="U1082" s="84" t="str">
        <f t="shared" si="184"/>
        <v/>
      </c>
      <c r="V1082" s="88">
        <f>IF(U1082="",0,MAX(0,T1082)+N1082+ROUND(J1082*[1]Setup!$B$9,0)+IF(O1082&gt;[1]Setup!$B$10,ROUND(J1082*[1]Setup!$B$11,0),0))</f>
        <v>0</v>
      </c>
      <c r="W1082" s="85" t="str">
        <f>IF(L1082="","Open",IF(OR(P1082&lt;[1]Setup!$B$6,Q1082&gt;[1]Setup!$B$7,R1082&gt;[1]Setup!$B$8,O1082&gt;[1]Setup!$B$10),"Review","OK"))</f>
        <v>Open</v>
      </c>
      <c r="X1082" s="86"/>
    </row>
    <row r="1083" spans="1:24" x14ac:dyDescent="0.3">
      <c r="A1083" s="84"/>
      <c r="B1083" s="100">
        <f t="shared" si="177"/>
        <v>0</v>
      </c>
      <c r="C1083" s="84" t="str">
        <f t="shared" si="178"/>
        <v>January</v>
      </c>
      <c r="D1083" s="85" t="str">
        <f t="shared" si="176"/>
        <v/>
      </c>
      <c r="E1083" s="86"/>
      <c r="F1083" s="86"/>
      <c r="G1083" s="86"/>
      <c r="H1083" s="86"/>
      <c r="I1083" s="87" t="str">
        <f>IF(F1083=0,"",IF(COUNTIF(F1083,"Bao"),[1]Setup!$B$4,IF(COUNTIF(F1083,"Soup Dumplings"),[1]Setup!$B$5,F1083)))</f>
        <v/>
      </c>
      <c r="J1083" s="88" t="str">
        <f t="shared" si="179"/>
        <v/>
      </c>
      <c r="K1083" s="88"/>
      <c r="L1083" s="87"/>
      <c r="M1083" s="87"/>
      <c r="N1083" s="87"/>
      <c r="O1083" s="87"/>
      <c r="P1083" s="89" t="str">
        <f t="shared" si="180"/>
        <v/>
      </c>
      <c r="Q1083" s="89" t="str">
        <f t="shared" si="181"/>
        <v/>
      </c>
      <c r="R1083" s="89" t="str">
        <f t="shared" si="182"/>
        <v/>
      </c>
      <c r="S1083" s="88" t="str">
        <f>IF(F1083="Bao",[1]Setup!$B$4,IF(F1083="Soup Dumplings",[1]Setup!$B$5,""))</f>
        <v/>
      </c>
      <c r="T1083" s="88" t="str">
        <f t="shared" si="183"/>
        <v/>
      </c>
      <c r="U1083" s="84" t="str">
        <f t="shared" si="184"/>
        <v/>
      </c>
      <c r="V1083" s="88">
        <f>IF(U1083="",0,MAX(0,T1083)+N1083+ROUND(J1083*[1]Setup!$B$9,0)+IF(O1083&gt;[1]Setup!$B$10,ROUND(J1083*[1]Setup!$B$11,0),0))</f>
        <v>0</v>
      </c>
      <c r="W1083" s="85" t="str">
        <f>IF(L1083="","Open",IF(OR(P1083&lt;[1]Setup!$B$6,Q1083&gt;[1]Setup!$B$7,R1083&gt;[1]Setup!$B$8,O1083&gt;[1]Setup!$B$10),"Review","OK"))</f>
        <v>Open</v>
      </c>
      <c r="X1083" s="86"/>
    </row>
    <row r="1084" spans="1:24" x14ac:dyDescent="0.3">
      <c r="A1084" s="84"/>
      <c r="B1084" s="100">
        <f t="shared" si="177"/>
        <v>0</v>
      </c>
      <c r="C1084" s="84" t="str">
        <f t="shared" si="178"/>
        <v>January</v>
      </c>
      <c r="D1084" s="85" t="str">
        <f t="shared" si="176"/>
        <v/>
      </c>
      <c r="E1084" s="86"/>
      <c r="F1084" s="86"/>
      <c r="G1084" s="86"/>
      <c r="H1084" s="86"/>
      <c r="I1084" s="87" t="str">
        <f>IF(F1084=0,"",IF(COUNTIF(F1084,"Bao"),[1]Setup!$B$4,IF(COUNTIF(F1084,"Soup Dumplings"),[1]Setup!$B$5,F1084)))</f>
        <v/>
      </c>
      <c r="J1084" s="88" t="str">
        <f t="shared" si="179"/>
        <v/>
      </c>
      <c r="K1084" s="88"/>
      <c r="L1084" s="87"/>
      <c r="M1084" s="87"/>
      <c r="N1084" s="87"/>
      <c r="O1084" s="87"/>
      <c r="P1084" s="89" t="str">
        <f t="shared" si="180"/>
        <v/>
      </c>
      <c r="Q1084" s="89" t="str">
        <f t="shared" si="181"/>
        <v/>
      </c>
      <c r="R1084" s="89" t="str">
        <f t="shared" si="182"/>
        <v/>
      </c>
      <c r="S1084" s="88" t="str">
        <f>IF(F1084="Bao",[1]Setup!$B$4,IF(F1084="Soup Dumplings",[1]Setup!$B$5,""))</f>
        <v/>
      </c>
      <c r="T1084" s="88" t="str">
        <f t="shared" si="183"/>
        <v/>
      </c>
      <c r="U1084" s="84" t="str">
        <f t="shared" si="184"/>
        <v/>
      </c>
      <c r="V1084" s="88">
        <f>IF(U1084="",0,MAX(0,T1084)+N1084+ROUND(J1084*[1]Setup!$B$9,0)+IF(O1084&gt;[1]Setup!$B$10,ROUND(J1084*[1]Setup!$B$11,0),0))</f>
        <v>0</v>
      </c>
      <c r="W1084" s="85" t="str">
        <f>IF(L1084="","Open",IF(OR(P1084&lt;[1]Setup!$B$6,Q1084&gt;[1]Setup!$B$7,R1084&gt;[1]Setup!$B$8,O1084&gt;[1]Setup!$B$10),"Review","OK"))</f>
        <v>Open</v>
      </c>
      <c r="X1084" s="86"/>
    </row>
    <row r="1085" spans="1:24" x14ac:dyDescent="0.3">
      <c r="A1085" s="84"/>
      <c r="B1085" s="100">
        <f t="shared" si="177"/>
        <v>0</v>
      </c>
      <c r="C1085" s="84" t="str">
        <f t="shared" si="178"/>
        <v>January</v>
      </c>
      <c r="D1085" s="85" t="str">
        <f t="shared" si="176"/>
        <v/>
      </c>
      <c r="E1085" s="86"/>
      <c r="F1085" s="86"/>
      <c r="G1085" s="86"/>
      <c r="H1085" s="86"/>
      <c r="I1085" s="87" t="str">
        <f>IF(F1085=0,"",IF(COUNTIF(F1085,"Bao"),[1]Setup!$B$4,IF(COUNTIF(F1085,"Soup Dumplings"),[1]Setup!$B$5,F1085)))</f>
        <v/>
      </c>
      <c r="J1085" s="88" t="str">
        <f t="shared" si="179"/>
        <v/>
      </c>
      <c r="K1085" s="88"/>
      <c r="L1085" s="87"/>
      <c r="M1085" s="87"/>
      <c r="N1085" s="87"/>
      <c r="O1085" s="87"/>
      <c r="P1085" s="89" t="str">
        <f t="shared" si="180"/>
        <v/>
      </c>
      <c r="Q1085" s="89" t="str">
        <f t="shared" si="181"/>
        <v/>
      </c>
      <c r="R1085" s="89" t="str">
        <f t="shared" si="182"/>
        <v/>
      </c>
      <c r="S1085" s="88" t="str">
        <f>IF(F1085="Bao",[1]Setup!$B$4,IF(F1085="Soup Dumplings",[1]Setup!$B$5,""))</f>
        <v/>
      </c>
      <c r="T1085" s="88" t="str">
        <f t="shared" si="183"/>
        <v/>
      </c>
      <c r="U1085" s="84" t="str">
        <f t="shared" si="184"/>
        <v/>
      </c>
      <c r="V1085" s="88">
        <f>IF(U1085="",0,MAX(0,T1085)+N1085+ROUND(J1085*[1]Setup!$B$9,0)+IF(O1085&gt;[1]Setup!$B$10,ROUND(J1085*[1]Setup!$B$11,0),0))</f>
        <v>0</v>
      </c>
      <c r="W1085" s="85" t="str">
        <f>IF(L1085="","Open",IF(OR(P1085&lt;[1]Setup!$B$6,Q1085&gt;[1]Setup!$B$7,R1085&gt;[1]Setup!$B$8,O1085&gt;[1]Setup!$B$10),"Review","OK"))</f>
        <v>Open</v>
      </c>
      <c r="X1085" s="86"/>
    </row>
    <row r="1086" spans="1:24" x14ac:dyDescent="0.3">
      <c r="A1086" s="84"/>
      <c r="B1086" s="100">
        <f t="shared" si="177"/>
        <v>0</v>
      </c>
      <c r="C1086" s="84" t="str">
        <f t="shared" si="178"/>
        <v>January</v>
      </c>
      <c r="D1086" s="85" t="str">
        <f t="shared" si="176"/>
        <v/>
      </c>
      <c r="E1086" s="86"/>
      <c r="F1086" s="86"/>
      <c r="G1086" s="86"/>
      <c r="H1086" s="86"/>
      <c r="I1086" s="87" t="str">
        <f>IF(F1086=0,"",IF(COUNTIF(F1086,"Bao"),[1]Setup!$B$4,IF(COUNTIF(F1086,"Soup Dumplings"),[1]Setup!$B$5,F1086)))</f>
        <v/>
      </c>
      <c r="J1086" s="88" t="str">
        <f t="shared" si="179"/>
        <v/>
      </c>
      <c r="K1086" s="88"/>
      <c r="L1086" s="87"/>
      <c r="M1086" s="87"/>
      <c r="N1086" s="87"/>
      <c r="O1086" s="87"/>
      <c r="P1086" s="89" t="str">
        <f t="shared" si="180"/>
        <v/>
      </c>
      <c r="Q1086" s="89" t="str">
        <f t="shared" si="181"/>
        <v/>
      </c>
      <c r="R1086" s="89" t="str">
        <f t="shared" si="182"/>
        <v/>
      </c>
      <c r="S1086" s="88" t="str">
        <f>IF(F1086="Bao",[1]Setup!$B$4,IF(F1086="Soup Dumplings",[1]Setup!$B$5,""))</f>
        <v/>
      </c>
      <c r="T1086" s="88" t="str">
        <f t="shared" si="183"/>
        <v/>
      </c>
      <c r="U1086" s="84" t="str">
        <f t="shared" si="184"/>
        <v/>
      </c>
      <c r="V1086" s="88">
        <f>IF(U1086="",0,MAX(0,T1086)+N1086+ROUND(J1086*[1]Setup!$B$9,0)+IF(O1086&gt;[1]Setup!$B$10,ROUND(J1086*[1]Setup!$B$11,0),0))</f>
        <v>0</v>
      </c>
      <c r="W1086" s="85" t="str">
        <f>IF(L1086="","Open",IF(OR(P1086&lt;[1]Setup!$B$6,Q1086&gt;[1]Setup!$B$7,R1086&gt;[1]Setup!$B$8,O1086&gt;[1]Setup!$B$10),"Review","OK"))</f>
        <v>Open</v>
      </c>
      <c r="X1086" s="86"/>
    </row>
    <row r="1087" spans="1:24" x14ac:dyDescent="0.3">
      <c r="A1087" s="84"/>
      <c r="B1087" s="100">
        <f t="shared" si="177"/>
        <v>0</v>
      </c>
      <c r="C1087" s="84" t="str">
        <f t="shared" si="178"/>
        <v>January</v>
      </c>
      <c r="D1087" s="85" t="str">
        <f t="shared" si="176"/>
        <v/>
      </c>
      <c r="E1087" s="86"/>
      <c r="F1087" s="86"/>
      <c r="G1087" s="86"/>
      <c r="H1087" s="86"/>
      <c r="I1087" s="87" t="str">
        <f>IF(F1087=0,"",IF(COUNTIF(F1087,"Bao"),[1]Setup!$B$4,IF(COUNTIF(F1087,"Soup Dumplings"),[1]Setup!$B$5,F1087)))</f>
        <v/>
      </c>
      <c r="J1087" s="88" t="str">
        <f t="shared" si="179"/>
        <v/>
      </c>
      <c r="K1087" s="88"/>
      <c r="L1087" s="87"/>
      <c r="M1087" s="87"/>
      <c r="N1087" s="87"/>
      <c r="O1087" s="87"/>
      <c r="P1087" s="89" t="str">
        <f t="shared" si="180"/>
        <v/>
      </c>
      <c r="Q1087" s="89" t="str">
        <f t="shared" si="181"/>
        <v/>
      </c>
      <c r="R1087" s="89" t="str">
        <f t="shared" si="182"/>
        <v/>
      </c>
      <c r="S1087" s="88" t="str">
        <f>IF(F1087="Bao",[1]Setup!$B$4,IF(F1087="Soup Dumplings",[1]Setup!$B$5,""))</f>
        <v/>
      </c>
      <c r="T1087" s="88" t="str">
        <f t="shared" si="183"/>
        <v/>
      </c>
      <c r="U1087" s="84" t="str">
        <f t="shared" si="184"/>
        <v/>
      </c>
      <c r="V1087" s="88">
        <f>IF(U1087="",0,MAX(0,T1087)+N1087+ROUND(J1087*[1]Setup!$B$9,0)+IF(O1087&gt;[1]Setup!$B$10,ROUND(J1087*[1]Setup!$B$11,0),0))</f>
        <v>0</v>
      </c>
      <c r="W1087" s="85" t="str">
        <f>IF(L1087="","Open",IF(OR(P1087&lt;[1]Setup!$B$6,Q1087&gt;[1]Setup!$B$7,R1087&gt;[1]Setup!$B$8,O1087&gt;[1]Setup!$B$10),"Review","OK"))</f>
        <v>Open</v>
      </c>
      <c r="X1087" s="86"/>
    </row>
    <row r="1088" spans="1:24" x14ac:dyDescent="0.3">
      <c r="A1088" s="84"/>
      <c r="B1088" s="100">
        <f t="shared" si="177"/>
        <v>0</v>
      </c>
      <c r="C1088" s="84" t="str">
        <f t="shared" si="178"/>
        <v>January</v>
      </c>
      <c r="D1088" s="85" t="str">
        <f t="shared" si="176"/>
        <v/>
      </c>
      <c r="E1088" s="86"/>
      <c r="F1088" s="86"/>
      <c r="G1088" s="86"/>
      <c r="H1088" s="86"/>
      <c r="I1088" s="87" t="str">
        <f>IF(F1088=0,"",IF(COUNTIF(F1088,"Bao"),[1]Setup!$B$4,IF(COUNTIF(F1088,"Soup Dumplings"),[1]Setup!$B$5,F1088)))</f>
        <v/>
      </c>
      <c r="J1088" s="88" t="str">
        <f t="shared" si="179"/>
        <v/>
      </c>
      <c r="K1088" s="88"/>
      <c r="L1088" s="87"/>
      <c r="M1088" s="87"/>
      <c r="N1088" s="87"/>
      <c r="O1088" s="87"/>
      <c r="P1088" s="89" t="str">
        <f t="shared" si="180"/>
        <v/>
      </c>
      <c r="Q1088" s="89" t="str">
        <f t="shared" si="181"/>
        <v/>
      </c>
      <c r="R1088" s="89" t="str">
        <f t="shared" si="182"/>
        <v/>
      </c>
      <c r="S1088" s="88" t="str">
        <f>IF(F1088="Bao",[1]Setup!$B$4,IF(F1088="Soup Dumplings",[1]Setup!$B$5,""))</f>
        <v/>
      </c>
      <c r="T1088" s="88" t="str">
        <f t="shared" si="183"/>
        <v/>
      </c>
      <c r="U1088" s="84" t="str">
        <f t="shared" si="184"/>
        <v/>
      </c>
      <c r="V1088" s="88">
        <f>IF(U1088="",0,MAX(0,T1088)+N1088+ROUND(J1088*[1]Setup!$B$9,0)+IF(O1088&gt;[1]Setup!$B$10,ROUND(J1088*[1]Setup!$B$11,0),0))</f>
        <v>0</v>
      </c>
      <c r="W1088" s="85" t="str">
        <f>IF(L1088="","Open",IF(OR(P1088&lt;[1]Setup!$B$6,Q1088&gt;[1]Setup!$B$7,R1088&gt;[1]Setup!$B$8,O1088&gt;[1]Setup!$B$10),"Review","OK"))</f>
        <v>Open</v>
      </c>
      <c r="X1088" s="86"/>
    </row>
    <row r="1089" spans="1:24" x14ac:dyDescent="0.3">
      <c r="A1089" s="84"/>
      <c r="B1089" s="100">
        <f t="shared" si="177"/>
        <v>0</v>
      </c>
      <c r="C1089" s="84" t="str">
        <f t="shared" si="178"/>
        <v>January</v>
      </c>
      <c r="D1089" s="85" t="str">
        <f t="shared" si="176"/>
        <v/>
      </c>
      <c r="E1089" s="86"/>
      <c r="F1089" s="86"/>
      <c r="G1089" s="86"/>
      <c r="H1089" s="86"/>
      <c r="I1089" s="87" t="str">
        <f>IF(F1089=0,"",IF(COUNTIF(F1089,"Bao"),[1]Setup!$B$4,IF(COUNTIF(F1089,"Soup Dumplings"),[1]Setup!$B$5,F1089)))</f>
        <v/>
      </c>
      <c r="J1089" s="88" t="str">
        <f t="shared" si="179"/>
        <v/>
      </c>
      <c r="K1089" s="88"/>
      <c r="L1089" s="87"/>
      <c r="M1089" s="87"/>
      <c r="N1089" s="87"/>
      <c r="O1089" s="87"/>
      <c r="P1089" s="89" t="str">
        <f t="shared" si="180"/>
        <v/>
      </c>
      <c r="Q1089" s="89" t="str">
        <f t="shared" si="181"/>
        <v/>
      </c>
      <c r="R1089" s="89" t="str">
        <f t="shared" si="182"/>
        <v/>
      </c>
      <c r="S1089" s="88" t="str">
        <f>IF(F1089="Bao",[1]Setup!$B$4,IF(F1089="Soup Dumplings",[1]Setup!$B$5,""))</f>
        <v/>
      </c>
      <c r="T1089" s="88" t="str">
        <f t="shared" si="183"/>
        <v/>
      </c>
      <c r="U1089" s="84" t="str">
        <f t="shared" si="184"/>
        <v/>
      </c>
      <c r="V1089" s="88">
        <f>IF(U1089="",0,MAX(0,T1089)+N1089+ROUND(J1089*[1]Setup!$B$9,0)+IF(O1089&gt;[1]Setup!$B$10,ROUND(J1089*[1]Setup!$B$11,0),0))</f>
        <v>0</v>
      </c>
      <c r="W1089" s="85" t="str">
        <f>IF(L1089="","Open",IF(OR(P1089&lt;[1]Setup!$B$6,Q1089&gt;[1]Setup!$B$7,R1089&gt;[1]Setup!$B$8,O1089&gt;[1]Setup!$B$10),"Review","OK"))</f>
        <v>Open</v>
      </c>
      <c r="X1089" s="86"/>
    </row>
    <row r="1090" spans="1:24" x14ac:dyDescent="0.3">
      <c r="A1090" s="84"/>
      <c r="B1090" s="100">
        <f t="shared" si="177"/>
        <v>0</v>
      </c>
      <c r="C1090" s="84" t="str">
        <f t="shared" si="178"/>
        <v>January</v>
      </c>
      <c r="D1090" s="85" t="str">
        <f t="shared" si="176"/>
        <v/>
      </c>
      <c r="E1090" s="86"/>
      <c r="F1090" s="86"/>
      <c r="G1090" s="86"/>
      <c r="H1090" s="86"/>
      <c r="I1090" s="87" t="str">
        <f>IF(F1090=0,"",IF(COUNTIF(F1090,"Bao"),[1]Setup!$B$4,IF(COUNTIF(F1090,"Soup Dumplings"),[1]Setup!$B$5,F1090)))</f>
        <v/>
      </c>
      <c r="J1090" s="88" t="str">
        <f t="shared" si="179"/>
        <v/>
      </c>
      <c r="K1090" s="88"/>
      <c r="L1090" s="87"/>
      <c r="M1090" s="87"/>
      <c r="N1090" s="87"/>
      <c r="O1090" s="87"/>
      <c r="P1090" s="89" t="str">
        <f t="shared" si="180"/>
        <v/>
      </c>
      <c r="Q1090" s="89" t="str">
        <f t="shared" si="181"/>
        <v/>
      </c>
      <c r="R1090" s="89" t="str">
        <f t="shared" si="182"/>
        <v/>
      </c>
      <c r="S1090" s="88" t="str">
        <f>IF(F1090="Bao",[1]Setup!$B$4,IF(F1090="Soup Dumplings",[1]Setup!$B$5,""))</f>
        <v/>
      </c>
      <c r="T1090" s="88" t="str">
        <f t="shared" si="183"/>
        <v/>
      </c>
      <c r="U1090" s="84" t="str">
        <f t="shared" si="184"/>
        <v/>
      </c>
      <c r="V1090" s="88">
        <f>IF(U1090="",0,MAX(0,T1090)+N1090+ROUND(J1090*[1]Setup!$B$9,0)+IF(O1090&gt;[1]Setup!$B$10,ROUND(J1090*[1]Setup!$B$11,0),0))</f>
        <v>0</v>
      </c>
      <c r="W1090" s="85" t="str">
        <f>IF(L1090="","Open",IF(OR(P1090&lt;[1]Setup!$B$6,Q1090&gt;[1]Setup!$B$7,R1090&gt;[1]Setup!$B$8,O1090&gt;[1]Setup!$B$10),"Review","OK"))</f>
        <v>Open</v>
      </c>
      <c r="X1090" s="86"/>
    </row>
    <row r="1091" spans="1:24" x14ac:dyDescent="0.3">
      <c r="A1091" s="84"/>
      <c r="B1091" s="100">
        <f t="shared" si="177"/>
        <v>0</v>
      </c>
      <c r="C1091" s="84" t="str">
        <f t="shared" si="178"/>
        <v>January</v>
      </c>
      <c r="D1091" s="85" t="str">
        <f t="shared" si="176"/>
        <v/>
      </c>
      <c r="E1091" s="86"/>
      <c r="F1091" s="86"/>
      <c r="G1091" s="86"/>
      <c r="H1091" s="86"/>
      <c r="I1091" s="87" t="str">
        <f>IF(F1091=0,"",IF(COUNTIF(F1091,"Bao"),[1]Setup!$B$4,IF(COUNTIF(F1091,"Soup Dumplings"),[1]Setup!$B$5,F1091)))</f>
        <v/>
      </c>
      <c r="J1091" s="88" t="str">
        <f t="shared" si="179"/>
        <v/>
      </c>
      <c r="K1091" s="88"/>
      <c r="L1091" s="87"/>
      <c r="M1091" s="87"/>
      <c r="N1091" s="87"/>
      <c r="O1091" s="87"/>
      <c r="P1091" s="89" t="str">
        <f t="shared" si="180"/>
        <v/>
      </c>
      <c r="Q1091" s="89" t="str">
        <f t="shared" si="181"/>
        <v/>
      </c>
      <c r="R1091" s="89" t="str">
        <f t="shared" si="182"/>
        <v/>
      </c>
      <c r="S1091" s="88" t="str">
        <f>IF(F1091="Bao",[1]Setup!$B$4,IF(F1091="Soup Dumplings",[1]Setup!$B$5,""))</f>
        <v/>
      </c>
      <c r="T1091" s="88" t="str">
        <f t="shared" si="183"/>
        <v/>
      </c>
      <c r="U1091" s="84" t="str">
        <f t="shared" si="184"/>
        <v/>
      </c>
      <c r="V1091" s="88">
        <f>IF(U1091="",0,MAX(0,T1091)+N1091+ROUND(J1091*[1]Setup!$B$9,0)+IF(O1091&gt;[1]Setup!$B$10,ROUND(J1091*[1]Setup!$B$11,0),0))</f>
        <v>0</v>
      </c>
      <c r="W1091" s="85" t="str">
        <f>IF(L1091="","Open",IF(OR(P1091&lt;[1]Setup!$B$6,Q1091&gt;[1]Setup!$B$7,R1091&gt;[1]Setup!$B$8,O1091&gt;[1]Setup!$B$10),"Review","OK"))</f>
        <v>Open</v>
      </c>
      <c r="X1091" s="86"/>
    </row>
    <row r="1092" spans="1:24" x14ac:dyDescent="0.3">
      <c r="A1092" s="84"/>
      <c r="B1092" s="100">
        <f t="shared" si="177"/>
        <v>0</v>
      </c>
      <c r="C1092" s="84" t="str">
        <f t="shared" si="178"/>
        <v>January</v>
      </c>
      <c r="D1092" s="85" t="str">
        <f t="shared" ref="D1092:D1155" si="185">IF(A1092="","",TEXT(A1092,"ddd"))</f>
        <v/>
      </c>
      <c r="E1092" s="86"/>
      <c r="F1092" s="86"/>
      <c r="G1092" s="86"/>
      <c r="H1092" s="86"/>
      <c r="I1092" s="87" t="str">
        <f>IF(F1092=0,"",IF(COUNTIF(F1092,"Bao"),[1]Setup!$B$4,IF(COUNTIF(F1092,"Soup Dumplings"),[1]Setup!$B$5,F1092)))</f>
        <v/>
      </c>
      <c r="J1092" s="88" t="str">
        <f t="shared" si="179"/>
        <v/>
      </c>
      <c r="K1092" s="88"/>
      <c r="L1092" s="87"/>
      <c r="M1092" s="87"/>
      <c r="N1092" s="87"/>
      <c r="O1092" s="87"/>
      <c r="P1092" s="89" t="str">
        <f t="shared" si="180"/>
        <v/>
      </c>
      <c r="Q1092" s="89" t="str">
        <f t="shared" si="181"/>
        <v/>
      </c>
      <c r="R1092" s="89" t="str">
        <f t="shared" si="182"/>
        <v/>
      </c>
      <c r="S1092" s="88" t="str">
        <f>IF(F1092="Bao",[1]Setup!$B$4,IF(F1092="Soup Dumplings",[1]Setup!$B$5,""))</f>
        <v/>
      </c>
      <c r="T1092" s="88" t="str">
        <f t="shared" si="183"/>
        <v/>
      </c>
      <c r="U1092" s="84" t="str">
        <f t="shared" si="184"/>
        <v/>
      </c>
      <c r="V1092" s="88">
        <f>IF(U1092="",0,MAX(0,T1092)+N1092+ROUND(J1092*[1]Setup!$B$9,0)+IF(O1092&gt;[1]Setup!$B$10,ROUND(J1092*[1]Setup!$B$11,0),0))</f>
        <v>0</v>
      </c>
      <c r="W1092" s="85" t="str">
        <f>IF(L1092="","Open",IF(OR(P1092&lt;[1]Setup!$B$6,Q1092&gt;[1]Setup!$B$7,R1092&gt;[1]Setup!$B$8,O1092&gt;[1]Setup!$B$10),"Review","OK"))</f>
        <v>Open</v>
      </c>
      <c r="X1092" s="86"/>
    </row>
    <row r="1093" spans="1:24" x14ac:dyDescent="0.3">
      <c r="A1093" s="84"/>
      <c r="B1093" s="100">
        <f t="shared" ref="B1093:B1156" si="186">+WEEKNUM(A1093)</f>
        <v>0</v>
      </c>
      <c r="C1093" s="84" t="str">
        <f t="shared" ref="C1093:C1156" si="187">+TEXT(A1093,"mmmm")</f>
        <v>January</v>
      </c>
      <c r="D1093" s="85" t="str">
        <f t="shared" si="185"/>
        <v/>
      </c>
      <c r="E1093" s="86"/>
      <c r="F1093" s="86"/>
      <c r="G1093" s="86"/>
      <c r="H1093" s="86"/>
      <c r="I1093" s="87" t="str">
        <f>IF(F1093=0,"",IF(COUNTIF(F1093,"Bao"),[1]Setup!$B$4,IF(COUNTIF(F1093,"Soup Dumplings"),[1]Setup!$B$5,F1093)))</f>
        <v/>
      </c>
      <c r="J1093" s="88" t="str">
        <f t="shared" si="179"/>
        <v/>
      </c>
      <c r="K1093" s="88"/>
      <c r="L1093" s="87"/>
      <c r="M1093" s="87"/>
      <c r="N1093" s="87"/>
      <c r="O1093" s="87"/>
      <c r="P1093" s="89" t="str">
        <f t="shared" si="180"/>
        <v/>
      </c>
      <c r="Q1093" s="89" t="str">
        <f t="shared" si="181"/>
        <v/>
      </c>
      <c r="R1093" s="89" t="str">
        <f t="shared" si="182"/>
        <v/>
      </c>
      <c r="S1093" s="88" t="str">
        <f>IF(F1093="Bao",[1]Setup!$B$4,IF(F1093="Soup Dumplings",[1]Setup!$B$5,""))</f>
        <v/>
      </c>
      <c r="T1093" s="88" t="str">
        <f t="shared" si="183"/>
        <v/>
      </c>
      <c r="U1093" s="84" t="str">
        <f t="shared" si="184"/>
        <v/>
      </c>
      <c r="V1093" s="88">
        <f>IF(U1093="",0,MAX(0,T1093)+N1093+ROUND(J1093*[1]Setup!$B$9,0)+IF(O1093&gt;[1]Setup!$B$10,ROUND(J1093*[1]Setup!$B$11,0),0))</f>
        <v>0</v>
      </c>
      <c r="W1093" s="85" t="str">
        <f>IF(L1093="","Open",IF(OR(P1093&lt;[1]Setup!$B$6,Q1093&gt;[1]Setup!$B$7,R1093&gt;[1]Setup!$B$8,O1093&gt;[1]Setup!$B$10),"Review","OK"))</f>
        <v>Open</v>
      </c>
      <c r="X1093" s="86"/>
    </row>
    <row r="1094" spans="1:24" x14ac:dyDescent="0.3">
      <c r="A1094" s="84"/>
      <c r="B1094" s="100">
        <f t="shared" si="186"/>
        <v>0</v>
      </c>
      <c r="C1094" s="84" t="str">
        <f t="shared" si="187"/>
        <v>January</v>
      </c>
      <c r="D1094" s="85" t="str">
        <f t="shared" si="185"/>
        <v/>
      </c>
      <c r="E1094" s="86"/>
      <c r="F1094" s="86"/>
      <c r="G1094" s="86"/>
      <c r="H1094" s="86"/>
      <c r="I1094" s="87" t="str">
        <f>IF(F1094=0,"",IF(COUNTIF(F1094,"Bao"),[1]Setup!$B$4,IF(COUNTIF(F1094,"Soup Dumplings"),[1]Setup!$B$5,F1094)))</f>
        <v/>
      </c>
      <c r="J1094" s="88" t="str">
        <f t="shared" si="179"/>
        <v/>
      </c>
      <c r="K1094" s="88"/>
      <c r="L1094" s="87"/>
      <c r="M1094" s="87"/>
      <c r="N1094" s="87"/>
      <c r="O1094" s="87"/>
      <c r="P1094" s="89" t="str">
        <f t="shared" si="180"/>
        <v/>
      </c>
      <c r="Q1094" s="89" t="str">
        <f t="shared" si="181"/>
        <v/>
      </c>
      <c r="R1094" s="89" t="str">
        <f t="shared" si="182"/>
        <v/>
      </c>
      <c r="S1094" s="88" t="str">
        <f>IF(F1094="Bao",[1]Setup!$B$4,IF(F1094="Soup Dumplings",[1]Setup!$B$5,""))</f>
        <v/>
      </c>
      <c r="T1094" s="88" t="str">
        <f t="shared" si="183"/>
        <v/>
      </c>
      <c r="U1094" s="84" t="str">
        <f t="shared" si="184"/>
        <v/>
      </c>
      <c r="V1094" s="88">
        <f>IF(U1094="",0,MAX(0,T1094)+N1094+ROUND(J1094*[1]Setup!$B$9,0)+IF(O1094&gt;[1]Setup!$B$10,ROUND(J1094*[1]Setup!$B$11,0),0))</f>
        <v>0</v>
      </c>
      <c r="W1094" s="85" t="str">
        <f>IF(L1094="","Open",IF(OR(P1094&lt;[1]Setup!$B$6,Q1094&gt;[1]Setup!$B$7,R1094&gt;[1]Setup!$B$8,O1094&gt;[1]Setup!$B$10),"Review","OK"))</f>
        <v>Open</v>
      </c>
      <c r="X1094" s="86"/>
    </row>
    <row r="1095" spans="1:24" x14ac:dyDescent="0.3">
      <c r="A1095" s="84"/>
      <c r="B1095" s="100">
        <f t="shared" si="186"/>
        <v>0</v>
      </c>
      <c r="C1095" s="84" t="str">
        <f t="shared" si="187"/>
        <v>January</v>
      </c>
      <c r="D1095" s="85" t="str">
        <f t="shared" si="185"/>
        <v/>
      </c>
      <c r="E1095" s="86"/>
      <c r="F1095" s="86"/>
      <c r="G1095" s="86"/>
      <c r="H1095" s="86"/>
      <c r="I1095" s="87" t="str">
        <f>IF(F1095=0,"",IF(COUNTIF(F1095,"Bao"),[1]Setup!$B$4,IF(COUNTIF(F1095,"Soup Dumplings"),[1]Setup!$B$5,F1095)))</f>
        <v/>
      </c>
      <c r="J1095" s="88" t="str">
        <f t="shared" si="179"/>
        <v/>
      </c>
      <c r="K1095" s="88"/>
      <c r="L1095" s="87"/>
      <c r="M1095" s="87"/>
      <c r="N1095" s="87"/>
      <c r="O1095" s="87"/>
      <c r="P1095" s="89" t="str">
        <f t="shared" si="180"/>
        <v/>
      </c>
      <c r="Q1095" s="89" t="str">
        <f t="shared" si="181"/>
        <v/>
      </c>
      <c r="R1095" s="89" t="str">
        <f t="shared" si="182"/>
        <v/>
      </c>
      <c r="S1095" s="88" t="str">
        <f>IF(F1095="Bao",[1]Setup!$B$4,IF(F1095="Soup Dumplings",[1]Setup!$B$5,""))</f>
        <v/>
      </c>
      <c r="T1095" s="88" t="str">
        <f t="shared" si="183"/>
        <v/>
      </c>
      <c r="U1095" s="84" t="str">
        <f t="shared" si="184"/>
        <v/>
      </c>
      <c r="V1095" s="88">
        <f>IF(U1095="",0,MAX(0,T1095)+N1095+ROUND(J1095*[1]Setup!$B$9,0)+IF(O1095&gt;[1]Setup!$B$10,ROUND(J1095*[1]Setup!$B$11,0),0))</f>
        <v>0</v>
      </c>
      <c r="W1095" s="85" t="str">
        <f>IF(L1095="","Open",IF(OR(P1095&lt;[1]Setup!$B$6,Q1095&gt;[1]Setup!$B$7,R1095&gt;[1]Setup!$B$8,O1095&gt;[1]Setup!$B$10),"Review","OK"))</f>
        <v>Open</v>
      </c>
      <c r="X1095" s="86"/>
    </row>
    <row r="1096" spans="1:24" x14ac:dyDescent="0.3">
      <c r="A1096" s="84"/>
      <c r="B1096" s="100">
        <f t="shared" si="186"/>
        <v>0</v>
      </c>
      <c r="C1096" s="84" t="str">
        <f t="shared" si="187"/>
        <v>January</v>
      </c>
      <c r="D1096" s="85" t="str">
        <f t="shared" si="185"/>
        <v/>
      </c>
      <c r="E1096" s="86"/>
      <c r="F1096" s="86"/>
      <c r="G1096" s="86"/>
      <c r="H1096" s="86"/>
      <c r="I1096" s="87" t="str">
        <f>IF(F1096=0,"",IF(COUNTIF(F1096,"Bao"),[1]Setup!$B$4,IF(COUNTIF(F1096,"Soup Dumplings"),[1]Setup!$B$5,F1096)))</f>
        <v/>
      </c>
      <c r="J1096" s="88" t="str">
        <f t="shared" si="179"/>
        <v/>
      </c>
      <c r="K1096" s="88"/>
      <c r="L1096" s="87"/>
      <c r="M1096" s="87"/>
      <c r="N1096" s="87"/>
      <c r="O1096" s="87"/>
      <c r="P1096" s="89" t="str">
        <f t="shared" si="180"/>
        <v/>
      </c>
      <c r="Q1096" s="89" t="str">
        <f t="shared" si="181"/>
        <v/>
      </c>
      <c r="R1096" s="89" t="str">
        <f t="shared" si="182"/>
        <v/>
      </c>
      <c r="S1096" s="88" t="str">
        <f>IF(F1096="Bao",[1]Setup!$B$4,IF(F1096="Soup Dumplings",[1]Setup!$B$5,""))</f>
        <v/>
      </c>
      <c r="T1096" s="88" t="str">
        <f t="shared" si="183"/>
        <v/>
      </c>
      <c r="U1096" s="84" t="str">
        <f t="shared" si="184"/>
        <v/>
      </c>
      <c r="V1096" s="88">
        <f>IF(U1096="",0,MAX(0,T1096)+N1096+ROUND(J1096*[1]Setup!$B$9,0)+IF(O1096&gt;[1]Setup!$B$10,ROUND(J1096*[1]Setup!$B$11,0),0))</f>
        <v>0</v>
      </c>
      <c r="W1096" s="85" t="str">
        <f>IF(L1096="","Open",IF(OR(P1096&lt;[1]Setup!$B$6,Q1096&gt;[1]Setup!$B$7,R1096&gt;[1]Setup!$B$8,O1096&gt;[1]Setup!$B$10),"Review","OK"))</f>
        <v>Open</v>
      </c>
      <c r="X1096" s="86"/>
    </row>
    <row r="1097" spans="1:24" x14ac:dyDescent="0.3">
      <c r="A1097" s="84"/>
      <c r="B1097" s="100">
        <f t="shared" si="186"/>
        <v>0</v>
      </c>
      <c r="C1097" s="84" t="str">
        <f t="shared" si="187"/>
        <v>January</v>
      </c>
      <c r="D1097" s="85" t="str">
        <f t="shared" si="185"/>
        <v/>
      </c>
      <c r="E1097" s="86"/>
      <c r="F1097" s="86"/>
      <c r="G1097" s="86"/>
      <c r="H1097" s="86"/>
      <c r="I1097" s="87" t="str">
        <f>IF(F1097=0,"",IF(COUNTIF(F1097,"Bao"),[1]Setup!$B$4,IF(COUNTIF(F1097,"Soup Dumplings"),[1]Setup!$B$5,F1097)))</f>
        <v/>
      </c>
      <c r="J1097" s="88" t="str">
        <f t="shared" si="179"/>
        <v/>
      </c>
      <c r="K1097" s="88"/>
      <c r="L1097" s="87"/>
      <c r="M1097" s="87"/>
      <c r="N1097" s="87"/>
      <c r="O1097" s="87"/>
      <c r="P1097" s="89" t="str">
        <f t="shared" si="180"/>
        <v/>
      </c>
      <c r="Q1097" s="89" t="str">
        <f t="shared" si="181"/>
        <v/>
      </c>
      <c r="R1097" s="89" t="str">
        <f t="shared" si="182"/>
        <v/>
      </c>
      <c r="S1097" s="88" t="str">
        <f>IF(F1097="Bao",[1]Setup!$B$4,IF(F1097="Soup Dumplings",[1]Setup!$B$5,""))</f>
        <v/>
      </c>
      <c r="T1097" s="88" t="str">
        <f t="shared" si="183"/>
        <v/>
      </c>
      <c r="U1097" s="84" t="str">
        <f t="shared" si="184"/>
        <v/>
      </c>
      <c r="V1097" s="88">
        <f>IF(U1097="",0,MAX(0,T1097)+N1097+ROUND(J1097*[1]Setup!$B$9,0)+IF(O1097&gt;[1]Setup!$B$10,ROUND(J1097*[1]Setup!$B$11,0),0))</f>
        <v>0</v>
      </c>
      <c r="W1097" s="85" t="str">
        <f>IF(L1097="","Open",IF(OR(P1097&lt;[1]Setup!$B$6,Q1097&gt;[1]Setup!$B$7,R1097&gt;[1]Setup!$B$8,O1097&gt;[1]Setup!$B$10),"Review","OK"))</f>
        <v>Open</v>
      </c>
      <c r="X1097" s="86"/>
    </row>
    <row r="1098" spans="1:24" x14ac:dyDescent="0.3">
      <c r="A1098" s="84"/>
      <c r="B1098" s="100">
        <f t="shared" si="186"/>
        <v>0</v>
      </c>
      <c r="C1098" s="84" t="str">
        <f t="shared" si="187"/>
        <v>January</v>
      </c>
      <c r="D1098" s="85" t="str">
        <f t="shared" si="185"/>
        <v/>
      </c>
      <c r="E1098" s="86"/>
      <c r="F1098" s="86"/>
      <c r="G1098" s="86"/>
      <c r="H1098" s="86"/>
      <c r="I1098" s="87" t="str">
        <f>IF(F1098=0,"",IF(COUNTIF(F1098,"Bao"),[1]Setup!$B$4,IF(COUNTIF(F1098,"Soup Dumplings"),[1]Setup!$B$5,F1098)))</f>
        <v/>
      </c>
      <c r="J1098" s="88" t="str">
        <f t="shared" si="179"/>
        <v/>
      </c>
      <c r="K1098" s="88"/>
      <c r="L1098" s="87"/>
      <c r="M1098" s="87"/>
      <c r="N1098" s="87"/>
      <c r="O1098" s="87"/>
      <c r="P1098" s="89" t="str">
        <f t="shared" si="180"/>
        <v/>
      </c>
      <c r="Q1098" s="89" t="str">
        <f t="shared" si="181"/>
        <v/>
      </c>
      <c r="R1098" s="89" t="str">
        <f t="shared" si="182"/>
        <v/>
      </c>
      <c r="S1098" s="88" t="str">
        <f>IF(F1098="Bao",[1]Setup!$B$4,IF(F1098="Soup Dumplings",[1]Setup!$B$5,""))</f>
        <v/>
      </c>
      <c r="T1098" s="88" t="str">
        <f t="shared" si="183"/>
        <v/>
      </c>
      <c r="U1098" s="84" t="str">
        <f t="shared" si="184"/>
        <v/>
      </c>
      <c r="V1098" s="88">
        <f>IF(U1098="",0,MAX(0,T1098)+N1098+ROUND(J1098*[1]Setup!$B$9,0)+IF(O1098&gt;[1]Setup!$B$10,ROUND(J1098*[1]Setup!$B$11,0),0))</f>
        <v>0</v>
      </c>
      <c r="W1098" s="85" t="str">
        <f>IF(L1098="","Open",IF(OR(P1098&lt;[1]Setup!$B$6,Q1098&gt;[1]Setup!$B$7,R1098&gt;[1]Setup!$B$8,O1098&gt;[1]Setup!$B$10),"Review","OK"))</f>
        <v>Open</v>
      </c>
      <c r="X1098" s="86"/>
    </row>
    <row r="1099" spans="1:24" x14ac:dyDescent="0.3">
      <c r="A1099" s="84"/>
      <c r="B1099" s="100">
        <f t="shared" si="186"/>
        <v>0</v>
      </c>
      <c r="C1099" s="84" t="str">
        <f t="shared" si="187"/>
        <v>January</v>
      </c>
      <c r="D1099" s="85" t="str">
        <f t="shared" si="185"/>
        <v/>
      </c>
      <c r="E1099" s="86"/>
      <c r="F1099" s="86"/>
      <c r="G1099" s="86"/>
      <c r="H1099" s="86"/>
      <c r="I1099" s="87" t="str">
        <f>IF(F1099=0,"",IF(COUNTIF(F1099,"Bao"),[1]Setup!$B$4,IF(COUNTIF(F1099,"Soup Dumplings"),[1]Setup!$B$5,F1099)))</f>
        <v/>
      </c>
      <c r="J1099" s="88" t="str">
        <f t="shared" si="179"/>
        <v/>
      </c>
      <c r="K1099" s="88"/>
      <c r="L1099" s="87"/>
      <c r="M1099" s="87"/>
      <c r="N1099" s="87"/>
      <c r="O1099" s="87"/>
      <c r="P1099" s="89" t="str">
        <f t="shared" si="180"/>
        <v/>
      </c>
      <c r="Q1099" s="89" t="str">
        <f t="shared" si="181"/>
        <v/>
      </c>
      <c r="R1099" s="89" t="str">
        <f t="shared" si="182"/>
        <v/>
      </c>
      <c r="S1099" s="88" t="str">
        <f>IF(F1099="Bao",[1]Setup!$B$4,IF(F1099="Soup Dumplings",[1]Setup!$B$5,""))</f>
        <v/>
      </c>
      <c r="T1099" s="88" t="str">
        <f t="shared" si="183"/>
        <v/>
      </c>
      <c r="U1099" s="84" t="str">
        <f t="shared" si="184"/>
        <v/>
      </c>
      <c r="V1099" s="88">
        <f>IF(U1099="",0,MAX(0,T1099)+N1099+ROUND(J1099*[1]Setup!$B$9,0)+IF(O1099&gt;[1]Setup!$B$10,ROUND(J1099*[1]Setup!$B$11,0),0))</f>
        <v>0</v>
      </c>
      <c r="W1099" s="85" t="str">
        <f>IF(L1099="","Open",IF(OR(P1099&lt;[1]Setup!$B$6,Q1099&gt;[1]Setup!$B$7,R1099&gt;[1]Setup!$B$8,O1099&gt;[1]Setup!$B$10),"Review","OK"))</f>
        <v>Open</v>
      </c>
      <c r="X1099" s="86"/>
    </row>
    <row r="1100" spans="1:24" x14ac:dyDescent="0.3">
      <c r="A1100" s="84"/>
      <c r="B1100" s="100">
        <f t="shared" si="186"/>
        <v>0</v>
      </c>
      <c r="C1100" s="84" t="str">
        <f t="shared" si="187"/>
        <v>January</v>
      </c>
      <c r="D1100" s="85" t="str">
        <f t="shared" si="185"/>
        <v/>
      </c>
      <c r="E1100" s="86"/>
      <c r="F1100" s="86"/>
      <c r="G1100" s="86"/>
      <c r="H1100" s="86"/>
      <c r="I1100" s="87" t="str">
        <f>IF(F1100=0,"",IF(COUNTIF(F1100,"Bao"),[1]Setup!$B$4,IF(COUNTIF(F1100,"Soup Dumplings"),[1]Setup!$B$5,F1100)))</f>
        <v/>
      </c>
      <c r="J1100" s="88" t="str">
        <f t="shared" si="179"/>
        <v/>
      </c>
      <c r="K1100" s="88"/>
      <c r="L1100" s="87"/>
      <c r="M1100" s="87"/>
      <c r="N1100" s="87"/>
      <c r="O1100" s="87"/>
      <c r="P1100" s="89" t="str">
        <f t="shared" si="180"/>
        <v/>
      </c>
      <c r="Q1100" s="89" t="str">
        <f t="shared" si="181"/>
        <v/>
      </c>
      <c r="R1100" s="89" t="str">
        <f t="shared" si="182"/>
        <v/>
      </c>
      <c r="S1100" s="88" t="str">
        <f>IF(F1100="Bao",[1]Setup!$B$4,IF(F1100="Soup Dumplings",[1]Setup!$B$5,""))</f>
        <v/>
      </c>
      <c r="T1100" s="88" t="str">
        <f t="shared" si="183"/>
        <v/>
      </c>
      <c r="U1100" s="84" t="str">
        <f t="shared" si="184"/>
        <v/>
      </c>
      <c r="V1100" s="88">
        <f>IF(U1100="",0,MAX(0,T1100)+N1100+ROUND(J1100*[1]Setup!$B$9,0)+IF(O1100&gt;[1]Setup!$B$10,ROUND(J1100*[1]Setup!$B$11,0),0))</f>
        <v>0</v>
      </c>
      <c r="W1100" s="85" t="str">
        <f>IF(L1100="","Open",IF(OR(P1100&lt;[1]Setup!$B$6,Q1100&gt;[1]Setup!$B$7,R1100&gt;[1]Setup!$B$8,O1100&gt;[1]Setup!$B$10),"Review","OK"))</f>
        <v>Open</v>
      </c>
      <c r="X1100" s="86"/>
    </row>
    <row r="1101" spans="1:24" x14ac:dyDescent="0.3">
      <c r="A1101" s="84"/>
      <c r="B1101" s="100">
        <f t="shared" si="186"/>
        <v>0</v>
      </c>
      <c r="C1101" s="84" t="str">
        <f t="shared" si="187"/>
        <v>January</v>
      </c>
      <c r="D1101" s="85" t="str">
        <f t="shared" si="185"/>
        <v/>
      </c>
      <c r="E1101" s="86"/>
      <c r="F1101" s="86"/>
      <c r="G1101" s="86"/>
      <c r="H1101" s="86"/>
      <c r="I1101" s="87" t="str">
        <f>IF(F1101=0,"",IF(COUNTIF(F1101,"Bao"),[1]Setup!$B$4,IF(COUNTIF(F1101,"Soup Dumplings"),[1]Setup!$B$5,F1101)))</f>
        <v/>
      </c>
      <c r="J1101" s="88" t="str">
        <f t="shared" si="179"/>
        <v/>
      </c>
      <c r="K1101" s="88"/>
      <c r="L1101" s="87"/>
      <c r="M1101" s="87"/>
      <c r="N1101" s="87"/>
      <c r="O1101" s="87"/>
      <c r="P1101" s="89" t="str">
        <f t="shared" si="180"/>
        <v/>
      </c>
      <c r="Q1101" s="89" t="str">
        <f t="shared" si="181"/>
        <v/>
      </c>
      <c r="R1101" s="89" t="str">
        <f t="shared" si="182"/>
        <v/>
      </c>
      <c r="S1101" s="88" t="str">
        <f>IF(F1101="Bao",[1]Setup!$B$4,IF(F1101="Soup Dumplings",[1]Setup!$B$5,""))</f>
        <v/>
      </c>
      <c r="T1101" s="88" t="str">
        <f t="shared" si="183"/>
        <v/>
      </c>
      <c r="U1101" s="84" t="str">
        <f t="shared" si="184"/>
        <v/>
      </c>
      <c r="V1101" s="88">
        <f>IF(U1101="",0,MAX(0,T1101)+N1101+ROUND(J1101*[1]Setup!$B$9,0)+IF(O1101&gt;[1]Setup!$B$10,ROUND(J1101*[1]Setup!$B$11,0),0))</f>
        <v>0</v>
      </c>
      <c r="W1101" s="85" t="str">
        <f>IF(L1101="","Open",IF(OR(P1101&lt;[1]Setup!$B$6,Q1101&gt;[1]Setup!$B$7,R1101&gt;[1]Setup!$B$8,O1101&gt;[1]Setup!$B$10),"Review","OK"))</f>
        <v>Open</v>
      </c>
      <c r="X1101" s="86"/>
    </row>
    <row r="1102" spans="1:24" x14ac:dyDescent="0.3">
      <c r="A1102" s="84"/>
      <c r="B1102" s="100">
        <f t="shared" si="186"/>
        <v>0</v>
      </c>
      <c r="C1102" s="84" t="str">
        <f t="shared" si="187"/>
        <v>January</v>
      </c>
      <c r="D1102" s="85" t="str">
        <f t="shared" si="185"/>
        <v/>
      </c>
      <c r="E1102" s="86"/>
      <c r="F1102" s="86"/>
      <c r="G1102" s="86"/>
      <c r="H1102" s="86"/>
      <c r="I1102" s="87" t="str">
        <f>IF(F1102=0,"",IF(COUNTIF(F1102,"Bao"),[1]Setup!$B$4,IF(COUNTIF(F1102,"Soup Dumplings"),[1]Setup!$B$5,F1102)))</f>
        <v/>
      </c>
      <c r="J1102" s="88" t="str">
        <f t="shared" si="179"/>
        <v/>
      </c>
      <c r="K1102" s="88"/>
      <c r="L1102" s="87"/>
      <c r="M1102" s="87"/>
      <c r="N1102" s="87"/>
      <c r="O1102" s="87"/>
      <c r="P1102" s="89" t="str">
        <f t="shared" si="180"/>
        <v/>
      </c>
      <c r="Q1102" s="89" t="str">
        <f t="shared" si="181"/>
        <v/>
      </c>
      <c r="R1102" s="89" t="str">
        <f t="shared" si="182"/>
        <v/>
      </c>
      <c r="S1102" s="88" t="str">
        <f>IF(F1102="Bao",[1]Setup!$B$4,IF(F1102="Soup Dumplings",[1]Setup!$B$5,""))</f>
        <v/>
      </c>
      <c r="T1102" s="88" t="str">
        <f t="shared" si="183"/>
        <v/>
      </c>
      <c r="U1102" s="84" t="str">
        <f t="shared" si="184"/>
        <v/>
      </c>
      <c r="V1102" s="88">
        <f>IF(U1102="",0,MAX(0,T1102)+N1102+ROUND(J1102*[1]Setup!$B$9,0)+IF(O1102&gt;[1]Setup!$B$10,ROUND(J1102*[1]Setup!$B$11,0),0))</f>
        <v>0</v>
      </c>
      <c r="W1102" s="85" t="str">
        <f>IF(L1102="","Open",IF(OR(P1102&lt;[1]Setup!$B$6,Q1102&gt;[1]Setup!$B$7,R1102&gt;[1]Setup!$B$8,O1102&gt;[1]Setup!$B$10),"Review","OK"))</f>
        <v>Open</v>
      </c>
      <c r="X1102" s="86"/>
    </row>
    <row r="1103" spans="1:24" x14ac:dyDescent="0.3">
      <c r="A1103" s="84"/>
      <c r="B1103" s="100">
        <f t="shared" si="186"/>
        <v>0</v>
      </c>
      <c r="C1103" s="84" t="str">
        <f t="shared" si="187"/>
        <v>January</v>
      </c>
      <c r="D1103" s="85" t="str">
        <f t="shared" si="185"/>
        <v/>
      </c>
      <c r="E1103" s="86"/>
      <c r="F1103" s="86"/>
      <c r="G1103" s="86"/>
      <c r="H1103" s="86"/>
      <c r="I1103" s="87" t="str">
        <f>IF(F1103=0,"",IF(COUNTIF(F1103,"Bao"),[1]Setup!$B$4,IF(COUNTIF(F1103,"Soup Dumplings"),[1]Setup!$B$5,F1103)))</f>
        <v/>
      </c>
      <c r="J1103" s="88" t="str">
        <f t="shared" si="179"/>
        <v/>
      </c>
      <c r="K1103" s="88"/>
      <c r="L1103" s="87"/>
      <c r="M1103" s="87"/>
      <c r="N1103" s="87"/>
      <c r="O1103" s="87"/>
      <c r="P1103" s="89" t="str">
        <f t="shared" si="180"/>
        <v/>
      </c>
      <c r="Q1103" s="89" t="str">
        <f t="shared" si="181"/>
        <v/>
      </c>
      <c r="R1103" s="89" t="str">
        <f t="shared" si="182"/>
        <v/>
      </c>
      <c r="S1103" s="88" t="str">
        <f>IF(F1103="Bao",[1]Setup!$B$4,IF(F1103="Soup Dumplings",[1]Setup!$B$5,""))</f>
        <v/>
      </c>
      <c r="T1103" s="88" t="str">
        <f t="shared" si="183"/>
        <v/>
      </c>
      <c r="U1103" s="84" t="str">
        <f t="shared" si="184"/>
        <v/>
      </c>
      <c r="V1103" s="88">
        <f>IF(U1103="",0,MAX(0,T1103)+N1103+ROUND(J1103*[1]Setup!$B$9,0)+IF(O1103&gt;[1]Setup!$B$10,ROUND(J1103*[1]Setup!$B$11,0),0))</f>
        <v>0</v>
      </c>
      <c r="W1103" s="85" t="str">
        <f>IF(L1103="","Open",IF(OR(P1103&lt;[1]Setup!$B$6,Q1103&gt;[1]Setup!$B$7,R1103&gt;[1]Setup!$B$8,O1103&gt;[1]Setup!$B$10),"Review","OK"))</f>
        <v>Open</v>
      </c>
      <c r="X1103" s="86"/>
    </row>
    <row r="1104" spans="1:24" x14ac:dyDescent="0.3">
      <c r="A1104" s="84"/>
      <c r="B1104" s="100">
        <f t="shared" si="186"/>
        <v>0</v>
      </c>
      <c r="C1104" s="84" t="str">
        <f t="shared" si="187"/>
        <v>January</v>
      </c>
      <c r="D1104" s="85" t="str">
        <f t="shared" si="185"/>
        <v/>
      </c>
      <c r="E1104" s="86"/>
      <c r="F1104" s="86"/>
      <c r="G1104" s="86"/>
      <c r="H1104" s="86"/>
      <c r="I1104" s="87" t="str">
        <f>IF(F1104=0,"",IF(COUNTIF(F1104,"Bao"),[1]Setup!$B$4,IF(COUNTIF(F1104,"Soup Dumplings"),[1]Setup!$B$5,F1104)))</f>
        <v/>
      </c>
      <c r="J1104" s="88" t="str">
        <f t="shared" si="179"/>
        <v/>
      </c>
      <c r="K1104" s="88"/>
      <c r="L1104" s="87"/>
      <c r="M1104" s="87"/>
      <c r="N1104" s="87"/>
      <c r="O1104" s="87"/>
      <c r="P1104" s="89" t="str">
        <f t="shared" si="180"/>
        <v/>
      </c>
      <c r="Q1104" s="89" t="str">
        <f t="shared" si="181"/>
        <v/>
      </c>
      <c r="R1104" s="89" t="str">
        <f t="shared" si="182"/>
        <v/>
      </c>
      <c r="S1104" s="88" t="str">
        <f>IF(F1104="Bao",[1]Setup!$B$4,IF(F1104="Soup Dumplings",[1]Setup!$B$5,""))</f>
        <v/>
      </c>
      <c r="T1104" s="88" t="str">
        <f t="shared" si="183"/>
        <v/>
      </c>
      <c r="U1104" s="84" t="str">
        <f t="shared" si="184"/>
        <v/>
      </c>
      <c r="V1104" s="88">
        <f>IF(U1104="",0,MAX(0,T1104)+N1104+ROUND(J1104*[1]Setup!$B$9,0)+IF(O1104&gt;[1]Setup!$B$10,ROUND(J1104*[1]Setup!$B$11,0),0))</f>
        <v>0</v>
      </c>
      <c r="W1104" s="85" t="str">
        <f>IF(L1104="","Open",IF(OR(P1104&lt;[1]Setup!$B$6,Q1104&gt;[1]Setup!$B$7,R1104&gt;[1]Setup!$B$8,O1104&gt;[1]Setup!$B$10),"Review","OK"))</f>
        <v>Open</v>
      </c>
      <c r="X1104" s="86"/>
    </row>
    <row r="1105" spans="1:24" x14ac:dyDescent="0.3">
      <c r="A1105" s="84"/>
      <c r="B1105" s="100">
        <f t="shared" si="186"/>
        <v>0</v>
      </c>
      <c r="C1105" s="84" t="str">
        <f t="shared" si="187"/>
        <v>January</v>
      </c>
      <c r="D1105" s="85" t="str">
        <f t="shared" si="185"/>
        <v/>
      </c>
      <c r="E1105" s="86"/>
      <c r="F1105" s="86"/>
      <c r="G1105" s="86"/>
      <c r="H1105" s="86"/>
      <c r="I1105" s="87" t="str">
        <f>IF(F1105=0,"",IF(COUNTIF(F1105,"Bao"),[1]Setup!$B$4,IF(COUNTIF(F1105,"Soup Dumplings"),[1]Setup!$B$5,F1105)))</f>
        <v/>
      </c>
      <c r="J1105" s="88" t="str">
        <f t="shared" si="179"/>
        <v/>
      </c>
      <c r="K1105" s="88"/>
      <c r="L1105" s="87"/>
      <c r="M1105" s="87"/>
      <c r="N1105" s="87"/>
      <c r="O1105" s="87"/>
      <c r="P1105" s="89" t="str">
        <f t="shared" si="180"/>
        <v/>
      </c>
      <c r="Q1105" s="89" t="str">
        <f t="shared" si="181"/>
        <v/>
      </c>
      <c r="R1105" s="89" t="str">
        <f t="shared" si="182"/>
        <v/>
      </c>
      <c r="S1105" s="88" t="str">
        <f>IF(F1105="Bao",[1]Setup!$B$4,IF(F1105="Soup Dumplings",[1]Setup!$B$5,""))</f>
        <v/>
      </c>
      <c r="T1105" s="88" t="str">
        <f t="shared" si="183"/>
        <v/>
      </c>
      <c r="U1105" s="84" t="str">
        <f t="shared" si="184"/>
        <v/>
      </c>
      <c r="V1105" s="88">
        <f>IF(U1105="",0,MAX(0,T1105)+N1105+ROUND(J1105*[1]Setup!$B$9,0)+IF(O1105&gt;[1]Setup!$B$10,ROUND(J1105*[1]Setup!$B$11,0),0))</f>
        <v>0</v>
      </c>
      <c r="W1105" s="85" t="str">
        <f>IF(L1105="","Open",IF(OR(P1105&lt;[1]Setup!$B$6,Q1105&gt;[1]Setup!$B$7,R1105&gt;[1]Setup!$B$8,O1105&gt;[1]Setup!$B$10),"Review","OK"))</f>
        <v>Open</v>
      </c>
      <c r="X1105" s="86"/>
    </row>
    <row r="1106" spans="1:24" x14ac:dyDescent="0.3">
      <c r="A1106" s="84"/>
      <c r="B1106" s="100">
        <f t="shared" si="186"/>
        <v>0</v>
      </c>
      <c r="C1106" s="84" t="str">
        <f t="shared" si="187"/>
        <v>January</v>
      </c>
      <c r="D1106" s="85" t="str">
        <f t="shared" si="185"/>
        <v/>
      </c>
      <c r="E1106" s="86"/>
      <c r="F1106" s="86"/>
      <c r="G1106" s="86"/>
      <c r="H1106" s="86"/>
      <c r="I1106" s="87" t="str">
        <f>IF(F1106=0,"",IF(COUNTIF(F1106,"Bao"),[1]Setup!$B$4,IF(COUNTIF(F1106,"Soup Dumplings"),[1]Setup!$B$5,F1106)))</f>
        <v/>
      </c>
      <c r="J1106" s="88" t="str">
        <f t="shared" si="179"/>
        <v/>
      </c>
      <c r="K1106" s="88"/>
      <c r="L1106" s="87"/>
      <c r="M1106" s="87"/>
      <c r="N1106" s="87"/>
      <c r="O1106" s="87"/>
      <c r="P1106" s="89" t="str">
        <f t="shared" si="180"/>
        <v/>
      </c>
      <c r="Q1106" s="89" t="str">
        <f t="shared" si="181"/>
        <v/>
      </c>
      <c r="R1106" s="89" t="str">
        <f t="shared" si="182"/>
        <v/>
      </c>
      <c r="S1106" s="88" t="str">
        <f>IF(F1106="Bao",[1]Setup!$B$4,IF(F1106="Soup Dumplings",[1]Setup!$B$5,""))</f>
        <v/>
      </c>
      <c r="T1106" s="88" t="str">
        <f t="shared" si="183"/>
        <v/>
      </c>
      <c r="U1106" s="84" t="str">
        <f t="shared" si="184"/>
        <v/>
      </c>
      <c r="V1106" s="88">
        <f>IF(U1106="",0,MAX(0,T1106)+N1106+ROUND(J1106*[1]Setup!$B$9,0)+IF(O1106&gt;[1]Setup!$B$10,ROUND(J1106*[1]Setup!$B$11,0),0))</f>
        <v>0</v>
      </c>
      <c r="W1106" s="85" t="str">
        <f>IF(L1106="","Open",IF(OR(P1106&lt;[1]Setup!$B$6,Q1106&gt;[1]Setup!$B$7,R1106&gt;[1]Setup!$B$8,O1106&gt;[1]Setup!$B$10),"Review","OK"))</f>
        <v>Open</v>
      </c>
      <c r="X1106" s="86"/>
    </row>
    <row r="1107" spans="1:24" x14ac:dyDescent="0.3">
      <c r="A1107" s="84"/>
      <c r="B1107" s="100">
        <f t="shared" si="186"/>
        <v>0</v>
      </c>
      <c r="C1107" s="84" t="str">
        <f t="shared" si="187"/>
        <v>January</v>
      </c>
      <c r="D1107" s="85" t="str">
        <f t="shared" si="185"/>
        <v/>
      </c>
      <c r="E1107" s="86"/>
      <c r="F1107" s="86"/>
      <c r="G1107" s="86"/>
      <c r="H1107" s="86"/>
      <c r="I1107" s="87" t="str">
        <f>IF(F1107=0,"",IF(COUNTIF(F1107,"Bao"),[1]Setup!$B$4,IF(COUNTIF(F1107,"Soup Dumplings"),[1]Setup!$B$5,F1107)))</f>
        <v/>
      </c>
      <c r="J1107" s="88" t="str">
        <f t="shared" si="179"/>
        <v/>
      </c>
      <c r="K1107" s="88"/>
      <c r="L1107" s="87"/>
      <c r="M1107" s="87"/>
      <c r="N1107" s="87"/>
      <c r="O1107" s="87"/>
      <c r="P1107" s="89" t="str">
        <f t="shared" si="180"/>
        <v/>
      </c>
      <c r="Q1107" s="89" t="str">
        <f t="shared" si="181"/>
        <v/>
      </c>
      <c r="R1107" s="89" t="str">
        <f t="shared" si="182"/>
        <v/>
      </c>
      <c r="S1107" s="88" t="str">
        <f>IF(F1107="Bao",[1]Setup!$B$4,IF(F1107="Soup Dumplings",[1]Setup!$B$5,""))</f>
        <v/>
      </c>
      <c r="T1107" s="88" t="str">
        <f t="shared" si="183"/>
        <v/>
      </c>
      <c r="U1107" s="84" t="str">
        <f t="shared" si="184"/>
        <v/>
      </c>
      <c r="V1107" s="88">
        <f>IF(U1107="",0,MAX(0,T1107)+N1107+ROUND(J1107*[1]Setup!$B$9,0)+IF(O1107&gt;[1]Setup!$B$10,ROUND(J1107*[1]Setup!$B$11,0),0))</f>
        <v>0</v>
      </c>
      <c r="W1107" s="85" t="str">
        <f>IF(L1107="","Open",IF(OR(P1107&lt;[1]Setup!$B$6,Q1107&gt;[1]Setup!$B$7,R1107&gt;[1]Setup!$B$8,O1107&gt;[1]Setup!$B$10),"Review","OK"))</f>
        <v>Open</v>
      </c>
      <c r="X1107" s="86"/>
    </row>
    <row r="1108" spans="1:24" x14ac:dyDescent="0.3">
      <c r="A1108" s="84"/>
      <c r="B1108" s="100">
        <f t="shared" si="186"/>
        <v>0</v>
      </c>
      <c r="C1108" s="84" t="str">
        <f t="shared" si="187"/>
        <v>January</v>
      </c>
      <c r="D1108" s="85" t="str">
        <f t="shared" si="185"/>
        <v/>
      </c>
      <c r="E1108" s="86"/>
      <c r="F1108" s="86"/>
      <c r="G1108" s="86"/>
      <c r="H1108" s="86"/>
      <c r="I1108" s="87" t="str">
        <f>IF(F1108=0,"",IF(COUNTIF(F1108,"Bao"),[1]Setup!$B$4,IF(COUNTIF(F1108,"Soup Dumplings"),[1]Setup!$B$5,F1108)))</f>
        <v/>
      </c>
      <c r="J1108" s="88" t="str">
        <f t="shared" si="179"/>
        <v/>
      </c>
      <c r="K1108" s="88"/>
      <c r="L1108" s="87"/>
      <c r="M1108" s="87"/>
      <c r="N1108" s="87"/>
      <c r="O1108" s="87"/>
      <c r="P1108" s="89" t="str">
        <f t="shared" si="180"/>
        <v/>
      </c>
      <c r="Q1108" s="89" t="str">
        <f t="shared" si="181"/>
        <v/>
      </c>
      <c r="R1108" s="89" t="str">
        <f t="shared" si="182"/>
        <v/>
      </c>
      <c r="S1108" s="88" t="str">
        <f>IF(F1108="Bao",[1]Setup!$B$4,IF(F1108="Soup Dumplings",[1]Setup!$B$5,""))</f>
        <v/>
      </c>
      <c r="T1108" s="88" t="str">
        <f t="shared" si="183"/>
        <v/>
      </c>
      <c r="U1108" s="84" t="str">
        <f t="shared" si="184"/>
        <v/>
      </c>
      <c r="V1108" s="88">
        <f>IF(U1108="",0,MAX(0,T1108)+N1108+ROUND(J1108*[1]Setup!$B$9,0)+IF(O1108&gt;[1]Setup!$B$10,ROUND(J1108*[1]Setup!$B$11,0),0))</f>
        <v>0</v>
      </c>
      <c r="W1108" s="85" t="str">
        <f>IF(L1108="","Open",IF(OR(P1108&lt;[1]Setup!$B$6,Q1108&gt;[1]Setup!$B$7,R1108&gt;[1]Setup!$B$8,O1108&gt;[1]Setup!$B$10),"Review","OK"))</f>
        <v>Open</v>
      </c>
      <c r="X1108" s="86"/>
    </row>
    <row r="1109" spans="1:24" x14ac:dyDescent="0.3">
      <c r="A1109" s="84"/>
      <c r="B1109" s="100">
        <f t="shared" si="186"/>
        <v>0</v>
      </c>
      <c r="C1109" s="84" t="str">
        <f t="shared" si="187"/>
        <v>January</v>
      </c>
      <c r="D1109" s="85" t="str">
        <f t="shared" si="185"/>
        <v/>
      </c>
      <c r="E1109" s="86"/>
      <c r="F1109" s="86"/>
      <c r="G1109" s="86"/>
      <c r="H1109" s="86"/>
      <c r="I1109" s="87" t="str">
        <f>IF(F1109=0,"",IF(COUNTIF(F1109,"Bao"),[1]Setup!$B$4,IF(COUNTIF(F1109,"Soup Dumplings"),[1]Setup!$B$5,F1109)))</f>
        <v/>
      </c>
      <c r="J1109" s="88" t="str">
        <f t="shared" si="179"/>
        <v/>
      </c>
      <c r="K1109" s="88"/>
      <c r="L1109" s="87"/>
      <c r="M1109" s="87"/>
      <c r="N1109" s="87"/>
      <c r="O1109" s="87"/>
      <c r="P1109" s="89" t="str">
        <f t="shared" si="180"/>
        <v/>
      </c>
      <c r="Q1109" s="89" t="str">
        <f t="shared" si="181"/>
        <v/>
      </c>
      <c r="R1109" s="89" t="str">
        <f t="shared" si="182"/>
        <v/>
      </c>
      <c r="S1109" s="88" t="str">
        <f>IF(F1109="Bao",[1]Setup!$B$4,IF(F1109="Soup Dumplings",[1]Setup!$B$5,""))</f>
        <v/>
      </c>
      <c r="T1109" s="88" t="str">
        <f t="shared" si="183"/>
        <v/>
      </c>
      <c r="U1109" s="84" t="str">
        <f t="shared" si="184"/>
        <v/>
      </c>
      <c r="V1109" s="88">
        <f>IF(U1109="",0,MAX(0,T1109)+N1109+ROUND(J1109*[1]Setup!$B$9,0)+IF(O1109&gt;[1]Setup!$B$10,ROUND(J1109*[1]Setup!$B$11,0),0))</f>
        <v>0</v>
      </c>
      <c r="W1109" s="85" t="str">
        <f>IF(L1109="","Open",IF(OR(P1109&lt;[1]Setup!$B$6,Q1109&gt;[1]Setup!$B$7,R1109&gt;[1]Setup!$B$8,O1109&gt;[1]Setup!$B$10),"Review","OK"))</f>
        <v>Open</v>
      </c>
      <c r="X1109" s="86"/>
    </row>
    <row r="1110" spans="1:24" x14ac:dyDescent="0.3">
      <c r="A1110" s="84"/>
      <c r="B1110" s="100">
        <f t="shared" si="186"/>
        <v>0</v>
      </c>
      <c r="C1110" s="84" t="str">
        <f t="shared" si="187"/>
        <v>January</v>
      </c>
      <c r="D1110" s="85" t="str">
        <f t="shared" si="185"/>
        <v/>
      </c>
      <c r="E1110" s="86"/>
      <c r="F1110" s="86"/>
      <c r="G1110" s="86"/>
      <c r="H1110" s="86"/>
      <c r="I1110" s="87" t="str">
        <f>IF(F1110=0,"",IF(COUNTIF(F1110,"Bao"),[1]Setup!$B$4,IF(COUNTIF(F1110,"Soup Dumplings"),[1]Setup!$B$5,F1110)))</f>
        <v/>
      </c>
      <c r="J1110" s="88" t="str">
        <f t="shared" si="179"/>
        <v/>
      </c>
      <c r="K1110" s="88"/>
      <c r="L1110" s="87"/>
      <c r="M1110" s="87"/>
      <c r="N1110" s="87"/>
      <c r="O1110" s="87"/>
      <c r="P1110" s="89" t="str">
        <f t="shared" si="180"/>
        <v/>
      </c>
      <c r="Q1110" s="89" t="str">
        <f t="shared" si="181"/>
        <v/>
      </c>
      <c r="R1110" s="89" t="str">
        <f t="shared" si="182"/>
        <v/>
      </c>
      <c r="S1110" s="88" t="str">
        <f>IF(F1110="Bao",[1]Setup!$B$4,IF(F1110="Soup Dumplings",[1]Setup!$B$5,""))</f>
        <v/>
      </c>
      <c r="T1110" s="88" t="str">
        <f t="shared" si="183"/>
        <v/>
      </c>
      <c r="U1110" s="84" t="str">
        <f t="shared" si="184"/>
        <v/>
      </c>
      <c r="V1110" s="88">
        <f>IF(U1110="",0,MAX(0,T1110)+N1110+ROUND(J1110*[1]Setup!$B$9,0)+IF(O1110&gt;[1]Setup!$B$10,ROUND(J1110*[1]Setup!$B$11,0),0))</f>
        <v>0</v>
      </c>
      <c r="W1110" s="85" t="str">
        <f>IF(L1110="","Open",IF(OR(P1110&lt;[1]Setup!$B$6,Q1110&gt;[1]Setup!$B$7,R1110&gt;[1]Setup!$B$8,O1110&gt;[1]Setup!$B$10),"Review","OK"))</f>
        <v>Open</v>
      </c>
      <c r="X1110" s="86"/>
    </row>
    <row r="1111" spans="1:24" x14ac:dyDescent="0.3">
      <c r="A1111" s="84"/>
      <c r="B1111" s="100">
        <f t="shared" si="186"/>
        <v>0</v>
      </c>
      <c r="C1111" s="84" t="str">
        <f t="shared" si="187"/>
        <v>January</v>
      </c>
      <c r="D1111" s="85" t="str">
        <f t="shared" si="185"/>
        <v/>
      </c>
      <c r="E1111" s="86"/>
      <c r="F1111" s="86"/>
      <c r="G1111" s="86"/>
      <c r="H1111" s="86"/>
      <c r="I1111" s="87" t="str">
        <f>IF(F1111=0,"",IF(COUNTIF(F1111,"Bao"),[1]Setup!$B$4,IF(COUNTIF(F1111,"Soup Dumplings"),[1]Setup!$B$5,F1111)))</f>
        <v/>
      </c>
      <c r="J1111" s="88" t="str">
        <f t="shared" si="179"/>
        <v/>
      </c>
      <c r="K1111" s="88"/>
      <c r="L1111" s="87"/>
      <c r="M1111" s="87"/>
      <c r="N1111" s="87"/>
      <c r="O1111" s="87"/>
      <c r="P1111" s="89" t="str">
        <f t="shared" si="180"/>
        <v/>
      </c>
      <c r="Q1111" s="89" t="str">
        <f t="shared" si="181"/>
        <v/>
      </c>
      <c r="R1111" s="89" t="str">
        <f t="shared" si="182"/>
        <v/>
      </c>
      <c r="S1111" s="88" t="str">
        <f>IF(F1111="Bao",[1]Setup!$B$4,IF(F1111="Soup Dumplings",[1]Setup!$B$5,""))</f>
        <v/>
      </c>
      <c r="T1111" s="88" t="str">
        <f t="shared" si="183"/>
        <v/>
      </c>
      <c r="U1111" s="84" t="str">
        <f t="shared" si="184"/>
        <v/>
      </c>
      <c r="V1111" s="88">
        <f>IF(U1111="",0,MAX(0,T1111)+N1111+ROUND(J1111*[1]Setup!$B$9,0)+IF(O1111&gt;[1]Setup!$B$10,ROUND(J1111*[1]Setup!$B$11,0),0))</f>
        <v>0</v>
      </c>
      <c r="W1111" s="85" t="str">
        <f>IF(L1111="","Open",IF(OR(P1111&lt;[1]Setup!$B$6,Q1111&gt;[1]Setup!$B$7,R1111&gt;[1]Setup!$B$8,O1111&gt;[1]Setup!$B$10),"Review","OK"))</f>
        <v>Open</v>
      </c>
      <c r="X1111" s="86"/>
    </row>
    <row r="1112" spans="1:24" x14ac:dyDescent="0.3">
      <c r="A1112" s="84"/>
      <c r="B1112" s="100">
        <f t="shared" si="186"/>
        <v>0</v>
      </c>
      <c r="C1112" s="84" t="str">
        <f t="shared" si="187"/>
        <v>January</v>
      </c>
      <c r="D1112" s="85" t="str">
        <f t="shared" si="185"/>
        <v/>
      </c>
      <c r="E1112" s="86"/>
      <c r="F1112" s="86"/>
      <c r="G1112" s="86"/>
      <c r="H1112" s="86"/>
      <c r="I1112" s="87" t="str">
        <f>IF(F1112=0,"",IF(COUNTIF(F1112,"Bao"),[1]Setup!$B$4,IF(COUNTIF(F1112,"Soup Dumplings"),[1]Setup!$B$5,F1112)))</f>
        <v/>
      </c>
      <c r="J1112" s="88" t="str">
        <f t="shared" si="179"/>
        <v/>
      </c>
      <c r="K1112" s="88"/>
      <c r="L1112" s="87"/>
      <c r="M1112" s="87"/>
      <c r="N1112" s="87"/>
      <c r="O1112" s="87"/>
      <c r="P1112" s="89" t="str">
        <f t="shared" si="180"/>
        <v/>
      </c>
      <c r="Q1112" s="89" t="str">
        <f t="shared" si="181"/>
        <v/>
      </c>
      <c r="R1112" s="89" t="str">
        <f t="shared" si="182"/>
        <v/>
      </c>
      <c r="S1112" s="88" t="str">
        <f>IF(F1112="Bao",[1]Setup!$B$4,IF(F1112="Soup Dumplings",[1]Setup!$B$5,""))</f>
        <v/>
      </c>
      <c r="T1112" s="88" t="str">
        <f t="shared" si="183"/>
        <v/>
      </c>
      <c r="U1112" s="84" t="str">
        <f t="shared" si="184"/>
        <v/>
      </c>
      <c r="V1112" s="88">
        <f>IF(U1112="",0,MAX(0,T1112)+N1112+ROUND(J1112*[1]Setup!$B$9,0)+IF(O1112&gt;[1]Setup!$B$10,ROUND(J1112*[1]Setup!$B$11,0),0))</f>
        <v>0</v>
      </c>
      <c r="W1112" s="85" t="str">
        <f>IF(L1112="","Open",IF(OR(P1112&lt;[1]Setup!$B$6,Q1112&gt;[1]Setup!$B$7,R1112&gt;[1]Setup!$B$8,O1112&gt;[1]Setup!$B$10),"Review","OK"))</f>
        <v>Open</v>
      </c>
      <c r="X1112" s="86"/>
    </row>
    <row r="1113" spans="1:24" x14ac:dyDescent="0.3">
      <c r="A1113" s="84"/>
      <c r="B1113" s="100">
        <f t="shared" si="186"/>
        <v>0</v>
      </c>
      <c r="C1113" s="84" t="str">
        <f t="shared" si="187"/>
        <v>January</v>
      </c>
      <c r="D1113" s="85" t="str">
        <f t="shared" si="185"/>
        <v/>
      </c>
      <c r="E1113" s="86"/>
      <c r="F1113" s="86"/>
      <c r="G1113" s="86"/>
      <c r="H1113" s="86"/>
      <c r="I1113" s="87" t="str">
        <f>IF(F1113=0,"",IF(COUNTIF(F1113,"Bao"),[1]Setup!$B$4,IF(COUNTIF(F1113,"Soup Dumplings"),[1]Setup!$B$5,F1113)))</f>
        <v/>
      </c>
      <c r="J1113" s="88" t="str">
        <f t="shared" si="179"/>
        <v/>
      </c>
      <c r="K1113" s="88"/>
      <c r="L1113" s="87"/>
      <c r="M1113" s="87"/>
      <c r="N1113" s="87"/>
      <c r="O1113" s="87"/>
      <c r="P1113" s="89" t="str">
        <f t="shared" si="180"/>
        <v/>
      </c>
      <c r="Q1113" s="89" t="str">
        <f t="shared" si="181"/>
        <v/>
      </c>
      <c r="R1113" s="89" t="str">
        <f t="shared" si="182"/>
        <v/>
      </c>
      <c r="S1113" s="88" t="str">
        <f>IF(F1113="Bao",[1]Setup!$B$4,IF(F1113="Soup Dumplings",[1]Setup!$B$5,""))</f>
        <v/>
      </c>
      <c r="T1113" s="88" t="str">
        <f t="shared" si="183"/>
        <v/>
      </c>
      <c r="U1113" s="84" t="str">
        <f t="shared" si="184"/>
        <v/>
      </c>
      <c r="V1113" s="88">
        <f>IF(U1113="",0,MAX(0,T1113)+N1113+ROUND(J1113*[1]Setup!$B$9,0)+IF(O1113&gt;[1]Setup!$B$10,ROUND(J1113*[1]Setup!$B$11,0),0))</f>
        <v>0</v>
      </c>
      <c r="W1113" s="85" t="str">
        <f>IF(L1113="","Open",IF(OR(P1113&lt;[1]Setup!$B$6,Q1113&gt;[1]Setup!$B$7,R1113&gt;[1]Setup!$B$8,O1113&gt;[1]Setup!$B$10),"Review","OK"))</f>
        <v>Open</v>
      </c>
      <c r="X1113" s="86"/>
    </row>
    <row r="1114" spans="1:24" x14ac:dyDescent="0.3">
      <c r="A1114" s="84"/>
      <c r="B1114" s="100">
        <f t="shared" si="186"/>
        <v>0</v>
      </c>
      <c r="C1114" s="84" t="str">
        <f t="shared" si="187"/>
        <v>January</v>
      </c>
      <c r="D1114" s="85" t="str">
        <f t="shared" si="185"/>
        <v/>
      </c>
      <c r="E1114" s="86"/>
      <c r="F1114" s="86"/>
      <c r="G1114" s="86"/>
      <c r="H1114" s="86"/>
      <c r="I1114" s="87" t="str">
        <f>IF(F1114=0,"",IF(COUNTIF(F1114,"Bao"),[1]Setup!$B$4,IF(COUNTIF(F1114,"Soup Dumplings"),[1]Setup!$B$5,F1114)))</f>
        <v/>
      </c>
      <c r="J1114" s="88" t="str">
        <f t="shared" si="179"/>
        <v/>
      </c>
      <c r="K1114" s="88"/>
      <c r="L1114" s="87"/>
      <c r="M1114" s="87"/>
      <c r="N1114" s="87"/>
      <c r="O1114" s="87"/>
      <c r="P1114" s="89" t="str">
        <f t="shared" si="180"/>
        <v/>
      </c>
      <c r="Q1114" s="89" t="str">
        <f t="shared" si="181"/>
        <v/>
      </c>
      <c r="R1114" s="89" t="str">
        <f t="shared" si="182"/>
        <v/>
      </c>
      <c r="S1114" s="88" t="str">
        <f>IF(F1114="Bao",[1]Setup!$B$4,IF(F1114="Soup Dumplings",[1]Setup!$B$5,""))</f>
        <v/>
      </c>
      <c r="T1114" s="88" t="str">
        <f t="shared" si="183"/>
        <v/>
      </c>
      <c r="U1114" s="84" t="str">
        <f t="shared" si="184"/>
        <v/>
      </c>
      <c r="V1114" s="88">
        <f>IF(U1114="",0,MAX(0,T1114)+N1114+ROUND(J1114*[1]Setup!$B$9,0)+IF(O1114&gt;[1]Setup!$B$10,ROUND(J1114*[1]Setup!$B$11,0),0))</f>
        <v>0</v>
      </c>
      <c r="W1114" s="85" t="str">
        <f>IF(L1114="","Open",IF(OR(P1114&lt;[1]Setup!$B$6,Q1114&gt;[1]Setup!$B$7,R1114&gt;[1]Setup!$B$8,O1114&gt;[1]Setup!$B$10),"Review","OK"))</f>
        <v>Open</v>
      </c>
      <c r="X1114" s="86"/>
    </row>
    <row r="1115" spans="1:24" x14ac:dyDescent="0.3">
      <c r="A1115" s="84"/>
      <c r="B1115" s="100">
        <f t="shared" si="186"/>
        <v>0</v>
      </c>
      <c r="C1115" s="84" t="str">
        <f t="shared" si="187"/>
        <v>January</v>
      </c>
      <c r="D1115" s="85" t="str">
        <f t="shared" si="185"/>
        <v/>
      </c>
      <c r="E1115" s="86"/>
      <c r="F1115" s="86"/>
      <c r="G1115" s="86"/>
      <c r="H1115" s="86"/>
      <c r="I1115" s="87" t="str">
        <f>IF(F1115=0,"",IF(COUNTIF(F1115,"Bao"),[1]Setup!$B$4,IF(COUNTIF(F1115,"Soup Dumplings"),[1]Setup!$B$5,F1115)))</f>
        <v/>
      </c>
      <c r="J1115" s="88" t="str">
        <f t="shared" si="179"/>
        <v/>
      </c>
      <c r="K1115" s="88"/>
      <c r="L1115" s="87"/>
      <c r="M1115" s="87"/>
      <c r="N1115" s="87"/>
      <c r="O1115" s="87"/>
      <c r="P1115" s="89" t="str">
        <f t="shared" si="180"/>
        <v/>
      </c>
      <c r="Q1115" s="89" t="str">
        <f t="shared" si="181"/>
        <v/>
      </c>
      <c r="R1115" s="89" t="str">
        <f t="shared" si="182"/>
        <v/>
      </c>
      <c r="S1115" s="88" t="str">
        <f>IF(F1115="Bao",[1]Setup!$B$4,IF(F1115="Soup Dumplings",[1]Setup!$B$5,""))</f>
        <v/>
      </c>
      <c r="T1115" s="88" t="str">
        <f t="shared" si="183"/>
        <v/>
      </c>
      <c r="U1115" s="84" t="str">
        <f t="shared" si="184"/>
        <v/>
      </c>
      <c r="V1115" s="88">
        <f>IF(U1115="",0,MAX(0,T1115)+N1115+ROUND(J1115*[1]Setup!$B$9,0)+IF(O1115&gt;[1]Setup!$B$10,ROUND(J1115*[1]Setup!$B$11,0),0))</f>
        <v>0</v>
      </c>
      <c r="W1115" s="85" t="str">
        <f>IF(L1115="","Open",IF(OR(P1115&lt;[1]Setup!$B$6,Q1115&gt;[1]Setup!$B$7,R1115&gt;[1]Setup!$B$8,O1115&gt;[1]Setup!$B$10),"Review","OK"))</f>
        <v>Open</v>
      </c>
      <c r="X1115" s="86"/>
    </row>
    <row r="1116" spans="1:24" x14ac:dyDescent="0.3">
      <c r="A1116" s="84"/>
      <c r="B1116" s="100">
        <f t="shared" si="186"/>
        <v>0</v>
      </c>
      <c r="C1116" s="84" t="str">
        <f t="shared" si="187"/>
        <v>January</v>
      </c>
      <c r="D1116" s="85" t="str">
        <f t="shared" si="185"/>
        <v/>
      </c>
      <c r="E1116" s="86"/>
      <c r="F1116" s="86"/>
      <c r="G1116" s="86"/>
      <c r="H1116" s="86"/>
      <c r="I1116" s="87" t="str">
        <f>IF(F1116=0,"",IF(COUNTIF(F1116,"Bao"),[1]Setup!$B$4,IF(COUNTIF(F1116,"Soup Dumplings"),[1]Setup!$B$5,F1116)))</f>
        <v/>
      </c>
      <c r="J1116" s="88" t="str">
        <f t="shared" si="179"/>
        <v/>
      </c>
      <c r="K1116" s="88"/>
      <c r="L1116" s="87"/>
      <c r="M1116" s="87"/>
      <c r="N1116" s="87"/>
      <c r="O1116" s="87"/>
      <c r="P1116" s="89" t="str">
        <f t="shared" si="180"/>
        <v/>
      </c>
      <c r="Q1116" s="89" t="str">
        <f t="shared" si="181"/>
        <v/>
      </c>
      <c r="R1116" s="89" t="str">
        <f t="shared" si="182"/>
        <v/>
      </c>
      <c r="S1116" s="88" t="str">
        <f>IF(F1116="Bao",[1]Setup!$B$4,IF(F1116="Soup Dumplings",[1]Setup!$B$5,""))</f>
        <v/>
      </c>
      <c r="T1116" s="88" t="str">
        <f t="shared" si="183"/>
        <v/>
      </c>
      <c r="U1116" s="84" t="str">
        <f t="shared" si="184"/>
        <v/>
      </c>
      <c r="V1116" s="88">
        <f>IF(U1116="",0,MAX(0,T1116)+N1116+ROUND(J1116*[1]Setup!$B$9,0)+IF(O1116&gt;[1]Setup!$B$10,ROUND(J1116*[1]Setup!$B$11,0),0))</f>
        <v>0</v>
      </c>
      <c r="W1116" s="85" t="str">
        <f>IF(L1116="","Open",IF(OR(P1116&lt;[1]Setup!$B$6,Q1116&gt;[1]Setup!$B$7,R1116&gt;[1]Setup!$B$8,O1116&gt;[1]Setup!$B$10),"Review","OK"))</f>
        <v>Open</v>
      </c>
      <c r="X1116" s="86"/>
    </row>
    <row r="1117" spans="1:24" x14ac:dyDescent="0.3">
      <c r="A1117" s="84"/>
      <c r="B1117" s="100">
        <f t="shared" si="186"/>
        <v>0</v>
      </c>
      <c r="C1117" s="84" t="str">
        <f t="shared" si="187"/>
        <v>January</v>
      </c>
      <c r="D1117" s="85" t="str">
        <f t="shared" si="185"/>
        <v/>
      </c>
      <c r="E1117" s="86"/>
      <c r="F1117" s="86"/>
      <c r="G1117" s="86"/>
      <c r="H1117" s="86"/>
      <c r="I1117" s="87" t="str">
        <f>IF(F1117=0,"",IF(COUNTIF(F1117,"Bao"),[1]Setup!$B$4,IF(COUNTIF(F1117,"Soup Dumplings"),[1]Setup!$B$5,F1117)))</f>
        <v/>
      </c>
      <c r="J1117" s="88" t="str">
        <f t="shared" si="179"/>
        <v/>
      </c>
      <c r="K1117" s="88"/>
      <c r="L1117" s="87"/>
      <c r="M1117" s="87"/>
      <c r="N1117" s="87"/>
      <c r="O1117" s="87"/>
      <c r="P1117" s="89" t="str">
        <f t="shared" si="180"/>
        <v/>
      </c>
      <c r="Q1117" s="89" t="str">
        <f t="shared" si="181"/>
        <v/>
      </c>
      <c r="R1117" s="89" t="str">
        <f t="shared" si="182"/>
        <v/>
      </c>
      <c r="S1117" s="88" t="str">
        <f>IF(F1117="Bao",[1]Setup!$B$4,IF(F1117="Soup Dumplings",[1]Setup!$B$5,""))</f>
        <v/>
      </c>
      <c r="T1117" s="88" t="str">
        <f t="shared" si="183"/>
        <v/>
      </c>
      <c r="U1117" s="84" t="str">
        <f t="shared" si="184"/>
        <v/>
      </c>
      <c r="V1117" s="88">
        <f>IF(U1117="",0,MAX(0,T1117)+N1117+ROUND(J1117*[1]Setup!$B$9,0)+IF(O1117&gt;[1]Setup!$B$10,ROUND(J1117*[1]Setup!$B$11,0),0))</f>
        <v>0</v>
      </c>
      <c r="W1117" s="85" t="str">
        <f>IF(L1117="","Open",IF(OR(P1117&lt;[1]Setup!$B$6,Q1117&gt;[1]Setup!$B$7,R1117&gt;[1]Setup!$B$8,O1117&gt;[1]Setup!$B$10),"Review","OK"))</f>
        <v>Open</v>
      </c>
      <c r="X1117" s="86"/>
    </row>
    <row r="1118" spans="1:24" x14ac:dyDescent="0.3">
      <c r="A1118" s="84"/>
      <c r="B1118" s="100">
        <f t="shared" si="186"/>
        <v>0</v>
      </c>
      <c r="C1118" s="84" t="str">
        <f t="shared" si="187"/>
        <v>January</v>
      </c>
      <c r="D1118" s="85" t="str">
        <f t="shared" si="185"/>
        <v/>
      </c>
      <c r="E1118" s="86"/>
      <c r="F1118" s="86"/>
      <c r="G1118" s="86"/>
      <c r="H1118" s="86"/>
      <c r="I1118" s="87" t="str">
        <f>IF(F1118=0,"",IF(COUNTIF(F1118,"Bao"),[1]Setup!$B$4,IF(COUNTIF(F1118,"Soup Dumplings"),[1]Setup!$B$5,F1118)))</f>
        <v/>
      </c>
      <c r="J1118" s="88" t="str">
        <f t="shared" si="179"/>
        <v/>
      </c>
      <c r="K1118" s="88"/>
      <c r="L1118" s="87"/>
      <c r="M1118" s="87"/>
      <c r="N1118" s="87"/>
      <c r="O1118" s="87"/>
      <c r="P1118" s="89" t="str">
        <f t="shared" si="180"/>
        <v/>
      </c>
      <c r="Q1118" s="89" t="str">
        <f t="shared" si="181"/>
        <v/>
      </c>
      <c r="R1118" s="89" t="str">
        <f t="shared" si="182"/>
        <v/>
      </c>
      <c r="S1118" s="88" t="str">
        <f>IF(F1118="Bao",[1]Setup!$B$4,IF(F1118="Soup Dumplings",[1]Setup!$B$5,""))</f>
        <v/>
      </c>
      <c r="T1118" s="88" t="str">
        <f t="shared" si="183"/>
        <v/>
      </c>
      <c r="U1118" s="84" t="str">
        <f t="shared" si="184"/>
        <v/>
      </c>
      <c r="V1118" s="88">
        <f>IF(U1118="",0,MAX(0,T1118)+N1118+ROUND(J1118*[1]Setup!$B$9,0)+IF(O1118&gt;[1]Setup!$B$10,ROUND(J1118*[1]Setup!$B$11,0),0))</f>
        <v>0</v>
      </c>
      <c r="W1118" s="85" t="str">
        <f>IF(L1118="","Open",IF(OR(P1118&lt;[1]Setup!$B$6,Q1118&gt;[1]Setup!$B$7,R1118&gt;[1]Setup!$B$8,O1118&gt;[1]Setup!$B$10),"Review","OK"))</f>
        <v>Open</v>
      </c>
      <c r="X1118" s="86"/>
    </row>
    <row r="1119" spans="1:24" x14ac:dyDescent="0.3">
      <c r="A1119" s="84"/>
      <c r="B1119" s="100">
        <f t="shared" si="186"/>
        <v>0</v>
      </c>
      <c r="C1119" s="84" t="str">
        <f t="shared" si="187"/>
        <v>January</v>
      </c>
      <c r="D1119" s="85" t="str">
        <f t="shared" si="185"/>
        <v/>
      </c>
      <c r="E1119" s="86"/>
      <c r="F1119" s="86"/>
      <c r="G1119" s="86"/>
      <c r="H1119" s="86"/>
      <c r="I1119" s="87" t="str">
        <f>IF(F1119=0,"",IF(COUNTIF(F1119,"Bao"),[1]Setup!$B$4,IF(COUNTIF(F1119,"Soup Dumplings"),[1]Setup!$B$5,F1119)))</f>
        <v/>
      </c>
      <c r="J1119" s="88" t="str">
        <f t="shared" si="179"/>
        <v/>
      </c>
      <c r="K1119" s="88"/>
      <c r="L1119" s="87"/>
      <c r="M1119" s="87"/>
      <c r="N1119" s="87"/>
      <c r="O1119" s="87"/>
      <c r="P1119" s="89" t="str">
        <f t="shared" si="180"/>
        <v/>
      </c>
      <c r="Q1119" s="89" t="str">
        <f t="shared" si="181"/>
        <v/>
      </c>
      <c r="R1119" s="89" t="str">
        <f t="shared" si="182"/>
        <v/>
      </c>
      <c r="S1119" s="88" t="str">
        <f>IF(F1119="Bao",[1]Setup!$B$4,IF(F1119="Soup Dumplings",[1]Setup!$B$5,""))</f>
        <v/>
      </c>
      <c r="T1119" s="88" t="str">
        <f t="shared" si="183"/>
        <v/>
      </c>
      <c r="U1119" s="84" t="str">
        <f t="shared" si="184"/>
        <v/>
      </c>
      <c r="V1119" s="88">
        <f>IF(U1119="",0,MAX(0,T1119)+N1119+ROUND(J1119*[1]Setup!$B$9,0)+IF(O1119&gt;[1]Setup!$B$10,ROUND(J1119*[1]Setup!$B$11,0),0))</f>
        <v>0</v>
      </c>
      <c r="W1119" s="85" t="str">
        <f>IF(L1119="","Open",IF(OR(P1119&lt;[1]Setup!$B$6,Q1119&gt;[1]Setup!$B$7,R1119&gt;[1]Setup!$B$8,O1119&gt;[1]Setup!$B$10),"Review","OK"))</f>
        <v>Open</v>
      </c>
      <c r="X1119" s="86"/>
    </row>
    <row r="1120" spans="1:24" x14ac:dyDescent="0.3">
      <c r="A1120" s="84"/>
      <c r="B1120" s="100">
        <f t="shared" si="186"/>
        <v>0</v>
      </c>
      <c r="C1120" s="84" t="str">
        <f t="shared" si="187"/>
        <v>January</v>
      </c>
      <c r="D1120" s="85" t="str">
        <f t="shared" si="185"/>
        <v/>
      </c>
      <c r="E1120" s="86"/>
      <c r="F1120" s="86"/>
      <c r="G1120" s="86"/>
      <c r="H1120" s="86"/>
      <c r="I1120" s="87" t="str">
        <f>IF(F1120=0,"",IF(COUNTIF(F1120,"Bao"),[1]Setup!$B$4,IF(COUNTIF(F1120,"Soup Dumplings"),[1]Setup!$B$5,F1120)))</f>
        <v/>
      </c>
      <c r="J1120" s="88" t="str">
        <f t="shared" si="179"/>
        <v/>
      </c>
      <c r="K1120" s="88"/>
      <c r="L1120" s="87"/>
      <c r="M1120" s="87"/>
      <c r="N1120" s="87"/>
      <c r="O1120" s="87"/>
      <c r="P1120" s="89" t="str">
        <f t="shared" si="180"/>
        <v/>
      </c>
      <c r="Q1120" s="89" t="str">
        <f t="shared" si="181"/>
        <v/>
      </c>
      <c r="R1120" s="89" t="str">
        <f t="shared" si="182"/>
        <v/>
      </c>
      <c r="S1120" s="88" t="str">
        <f>IF(F1120="Bao",[1]Setup!$B$4,IF(F1120="Soup Dumplings",[1]Setup!$B$5,""))</f>
        <v/>
      </c>
      <c r="T1120" s="88" t="str">
        <f t="shared" si="183"/>
        <v/>
      </c>
      <c r="U1120" s="84" t="str">
        <f t="shared" si="184"/>
        <v/>
      </c>
      <c r="V1120" s="88">
        <f>IF(U1120="",0,MAX(0,T1120)+N1120+ROUND(J1120*[1]Setup!$B$9,0)+IF(O1120&gt;[1]Setup!$B$10,ROUND(J1120*[1]Setup!$B$11,0),0))</f>
        <v>0</v>
      </c>
      <c r="W1120" s="85" t="str">
        <f>IF(L1120="","Open",IF(OR(P1120&lt;[1]Setup!$B$6,Q1120&gt;[1]Setup!$B$7,R1120&gt;[1]Setup!$B$8,O1120&gt;[1]Setup!$B$10),"Review","OK"))</f>
        <v>Open</v>
      </c>
      <c r="X1120" s="86"/>
    </row>
    <row r="1121" spans="1:24" x14ac:dyDescent="0.3">
      <c r="A1121" s="84"/>
      <c r="B1121" s="100">
        <f t="shared" si="186"/>
        <v>0</v>
      </c>
      <c r="C1121" s="84" t="str">
        <f t="shared" si="187"/>
        <v>January</v>
      </c>
      <c r="D1121" s="85" t="str">
        <f t="shared" si="185"/>
        <v/>
      </c>
      <c r="E1121" s="86"/>
      <c r="F1121" s="86"/>
      <c r="G1121" s="86"/>
      <c r="H1121" s="86"/>
      <c r="I1121" s="87" t="str">
        <f>IF(F1121=0,"",IF(COUNTIF(F1121,"Bao"),[1]Setup!$B$4,IF(COUNTIF(F1121,"Soup Dumplings"),[1]Setup!$B$5,F1121)))</f>
        <v/>
      </c>
      <c r="J1121" s="88" t="str">
        <f t="shared" si="179"/>
        <v/>
      </c>
      <c r="K1121" s="88"/>
      <c r="L1121" s="87"/>
      <c r="M1121" s="87"/>
      <c r="N1121" s="87"/>
      <c r="O1121" s="87"/>
      <c r="P1121" s="89" t="str">
        <f t="shared" si="180"/>
        <v/>
      </c>
      <c r="Q1121" s="89" t="str">
        <f t="shared" si="181"/>
        <v/>
      </c>
      <c r="R1121" s="89" t="str">
        <f t="shared" si="182"/>
        <v/>
      </c>
      <c r="S1121" s="88" t="str">
        <f>IF(F1121="Bao",[1]Setup!$B$4,IF(F1121="Soup Dumplings",[1]Setup!$B$5,""))</f>
        <v/>
      </c>
      <c r="T1121" s="88" t="str">
        <f t="shared" si="183"/>
        <v/>
      </c>
      <c r="U1121" s="84" t="str">
        <f t="shared" si="184"/>
        <v/>
      </c>
      <c r="V1121" s="88">
        <f>IF(U1121="",0,MAX(0,T1121)+N1121+ROUND(J1121*[1]Setup!$B$9,0)+IF(O1121&gt;[1]Setup!$B$10,ROUND(J1121*[1]Setup!$B$11,0),0))</f>
        <v>0</v>
      </c>
      <c r="W1121" s="85" t="str">
        <f>IF(L1121="","Open",IF(OR(P1121&lt;[1]Setup!$B$6,Q1121&gt;[1]Setup!$B$7,R1121&gt;[1]Setup!$B$8,O1121&gt;[1]Setup!$B$10),"Review","OK"))</f>
        <v>Open</v>
      </c>
      <c r="X1121" s="86"/>
    </row>
    <row r="1122" spans="1:24" x14ac:dyDescent="0.3">
      <c r="A1122" s="84"/>
      <c r="B1122" s="100">
        <f t="shared" si="186"/>
        <v>0</v>
      </c>
      <c r="C1122" s="84" t="str">
        <f t="shared" si="187"/>
        <v>January</v>
      </c>
      <c r="D1122" s="85" t="str">
        <f t="shared" si="185"/>
        <v/>
      </c>
      <c r="E1122" s="86"/>
      <c r="F1122" s="86"/>
      <c r="G1122" s="86"/>
      <c r="H1122" s="86"/>
      <c r="I1122" s="87" t="str">
        <f>IF(F1122=0,"",IF(COUNTIF(F1122,"Bao"),[1]Setup!$B$4,IF(COUNTIF(F1122,"Soup Dumplings"),[1]Setup!$B$5,F1122)))</f>
        <v/>
      </c>
      <c r="J1122" s="88" t="str">
        <f t="shared" si="179"/>
        <v/>
      </c>
      <c r="K1122" s="88"/>
      <c r="L1122" s="87"/>
      <c r="M1122" s="87"/>
      <c r="N1122" s="87"/>
      <c r="O1122" s="87"/>
      <c r="P1122" s="89" t="str">
        <f t="shared" si="180"/>
        <v/>
      </c>
      <c r="Q1122" s="89" t="str">
        <f t="shared" si="181"/>
        <v/>
      </c>
      <c r="R1122" s="89" t="str">
        <f t="shared" si="182"/>
        <v/>
      </c>
      <c r="S1122" s="88" t="str">
        <f>IF(F1122="Bao",[1]Setup!$B$4,IF(F1122="Soup Dumplings",[1]Setup!$B$5,""))</f>
        <v/>
      </c>
      <c r="T1122" s="88" t="str">
        <f t="shared" si="183"/>
        <v/>
      </c>
      <c r="U1122" s="84" t="str">
        <f t="shared" si="184"/>
        <v/>
      </c>
      <c r="V1122" s="88">
        <f>IF(U1122="",0,MAX(0,T1122)+N1122+ROUND(J1122*[1]Setup!$B$9,0)+IF(O1122&gt;[1]Setup!$B$10,ROUND(J1122*[1]Setup!$B$11,0),0))</f>
        <v>0</v>
      </c>
      <c r="W1122" s="85" t="str">
        <f>IF(L1122="","Open",IF(OR(P1122&lt;[1]Setup!$B$6,Q1122&gt;[1]Setup!$B$7,R1122&gt;[1]Setup!$B$8,O1122&gt;[1]Setup!$B$10),"Review","OK"))</f>
        <v>Open</v>
      </c>
      <c r="X1122" s="86"/>
    </row>
    <row r="1123" spans="1:24" x14ac:dyDescent="0.3">
      <c r="A1123" s="84"/>
      <c r="B1123" s="100">
        <f t="shared" si="186"/>
        <v>0</v>
      </c>
      <c r="C1123" s="84" t="str">
        <f t="shared" si="187"/>
        <v>January</v>
      </c>
      <c r="D1123" s="85" t="str">
        <f t="shared" si="185"/>
        <v/>
      </c>
      <c r="E1123" s="86"/>
      <c r="F1123" s="86"/>
      <c r="G1123" s="86"/>
      <c r="H1123" s="86"/>
      <c r="I1123" s="87" t="str">
        <f>IF(F1123=0,"",IF(COUNTIF(F1123,"Bao"),[1]Setup!$B$4,IF(COUNTIF(F1123,"Soup Dumplings"),[1]Setup!$B$5,F1123)))</f>
        <v/>
      </c>
      <c r="J1123" s="88" t="str">
        <f t="shared" si="179"/>
        <v/>
      </c>
      <c r="K1123" s="88"/>
      <c r="L1123" s="87"/>
      <c r="M1123" s="87"/>
      <c r="N1123" s="87"/>
      <c r="O1123" s="87"/>
      <c r="P1123" s="89" t="str">
        <f t="shared" si="180"/>
        <v/>
      </c>
      <c r="Q1123" s="89" t="str">
        <f t="shared" si="181"/>
        <v/>
      </c>
      <c r="R1123" s="89" t="str">
        <f t="shared" si="182"/>
        <v/>
      </c>
      <c r="S1123" s="88" t="str">
        <f>IF(F1123="Bao",[1]Setup!$B$4,IF(F1123="Soup Dumplings",[1]Setup!$B$5,""))</f>
        <v/>
      </c>
      <c r="T1123" s="88" t="str">
        <f t="shared" si="183"/>
        <v/>
      </c>
      <c r="U1123" s="84" t="str">
        <f t="shared" si="184"/>
        <v/>
      </c>
      <c r="V1123" s="88">
        <f>IF(U1123="",0,MAX(0,T1123)+N1123+ROUND(J1123*[1]Setup!$B$9,0)+IF(O1123&gt;[1]Setup!$B$10,ROUND(J1123*[1]Setup!$B$11,0),0))</f>
        <v>0</v>
      </c>
      <c r="W1123" s="85" t="str">
        <f>IF(L1123="","Open",IF(OR(P1123&lt;[1]Setup!$B$6,Q1123&gt;[1]Setup!$B$7,R1123&gt;[1]Setup!$B$8,O1123&gt;[1]Setup!$B$10),"Review","OK"))</f>
        <v>Open</v>
      </c>
      <c r="X1123" s="86"/>
    </row>
    <row r="1124" spans="1:24" x14ac:dyDescent="0.3">
      <c r="A1124" s="84"/>
      <c r="B1124" s="100">
        <f t="shared" si="186"/>
        <v>0</v>
      </c>
      <c r="C1124" s="84" t="str">
        <f t="shared" si="187"/>
        <v>January</v>
      </c>
      <c r="D1124" s="85" t="str">
        <f t="shared" si="185"/>
        <v/>
      </c>
      <c r="E1124" s="86"/>
      <c r="F1124" s="86"/>
      <c r="G1124" s="86"/>
      <c r="H1124" s="86"/>
      <c r="I1124" s="87" t="str">
        <f>IF(F1124=0,"",IF(COUNTIF(F1124,"Bao"),[1]Setup!$B$4,IF(COUNTIF(F1124,"Soup Dumplings"),[1]Setup!$B$5,F1124)))</f>
        <v/>
      </c>
      <c r="J1124" s="88" t="str">
        <f t="shared" si="179"/>
        <v/>
      </c>
      <c r="K1124" s="88"/>
      <c r="L1124" s="87"/>
      <c r="M1124" s="87"/>
      <c r="N1124" s="87"/>
      <c r="O1124" s="87"/>
      <c r="P1124" s="89" t="str">
        <f t="shared" si="180"/>
        <v/>
      </c>
      <c r="Q1124" s="89" t="str">
        <f t="shared" si="181"/>
        <v/>
      </c>
      <c r="R1124" s="89" t="str">
        <f t="shared" si="182"/>
        <v/>
      </c>
      <c r="S1124" s="88" t="str">
        <f>IF(F1124="Bao",[1]Setup!$B$4,IF(F1124="Soup Dumplings",[1]Setup!$B$5,""))</f>
        <v/>
      </c>
      <c r="T1124" s="88" t="str">
        <f t="shared" si="183"/>
        <v/>
      </c>
      <c r="U1124" s="84" t="str">
        <f t="shared" si="184"/>
        <v/>
      </c>
      <c r="V1124" s="88">
        <f>IF(U1124="",0,MAX(0,T1124)+N1124+ROUND(J1124*[1]Setup!$B$9,0)+IF(O1124&gt;[1]Setup!$B$10,ROUND(J1124*[1]Setup!$B$11,0),0))</f>
        <v>0</v>
      </c>
      <c r="W1124" s="85" t="str">
        <f>IF(L1124="","Open",IF(OR(P1124&lt;[1]Setup!$B$6,Q1124&gt;[1]Setup!$B$7,R1124&gt;[1]Setup!$B$8,O1124&gt;[1]Setup!$B$10),"Review","OK"))</f>
        <v>Open</v>
      </c>
      <c r="X1124" s="86"/>
    </row>
    <row r="1125" spans="1:24" x14ac:dyDescent="0.3">
      <c r="A1125" s="84"/>
      <c r="B1125" s="100">
        <f t="shared" si="186"/>
        <v>0</v>
      </c>
      <c r="C1125" s="84" t="str">
        <f t="shared" si="187"/>
        <v>January</v>
      </c>
      <c r="D1125" s="85" t="str">
        <f t="shared" si="185"/>
        <v/>
      </c>
      <c r="E1125" s="86"/>
      <c r="F1125" s="86"/>
      <c r="G1125" s="86"/>
      <c r="H1125" s="86"/>
      <c r="I1125" s="87" t="str">
        <f>IF(F1125=0,"",IF(COUNTIF(F1125,"Bao"),[1]Setup!$B$4,IF(COUNTIF(F1125,"Soup Dumplings"),[1]Setup!$B$5,F1125)))</f>
        <v/>
      </c>
      <c r="J1125" s="88" t="str">
        <f t="shared" si="179"/>
        <v/>
      </c>
      <c r="K1125" s="88"/>
      <c r="L1125" s="87"/>
      <c r="M1125" s="87"/>
      <c r="N1125" s="87"/>
      <c r="O1125" s="87"/>
      <c r="P1125" s="89" t="str">
        <f t="shared" si="180"/>
        <v/>
      </c>
      <c r="Q1125" s="89" t="str">
        <f t="shared" si="181"/>
        <v/>
      </c>
      <c r="R1125" s="89" t="str">
        <f t="shared" si="182"/>
        <v/>
      </c>
      <c r="S1125" s="88" t="str">
        <f>IF(F1125="Bao",[1]Setup!$B$4,IF(F1125="Soup Dumplings",[1]Setup!$B$5,""))</f>
        <v/>
      </c>
      <c r="T1125" s="88" t="str">
        <f t="shared" si="183"/>
        <v/>
      </c>
      <c r="U1125" s="84" t="str">
        <f t="shared" si="184"/>
        <v/>
      </c>
      <c r="V1125" s="88">
        <f>IF(U1125="",0,MAX(0,T1125)+N1125+ROUND(J1125*[1]Setup!$B$9,0)+IF(O1125&gt;[1]Setup!$B$10,ROUND(J1125*[1]Setup!$B$11,0),0))</f>
        <v>0</v>
      </c>
      <c r="W1125" s="85" t="str">
        <f>IF(L1125="","Open",IF(OR(P1125&lt;[1]Setup!$B$6,Q1125&gt;[1]Setup!$B$7,R1125&gt;[1]Setup!$B$8,O1125&gt;[1]Setup!$B$10),"Review","OK"))</f>
        <v>Open</v>
      </c>
      <c r="X1125" s="86"/>
    </row>
    <row r="1126" spans="1:24" x14ac:dyDescent="0.3">
      <c r="A1126" s="84"/>
      <c r="B1126" s="100">
        <f t="shared" si="186"/>
        <v>0</v>
      </c>
      <c r="C1126" s="84" t="str">
        <f t="shared" si="187"/>
        <v>January</v>
      </c>
      <c r="D1126" s="85" t="str">
        <f t="shared" si="185"/>
        <v/>
      </c>
      <c r="E1126" s="86"/>
      <c r="F1126" s="86"/>
      <c r="G1126" s="86"/>
      <c r="H1126" s="86"/>
      <c r="I1126" s="87" t="str">
        <f>IF(F1126=0,"",IF(COUNTIF(F1126,"Bao"),[1]Setup!$B$4,IF(COUNTIF(F1126,"Soup Dumplings"),[1]Setup!$B$5,F1126)))</f>
        <v/>
      </c>
      <c r="J1126" s="88" t="str">
        <f t="shared" si="179"/>
        <v/>
      </c>
      <c r="K1126" s="88"/>
      <c r="L1126" s="87"/>
      <c r="M1126" s="87"/>
      <c r="N1126" s="87"/>
      <c r="O1126" s="87"/>
      <c r="P1126" s="89" t="str">
        <f t="shared" si="180"/>
        <v/>
      </c>
      <c r="Q1126" s="89" t="str">
        <f t="shared" si="181"/>
        <v/>
      </c>
      <c r="R1126" s="89" t="str">
        <f t="shared" si="182"/>
        <v/>
      </c>
      <c r="S1126" s="88" t="str">
        <f>IF(F1126="Bao",[1]Setup!$B$4,IF(F1126="Soup Dumplings",[1]Setup!$B$5,""))</f>
        <v/>
      </c>
      <c r="T1126" s="88" t="str">
        <f t="shared" si="183"/>
        <v/>
      </c>
      <c r="U1126" s="84" t="str">
        <f t="shared" si="184"/>
        <v/>
      </c>
      <c r="V1126" s="88">
        <f>IF(U1126="",0,MAX(0,T1126)+N1126+ROUND(J1126*[1]Setup!$B$9,0)+IF(O1126&gt;[1]Setup!$B$10,ROUND(J1126*[1]Setup!$B$11,0),0))</f>
        <v>0</v>
      </c>
      <c r="W1126" s="85" t="str">
        <f>IF(L1126="","Open",IF(OR(P1126&lt;[1]Setup!$B$6,Q1126&gt;[1]Setup!$B$7,R1126&gt;[1]Setup!$B$8,O1126&gt;[1]Setup!$B$10),"Review","OK"))</f>
        <v>Open</v>
      </c>
      <c r="X1126" s="86"/>
    </row>
    <row r="1127" spans="1:24" x14ac:dyDescent="0.3">
      <c r="A1127" s="84"/>
      <c r="B1127" s="100">
        <f t="shared" si="186"/>
        <v>0</v>
      </c>
      <c r="C1127" s="84" t="str">
        <f t="shared" si="187"/>
        <v>January</v>
      </c>
      <c r="D1127" s="85" t="str">
        <f t="shared" si="185"/>
        <v/>
      </c>
      <c r="E1127" s="86"/>
      <c r="F1127" s="86"/>
      <c r="G1127" s="86"/>
      <c r="H1127" s="86"/>
      <c r="I1127" s="87" t="str">
        <f>IF(F1127=0,"",IF(COUNTIF(F1127,"Bao"),[1]Setup!$B$4,IF(COUNTIF(F1127,"Soup Dumplings"),[1]Setup!$B$5,F1127)))</f>
        <v/>
      </c>
      <c r="J1127" s="88" t="str">
        <f t="shared" si="179"/>
        <v/>
      </c>
      <c r="K1127" s="88"/>
      <c r="L1127" s="87"/>
      <c r="M1127" s="87"/>
      <c r="N1127" s="87"/>
      <c r="O1127" s="87"/>
      <c r="P1127" s="89" t="str">
        <f t="shared" si="180"/>
        <v/>
      </c>
      <c r="Q1127" s="89" t="str">
        <f t="shared" si="181"/>
        <v/>
      </c>
      <c r="R1127" s="89" t="str">
        <f t="shared" si="182"/>
        <v/>
      </c>
      <c r="S1127" s="88" t="str">
        <f>IF(F1127="Bao",[1]Setup!$B$4,IF(F1127="Soup Dumplings",[1]Setup!$B$5,""))</f>
        <v/>
      </c>
      <c r="T1127" s="88" t="str">
        <f t="shared" si="183"/>
        <v/>
      </c>
      <c r="U1127" s="84" t="str">
        <f t="shared" si="184"/>
        <v/>
      </c>
      <c r="V1127" s="88">
        <f>IF(U1127="",0,MAX(0,T1127)+N1127+ROUND(J1127*[1]Setup!$B$9,0)+IF(O1127&gt;[1]Setup!$B$10,ROUND(J1127*[1]Setup!$B$11,0),0))</f>
        <v>0</v>
      </c>
      <c r="W1127" s="85" t="str">
        <f>IF(L1127="","Open",IF(OR(P1127&lt;[1]Setup!$B$6,Q1127&gt;[1]Setup!$B$7,R1127&gt;[1]Setup!$B$8,O1127&gt;[1]Setup!$B$10),"Review","OK"))</f>
        <v>Open</v>
      </c>
      <c r="X1127" s="86"/>
    </row>
    <row r="1128" spans="1:24" x14ac:dyDescent="0.3">
      <c r="A1128" s="84"/>
      <c r="B1128" s="100">
        <f t="shared" si="186"/>
        <v>0</v>
      </c>
      <c r="C1128" s="84" t="str">
        <f t="shared" si="187"/>
        <v>January</v>
      </c>
      <c r="D1128" s="85" t="str">
        <f t="shared" si="185"/>
        <v/>
      </c>
      <c r="E1128" s="86"/>
      <c r="F1128" s="86"/>
      <c r="G1128" s="86"/>
      <c r="H1128" s="86"/>
      <c r="I1128" s="87" t="str">
        <f>IF(F1128=0,"",IF(COUNTIF(F1128,"Bao"),[1]Setup!$B$4,IF(COUNTIF(F1128,"Soup Dumplings"),[1]Setup!$B$5,F1128)))</f>
        <v/>
      </c>
      <c r="J1128" s="88" t="str">
        <f t="shared" si="179"/>
        <v/>
      </c>
      <c r="K1128" s="88"/>
      <c r="L1128" s="87"/>
      <c r="M1128" s="87"/>
      <c r="N1128" s="87"/>
      <c r="O1128" s="87"/>
      <c r="P1128" s="89" t="str">
        <f t="shared" si="180"/>
        <v/>
      </c>
      <c r="Q1128" s="89" t="str">
        <f t="shared" si="181"/>
        <v/>
      </c>
      <c r="R1128" s="89" t="str">
        <f t="shared" si="182"/>
        <v/>
      </c>
      <c r="S1128" s="88" t="str">
        <f>IF(F1128="Bao",[1]Setup!$B$4,IF(F1128="Soup Dumplings",[1]Setup!$B$5,""))</f>
        <v/>
      </c>
      <c r="T1128" s="88" t="str">
        <f t="shared" si="183"/>
        <v/>
      </c>
      <c r="U1128" s="84" t="str">
        <f t="shared" si="184"/>
        <v/>
      </c>
      <c r="V1128" s="88">
        <f>IF(U1128="",0,MAX(0,T1128)+N1128+ROUND(J1128*[1]Setup!$B$9,0)+IF(O1128&gt;[1]Setup!$B$10,ROUND(J1128*[1]Setup!$B$11,0),0))</f>
        <v>0</v>
      </c>
      <c r="W1128" s="85" t="str">
        <f>IF(L1128="","Open",IF(OR(P1128&lt;[1]Setup!$B$6,Q1128&gt;[1]Setup!$B$7,R1128&gt;[1]Setup!$B$8,O1128&gt;[1]Setup!$B$10),"Review","OK"))</f>
        <v>Open</v>
      </c>
      <c r="X1128" s="86"/>
    </row>
    <row r="1129" spans="1:24" x14ac:dyDescent="0.3">
      <c r="A1129" s="84"/>
      <c r="B1129" s="100">
        <f t="shared" si="186"/>
        <v>0</v>
      </c>
      <c r="C1129" s="84" t="str">
        <f t="shared" si="187"/>
        <v>January</v>
      </c>
      <c r="D1129" s="85" t="str">
        <f t="shared" si="185"/>
        <v/>
      </c>
      <c r="E1129" s="86"/>
      <c r="F1129" s="86"/>
      <c r="G1129" s="86"/>
      <c r="H1129" s="86"/>
      <c r="I1129" s="87" t="str">
        <f>IF(F1129=0,"",IF(COUNTIF(F1129,"Bao"),[1]Setup!$B$4,IF(COUNTIF(F1129,"Soup Dumplings"),[1]Setup!$B$5,F1129)))</f>
        <v/>
      </c>
      <c r="J1129" s="88" t="str">
        <f t="shared" si="179"/>
        <v/>
      </c>
      <c r="K1129" s="88"/>
      <c r="L1129" s="87"/>
      <c r="M1129" s="87"/>
      <c r="N1129" s="87"/>
      <c r="O1129" s="87"/>
      <c r="P1129" s="89" t="str">
        <f t="shared" si="180"/>
        <v/>
      </c>
      <c r="Q1129" s="89" t="str">
        <f t="shared" si="181"/>
        <v/>
      </c>
      <c r="R1129" s="89" t="str">
        <f t="shared" si="182"/>
        <v/>
      </c>
      <c r="S1129" s="88" t="str">
        <f>IF(F1129="Bao",[1]Setup!$B$4,IF(F1129="Soup Dumplings",[1]Setup!$B$5,""))</f>
        <v/>
      </c>
      <c r="T1129" s="88" t="str">
        <f t="shared" si="183"/>
        <v/>
      </c>
      <c r="U1129" s="84" t="str">
        <f t="shared" si="184"/>
        <v/>
      </c>
      <c r="V1129" s="88">
        <f>IF(U1129="",0,MAX(0,T1129)+N1129+ROUND(J1129*[1]Setup!$B$9,0)+IF(O1129&gt;[1]Setup!$B$10,ROUND(J1129*[1]Setup!$B$11,0),0))</f>
        <v>0</v>
      </c>
      <c r="W1129" s="85" t="str">
        <f>IF(L1129="","Open",IF(OR(P1129&lt;[1]Setup!$B$6,Q1129&gt;[1]Setup!$B$7,R1129&gt;[1]Setup!$B$8,O1129&gt;[1]Setup!$B$10),"Review","OK"))</f>
        <v>Open</v>
      </c>
      <c r="X1129" s="86"/>
    </row>
    <row r="1130" spans="1:24" x14ac:dyDescent="0.3">
      <c r="A1130" s="84"/>
      <c r="B1130" s="100">
        <f t="shared" si="186"/>
        <v>0</v>
      </c>
      <c r="C1130" s="84" t="str">
        <f t="shared" si="187"/>
        <v>January</v>
      </c>
      <c r="D1130" s="85" t="str">
        <f t="shared" si="185"/>
        <v/>
      </c>
      <c r="E1130" s="86"/>
      <c r="F1130" s="86"/>
      <c r="G1130" s="86"/>
      <c r="H1130" s="86"/>
      <c r="I1130" s="87" t="str">
        <f>IF(F1130=0,"",IF(COUNTIF(F1130,"Bao"),[1]Setup!$B$4,IF(COUNTIF(F1130,"Soup Dumplings"),[1]Setup!$B$5,F1130)))</f>
        <v/>
      </c>
      <c r="J1130" s="88" t="str">
        <f t="shared" si="179"/>
        <v/>
      </c>
      <c r="K1130" s="88"/>
      <c r="L1130" s="87"/>
      <c r="M1130" s="87"/>
      <c r="N1130" s="87"/>
      <c r="O1130" s="87"/>
      <c r="P1130" s="89" t="str">
        <f t="shared" si="180"/>
        <v/>
      </c>
      <c r="Q1130" s="89" t="str">
        <f t="shared" si="181"/>
        <v/>
      </c>
      <c r="R1130" s="89" t="str">
        <f t="shared" si="182"/>
        <v/>
      </c>
      <c r="S1130" s="88" t="str">
        <f>IF(F1130="Bao",[1]Setup!$B$4,IF(F1130="Soup Dumplings",[1]Setup!$B$5,""))</f>
        <v/>
      </c>
      <c r="T1130" s="88" t="str">
        <f t="shared" si="183"/>
        <v/>
      </c>
      <c r="U1130" s="84" t="str">
        <f t="shared" si="184"/>
        <v/>
      </c>
      <c r="V1130" s="88">
        <f>IF(U1130="",0,MAX(0,T1130)+N1130+ROUND(J1130*[1]Setup!$B$9,0)+IF(O1130&gt;[1]Setup!$B$10,ROUND(J1130*[1]Setup!$B$11,0),0))</f>
        <v>0</v>
      </c>
      <c r="W1130" s="85" t="str">
        <f>IF(L1130="","Open",IF(OR(P1130&lt;[1]Setup!$B$6,Q1130&gt;[1]Setup!$B$7,R1130&gt;[1]Setup!$B$8,O1130&gt;[1]Setup!$B$10),"Review","OK"))</f>
        <v>Open</v>
      </c>
      <c r="X1130" s="86"/>
    </row>
    <row r="1131" spans="1:24" x14ac:dyDescent="0.3">
      <c r="A1131" s="84"/>
      <c r="B1131" s="100">
        <f t="shared" si="186"/>
        <v>0</v>
      </c>
      <c r="C1131" s="84" t="str">
        <f t="shared" si="187"/>
        <v>January</v>
      </c>
      <c r="D1131" s="85" t="str">
        <f t="shared" si="185"/>
        <v/>
      </c>
      <c r="E1131" s="86"/>
      <c r="F1131" s="86"/>
      <c r="G1131" s="86"/>
      <c r="H1131" s="86"/>
      <c r="I1131" s="87" t="str">
        <f>IF(F1131=0,"",IF(COUNTIF(F1131,"Bao"),[1]Setup!$B$4,IF(COUNTIF(F1131,"Soup Dumplings"),[1]Setup!$B$5,F1131)))</f>
        <v/>
      </c>
      <c r="J1131" s="88" t="str">
        <f t="shared" si="179"/>
        <v/>
      </c>
      <c r="K1131" s="88"/>
      <c r="L1131" s="87"/>
      <c r="M1131" s="87"/>
      <c r="N1131" s="87"/>
      <c r="O1131" s="87"/>
      <c r="P1131" s="89" t="str">
        <f t="shared" si="180"/>
        <v/>
      </c>
      <c r="Q1131" s="89" t="str">
        <f t="shared" si="181"/>
        <v/>
      </c>
      <c r="R1131" s="89" t="str">
        <f t="shared" si="182"/>
        <v/>
      </c>
      <c r="S1131" s="88" t="str">
        <f>IF(F1131="Bao",[1]Setup!$B$4,IF(F1131="Soup Dumplings",[1]Setup!$B$5,""))</f>
        <v/>
      </c>
      <c r="T1131" s="88" t="str">
        <f t="shared" si="183"/>
        <v/>
      </c>
      <c r="U1131" s="84" t="str">
        <f t="shared" si="184"/>
        <v/>
      </c>
      <c r="V1131" s="88">
        <f>IF(U1131="",0,MAX(0,T1131)+N1131+ROUND(J1131*[1]Setup!$B$9,0)+IF(O1131&gt;[1]Setup!$B$10,ROUND(J1131*[1]Setup!$B$11,0),0))</f>
        <v>0</v>
      </c>
      <c r="W1131" s="85" t="str">
        <f>IF(L1131="","Open",IF(OR(P1131&lt;[1]Setup!$B$6,Q1131&gt;[1]Setup!$B$7,R1131&gt;[1]Setup!$B$8,O1131&gt;[1]Setup!$B$10),"Review","OK"))</f>
        <v>Open</v>
      </c>
      <c r="X1131" s="86"/>
    </row>
    <row r="1132" spans="1:24" x14ac:dyDescent="0.3">
      <c r="A1132" s="84"/>
      <c r="B1132" s="100">
        <f t="shared" si="186"/>
        <v>0</v>
      </c>
      <c r="C1132" s="84" t="str">
        <f t="shared" si="187"/>
        <v>January</v>
      </c>
      <c r="D1132" s="85" t="str">
        <f t="shared" si="185"/>
        <v/>
      </c>
      <c r="E1132" s="86"/>
      <c r="F1132" s="86"/>
      <c r="G1132" s="86"/>
      <c r="H1132" s="86"/>
      <c r="I1132" s="87" t="str">
        <f>IF(F1132=0,"",IF(COUNTIF(F1132,"Bao"),[1]Setup!$B$4,IF(COUNTIF(F1132,"Soup Dumplings"),[1]Setup!$B$5,F1132)))</f>
        <v/>
      </c>
      <c r="J1132" s="88" t="str">
        <f t="shared" si="179"/>
        <v/>
      </c>
      <c r="K1132" s="88"/>
      <c r="L1132" s="87"/>
      <c r="M1132" s="87"/>
      <c r="N1132" s="87"/>
      <c r="O1132" s="87"/>
      <c r="P1132" s="89" t="str">
        <f t="shared" si="180"/>
        <v/>
      </c>
      <c r="Q1132" s="89" t="str">
        <f t="shared" si="181"/>
        <v/>
      </c>
      <c r="R1132" s="89" t="str">
        <f t="shared" si="182"/>
        <v/>
      </c>
      <c r="S1132" s="88" t="str">
        <f>IF(F1132="Bao",[1]Setup!$B$4,IF(F1132="Soup Dumplings",[1]Setup!$B$5,""))</f>
        <v/>
      </c>
      <c r="T1132" s="88" t="str">
        <f t="shared" si="183"/>
        <v/>
      </c>
      <c r="U1132" s="84" t="str">
        <f t="shared" si="184"/>
        <v/>
      </c>
      <c r="V1132" s="88">
        <f>IF(U1132="",0,MAX(0,T1132)+N1132+ROUND(J1132*[1]Setup!$B$9,0)+IF(O1132&gt;[1]Setup!$B$10,ROUND(J1132*[1]Setup!$B$11,0),0))</f>
        <v>0</v>
      </c>
      <c r="W1132" s="85" t="str">
        <f>IF(L1132="","Open",IF(OR(P1132&lt;[1]Setup!$B$6,Q1132&gt;[1]Setup!$B$7,R1132&gt;[1]Setup!$B$8,O1132&gt;[1]Setup!$B$10),"Review","OK"))</f>
        <v>Open</v>
      </c>
      <c r="X1132" s="86"/>
    </row>
    <row r="1133" spans="1:24" x14ac:dyDescent="0.3">
      <c r="A1133" s="84"/>
      <c r="B1133" s="100">
        <f t="shared" si="186"/>
        <v>0</v>
      </c>
      <c r="C1133" s="84" t="str">
        <f t="shared" si="187"/>
        <v>January</v>
      </c>
      <c r="D1133" s="85" t="str">
        <f t="shared" si="185"/>
        <v/>
      </c>
      <c r="E1133" s="86"/>
      <c r="F1133" s="86"/>
      <c r="G1133" s="86"/>
      <c r="H1133" s="86"/>
      <c r="I1133" s="87" t="str">
        <f>IF(F1133=0,"",IF(COUNTIF(F1133,"Bao"),[1]Setup!$B$4,IF(COUNTIF(F1133,"Soup Dumplings"),[1]Setup!$B$5,F1133)))</f>
        <v/>
      </c>
      <c r="J1133" s="88" t="str">
        <f t="shared" si="179"/>
        <v/>
      </c>
      <c r="K1133" s="88"/>
      <c r="L1133" s="87"/>
      <c r="M1133" s="87"/>
      <c r="N1133" s="87"/>
      <c r="O1133" s="87"/>
      <c r="P1133" s="89" t="str">
        <f t="shared" si="180"/>
        <v/>
      </c>
      <c r="Q1133" s="89" t="str">
        <f t="shared" si="181"/>
        <v/>
      </c>
      <c r="R1133" s="89" t="str">
        <f t="shared" si="182"/>
        <v/>
      </c>
      <c r="S1133" s="88" t="str">
        <f>IF(F1133="Bao",[1]Setup!$B$4,IF(F1133="Soup Dumplings",[1]Setup!$B$5,""))</f>
        <v/>
      </c>
      <c r="T1133" s="88" t="str">
        <f t="shared" si="183"/>
        <v/>
      </c>
      <c r="U1133" s="84" t="str">
        <f t="shared" si="184"/>
        <v/>
      </c>
      <c r="V1133" s="88">
        <f>IF(U1133="",0,MAX(0,T1133)+N1133+ROUND(J1133*[1]Setup!$B$9,0)+IF(O1133&gt;[1]Setup!$B$10,ROUND(J1133*[1]Setup!$B$11,0),0))</f>
        <v>0</v>
      </c>
      <c r="W1133" s="85" t="str">
        <f>IF(L1133="","Open",IF(OR(P1133&lt;[1]Setup!$B$6,Q1133&gt;[1]Setup!$B$7,R1133&gt;[1]Setup!$B$8,O1133&gt;[1]Setup!$B$10),"Review","OK"))</f>
        <v>Open</v>
      </c>
      <c r="X1133" s="86"/>
    </row>
    <row r="1134" spans="1:24" x14ac:dyDescent="0.3">
      <c r="A1134" s="84"/>
      <c r="B1134" s="100">
        <f t="shared" si="186"/>
        <v>0</v>
      </c>
      <c r="C1134" s="84" t="str">
        <f t="shared" si="187"/>
        <v>January</v>
      </c>
      <c r="D1134" s="85" t="str">
        <f t="shared" si="185"/>
        <v/>
      </c>
      <c r="E1134" s="86"/>
      <c r="F1134" s="86"/>
      <c r="G1134" s="86"/>
      <c r="H1134" s="86"/>
      <c r="I1134" s="87" t="str">
        <f>IF(F1134=0,"",IF(COUNTIF(F1134,"Bao"),[1]Setup!$B$4,IF(COUNTIF(F1134,"Soup Dumplings"),[1]Setup!$B$5,F1134)))</f>
        <v/>
      </c>
      <c r="J1134" s="88" t="str">
        <f t="shared" si="179"/>
        <v/>
      </c>
      <c r="K1134" s="88"/>
      <c r="L1134" s="87"/>
      <c r="M1134" s="87"/>
      <c r="N1134" s="87"/>
      <c r="O1134" s="87"/>
      <c r="P1134" s="89" t="str">
        <f t="shared" si="180"/>
        <v/>
      </c>
      <c r="Q1134" s="89" t="str">
        <f t="shared" si="181"/>
        <v/>
      </c>
      <c r="R1134" s="89" t="str">
        <f t="shared" si="182"/>
        <v/>
      </c>
      <c r="S1134" s="88" t="str">
        <f>IF(F1134="Bao",[1]Setup!$B$4,IF(F1134="Soup Dumplings",[1]Setup!$B$5,""))</f>
        <v/>
      </c>
      <c r="T1134" s="88" t="str">
        <f t="shared" si="183"/>
        <v/>
      </c>
      <c r="U1134" s="84" t="str">
        <f t="shared" si="184"/>
        <v/>
      </c>
      <c r="V1134" s="88">
        <f>IF(U1134="",0,MAX(0,T1134)+N1134+ROUND(J1134*[1]Setup!$B$9,0)+IF(O1134&gt;[1]Setup!$B$10,ROUND(J1134*[1]Setup!$B$11,0),0))</f>
        <v>0</v>
      </c>
      <c r="W1134" s="85" t="str">
        <f>IF(L1134="","Open",IF(OR(P1134&lt;[1]Setup!$B$6,Q1134&gt;[1]Setup!$B$7,R1134&gt;[1]Setup!$B$8,O1134&gt;[1]Setup!$B$10),"Review","OK"))</f>
        <v>Open</v>
      </c>
      <c r="X1134" s="86"/>
    </row>
    <row r="1135" spans="1:24" x14ac:dyDescent="0.3">
      <c r="A1135" s="84"/>
      <c r="B1135" s="100">
        <f t="shared" si="186"/>
        <v>0</v>
      </c>
      <c r="C1135" s="84" t="str">
        <f t="shared" si="187"/>
        <v>January</v>
      </c>
      <c r="D1135" s="85" t="str">
        <f t="shared" si="185"/>
        <v/>
      </c>
      <c r="E1135" s="86"/>
      <c r="F1135" s="86"/>
      <c r="G1135" s="86"/>
      <c r="H1135" s="86"/>
      <c r="I1135" s="87" t="str">
        <f>IF(F1135=0,"",IF(COUNTIF(F1135,"Bao"),[1]Setup!$B$4,IF(COUNTIF(F1135,"Soup Dumplings"),[1]Setup!$B$5,F1135)))</f>
        <v/>
      </c>
      <c r="J1135" s="88" t="str">
        <f t="shared" ref="J1135:J1198" si="188">IF(A1135="","",
   IFERROR(
      N(I1135)+SUMIFS($V$4:$V$30,$U$4:$U$30,A1135,$G$4:$G$30,G1135),
   0)
)</f>
        <v/>
      </c>
      <c r="K1135" s="88"/>
      <c r="L1135" s="87"/>
      <c r="M1135" s="87"/>
      <c r="N1135" s="87"/>
      <c r="O1135" s="87"/>
      <c r="P1135" s="89" t="str">
        <f t="shared" ref="P1135:P1198" si="189">IF(J1135="","",IF(J1135&gt;0,(L1135+M1135)/J1135,""))</f>
        <v/>
      </c>
      <c r="Q1135" s="89" t="str">
        <f t="shared" ref="Q1135:Q1198" si="190">IF(J1135="","",IF(J1135&gt;0,MAX(0,(J1135-(L1135+M1135))/J1135),""))</f>
        <v/>
      </c>
      <c r="R1135" s="89" t="str">
        <f t="shared" ref="R1135:R1198" si="191">IF(J1135="","",IF(J1135&gt;0,MAX(0,(L1135+M1135-J1135)/J1135),""))</f>
        <v/>
      </c>
      <c r="S1135" s="88" t="str">
        <f>IF(F1135="Bao",[1]Setup!$B$4,IF(F1135="Soup Dumplings",[1]Setup!$B$5,""))</f>
        <v/>
      </c>
      <c r="T1135" s="88" t="str">
        <f t="shared" ref="T1135:T1198" si="192">IF(L1135="","",S1135-L1135)</f>
        <v/>
      </c>
      <c r="U1135" s="84" t="str">
        <f t="shared" ref="U1135:U1198" si="193">IF(A1135="","",A1135+1)</f>
        <v/>
      </c>
      <c r="V1135" s="88">
        <f>IF(U1135="",0,MAX(0,T1135)+N1135+ROUND(J1135*[1]Setup!$B$9,0)+IF(O1135&gt;[1]Setup!$B$10,ROUND(J1135*[1]Setup!$B$11,0),0))</f>
        <v>0</v>
      </c>
      <c r="W1135" s="85" t="str">
        <f>IF(L1135="","Open",IF(OR(P1135&lt;[1]Setup!$B$6,Q1135&gt;[1]Setup!$B$7,R1135&gt;[1]Setup!$B$8,O1135&gt;[1]Setup!$B$10),"Review","OK"))</f>
        <v>Open</v>
      </c>
      <c r="X1135" s="86"/>
    </row>
    <row r="1136" spans="1:24" x14ac:dyDescent="0.3">
      <c r="A1136" s="84"/>
      <c r="B1136" s="100">
        <f t="shared" si="186"/>
        <v>0</v>
      </c>
      <c r="C1136" s="84" t="str">
        <f t="shared" si="187"/>
        <v>January</v>
      </c>
      <c r="D1136" s="85" t="str">
        <f t="shared" si="185"/>
        <v/>
      </c>
      <c r="E1136" s="86"/>
      <c r="F1136" s="86"/>
      <c r="G1136" s="86"/>
      <c r="H1136" s="86"/>
      <c r="I1136" s="87" t="str">
        <f>IF(F1136=0,"",IF(COUNTIF(F1136,"Bao"),[1]Setup!$B$4,IF(COUNTIF(F1136,"Soup Dumplings"),[1]Setup!$B$5,F1136)))</f>
        <v/>
      </c>
      <c r="J1136" s="88" t="str">
        <f t="shared" si="188"/>
        <v/>
      </c>
      <c r="K1136" s="88"/>
      <c r="L1136" s="87"/>
      <c r="M1136" s="87"/>
      <c r="N1136" s="87"/>
      <c r="O1136" s="87"/>
      <c r="P1136" s="89" t="str">
        <f t="shared" si="189"/>
        <v/>
      </c>
      <c r="Q1136" s="89" t="str">
        <f t="shared" si="190"/>
        <v/>
      </c>
      <c r="R1136" s="89" t="str">
        <f t="shared" si="191"/>
        <v/>
      </c>
      <c r="S1136" s="88" t="str">
        <f>IF(F1136="Bao",[1]Setup!$B$4,IF(F1136="Soup Dumplings",[1]Setup!$B$5,""))</f>
        <v/>
      </c>
      <c r="T1136" s="88" t="str">
        <f t="shared" si="192"/>
        <v/>
      </c>
      <c r="U1136" s="84" t="str">
        <f t="shared" si="193"/>
        <v/>
      </c>
      <c r="V1136" s="88">
        <f>IF(U1136="",0,MAX(0,T1136)+N1136+ROUND(J1136*[1]Setup!$B$9,0)+IF(O1136&gt;[1]Setup!$B$10,ROUND(J1136*[1]Setup!$B$11,0),0))</f>
        <v>0</v>
      </c>
      <c r="W1136" s="85" t="str">
        <f>IF(L1136="","Open",IF(OR(P1136&lt;[1]Setup!$B$6,Q1136&gt;[1]Setup!$B$7,R1136&gt;[1]Setup!$B$8,O1136&gt;[1]Setup!$B$10),"Review","OK"))</f>
        <v>Open</v>
      </c>
      <c r="X1136" s="86"/>
    </row>
    <row r="1137" spans="1:24" x14ac:dyDescent="0.3">
      <c r="A1137" s="84"/>
      <c r="B1137" s="100">
        <f t="shared" si="186"/>
        <v>0</v>
      </c>
      <c r="C1137" s="84" t="str">
        <f t="shared" si="187"/>
        <v>January</v>
      </c>
      <c r="D1137" s="85" t="str">
        <f t="shared" si="185"/>
        <v/>
      </c>
      <c r="E1137" s="86"/>
      <c r="F1137" s="86"/>
      <c r="G1137" s="86"/>
      <c r="H1137" s="86"/>
      <c r="I1137" s="87" t="str">
        <f>IF(F1137=0,"",IF(COUNTIF(F1137,"Bao"),[1]Setup!$B$4,IF(COUNTIF(F1137,"Soup Dumplings"),[1]Setup!$B$5,F1137)))</f>
        <v/>
      </c>
      <c r="J1137" s="88" t="str">
        <f t="shared" si="188"/>
        <v/>
      </c>
      <c r="K1137" s="88"/>
      <c r="L1137" s="87"/>
      <c r="M1137" s="87"/>
      <c r="N1137" s="87"/>
      <c r="O1137" s="87"/>
      <c r="P1137" s="89" t="str">
        <f t="shared" si="189"/>
        <v/>
      </c>
      <c r="Q1137" s="89" t="str">
        <f t="shared" si="190"/>
        <v/>
      </c>
      <c r="R1137" s="89" t="str">
        <f t="shared" si="191"/>
        <v/>
      </c>
      <c r="S1137" s="88" t="str">
        <f>IF(F1137="Bao",[1]Setup!$B$4,IF(F1137="Soup Dumplings",[1]Setup!$B$5,""))</f>
        <v/>
      </c>
      <c r="T1137" s="88" t="str">
        <f t="shared" si="192"/>
        <v/>
      </c>
      <c r="U1137" s="84" t="str">
        <f t="shared" si="193"/>
        <v/>
      </c>
      <c r="V1137" s="88">
        <f>IF(U1137="",0,MAX(0,T1137)+N1137+ROUND(J1137*[1]Setup!$B$9,0)+IF(O1137&gt;[1]Setup!$B$10,ROUND(J1137*[1]Setup!$B$11,0),0))</f>
        <v>0</v>
      </c>
      <c r="W1137" s="85" t="str">
        <f>IF(L1137="","Open",IF(OR(P1137&lt;[1]Setup!$B$6,Q1137&gt;[1]Setup!$B$7,R1137&gt;[1]Setup!$B$8,O1137&gt;[1]Setup!$B$10),"Review","OK"))</f>
        <v>Open</v>
      </c>
      <c r="X1137" s="86"/>
    </row>
    <row r="1138" spans="1:24" x14ac:dyDescent="0.3">
      <c r="A1138" s="84"/>
      <c r="B1138" s="100">
        <f t="shared" si="186"/>
        <v>0</v>
      </c>
      <c r="C1138" s="84" t="str">
        <f t="shared" si="187"/>
        <v>January</v>
      </c>
      <c r="D1138" s="85" t="str">
        <f t="shared" si="185"/>
        <v/>
      </c>
      <c r="E1138" s="86"/>
      <c r="F1138" s="86"/>
      <c r="G1138" s="86"/>
      <c r="H1138" s="86"/>
      <c r="I1138" s="87" t="str">
        <f>IF(F1138=0,"",IF(COUNTIF(F1138,"Bao"),[1]Setup!$B$4,IF(COUNTIF(F1138,"Soup Dumplings"),[1]Setup!$B$5,F1138)))</f>
        <v/>
      </c>
      <c r="J1138" s="88" t="str">
        <f t="shared" si="188"/>
        <v/>
      </c>
      <c r="K1138" s="88"/>
      <c r="L1138" s="87"/>
      <c r="M1138" s="87"/>
      <c r="N1138" s="87"/>
      <c r="O1138" s="87"/>
      <c r="P1138" s="89" t="str">
        <f t="shared" si="189"/>
        <v/>
      </c>
      <c r="Q1138" s="89" t="str">
        <f t="shared" si="190"/>
        <v/>
      </c>
      <c r="R1138" s="89" t="str">
        <f t="shared" si="191"/>
        <v/>
      </c>
      <c r="S1138" s="88" t="str">
        <f>IF(F1138="Bao",[1]Setup!$B$4,IF(F1138="Soup Dumplings",[1]Setup!$B$5,""))</f>
        <v/>
      </c>
      <c r="T1138" s="88" t="str">
        <f t="shared" si="192"/>
        <v/>
      </c>
      <c r="U1138" s="84" t="str">
        <f t="shared" si="193"/>
        <v/>
      </c>
      <c r="V1138" s="88">
        <f>IF(U1138="",0,MAX(0,T1138)+N1138+ROUND(J1138*[1]Setup!$B$9,0)+IF(O1138&gt;[1]Setup!$B$10,ROUND(J1138*[1]Setup!$B$11,0),0))</f>
        <v>0</v>
      </c>
      <c r="W1138" s="85" t="str">
        <f>IF(L1138="","Open",IF(OR(P1138&lt;[1]Setup!$B$6,Q1138&gt;[1]Setup!$B$7,R1138&gt;[1]Setup!$B$8,O1138&gt;[1]Setup!$B$10),"Review","OK"))</f>
        <v>Open</v>
      </c>
      <c r="X1138" s="86"/>
    </row>
    <row r="1139" spans="1:24" x14ac:dyDescent="0.3">
      <c r="A1139" s="84"/>
      <c r="B1139" s="100">
        <f t="shared" si="186"/>
        <v>0</v>
      </c>
      <c r="C1139" s="84" t="str">
        <f t="shared" si="187"/>
        <v>January</v>
      </c>
      <c r="D1139" s="85" t="str">
        <f t="shared" si="185"/>
        <v/>
      </c>
      <c r="E1139" s="86"/>
      <c r="F1139" s="86"/>
      <c r="G1139" s="86"/>
      <c r="H1139" s="86"/>
      <c r="I1139" s="87" t="str">
        <f>IF(F1139=0,"",IF(COUNTIF(F1139,"Bao"),[1]Setup!$B$4,IF(COUNTIF(F1139,"Soup Dumplings"),[1]Setup!$B$5,F1139)))</f>
        <v/>
      </c>
      <c r="J1139" s="88" t="str">
        <f t="shared" si="188"/>
        <v/>
      </c>
      <c r="K1139" s="88"/>
      <c r="L1139" s="87"/>
      <c r="M1139" s="87"/>
      <c r="N1139" s="87"/>
      <c r="O1139" s="87"/>
      <c r="P1139" s="89" t="str">
        <f t="shared" si="189"/>
        <v/>
      </c>
      <c r="Q1139" s="89" t="str">
        <f t="shared" si="190"/>
        <v/>
      </c>
      <c r="R1139" s="89" t="str">
        <f t="shared" si="191"/>
        <v/>
      </c>
      <c r="S1139" s="88" t="str">
        <f>IF(F1139="Bao",[1]Setup!$B$4,IF(F1139="Soup Dumplings",[1]Setup!$B$5,""))</f>
        <v/>
      </c>
      <c r="T1139" s="88" t="str">
        <f t="shared" si="192"/>
        <v/>
      </c>
      <c r="U1139" s="84" t="str">
        <f t="shared" si="193"/>
        <v/>
      </c>
      <c r="V1139" s="88">
        <f>IF(U1139="",0,MAX(0,T1139)+N1139+ROUND(J1139*[1]Setup!$B$9,0)+IF(O1139&gt;[1]Setup!$B$10,ROUND(J1139*[1]Setup!$B$11,0),0))</f>
        <v>0</v>
      </c>
      <c r="W1139" s="85" t="str">
        <f>IF(L1139="","Open",IF(OR(P1139&lt;[1]Setup!$B$6,Q1139&gt;[1]Setup!$B$7,R1139&gt;[1]Setup!$B$8,O1139&gt;[1]Setup!$B$10),"Review","OK"))</f>
        <v>Open</v>
      </c>
      <c r="X1139" s="86"/>
    </row>
    <row r="1140" spans="1:24" x14ac:dyDescent="0.3">
      <c r="A1140" s="84"/>
      <c r="B1140" s="100">
        <f t="shared" si="186"/>
        <v>0</v>
      </c>
      <c r="C1140" s="84" t="str">
        <f t="shared" si="187"/>
        <v>January</v>
      </c>
      <c r="D1140" s="85" t="str">
        <f t="shared" si="185"/>
        <v/>
      </c>
      <c r="E1140" s="86"/>
      <c r="F1140" s="86"/>
      <c r="G1140" s="86"/>
      <c r="H1140" s="86"/>
      <c r="I1140" s="87" t="str">
        <f>IF(F1140=0,"",IF(COUNTIF(F1140,"Bao"),[1]Setup!$B$4,IF(COUNTIF(F1140,"Soup Dumplings"),[1]Setup!$B$5,F1140)))</f>
        <v/>
      </c>
      <c r="J1140" s="88" t="str">
        <f t="shared" si="188"/>
        <v/>
      </c>
      <c r="K1140" s="88"/>
      <c r="L1140" s="87"/>
      <c r="M1140" s="87"/>
      <c r="N1140" s="87"/>
      <c r="O1140" s="87"/>
      <c r="P1140" s="89" t="str">
        <f t="shared" si="189"/>
        <v/>
      </c>
      <c r="Q1140" s="89" t="str">
        <f t="shared" si="190"/>
        <v/>
      </c>
      <c r="R1140" s="89" t="str">
        <f t="shared" si="191"/>
        <v/>
      </c>
      <c r="S1140" s="88" t="str">
        <f>IF(F1140="Bao",[1]Setup!$B$4,IF(F1140="Soup Dumplings",[1]Setup!$B$5,""))</f>
        <v/>
      </c>
      <c r="T1140" s="88" t="str">
        <f t="shared" si="192"/>
        <v/>
      </c>
      <c r="U1140" s="84" t="str">
        <f t="shared" si="193"/>
        <v/>
      </c>
      <c r="V1140" s="88">
        <f>IF(U1140="",0,MAX(0,T1140)+N1140+ROUND(J1140*[1]Setup!$B$9,0)+IF(O1140&gt;[1]Setup!$B$10,ROUND(J1140*[1]Setup!$B$11,0),0))</f>
        <v>0</v>
      </c>
      <c r="W1140" s="85" t="str">
        <f>IF(L1140="","Open",IF(OR(P1140&lt;[1]Setup!$B$6,Q1140&gt;[1]Setup!$B$7,R1140&gt;[1]Setup!$B$8,O1140&gt;[1]Setup!$B$10),"Review","OK"))</f>
        <v>Open</v>
      </c>
      <c r="X1140" s="86"/>
    </row>
    <row r="1141" spans="1:24" x14ac:dyDescent="0.3">
      <c r="A1141" s="84"/>
      <c r="B1141" s="100">
        <f t="shared" si="186"/>
        <v>0</v>
      </c>
      <c r="C1141" s="84" t="str">
        <f t="shared" si="187"/>
        <v>January</v>
      </c>
      <c r="D1141" s="85" t="str">
        <f t="shared" si="185"/>
        <v/>
      </c>
      <c r="E1141" s="86"/>
      <c r="F1141" s="86"/>
      <c r="G1141" s="86"/>
      <c r="H1141" s="86"/>
      <c r="I1141" s="87" t="str">
        <f>IF(F1141=0,"",IF(COUNTIF(F1141,"Bao"),[1]Setup!$B$4,IF(COUNTIF(F1141,"Soup Dumplings"),[1]Setup!$B$5,F1141)))</f>
        <v/>
      </c>
      <c r="J1141" s="88" t="str">
        <f t="shared" si="188"/>
        <v/>
      </c>
      <c r="K1141" s="88"/>
      <c r="L1141" s="87"/>
      <c r="M1141" s="87"/>
      <c r="N1141" s="87"/>
      <c r="O1141" s="87"/>
      <c r="P1141" s="89" t="str">
        <f t="shared" si="189"/>
        <v/>
      </c>
      <c r="Q1141" s="89" t="str">
        <f t="shared" si="190"/>
        <v/>
      </c>
      <c r="R1141" s="89" t="str">
        <f t="shared" si="191"/>
        <v/>
      </c>
      <c r="S1141" s="88" t="str">
        <f>IF(F1141="Bao",[1]Setup!$B$4,IF(F1141="Soup Dumplings",[1]Setup!$B$5,""))</f>
        <v/>
      </c>
      <c r="T1141" s="88" t="str">
        <f t="shared" si="192"/>
        <v/>
      </c>
      <c r="U1141" s="84" t="str">
        <f t="shared" si="193"/>
        <v/>
      </c>
      <c r="V1141" s="88">
        <f>IF(U1141="",0,MAX(0,T1141)+N1141+ROUND(J1141*[1]Setup!$B$9,0)+IF(O1141&gt;[1]Setup!$B$10,ROUND(J1141*[1]Setup!$B$11,0),0))</f>
        <v>0</v>
      </c>
      <c r="W1141" s="85" t="str">
        <f>IF(L1141="","Open",IF(OR(P1141&lt;[1]Setup!$B$6,Q1141&gt;[1]Setup!$B$7,R1141&gt;[1]Setup!$B$8,O1141&gt;[1]Setup!$B$10),"Review","OK"))</f>
        <v>Open</v>
      </c>
      <c r="X1141" s="86"/>
    </row>
    <row r="1142" spans="1:24" x14ac:dyDescent="0.3">
      <c r="A1142" s="84"/>
      <c r="B1142" s="100">
        <f t="shared" si="186"/>
        <v>0</v>
      </c>
      <c r="C1142" s="84" t="str">
        <f t="shared" si="187"/>
        <v>January</v>
      </c>
      <c r="D1142" s="85" t="str">
        <f t="shared" si="185"/>
        <v/>
      </c>
      <c r="E1142" s="86"/>
      <c r="F1142" s="86"/>
      <c r="G1142" s="86"/>
      <c r="H1142" s="86"/>
      <c r="I1142" s="87" t="str">
        <f>IF(F1142=0,"",IF(COUNTIF(F1142,"Bao"),[1]Setup!$B$4,IF(COUNTIF(F1142,"Soup Dumplings"),[1]Setup!$B$5,F1142)))</f>
        <v/>
      </c>
      <c r="J1142" s="88" t="str">
        <f t="shared" si="188"/>
        <v/>
      </c>
      <c r="K1142" s="88"/>
      <c r="L1142" s="87"/>
      <c r="M1142" s="87"/>
      <c r="N1142" s="87"/>
      <c r="O1142" s="87"/>
      <c r="P1142" s="89" t="str">
        <f t="shared" si="189"/>
        <v/>
      </c>
      <c r="Q1142" s="89" t="str">
        <f t="shared" si="190"/>
        <v/>
      </c>
      <c r="R1142" s="89" t="str">
        <f t="shared" si="191"/>
        <v/>
      </c>
      <c r="S1142" s="88" t="str">
        <f>IF(F1142="Bao",[1]Setup!$B$4,IF(F1142="Soup Dumplings",[1]Setup!$B$5,""))</f>
        <v/>
      </c>
      <c r="T1142" s="88" t="str">
        <f t="shared" si="192"/>
        <v/>
      </c>
      <c r="U1142" s="84" t="str">
        <f t="shared" si="193"/>
        <v/>
      </c>
      <c r="V1142" s="88">
        <f>IF(U1142="",0,MAX(0,T1142)+N1142+ROUND(J1142*[1]Setup!$B$9,0)+IF(O1142&gt;[1]Setup!$B$10,ROUND(J1142*[1]Setup!$B$11,0),0))</f>
        <v>0</v>
      </c>
      <c r="W1142" s="85" t="str">
        <f>IF(L1142="","Open",IF(OR(P1142&lt;[1]Setup!$B$6,Q1142&gt;[1]Setup!$B$7,R1142&gt;[1]Setup!$B$8,O1142&gt;[1]Setup!$B$10),"Review","OK"))</f>
        <v>Open</v>
      </c>
      <c r="X1142" s="86"/>
    </row>
    <row r="1143" spans="1:24" x14ac:dyDescent="0.3">
      <c r="A1143" s="84"/>
      <c r="B1143" s="100">
        <f t="shared" si="186"/>
        <v>0</v>
      </c>
      <c r="C1143" s="84" t="str">
        <f t="shared" si="187"/>
        <v>January</v>
      </c>
      <c r="D1143" s="85" t="str">
        <f t="shared" si="185"/>
        <v/>
      </c>
      <c r="E1143" s="86"/>
      <c r="F1143" s="86"/>
      <c r="G1143" s="86"/>
      <c r="H1143" s="86"/>
      <c r="I1143" s="87" t="str">
        <f>IF(F1143=0,"",IF(COUNTIF(F1143,"Bao"),[1]Setup!$B$4,IF(COUNTIF(F1143,"Soup Dumplings"),[1]Setup!$B$5,F1143)))</f>
        <v/>
      </c>
      <c r="J1143" s="88" t="str">
        <f t="shared" si="188"/>
        <v/>
      </c>
      <c r="K1143" s="88"/>
      <c r="L1143" s="87"/>
      <c r="M1143" s="87"/>
      <c r="N1143" s="87"/>
      <c r="O1143" s="87"/>
      <c r="P1143" s="89" t="str">
        <f t="shared" si="189"/>
        <v/>
      </c>
      <c r="Q1143" s="89" t="str">
        <f t="shared" si="190"/>
        <v/>
      </c>
      <c r="R1143" s="89" t="str">
        <f t="shared" si="191"/>
        <v/>
      </c>
      <c r="S1143" s="88" t="str">
        <f>IF(F1143="Bao",[1]Setup!$B$4,IF(F1143="Soup Dumplings",[1]Setup!$B$5,""))</f>
        <v/>
      </c>
      <c r="T1143" s="88" t="str">
        <f t="shared" si="192"/>
        <v/>
      </c>
      <c r="U1143" s="84" t="str">
        <f t="shared" si="193"/>
        <v/>
      </c>
      <c r="V1143" s="88">
        <f>IF(U1143="",0,MAX(0,T1143)+N1143+ROUND(J1143*[1]Setup!$B$9,0)+IF(O1143&gt;[1]Setup!$B$10,ROUND(J1143*[1]Setup!$B$11,0),0))</f>
        <v>0</v>
      </c>
      <c r="W1143" s="85" t="str">
        <f>IF(L1143="","Open",IF(OR(P1143&lt;[1]Setup!$B$6,Q1143&gt;[1]Setup!$B$7,R1143&gt;[1]Setup!$B$8,O1143&gt;[1]Setup!$B$10),"Review","OK"))</f>
        <v>Open</v>
      </c>
      <c r="X1143" s="86"/>
    </row>
    <row r="1144" spans="1:24" x14ac:dyDescent="0.3">
      <c r="A1144" s="84"/>
      <c r="B1144" s="100">
        <f t="shared" si="186"/>
        <v>0</v>
      </c>
      <c r="C1144" s="84" t="str">
        <f t="shared" si="187"/>
        <v>January</v>
      </c>
      <c r="D1144" s="85" t="str">
        <f t="shared" si="185"/>
        <v/>
      </c>
      <c r="E1144" s="86"/>
      <c r="F1144" s="86"/>
      <c r="G1144" s="86"/>
      <c r="H1144" s="86"/>
      <c r="I1144" s="87" t="str">
        <f>IF(F1144=0,"",IF(COUNTIF(F1144,"Bao"),[1]Setup!$B$4,IF(COUNTIF(F1144,"Soup Dumplings"),[1]Setup!$B$5,F1144)))</f>
        <v/>
      </c>
      <c r="J1144" s="88" t="str">
        <f t="shared" si="188"/>
        <v/>
      </c>
      <c r="K1144" s="88"/>
      <c r="L1144" s="87"/>
      <c r="M1144" s="87"/>
      <c r="N1144" s="87"/>
      <c r="O1144" s="87"/>
      <c r="P1144" s="89" t="str">
        <f t="shared" si="189"/>
        <v/>
      </c>
      <c r="Q1144" s="89" t="str">
        <f t="shared" si="190"/>
        <v/>
      </c>
      <c r="R1144" s="89" t="str">
        <f t="shared" si="191"/>
        <v/>
      </c>
      <c r="S1144" s="88" t="str">
        <f>IF(F1144="Bao",[1]Setup!$B$4,IF(F1144="Soup Dumplings",[1]Setup!$B$5,""))</f>
        <v/>
      </c>
      <c r="T1144" s="88" t="str">
        <f t="shared" si="192"/>
        <v/>
      </c>
      <c r="U1144" s="84" t="str">
        <f t="shared" si="193"/>
        <v/>
      </c>
      <c r="V1144" s="88">
        <f>IF(U1144="",0,MAX(0,T1144)+N1144+ROUND(J1144*[1]Setup!$B$9,0)+IF(O1144&gt;[1]Setup!$B$10,ROUND(J1144*[1]Setup!$B$11,0),0))</f>
        <v>0</v>
      </c>
      <c r="W1144" s="85" t="str">
        <f>IF(L1144="","Open",IF(OR(P1144&lt;[1]Setup!$B$6,Q1144&gt;[1]Setup!$B$7,R1144&gt;[1]Setup!$B$8,O1144&gt;[1]Setup!$B$10),"Review","OK"))</f>
        <v>Open</v>
      </c>
      <c r="X1144" s="86"/>
    </row>
    <row r="1145" spans="1:24" x14ac:dyDescent="0.3">
      <c r="A1145" s="84"/>
      <c r="B1145" s="100">
        <f t="shared" si="186"/>
        <v>0</v>
      </c>
      <c r="C1145" s="84" t="str">
        <f t="shared" si="187"/>
        <v>January</v>
      </c>
      <c r="D1145" s="85" t="str">
        <f t="shared" si="185"/>
        <v/>
      </c>
      <c r="E1145" s="86"/>
      <c r="F1145" s="86"/>
      <c r="G1145" s="86"/>
      <c r="H1145" s="86"/>
      <c r="I1145" s="87" t="str">
        <f>IF(F1145=0,"",IF(COUNTIF(F1145,"Bao"),[1]Setup!$B$4,IF(COUNTIF(F1145,"Soup Dumplings"),[1]Setup!$B$5,F1145)))</f>
        <v/>
      </c>
      <c r="J1145" s="88" t="str">
        <f t="shared" si="188"/>
        <v/>
      </c>
      <c r="K1145" s="88"/>
      <c r="L1145" s="87"/>
      <c r="M1145" s="87"/>
      <c r="N1145" s="87"/>
      <c r="O1145" s="87"/>
      <c r="P1145" s="89" t="str">
        <f t="shared" si="189"/>
        <v/>
      </c>
      <c r="Q1145" s="89" t="str">
        <f t="shared" si="190"/>
        <v/>
      </c>
      <c r="R1145" s="89" t="str">
        <f t="shared" si="191"/>
        <v/>
      </c>
      <c r="S1145" s="88" t="str">
        <f>IF(F1145="Bao",[1]Setup!$B$4,IF(F1145="Soup Dumplings",[1]Setup!$B$5,""))</f>
        <v/>
      </c>
      <c r="T1145" s="88" t="str">
        <f t="shared" si="192"/>
        <v/>
      </c>
      <c r="U1145" s="84" t="str">
        <f t="shared" si="193"/>
        <v/>
      </c>
      <c r="V1145" s="88">
        <f>IF(U1145="",0,MAX(0,T1145)+N1145+ROUND(J1145*[1]Setup!$B$9,0)+IF(O1145&gt;[1]Setup!$B$10,ROUND(J1145*[1]Setup!$B$11,0),0))</f>
        <v>0</v>
      </c>
      <c r="W1145" s="85" t="str">
        <f>IF(L1145="","Open",IF(OR(P1145&lt;[1]Setup!$B$6,Q1145&gt;[1]Setup!$B$7,R1145&gt;[1]Setup!$B$8,O1145&gt;[1]Setup!$B$10),"Review","OK"))</f>
        <v>Open</v>
      </c>
      <c r="X1145" s="86"/>
    </row>
    <row r="1146" spans="1:24" x14ac:dyDescent="0.3">
      <c r="A1146" s="84"/>
      <c r="B1146" s="100">
        <f t="shared" si="186"/>
        <v>0</v>
      </c>
      <c r="C1146" s="84" t="str">
        <f t="shared" si="187"/>
        <v>January</v>
      </c>
      <c r="D1146" s="85" t="str">
        <f t="shared" si="185"/>
        <v/>
      </c>
      <c r="E1146" s="86"/>
      <c r="F1146" s="86"/>
      <c r="G1146" s="86"/>
      <c r="H1146" s="86"/>
      <c r="I1146" s="87" t="str">
        <f>IF(F1146=0,"",IF(COUNTIF(F1146,"Bao"),[1]Setup!$B$4,IF(COUNTIF(F1146,"Soup Dumplings"),[1]Setup!$B$5,F1146)))</f>
        <v/>
      </c>
      <c r="J1146" s="88" t="str">
        <f t="shared" si="188"/>
        <v/>
      </c>
      <c r="K1146" s="88"/>
      <c r="L1146" s="87"/>
      <c r="M1146" s="87"/>
      <c r="N1146" s="87"/>
      <c r="O1146" s="87"/>
      <c r="P1146" s="89" t="str">
        <f t="shared" si="189"/>
        <v/>
      </c>
      <c r="Q1146" s="89" t="str">
        <f t="shared" si="190"/>
        <v/>
      </c>
      <c r="R1146" s="89" t="str">
        <f t="shared" si="191"/>
        <v/>
      </c>
      <c r="S1146" s="88" t="str">
        <f>IF(F1146="Bao",[1]Setup!$B$4,IF(F1146="Soup Dumplings",[1]Setup!$B$5,""))</f>
        <v/>
      </c>
      <c r="T1146" s="88" t="str">
        <f t="shared" si="192"/>
        <v/>
      </c>
      <c r="U1146" s="84" t="str">
        <f t="shared" si="193"/>
        <v/>
      </c>
      <c r="V1146" s="88">
        <f>IF(U1146="",0,MAX(0,T1146)+N1146+ROUND(J1146*[1]Setup!$B$9,0)+IF(O1146&gt;[1]Setup!$B$10,ROUND(J1146*[1]Setup!$B$11,0),0))</f>
        <v>0</v>
      </c>
      <c r="W1146" s="85" t="str">
        <f>IF(L1146="","Open",IF(OR(P1146&lt;[1]Setup!$B$6,Q1146&gt;[1]Setup!$B$7,R1146&gt;[1]Setup!$B$8,O1146&gt;[1]Setup!$B$10),"Review","OK"))</f>
        <v>Open</v>
      </c>
      <c r="X1146" s="86"/>
    </row>
    <row r="1147" spans="1:24" x14ac:dyDescent="0.3">
      <c r="A1147" s="84"/>
      <c r="B1147" s="100">
        <f t="shared" si="186"/>
        <v>0</v>
      </c>
      <c r="C1147" s="84" t="str">
        <f t="shared" si="187"/>
        <v>January</v>
      </c>
      <c r="D1147" s="85" t="str">
        <f t="shared" si="185"/>
        <v/>
      </c>
      <c r="E1147" s="86"/>
      <c r="F1147" s="86"/>
      <c r="G1147" s="86"/>
      <c r="H1147" s="86"/>
      <c r="I1147" s="87" t="str">
        <f>IF(F1147=0,"",IF(COUNTIF(F1147,"Bao"),[1]Setup!$B$4,IF(COUNTIF(F1147,"Soup Dumplings"),[1]Setup!$B$5,F1147)))</f>
        <v/>
      </c>
      <c r="J1147" s="88" t="str">
        <f t="shared" si="188"/>
        <v/>
      </c>
      <c r="K1147" s="88"/>
      <c r="L1147" s="87"/>
      <c r="M1147" s="87"/>
      <c r="N1147" s="87"/>
      <c r="O1147" s="87"/>
      <c r="P1147" s="89" t="str">
        <f t="shared" si="189"/>
        <v/>
      </c>
      <c r="Q1147" s="89" t="str">
        <f t="shared" si="190"/>
        <v/>
      </c>
      <c r="R1147" s="89" t="str">
        <f t="shared" si="191"/>
        <v/>
      </c>
      <c r="S1147" s="88" t="str">
        <f>IF(F1147="Bao",[1]Setup!$B$4,IF(F1147="Soup Dumplings",[1]Setup!$B$5,""))</f>
        <v/>
      </c>
      <c r="T1147" s="88" t="str">
        <f t="shared" si="192"/>
        <v/>
      </c>
      <c r="U1147" s="84" t="str">
        <f t="shared" si="193"/>
        <v/>
      </c>
      <c r="V1147" s="88">
        <f>IF(U1147="",0,MAX(0,T1147)+N1147+ROUND(J1147*[1]Setup!$B$9,0)+IF(O1147&gt;[1]Setup!$B$10,ROUND(J1147*[1]Setup!$B$11,0),0))</f>
        <v>0</v>
      </c>
      <c r="W1147" s="85" t="str">
        <f>IF(L1147="","Open",IF(OR(P1147&lt;[1]Setup!$B$6,Q1147&gt;[1]Setup!$B$7,R1147&gt;[1]Setup!$B$8,O1147&gt;[1]Setup!$B$10),"Review","OK"))</f>
        <v>Open</v>
      </c>
      <c r="X1147" s="86"/>
    </row>
    <row r="1148" spans="1:24" x14ac:dyDescent="0.3">
      <c r="A1148" s="84"/>
      <c r="B1148" s="100">
        <f t="shared" si="186"/>
        <v>0</v>
      </c>
      <c r="C1148" s="84" t="str">
        <f t="shared" si="187"/>
        <v>January</v>
      </c>
      <c r="D1148" s="85" t="str">
        <f t="shared" si="185"/>
        <v/>
      </c>
      <c r="E1148" s="86"/>
      <c r="F1148" s="86"/>
      <c r="G1148" s="86"/>
      <c r="H1148" s="86"/>
      <c r="I1148" s="87" t="str">
        <f>IF(F1148=0,"",IF(COUNTIF(F1148,"Bao"),[1]Setup!$B$4,IF(COUNTIF(F1148,"Soup Dumplings"),[1]Setup!$B$5,F1148)))</f>
        <v/>
      </c>
      <c r="J1148" s="88" t="str">
        <f t="shared" si="188"/>
        <v/>
      </c>
      <c r="K1148" s="88"/>
      <c r="L1148" s="87"/>
      <c r="M1148" s="87"/>
      <c r="N1148" s="87"/>
      <c r="O1148" s="87"/>
      <c r="P1148" s="89" t="str">
        <f t="shared" si="189"/>
        <v/>
      </c>
      <c r="Q1148" s="89" t="str">
        <f t="shared" si="190"/>
        <v/>
      </c>
      <c r="R1148" s="89" t="str">
        <f t="shared" si="191"/>
        <v/>
      </c>
      <c r="S1148" s="88" t="str">
        <f>IF(F1148="Bao",[1]Setup!$B$4,IF(F1148="Soup Dumplings",[1]Setup!$B$5,""))</f>
        <v/>
      </c>
      <c r="T1148" s="88" t="str">
        <f t="shared" si="192"/>
        <v/>
      </c>
      <c r="U1148" s="84" t="str">
        <f t="shared" si="193"/>
        <v/>
      </c>
      <c r="V1148" s="88">
        <f>IF(U1148="",0,MAX(0,T1148)+N1148+ROUND(J1148*[1]Setup!$B$9,0)+IF(O1148&gt;[1]Setup!$B$10,ROUND(J1148*[1]Setup!$B$11,0),0))</f>
        <v>0</v>
      </c>
      <c r="W1148" s="85" t="str">
        <f>IF(L1148="","Open",IF(OR(P1148&lt;[1]Setup!$B$6,Q1148&gt;[1]Setup!$B$7,R1148&gt;[1]Setup!$B$8,O1148&gt;[1]Setup!$B$10),"Review","OK"))</f>
        <v>Open</v>
      </c>
      <c r="X1148" s="86"/>
    </row>
    <row r="1149" spans="1:24" x14ac:dyDescent="0.3">
      <c r="A1149" s="84"/>
      <c r="B1149" s="100">
        <f t="shared" si="186"/>
        <v>0</v>
      </c>
      <c r="C1149" s="84" t="str">
        <f t="shared" si="187"/>
        <v>January</v>
      </c>
      <c r="D1149" s="85" t="str">
        <f t="shared" si="185"/>
        <v/>
      </c>
      <c r="E1149" s="86"/>
      <c r="F1149" s="86"/>
      <c r="G1149" s="86"/>
      <c r="H1149" s="86"/>
      <c r="I1149" s="87" t="str">
        <f>IF(F1149=0,"",IF(COUNTIF(F1149,"Bao"),[1]Setup!$B$4,IF(COUNTIF(F1149,"Soup Dumplings"),[1]Setup!$B$5,F1149)))</f>
        <v/>
      </c>
      <c r="J1149" s="88" t="str">
        <f t="shared" si="188"/>
        <v/>
      </c>
      <c r="K1149" s="88"/>
      <c r="L1149" s="87"/>
      <c r="M1149" s="87"/>
      <c r="N1149" s="87"/>
      <c r="O1149" s="87"/>
      <c r="P1149" s="89" t="str">
        <f t="shared" si="189"/>
        <v/>
      </c>
      <c r="Q1149" s="89" t="str">
        <f t="shared" si="190"/>
        <v/>
      </c>
      <c r="R1149" s="89" t="str">
        <f t="shared" si="191"/>
        <v/>
      </c>
      <c r="S1149" s="88" t="str">
        <f>IF(F1149="Bao",[1]Setup!$B$4,IF(F1149="Soup Dumplings",[1]Setup!$B$5,""))</f>
        <v/>
      </c>
      <c r="T1149" s="88" t="str">
        <f t="shared" si="192"/>
        <v/>
      </c>
      <c r="U1149" s="84" t="str">
        <f t="shared" si="193"/>
        <v/>
      </c>
      <c r="V1149" s="88">
        <f>IF(U1149="",0,MAX(0,T1149)+N1149+ROUND(J1149*[1]Setup!$B$9,0)+IF(O1149&gt;[1]Setup!$B$10,ROUND(J1149*[1]Setup!$B$11,0),0))</f>
        <v>0</v>
      </c>
      <c r="W1149" s="85" t="str">
        <f>IF(L1149="","Open",IF(OR(P1149&lt;[1]Setup!$B$6,Q1149&gt;[1]Setup!$B$7,R1149&gt;[1]Setup!$B$8,O1149&gt;[1]Setup!$B$10),"Review","OK"))</f>
        <v>Open</v>
      </c>
      <c r="X1149" s="86"/>
    </row>
    <row r="1150" spans="1:24" x14ac:dyDescent="0.3">
      <c r="A1150" s="84"/>
      <c r="B1150" s="100">
        <f t="shared" si="186"/>
        <v>0</v>
      </c>
      <c r="C1150" s="84" t="str">
        <f t="shared" si="187"/>
        <v>January</v>
      </c>
      <c r="D1150" s="85" t="str">
        <f t="shared" si="185"/>
        <v/>
      </c>
      <c r="E1150" s="86"/>
      <c r="F1150" s="86"/>
      <c r="G1150" s="86"/>
      <c r="H1150" s="86"/>
      <c r="I1150" s="87" t="str">
        <f>IF(F1150=0,"",IF(COUNTIF(F1150,"Bao"),[1]Setup!$B$4,IF(COUNTIF(F1150,"Soup Dumplings"),[1]Setup!$B$5,F1150)))</f>
        <v/>
      </c>
      <c r="J1150" s="88" t="str">
        <f t="shared" si="188"/>
        <v/>
      </c>
      <c r="K1150" s="88"/>
      <c r="L1150" s="87"/>
      <c r="M1150" s="87"/>
      <c r="N1150" s="87"/>
      <c r="O1150" s="87"/>
      <c r="P1150" s="89" t="str">
        <f t="shared" si="189"/>
        <v/>
      </c>
      <c r="Q1150" s="89" t="str">
        <f t="shared" si="190"/>
        <v/>
      </c>
      <c r="R1150" s="89" t="str">
        <f t="shared" si="191"/>
        <v/>
      </c>
      <c r="S1150" s="88" t="str">
        <f>IF(F1150="Bao",[1]Setup!$B$4,IF(F1150="Soup Dumplings",[1]Setup!$B$5,""))</f>
        <v/>
      </c>
      <c r="T1150" s="88" t="str">
        <f t="shared" si="192"/>
        <v/>
      </c>
      <c r="U1150" s="84" t="str">
        <f t="shared" si="193"/>
        <v/>
      </c>
      <c r="V1150" s="88">
        <f>IF(U1150="",0,MAX(0,T1150)+N1150+ROUND(J1150*[1]Setup!$B$9,0)+IF(O1150&gt;[1]Setup!$B$10,ROUND(J1150*[1]Setup!$B$11,0),0))</f>
        <v>0</v>
      </c>
      <c r="W1150" s="85" t="str">
        <f>IF(L1150="","Open",IF(OR(P1150&lt;[1]Setup!$B$6,Q1150&gt;[1]Setup!$B$7,R1150&gt;[1]Setup!$B$8,O1150&gt;[1]Setup!$B$10),"Review","OK"))</f>
        <v>Open</v>
      </c>
      <c r="X1150" s="86"/>
    </row>
    <row r="1151" spans="1:24" x14ac:dyDescent="0.3">
      <c r="A1151" s="84"/>
      <c r="B1151" s="100">
        <f t="shared" si="186"/>
        <v>0</v>
      </c>
      <c r="C1151" s="84" t="str">
        <f t="shared" si="187"/>
        <v>January</v>
      </c>
      <c r="D1151" s="85" t="str">
        <f t="shared" si="185"/>
        <v/>
      </c>
      <c r="E1151" s="86"/>
      <c r="F1151" s="86"/>
      <c r="G1151" s="86"/>
      <c r="H1151" s="86"/>
      <c r="I1151" s="87" t="str">
        <f>IF(F1151=0,"",IF(COUNTIF(F1151,"Bao"),[1]Setup!$B$4,IF(COUNTIF(F1151,"Soup Dumplings"),[1]Setup!$B$5,F1151)))</f>
        <v/>
      </c>
      <c r="J1151" s="88" t="str">
        <f t="shared" si="188"/>
        <v/>
      </c>
      <c r="K1151" s="88"/>
      <c r="L1151" s="87"/>
      <c r="M1151" s="87"/>
      <c r="N1151" s="87"/>
      <c r="O1151" s="87"/>
      <c r="P1151" s="89" t="str">
        <f t="shared" si="189"/>
        <v/>
      </c>
      <c r="Q1151" s="89" t="str">
        <f t="shared" si="190"/>
        <v/>
      </c>
      <c r="R1151" s="89" t="str">
        <f t="shared" si="191"/>
        <v/>
      </c>
      <c r="S1151" s="88" t="str">
        <f>IF(F1151="Bao",[1]Setup!$B$4,IF(F1151="Soup Dumplings",[1]Setup!$B$5,""))</f>
        <v/>
      </c>
      <c r="T1151" s="88" t="str">
        <f t="shared" si="192"/>
        <v/>
      </c>
      <c r="U1151" s="84" t="str">
        <f t="shared" si="193"/>
        <v/>
      </c>
      <c r="V1151" s="88">
        <f>IF(U1151="",0,MAX(0,T1151)+N1151+ROUND(J1151*[1]Setup!$B$9,0)+IF(O1151&gt;[1]Setup!$B$10,ROUND(J1151*[1]Setup!$B$11,0),0))</f>
        <v>0</v>
      </c>
      <c r="W1151" s="85" t="str">
        <f>IF(L1151="","Open",IF(OR(P1151&lt;[1]Setup!$B$6,Q1151&gt;[1]Setup!$B$7,R1151&gt;[1]Setup!$B$8,O1151&gt;[1]Setup!$B$10),"Review","OK"))</f>
        <v>Open</v>
      </c>
      <c r="X1151" s="86"/>
    </row>
    <row r="1152" spans="1:24" x14ac:dyDescent="0.3">
      <c r="A1152" s="84"/>
      <c r="B1152" s="100">
        <f t="shared" si="186"/>
        <v>0</v>
      </c>
      <c r="C1152" s="84" t="str">
        <f t="shared" si="187"/>
        <v>January</v>
      </c>
      <c r="D1152" s="85" t="str">
        <f t="shared" si="185"/>
        <v/>
      </c>
      <c r="E1152" s="86"/>
      <c r="F1152" s="86"/>
      <c r="G1152" s="86"/>
      <c r="H1152" s="86"/>
      <c r="I1152" s="87" t="str">
        <f>IF(F1152=0,"",IF(COUNTIF(F1152,"Bao"),[1]Setup!$B$4,IF(COUNTIF(F1152,"Soup Dumplings"),[1]Setup!$B$5,F1152)))</f>
        <v/>
      </c>
      <c r="J1152" s="88" t="str">
        <f t="shared" si="188"/>
        <v/>
      </c>
      <c r="K1152" s="88"/>
      <c r="L1152" s="87"/>
      <c r="M1152" s="87"/>
      <c r="N1152" s="87"/>
      <c r="O1152" s="87"/>
      <c r="P1152" s="89" t="str">
        <f t="shared" si="189"/>
        <v/>
      </c>
      <c r="Q1152" s="89" t="str">
        <f t="shared" si="190"/>
        <v/>
      </c>
      <c r="R1152" s="89" t="str">
        <f t="shared" si="191"/>
        <v/>
      </c>
      <c r="S1152" s="88" t="str">
        <f>IF(F1152="Bao",[1]Setup!$B$4,IF(F1152="Soup Dumplings",[1]Setup!$B$5,""))</f>
        <v/>
      </c>
      <c r="T1152" s="88" t="str">
        <f t="shared" si="192"/>
        <v/>
      </c>
      <c r="U1152" s="84" t="str">
        <f t="shared" si="193"/>
        <v/>
      </c>
      <c r="V1152" s="88">
        <f>IF(U1152="",0,MAX(0,T1152)+N1152+ROUND(J1152*[1]Setup!$B$9,0)+IF(O1152&gt;[1]Setup!$B$10,ROUND(J1152*[1]Setup!$B$11,0),0))</f>
        <v>0</v>
      </c>
      <c r="W1152" s="85" t="str">
        <f>IF(L1152="","Open",IF(OR(P1152&lt;[1]Setup!$B$6,Q1152&gt;[1]Setup!$B$7,R1152&gt;[1]Setup!$B$8,O1152&gt;[1]Setup!$B$10),"Review","OK"))</f>
        <v>Open</v>
      </c>
      <c r="X1152" s="86"/>
    </row>
    <row r="1153" spans="1:24" x14ac:dyDescent="0.3">
      <c r="A1153" s="84"/>
      <c r="B1153" s="100">
        <f t="shared" si="186"/>
        <v>0</v>
      </c>
      <c r="C1153" s="84" t="str">
        <f t="shared" si="187"/>
        <v>January</v>
      </c>
      <c r="D1153" s="85" t="str">
        <f t="shared" si="185"/>
        <v/>
      </c>
      <c r="E1153" s="86"/>
      <c r="F1153" s="86"/>
      <c r="G1153" s="86"/>
      <c r="H1153" s="86"/>
      <c r="I1153" s="87" t="str">
        <f>IF(F1153=0,"",IF(COUNTIF(F1153,"Bao"),[1]Setup!$B$4,IF(COUNTIF(F1153,"Soup Dumplings"),[1]Setup!$B$5,F1153)))</f>
        <v/>
      </c>
      <c r="J1153" s="88" t="str">
        <f t="shared" si="188"/>
        <v/>
      </c>
      <c r="K1153" s="88"/>
      <c r="L1153" s="87"/>
      <c r="M1153" s="87"/>
      <c r="N1153" s="87"/>
      <c r="O1153" s="87"/>
      <c r="P1153" s="89" t="str">
        <f t="shared" si="189"/>
        <v/>
      </c>
      <c r="Q1153" s="89" t="str">
        <f t="shared" si="190"/>
        <v/>
      </c>
      <c r="R1153" s="89" t="str">
        <f t="shared" si="191"/>
        <v/>
      </c>
      <c r="S1153" s="88" t="str">
        <f>IF(F1153="Bao",[1]Setup!$B$4,IF(F1153="Soup Dumplings",[1]Setup!$B$5,""))</f>
        <v/>
      </c>
      <c r="T1153" s="88" t="str">
        <f t="shared" si="192"/>
        <v/>
      </c>
      <c r="U1153" s="84" t="str">
        <f t="shared" si="193"/>
        <v/>
      </c>
      <c r="V1153" s="88">
        <f>IF(U1153="",0,MAX(0,T1153)+N1153+ROUND(J1153*[1]Setup!$B$9,0)+IF(O1153&gt;[1]Setup!$B$10,ROUND(J1153*[1]Setup!$B$11,0),0))</f>
        <v>0</v>
      </c>
      <c r="W1153" s="85" t="str">
        <f>IF(L1153="","Open",IF(OR(P1153&lt;[1]Setup!$B$6,Q1153&gt;[1]Setup!$B$7,R1153&gt;[1]Setup!$B$8,O1153&gt;[1]Setup!$B$10),"Review","OK"))</f>
        <v>Open</v>
      </c>
      <c r="X1153" s="86"/>
    </row>
    <row r="1154" spans="1:24" x14ac:dyDescent="0.3">
      <c r="A1154" s="84"/>
      <c r="B1154" s="100">
        <f t="shared" si="186"/>
        <v>0</v>
      </c>
      <c r="C1154" s="84" t="str">
        <f t="shared" si="187"/>
        <v>January</v>
      </c>
      <c r="D1154" s="85" t="str">
        <f t="shared" si="185"/>
        <v/>
      </c>
      <c r="E1154" s="86"/>
      <c r="F1154" s="86"/>
      <c r="G1154" s="86"/>
      <c r="H1154" s="86"/>
      <c r="I1154" s="87" t="str">
        <f>IF(F1154=0,"",IF(COUNTIF(F1154,"Bao"),[1]Setup!$B$4,IF(COUNTIF(F1154,"Soup Dumplings"),[1]Setup!$B$5,F1154)))</f>
        <v/>
      </c>
      <c r="J1154" s="88" t="str">
        <f t="shared" si="188"/>
        <v/>
      </c>
      <c r="K1154" s="88"/>
      <c r="L1154" s="87"/>
      <c r="M1154" s="87"/>
      <c r="N1154" s="87"/>
      <c r="O1154" s="87"/>
      <c r="P1154" s="89" t="str">
        <f t="shared" si="189"/>
        <v/>
      </c>
      <c r="Q1154" s="89" t="str">
        <f t="shared" si="190"/>
        <v/>
      </c>
      <c r="R1154" s="89" t="str">
        <f t="shared" si="191"/>
        <v/>
      </c>
      <c r="S1154" s="88" t="str">
        <f>IF(F1154="Bao",[1]Setup!$B$4,IF(F1154="Soup Dumplings",[1]Setup!$B$5,""))</f>
        <v/>
      </c>
      <c r="T1154" s="88" t="str">
        <f t="shared" si="192"/>
        <v/>
      </c>
      <c r="U1154" s="84" t="str">
        <f t="shared" si="193"/>
        <v/>
      </c>
      <c r="V1154" s="88">
        <f>IF(U1154="",0,MAX(0,T1154)+N1154+ROUND(J1154*[1]Setup!$B$9,0)+IF(O1154&gt;[1]Setup!$B$10,ROUND(J1154*[1]Setup!$B$11,0),0))</f>
        <v>0</v>
      </c>
      <c r="W1154" s="85" t="str">
        <f>IF(L1154="","Open",IF(OR(P1154&lt;[1]Setup!$B$6,Q1154&gt;[1]Setup!$B$7,R1154&gt;[1]Setup!$B$8,O1154&gt;[1]Setup!$B$10),"Review","OK"))</f>
        <v>Open</v>
      </c>
      <c r="X1154" s="86"/>
    </row>
    <row r="1155" spans="1:24" x14ac:dyDescent="0.3">
      <c r="A1155" s="84"/>
      <c r="B1155" s="100">
        <f t="shared" si="186"/>
        <v>0</v>
      </c>
      <c r="C1155" s="84" t="str">
        <f t="shared" si="187"/>
        <v>January</v>
      </c>
      <c r="D1155" s="85" t="str">
        <f t="shared" si="185"/>
        <v/>
      </c>
      <c r="E1155" s="86"/>
      <c r="F1155" s="86"/>
      <c r="G1155" s="86"/>
      <c r="H1155" s="86"/>
      <c r="I1155" s="87" t="str">
        <f>IF(F1155=0,"",IF(COUNTIF(F1155,"Bao"),[1]Setup!$B$4,IF(COUNTIF(F1155,"Soup Dumplings"),[1]Setup!$B$5,F1155)))</f>
        <v/>
      </c>
      <c r="J1155" s="88" t="str">
        <f t="shared" si="188"/>
        <v/>
      </c>
      <c r="K1155" s="88"/>
      <c r="L1155" s="87"/>
      <c r="M1155" s="87"/>
      <c r="N1155" s="87"/>
      <c r="O1155" s="87"/>
      <c r="P1155" s="89" t="str">
        <f t="shared" si="189"/>
        <v/>
      </c>
      <c r="Q1155" s="89" t="str">
        <f t="shared" si="190"/>
        <v/>
      </c>
      <c r="R1155" s="89" t="str">
        <f t="shared" si="191"/>
        <v/>
      </c>
      <c r="S1155" s="88" t="str">
        <f>IF(F1155="Bao",[1]Setup!$B$4,IF(F1155="Soup Dumplings",[1]Setup!$B$5,""))</f>
        <v/>
      </c>
      <c r="T1155" s="88" t="str">
        <f t="shared" si="192"/>
        <v/>
      </c>
      <c r="U1155" s="84" t="str">
        <f t="shared" si="193"/>
        <v/>
      </c>
      <c r="V1155" s="88">
        <f>IF(U1155="",0,MAX(0,T1155)+N1155+ROUND(J1155*[1]Setup!$B$9,0)+IF(O1155&gt;[1]Setup!$B$10,ROUND(J1155*[1]Setup!$B$11,0),0))</f>
        <v>0</v>
      </c>
      <c r="W1155" s="85" t="str">
        <f>IF(L1155="","Open",IF(OR(P1155&lt;[1]Setup!$B$6,Q1155&gt;[1]Setup!$B$7,R1155&gt;[1]Setup!$B$8,O1155&gt;[1]Setup!$B$10),"Review","OK"))</f>
        <v>Open</v>
      </c>
      <c r="X1155" s="86"/>
    </row>
    <row r="1156" spans="1:24" x14ac:dyDescent="0.3">
      <c r="A1156" s="84"/>
      <c r="B1156" s="100">
        <f t="shared" si="186"/>
        <v>0</v>
      </c>
      <c r="C1156" s="84" t="str">
        <f t="shared" si="187"/>
        <v>January</v>
      </c>
      <c r="D1156" s="85" t="str">
        <f t="shared" ref="D1156:D1219" si="194">IF(A1156="","",TEXT(A1156,"ddd"))</f>
        <v/>
      </c>
      <c r="E1156" s="86"/>
      <c r="F1156" s="86"/>
      <c r="G1156" s="86"/>
      <c r="H1156" s="86"/>
      <c r="I1156" s="87" t="str">
        <f>IF(F1156=0,"",IF(COUNTIF(F1156,"Bao"),[1]Setup!$B$4,IF(COUNTIF(F1156,"Soup Dumplings"),[1]Setup!$B$5,F1156)))</f>
        <v/>
      </c>
      <c r="J1156" s="88" t="str">
        <f t="shared" si="188"/>
        <v/>
      </c>
      <c r="K1156" s="88"/>
      <c r="L1156" s="87"/>
      <c r="M1156" s="87"/>
      <c r="N1156" s="87"/>
      <c r="O1156" s="87"/>
      <c r="P1156" s="89" t="str">
        <f t="shared" si="189"/>
        <v/>
      </c>
      <c r="Q1156" s="89" t="str">
        <f t="shared" si="190"/>
        <v/>
      </c>
      <c r="R1156" s="89" t="str">
        <f t="shared" si="191"/>
        <v/>
      </c>
      <c r="S1156" s="88" t="str">
        <f>IF(F1156="Bao",[1]Setup!$B$4,IF(F1156="Soup Dumplings",[1]Setup!$B$5,""))</f>
        <v/>
      </c>
      <c r="T1156" s="88" t="str">
        <f t="shared" si="192"/>
        <v/>
      </c>
      <c r="U1156" s="84" t="str">
        <f t="shared" si="193"/>
        <v/>
      </c>
      <c r="V1156" s="88">
        <f>IF(U1156="",0,MAX(0,T1156)+N1156+ROUND(J1156*[1]Setup!$B$9,0)+IF(O1156&gt;[1]Setup!$B$10,ROUND(J1156*[1]Setup!$B$11,0),0))</f>
        <v>0</v>
      </c>
      <c r="W1156" s="85" t="str">
        <f>IF(L1156="","Open",IF(OR(P1156&lt;[1]Setup!$B$6,Q1156&gt;[1]Setup!$B$7,R1156&gt;[1]Setup!$B$8,O1156&gt;[1]Setup!$B$10),"Review","OK"))</f>
        <v>Open</v>
      </c>
      <c r="X1156" s="86"/>
    </row>
    <row r="1157" spans="1:24" x14ac:dyDescent="0.3">
      <c r="A1157" s="84"/>
      <c r="B1157" s="100">
        <f t="shared" ref="B1157:B1220" si="195">+WEEKNUM(A1157)</f>
        <v>0</v>
      </c>
      <c r="C1157" s="84" t="str">
        <f t="shared" ref="C1157:C1220" si="196">+TEXT(A1157,"mmmm")</f>
        <v>January</v>
      </c>
      <c r="D1157" s="85" t="str">
        <f t="shared" si="194"/>
        <v/>
      </c>
      <c r="E1157" s="86"/>
      <c r="F1157" s="86"/>
      <c r="G1157" s="86"/>
      <c r="H1157" s="86"/>
      <c r="I1157" s="87" t="str">
        <f>IF(F1157=0,"",IF(COUNTIF(F1157,"Bao"),[1]Setup!$B$4,IF(COUNTIF(F1157,"Soup Dumplings"),[1]Setup!$B$5,F1157)))</f>
        <v/>
      </c>
      <c r="J1157" s="88" t="str">
        <f t="shared" si="188"/>
        <v/>
      </c>
      <c r="K1157" s="88"/>
      <c r="L1157" s="87"/>
      <c r="M1157" s="87"/>
      <c r="N1157" s="87"/>
      <c r="O1157" s="87"/>
      <c r="P1157" s="89" t="str">
        <f t="shared" si="189"/>
        <v/>
      </c>
      <c r="Q1157" s="89" t="str">
        <f t="shared" si="190"/>
        <v/>
      </c>
      <c r="R1157" s="89" t="str">
        <f t="shared" si="191"/>
        <v/>
      </c>
      <c r="S1157" s="88" t="str">
        <f>IF(F1157="Bao",[1]Setup!$B$4,IF(F1157="Soup Dumplings",[1]Setup!$B$5,""))</f>
        <v/>
      </c>
      <c r="T1157" s="88" t="str">
        <f t="shared" si="192"/>
        <v/>
      </c>
      <c r="U1157" s="84" t="str">
        <f t="shared" si="193"/>
        <v/>
      </c>
      <c r="V1157" s="88">
        <f>IF(U1157="",0,MAX(0,T1157)+N1157+ROUND(J1157*[1]Setup!$B$9,0)+IF(O1157&gt;[1]Setup!$B$10,ROUND(J1157*[1]Setup!$B$11,0),0))</f>
        <v>0</v>
      </c>
      <c r="W1157" s="85" t="str">
        <f>IF(L1157="","Open",IF(OR(P1157&lt;[1]Setup!$B$6,Q1157&gt;[1]Setup!$B$7,R1157&gt;[1]Setup!$B$8,O1157&gt;[1]Setup!$B$10),"Review","OK"))</f>
        <v>Open</v>
      </c>
      <c r="X1157" s="86"/>
    </row>
    <row r="1158" spans="1:24" x14ac:dyDescent="0.3">
      <c r="A1158" s="84"/>
      <c r="B1158" s="100">
        <f t="shared" si="195"/>
        <v>0</v>
      </c>
      <c r="C1158" s="84" t="str">
        <f t="shared" si="196"/>
        <v>January</v>
      </c>
      <c r="D1158" s="85" t="str">
        <f t="shared" si="194"/>
        <v/>
      </c>
      <c r="E1158" s="86"/>
      <c r="F1158" s="86"/>
      <c r="G1158" s="86"/>
      <c r="H1158" s="86"/>
      <c r="I1158" s="87" t="str">
        <f>IF(F1158=0,"",IF(COUNTIF(F1158,"Bao"),[1]Setup!$B$4,IF(COUNTIF(F1158,"Soup Dumplings"),[1]Setup!$B$5,F1158)))</f>
        <v/>
      </c>
      <c r="J1158" s="88" t="str">
        <f t="shared" si="188"/>
        <v/>
      </c>
      <c r="K1158" s="88"/>
      <c r="L1158" s="87"/>
      <c r="M1158" s="87"/>
      <c r="N1158" s="87"/>
      <c r="O1158" s="87"/>
      <c r="P1158" s="89" t="str">
        <f t="shared" si="189"/>
        <v/>
      </c>
      <c r="Q1158" s="89" t="str">
        <f t="shared" si="190"/>
        <v/>
      </c>
      <c r="R1158" s="89" t="str">
        <f t="shared" si="191"/>
        <v/>
      </c>
      <c r="S1158" s="88" t="str">
        <f>IF(F1158="Bao",[1]Setup!$B$4,IF(F1158="Soup Dumplings",[1]Setup!$B$5,""))</f>
        <v/>
      </c>
      <c r="T1158" s="88" t="str">
        <f t="shared" si="192"/>
        <v/>
      </c>
      <c r="U1158" s="84" t="str">
        <f t="shared" si="193"/>
        <v/>
      </c>
      <c r="V1158" s="88">
        <f>IF(U1158="",0,MAX(0,T1158)+N1158+ROUND(J1158*[1]Setup!$B$9,0)+IF(O1158&gt;[1]Setup!$B$10,ROUND(J1158*[1]Setup!$B$11,0),0))</f>
        <v>0</v>
      </c>
      <c r="W1158" s="85" t="str">
        <f>IF(L1158="","Open",IF(OR(P1158&lt;[1]Setup!$B$6,Q1158&gt;[1]Setup!$B$7,R1158&gt;[1]Setup!$B$8,O1158&gt;[1]Setup!$B$10),"Review","OK"))</f>
        <v>Open</v>
      </c>
      <c r="X1158" s="86"/>
    </row>
    <row r="1159" spans="1:24" x14ac:dyDescent="0.3">
      <c r="A1159" s="84"/>
      <c r="B1159" s="100">
        <f t="shared" si="195"/>
        <v>0</v>
      </c>
      <c r="C1159" s="84" t="str">
        <f t="shared" si="196"/>
        <v>January</v>
      </c>
      <c r="D1159" s="85" t="str">
        <f t="shared" si="194"/>
        <v/>
      </c>
      <c r="E1159" s="86"/>
      <c r="F1159" s="86"/>
      <c r="G1159" s="86"/>
      <c r="H1159" s="86"/>
      <c r="I1159" s="87" t="str">
        <f>IF(F1159=0,"",IF(COUNTIF(F1159,"Bao"),[1]Setup!$B$4,IF(COUNTIF(F1159,"Soup Dumplings"),[1]Setup!$B$5,F1159)))</f>
        <v/>
      </c>
      <c r="J1159" s="88" t="str">
        <f t="shared" si="188"/>
        <v/>
      </c>
      <c r="K1159" s="88"/>
      <c r="L1159" s="87"/>
      <c r="M1159" s="87"/>
      <c r="N1159" s="87"/>
      <c r="O1159" s="87"/>
      <c r="P1159" s="89" t="str">
        <f t="shared" si="189"/>
        <v/>
      </c>
      <c r="Q1159" s="89" t="str">
        <f t="shared" si="190"/>
        <v/>
      </c>
      <c r="R1159" s="89" t="str">
        <f t="shared" si="191"/>
        <v/>
      </c>
      <c r="S1159" s="88" t="str">
        <f>IF(F1159="Bao",[1]Setup!$B$4,IF(F1159="Soup Dumplings",[1]Setup!$B$5,""))</f>
        <v/>
      </c>
      <c r="T1159" s="88" t="str">
        <f t="shared" si="192"/>
        <v/>
      </c>
      <c r="U1159" s="84" t="str">
        <f t="shared" si="193"/>
        <v/>
      </c>
      <c r="V1159" s="88">
        <f>IF(U1159="",0,MAX(0,T1159)+N1159+ROUND(J1159*[1]Setup!$B$9,0)+IF(O1159&gt;[1]Setup!$B$10,ROUND(J1159*[1]Setup!$B$11,0),0))</f>
        <v>0</v>
      </c>
      <c r="W1159" s="85" t="str">
        <f>IF(L1159="","Open",IF(OR(P1159&lt;[1]Setup!$B$6,Q1159&gt;[1]Setup!$B$7,R1159&gt;[1]Setup!$B$8,O1159&gt;[1]Setup!$B$10),"Review","OK"))</f>
        <v>Open</v>
      </c>
      <c r="X1159" s="86"/>
    </row>
    <row r="1160" spans="1:24" x14ac:dyDescent="0.3">
      <c r="A1160" s="84"/>
      <c r="B1160" s="100">
        <f t="shared" si="195"/>
        <v>0</v>
      </c>
      <c r="C1160" s="84" t="str">
        <f t="shared" si="196"/>
        <v>January</v>
      </c>
      <c r="D1160" s="85" t="str">
        <f t="shared" si="194"/>
        <v/>
      </c>
      <c r="E1160" s="86"/>
      <c r="F1160" s="86"/>
      <c r="G1160" s="86"/>
      <c r="H1160" s="86"/>
      <c r="I1160" s="87" t="str">
        <f>IF(F1160=0,"",IF(COUNTIF(F1160,"Bao"),[1]Setup!$B$4,IF(COUNTIF(F1160,"Soup Dumplings"),[1]Setup!$B$5,F1160)))</f>
        <v/>
      </c>
      <c r="J1160" s="88" t="str">
        <f t="shared" si="188"/>
        <v/>
      </c>
      <c r="K1160" s="88"/>
      <c r="L1160" s="87"/>
      <c r="M1160" s="87"/>
      <c r="N1160" s="87"/>
      <c r="O1160" s="87"/>
      <c r="P1160" s="89" t="str">
        <f t="shared" si="189"/>
        <v/>
      </c>
      <c r="Q1160" s="89" t="str">
        <f t="shared" si="190"/>
        <v/>
      </c>
      <c r="R1160" s="89" t="str">
        <f t="shared" si="191"/>
        <v/>
      </c>
      <c r="S1160" s="88" t="str">
        <f>IF(F1160="Bao",[1]Setup!$B$4,IF(F1160="Soup Dumplings",[1]Setup!$B$5,""))</f>
        <v/>
      </c>
      <c r="T1160" s="88" t="str">
        <f t="shared" si="192"/>
        <v/>
      </c>
      <c r="U1160" s="84" t="str">
        <f t="shared" si="193"/>
        <v/>
      </c>
      <c r="V1160" s="88">
        <f>IF(U1160="",0,MAX(0,T1160)+N1160+ROUND(J1160*[1]Setup!$B$9,0)+IF(O1160&gt;[1]Setup!$B$10,ROUND(J1160*[1]Setup!$B$11,0),0))</f>
        <v>0</v>
      </c>
      <c r="W1160" s="85" t="str">
        <f>IF(L1160="","Open",IF(OR(P1160&lt;[1]Setup!$B$6,Q1160&gt;[1]Setup!$B$7,R1160&gt;[1]Setup!$B$8,O1160&gt;[1]Setup!$B$10),"Review","OK"))</f>
        <v>Open</v>
      </c>
      <c r="X1160" s="86"/>
    </row>
    <row r="1161" spans="1:24" x14ac:dyDescent="0.3">
      <c r="A1161" s="84"/>
      <c r="B1161" s="100">
        <f t="shared" si="195"/>
        <v>0</v>
      </c>
      <c r="C1161" s="84" t="str">
        <f t="shared" si="196"/>
        <v>January</v>
      </c>
      <c r="D1161" s="85" t="str">
        <f t="shared" si="194"/>
        <v/>
      </c>
      <c r="E1161" s="86"/>
      <c r="F1161" s="86"/>
      <c r="G1161" s="86"/>
      <c r="H1161" s="86"/>
      <c r="I1161" s="87" t="str">
        <f>IF(F1161=0,"",IF(COUNTIF(F1161,"Bao"),[1]Setup!$B$4,IF(COUNTIF(F1161,"Soup Dumplings"),[1]Setup!$B$5,F1161)))</f>
        <v/>
      </c>
      <c r="J1161" s="88" t="str">
        <f t="shared" si="188"/>
        <v/>
      </c>
      <c r="K1161" s="88"/>
      <c r="L1161" s="87"/>
      <c r="M1161" s="87"/>
      <c r="N1161" s="87"/>
      <c r="O1161" s="87"/>
      <c r="P1161" s="89" t="str">
        <f t="shared" si="189"/>
        <v/>
      </c>
      <c r="Q1161" s="89" t="str">
        <f t="shared" si="190"/>
        <v/>
      </c>
      <c r="R1161" s="89" t="str">
        <f t="shared" si="191"/>
        <v/>
      </c>
      <c r="S1161" s="88" t="str">
        <f>IF(F1161="Bao",[1]Setup!$B$4,IF(F1161="Soup Dumplings",[1]Setup!$B$5,""))</f>
        <v/>
      </c>
      <c r="T1161" s="88" t="str">
        <f t="shared" si="192"/>
        <v/>
      </c>
      <c r="U1161" s="84" t="str">
        <f t="shared" si="193"/>
        <v/>
      </c>
      <c r="V1161" s="88">
        <f>IF(U1161="",0,MAX(0,T1161)+N1161+ROUND(J1161*[1]Setup!$B$9,0)+IF(O1161&gt;[1]Setup!$B$10,ROUND(J1161*[1]Setup!$B$11,0),0))</f>
        <v>0</v>
      </c>
      <c r="W1161" s="85" t="str">
        <f>IF(L1161="","Open",IF(OR(P1161&lt;[1]Setup!$B$6,Q1161&gt;[1]Setup!$B$7,R1161&gt;[1]Setup!$B$8,O1161&gt;[1]Setup!$B$10),"Review","OK"))</f>
        <v>Open</v>
      </c>
      <c r="X1161" s="86"/>
    </row>
    <row r="1162" spans="1:24" x14ac:dyDescent="0.3">
      <c r="A1162" s="84"/>
      <c r="B1162" s="100">
        <f t="shared" si="195"/>
        <v>0</v>
      </c>
      <c r="C1162" s="84" t="str">
        <f t="shared" si="196"/>
        <v>January</v>
      </c>
      <c r="D1162" s="85" t="str">
        <f t="shared" si="194"/>
        <v/>
      </c>
      <c r="E1162" s="86"/>
      <c r="F1162" s="86"/>
      <c r="G1162" s="86"/>
      <c r="H1162" s="86"/>
      <c r="I1162" s="87" t="str">
        <f>IF(F1162=0,"",IF(COUNTIF(F1162,"Bao"),[1]Setup!$B$4,IF(COUNTIF(F1162,"Soup Dumplings"),[1]Setup!$B$5,F1162)))</f>
        <v/>
      </c>
      <c r="J1162" s="88" t="str">
        <f t="shared" si="188"/>
        <v/>
      </c>
      <c r="K1162" s="88"/>
      <c r="L1162" s="87"/>
      <c r="M1162" s="87"/>
      <c r="N1162" s="87"/>
      <c r="O1162" s="87"/>
      <c r="P1162" s="89" t="str">
        <f t="shared" si="189"/>
        <v/>
      </c>
      <c r="Q1162" s="89" t="str">
        <f t="shared" si="190"/>
        <v/>
      </c>
      <c r="R1162" s="89" t="str">
        <f t="shared" si="191"/>
        <v/>
      </c>
      <c r="S1162" s="88" t="str">
        <f>IF(F1162="Bao",[1]Setup!$B$4,IF(F1162="Soup Dumplings",[1]Setup!$B$5,""))</f>
        <v/>
      </c>
      <c r="T1162" s="88" t="str">
        <f t="shared" si="192"/>
        <v/>
      </c>
      <c r="U1162" s="84" t="str">
        <f t="shared" si="193"/>
        <v/>
      </c>
      <c r="V1162" s="88">
        <f>IF(U1162="",0,MAX(0,T1162)+N1162+ROUND(J1162*[1]Setup!$B$9,0)+IF(O1162&gt;[1]Setup!$B$10,ROUND(J1162*[1]Setup!$B$11,0),0))</f>
        <v>0</v>
      </c>
      <c r="W1162" s="85" t="str">
        <f>IF(L1162="","Open",IF(OR(P1162&lt;[1]Setup!$B$6,Q1162&gt;[1]Setup!$B$7,R1162&gt;[1]Setup!$B$8,O1162&gt;[1]Setup!$B$10),"Review","OK"))</f>
        <v>Open</v>
      </c>
      <c r="X1162" s="86"/>
    </row>
    <row r="1163" spans="1:24" x14ac:dyDescent="0.3">
      <c r="A1163" s="84"/>
      <c r="B1163" s="100">
        <f t="shared" si="195"/>
        <v>0</v>
      </c>
      <c r="C1163" s="84" t="str">
        <f t="shared" si="196"/>
        <v>January</v>
      </c>
      <c r="D1163" s="85" t="str">
        <f t="shared" si="194"/>
        <v/>
      </c>
      <c r="E1163" s="86"/>
      <c r="F1163" s="86"/>
      <c r="G1163" s="86"/>
      <c r="H1163" s="86"/>
      <c r="I1163" s="87" t="str">
        <f>IF(F1163=0,"",IF(COUNTIF(F1163,"Bao"),[1]Setup!$B$4,IF(COUNTIF(F1163,"Soup Dumplings"),[1]Setup!$B$5,F1163)))</f>
        <v/>
      </c>
      <c r="J1163" s="88" t="str">
        <f t="shared" si="188"/>
        <v/>
      </c>
      <c r="K1163" s="88"/>
      <c r="L1163" s="87"/>
      <c r="M1163" s="87"/>
      <c r="N1163" s="87"/>
      <c r="O1163" s="87"/>
      <c r="P1163" s="89" t="str">
        <f t="shared" si="189"/>
        <v/>
      </c>
      <c r="Q1163" s="89" t="str">
        <f t="shared" si="190"/>
        <v/>
      </c>
      <c r="R1163" s="89" t="str">
        <f t="shared" si="191"/>
        <v/>
      </c>
      <c r="S1163" s="88" t="str">
        <f>IF(F1163="Bao",[1]Setup!$B$4,IF(F1163="Soup Dumplings",[1]Setup!$B$5,""))</f>
        <v/>
      </c>
      <c r="T1163" s="88" t="str">
        <f t="shared" si="192"/>
        <v/>
      </c>
      <c r="U1163" s="84" t="str">
        <f t="shared" si="193"/>
        <v/>
      </c>
      <c r="V1163" s="88">
        <f>IF(U1163="",0,MAX(0,T1163)+N1163+ROUND(J1163*[1]Setup!$B$9,0)+IF(O1163&gt;[1]Setup!$B$10,ROUND(J1163*[1]Setup!$B$11,0),0))</f>
        <v>0</v>
      </c>
      <c r="W1163" s="85" t="str">
        <f>IF(L1163="","Open",IF(OR(P1163&lt;[1]Setup!$B$6,Q1163&gt;[1]Setup!$B$7,R1163&gt;[1]Setup!$B$8,O1163&gt;[1]Setup!$B$10),"Review","OK"))</f>
        <v>Open</v>
      </c>
      <c r="X1163" s="86"/>
    </row>
    <row r="1164" spans="1:24" x14ac:dyDescent="0.3">
      <c r="A1164" s="84"/>
      <c r="B1164" s="100">
        <f t="shared" si="195"/>
        <v>0</v>
      </c>
      <c r="C1164" s="84" t="str">
        <f t="shared" si="196"/>
        <v>January</v>
      </c>
      <c r="D1164" s="85" t="str">
        <f t="shared" si="194"/>
        <v/>
      </c>
      <c r="E1164" s="86"/>
      <c r="F1164" s="86"/>
      <c r="G1164" s="86"/>
      <c r="H1164" s="86"/>
      <c r="I1164" s="87" t="str">
        <f>IF(F1164=0,"",IF(COUNTIF(F1164,"Bao"),[1]Setup!$B$4,IF(COUNTIF(F1164,"Soup Dumplings"),[1]Setup!$B$5,F1164)))</f>
        <v/>
      </c>
      <c r="J1164" s="88" t="str">
        <f t="shared" si="188"/>
        <v/>
      </c>
      <c r="K1164" s="88"/>
      <c r="L1164" s="87"/>
      <c r="M1164" s="87"/>
      <c r="N1164" s="87"/>
      <c r="O1164" s="87"/>
      <c r="P1164" s="89" t="str">
        <f t="shared" si="189"/>
        <v/>
      </c>
      <c r="Q1164" s="89" t="str">
        <f t="shared" si="190"/>
        <v/>
      </c>
      <c r="R1164" s="89" t="str">
        <f t="shared" si="191"/>
        <v/>
      </c>
      <c r="S1164" s="88" t="str">
        <f>IF(F1164="Bao",[1]Setup!$B$4,IF(F1164="Soup Dumplings",[1]Setup!$B$5,""))</f>
        <v/>
      </c>
      <c r="T1164" s="88" t="str">
        <f t="shared" si="192"/>
        <v/>
      </c>
      <c r="U1164" s="84" t="str">
        <f t="shared" si="193"/>
        <v/>
      </c>
      <c r="V1164" s="88">
        <f>IF(U1164="",0,MAX(0,T1164)+N1164+ROUND(J1164*[1]Setup!$B$9,0)+IF(O1164&gt;[1]Setup!$B$10,ROUND(J1164*[1]Setup!$B$11,0),0))</f>
        <v>0</v>
      </c>
      <c r="W1164" s="85" t="str">
        <f>IF(L1164="","Open",IF(OR(P1164&lt;[1]Setup!$B$6,Q1164&gt;[1]Setup!$B$7,R1164&gt;[1]Setup!$B$8,O1164&gt;[1]Setup!$B$10),"Review","OK"))</f>
        <v>Open</v>
      </c>
      <c r="X1164" s="86"/>
    </row>
    <row r="1165" spans="1:24" x14ac:dyDescent="0.3">
      <c r="A1165" s="84"/>
      <c r="B1165" s="100">
        <f t="shared" si="195"/>
        <v>0</v>
      </c>
      <c r="C1165" s="84" t="str">
        <f t="shared" si="196"/>
        <v>January</v>
      </c>
      <c r="D1165" s="85" t="str">
        <f t="shared" si="194"/>
        <v/>
      </c>
      <c r="E1165" s="86"/>
      <c r="F1165" s="86"/>
      <c r="G1165" s="86"/>
      <c r="H1165" s="86"/>
      <c r="I1165" s="87" t="str">
        <f>IF(F1165=0,"",IF(COUNTIF(F1165,"Bao"),[1]Setup!$B$4,IF(COUNTIF(F1165,"Soup Dumplings"),[1]Setup!$B$5,F1165)))</f>
        <v/>
      </c>
      <c r="J1165" s="88" t="str">
        <f t="shared" si="188"/>
        <v/>
      </c>
      <c r="K1165" s="88"/>
      <c r="L1165" s="87"/>
      <c r="M1165" s="87"/>
      <c r="N1165" s="87"/>
      <c r="O1165" s="87"/>
      <c r="P1165" s="89" t="str">
        <f t="shared" si="189"/>
        <v/>
      </c>
      <c r="Q1165" s="89" t="str">
        <f t="shared" si="190"/>
        <v/>
      </c>
      <c r="R1165" s="89" t="str">
        <f t="shared" si="191"/>
        <v/>
      </c>
      <c r="S1165" s="88" t="str">
        <f>IF(F1165="Bao",[1]Setup!$B$4,IF(F1165="Soup Dumplings",[1]Setup!$B$5,""))</f>
        <v/>
      </c>
      <c r="T1165" s="88" t="str">
        <f t="shared" si="192"/>
        <v/>
      </c>
      <c r="U1165" s="84" t="str">
        <f t="shared" si="193"/>
        <v/>
      </c>
      <c r="V1165" s="88">
        <f>IF(U1165="",0,MAX(0,T1165)+N1165+ROUND(J1165*[1]Setup!$B$9,0)+IF(O1165&gt;[1]Setup!$B$10,ROUND(J1165*[1]Setup!$B$11,0),0))</f>
        <v>0</v>
      </c>
      <c r="W1165" s="85" t="str">
        <f>IF(L1165="","Open",IF(OR(P1165&lt;[1]Setup!$B$6,Q1165&gt;[1]Setup!$B$7,R1165&gt;[1]Setup!$B$8,O1165&gt;[1]Setup!$B$10),"Review","OK"))</f>
        <v>Open</v>
      </c>
      <c r="X1165" s="86"/>
    </row>
    <row r="1166" spans="1:24" x14ac:dyDescent="0.3">
      <c r="A1166" s="84"/>
      <c r="B1166" s="100">
        <f t="shared" si="195"/>
        <v>0</v>
      </c>
      <c r="C1166" s="84" t="str">
        <f t="shared" si="196"/>
        <v>January</v>
      </c>
      <c r="D1166" s="85" t="str">
        <f t="shared" si="194"/>
        <v/>
      </c>
      <c r="E1166" s="86"/>
      <c r="F1166" s="86"/>
      <c r="G1166" s="86"/>
      <c r="H1166" s="86"/>
      <c r="I1166" s="87" t="str">
        <f>IF(F1166=0,"",IF(COUNTIF(F1166,"Bao"),[1]Setup!$B$4,IF(COUNTIF(F1166,"Soup Dumplings"),[1]Setup!$B$5,F1166)))</f>
        <v/>
      </c>
      <c r="J1166" s="88" t="str">
        <f t="shared" si="188"/>
        <v/>
      </c>
      <c r="K1166" s="88"/>
      <c r="L1166" s="87"/>
      <c r="M1166" s="87"/>
      <c r="N1166" s="87"/>
      <c r="O1166" s="87"/>
      <c r="P1166" s="89" t="str">
        <f t="shared" si="189"/>
        <v/>
      </c>
      <c r="Q1166" s="89" t="str">
        <f t="shared" si="190"/>
        <v/>
      </c>
      <c r="R1166" s="89" t="str">
        <f t="shared" si="191"/>
        <v/>
      </c>
      <c r="S1166" s="88" t="str">
        <f>IF(F1166="Bao",[1]Setup!$B$4,IF(F1166="Soup Dumplings",[1]Setup!$B$5,""))</f>
        <v/>
      </c>
      <c r="T1166" s="88" t="str">
        <f t="shared" si="192"/>
        <v/>
      </c>
      <c r="U1166" s="84" t="str">
        <f t="shared" si="193"/>
        <v/>
      </c>
      <c r="V1166" s="88">
        <f>IF(U1166="",0,MAX(0,T1166)+N1166+ROUND(J1166*[1]Setup!$B$9,0)+IF(O1166&gt;[1]Setup!$B$10,ROUND(J1166*[1]Setup!$B$11,0),0))</f>
        <v>0</v>
      </c>
      <c r="W1166" s="85" t="str">
        <f>IF(L1166="","Open",IF(OR(P1166&lt;[1]Setup!$B$6,Q1166&gt;[1]Setup!$B$7,R1166&gt;[1]Setup!$B$8,O1166&gt;[1]Setup!$B$10),"Review","OK"))</f>
        <v>Open</v>
      </c>
      <c r="X1166" s="86"/>
    </row>
    <row r="1167" spans="1:24" x14ac:dyDescent="0.3">
      <c r="A1167" s="84"/>
      <c r="B1167" s="100">
        <f t="shared" si="195"/>
        <v>0</v>
      </c>
      <c r="C1167" s="84" t="str">
        <f t="shared" si="196"/>
        <v>January</v>
      </c>
      <c r="D1167" s="85" t="str">
        <f t="shared" si="194"/>
        <v/>
      </c>
      <c r="E1167" s="86"/>
      <c r="F1167" s="86"/>
      <c r="G1167" s="86"/>
      <c r="H1167" s="86"/>
      <c r="I1167" s="87" t="str">
        <f>IF(F1167=0,"",IF(COUNTIF(F1167,"Bao"),[1]Setup!$B$4,IF(COUNTIF(F1167,"Soup Dumplings"),[1]Setup!$B$5,F1167)))</f>
        <v/>
      </c>
      <c r="J1167" s="88" t="str">
        <f t="shared" si="188"/>
        <v/>
      </c>
      <c r="K1167" s="88"/>
      <c r="L1167" s="87"/>
      <c r="M1167" s="87"/>
      <c r="N1167" s="87"/>
      <c r="O1167" s="87"/>
      <c r="P1167" s="89" t="str">
        <f t="shared" si="189"/>
        <v/>
      </c>
      <c r="Q1167" s="89" t="str">
        <f t="shared" si="190"/>
        <v/>
      </c>
      <c r="R1167" s="89" t="str">
        <f t="shared" si="191"/>
        <v/>
      </c>
      <c r="S1167" s="88" t="str">
        <f>IF(F1167="Bao",[1]Setup!$B$4,IF(F1167="Soup Dumplings",[1]Setup!$B$5,""))</f>
        <v/>
      </c>
      <c r="T1167" s="88" t="str">
        <f t="shared" si="192"/>
        <v/>
      </c>
      <c r="U1167" s="84" t="str">
        <f t="shared" si="193"/>
        <v/>
      </c>
      <c r="V1167" s="88">
        <f>IF(U1167="",0,MAX(0,T1167)+N1167+ROUND(J1167*[1]Setup!$B$9,0)+IF(O1167&gt;[1]Setup!$B$10,ROUND(J1167*[1]Setup!$B$11,0),0))</f>
        <v>0</v>
      </c>
      <c r="W1167" s="85" t="str">
        <f>IF(L1167="","Open",IF(OR(P1167&lt;[1]Setup!$B$6,Q1167&gt;[1]Setup!$B$7,R1167&gt;[1]Setup!$B$8,O1167&gt;[1]Setup!$B$10),"Review","OK"))</f>
        <v>Open</v>
      </c>
      <c r="X1167" s="86"/>
    </row>
    <row r="1168" spans="1:24" x14ac:dyDescent="0.3">
      <c r="A1168" s="84"/>
      <c r="B1168" s="100">
        <f t="shared" si="195"/>
        <v>0</v>
      </c>
      <c r="C1168" s="84" t="str">
        <f t="shared" si="196"/>
        <v>January</v>
      </c>
      <c r="D1168" s="85" t="str">
        <f t="shared" si="194"/>
        <v/>
      </c>
      <c r="E1168" s="86"/>
      <c r="F1168" s="86"/>
      <c r="G1168" s="86"/>
      <c r="H1168" s="86"/>
      <c r="I1168" s="87" t="str">
        <f>IF(F1168=0,"",IF(COUNTIF(F1168,"Bao"),[1]Setup!$B$4,IF(COUNTIF(F1168,"Soup Dumplings"),[1]Setup!$B$5,F1168)))</f>
        <v/>
      </c>
      <c r="J1168" s="88" t="str">
        <f t="shared" si="188"/>
        <v/>
      </c>
      <c r="K1168" s="88"/>
      <c r="L1168" s="87"/>
      <c r="M1168" s="87"/>
      <c r="N1168" s="87"/>
      <c r="O1168" s="87"/>
      <c r="P1168" s="89" t="str">
        <f t="shared" si="189"/>
        <v/>
      </c>
      <c r="Q1168" s="89" t="str">
        <f t="shared" si="190"/>
        <v/>
      </c>
      <c r="R1168" s="89" t="str">
        <f t="shared" si="191"/>
        <v/>
      </c>
      <c r="S1168" s="88" t="str">
        <f>IF(F1168="Bao",[1]Setup!$B$4,IF(F1168="Soup Dumplings",[1]Setup!$B$5,""))</f>
        <v/>
      </c>
      <c r="T1168" s="88" t="str">
        <f t="shared" si="192"/>
        <v/>
      </c>
      <c r="U1168" s="84" t="str">
        <f t="shared" si="193"/>
        <v/>
      </c>
      <c r="V1168" s="88">
        <f>IF(U1168="",0,MAX(0,T1168)+N1168+ROUND(J1168*[1]Setup!$B$9,0)+IF(O1168&gt;[1]Setup!$B$10,ROUND(J1168*[1]Setup!$B$11,0),0))</f>
        <v>0</v>
      </c>
      <c r="W1168" s="85" t="str">
        <f>IF(L1168="","Open",IF(OR(P1168&lt;[1]Setup!$B$6,Q1168&gt;[1]Setup!$B$7,R1168&gt;[1]Setup!$B$8,O1168&gt;[1]Setup!$B$10),"Review","OK"))</f>
        <v>Open</v>
      </c>
      <c r="X1168" s="86"/>
    </row>
    <row r="1169" spans="1:24" x14ac:dyDescent="0.3">
      <c r="A1169" s="84"/>
      <c r="B1169" s="100">
        <f t="shared" si="195"/>
        <v>0</v>
      </c>
      <c r="C1169" s="84" t="str">
        <f t="shared" si="196"/>
        <v>January</v>
      </c>
      <c r="D1169" s="85" t="str">
        <f t="shared" si="194"/>
        <v/>
      </c>
      <c r="E1169" s="86"/>
      <c r="F1169" s="86"/>
      <c r="G1169" s="86"/>
      <c r="H1169" s="86"/>
      <c r="I1169" s="87" t="str">
        <f>IF(F1169=0,"",IF(COUNTIF(F1169,"Bao"),[1]Setup!$B$4,IF(COUNTIF(F1169,"Soup Dumplings"),[1]Setup!$B$5,F1169)))</f>
        <v/>
      </c>
      <c r="J1169" s="88" t="str">
        <f t="shared" si="188"/>
        <v/>
      </c>
      <c r="K1169" s="88"/>
      <c r="L1169" s="87"/>
      <c r="M1169" s="87"/>
      <c r="N1169" s="87"/>
      <c r="O1169" s="87"/>
      <c r="P1169" s="89" t="str">
        <f t="shared" si="189"/>
        <v/>
      </c>
      <c r="Q1169" s="89" t="str">
        <f t="shared" si="190"/>
        <v/>
      </c>
      <c r="R1169" s="89" t="str">
        <f t="shared" si="191"/>
        <v/>
      </c>
      <c r="S1169" s="88" t="str">
        <f>IF(F1169="Bao",[1]Setup!$B$4,IF(F1169="Soup Dumplings",[1]Setup!$B$5,""))</f>
        <v/>
      </c>
      <c r="T1169" s="88" t="str">
        <f t="shared" si="192"/>
        <v/>
      </c>
      <c r="U1169" s="84" t="str">
        <f t="shared" si="193"/>
        <v/>
      </c>
      <c r="V1169" s="88">
        <f>IF(U1169="",0,MAX(0,T1169)+N1169+ROUND(J1169*[1]Setup!$B$9,0)+IF(O1169&gt;[1]Setup!$B$10,ROUND(J1169*[1]Setup!$B$11,0),0))</f>
        <v>0</v>
      </c>
      <c r="W1169" s="85" t="str">
        <f>IF(L1169="","Open",IF(OR(P1169&lt;[1]Setup!$B$6,Q1169&gt;[1]Setup!$B$7,R1169&gt;[1]Setup!$B$8,O1169&gt;[1]Setup!$B$10),"Review","OK"))</f>
        <v>Open</v>
      </c>
      <c r="X1169" s="86"/>
    </row>
    <row r="1170" spans="1:24" x14ac:dyDescent="0.3">
      <c r="A1170" s="84"/>
      <c r="B1170" s="100">
        <f t="shared" si="195"/>
        <v>0</v>
      </c>
      <c r="C1170" s="84" t="str">
        <f t="shared" si="196"/>
        <v>January</v>
      </c>
      <c r="D1170" s="85" t="str">
        <f t="shared" si="194"/>
        <v/>
      </c>
      <c r="E1170" s="86"/>
      <c r="F1170" s="86"/>
      <c r="G1170" s="86"/>
      <c r="H1170" s="86"/>
      <c r="I1170" s="87" t="str">
        <f>IF(F1170=0,"",IF(COUNTIF(F1170,"Bao"),[1]Setup!$B$4,IF(COUNTIF(F1170,"Soup Dumplings"),[1]Setup!$B$5,F1170)))</f>
        <v/>
      </c>
      <c r="J1170" s="88" t="str">
        <f t="shared" si="188"/>
        <v/>
      </c>
      <c r="K1170" s="88"/>
      <c r="L1170" s="87"/>
      <c r="M1170" s="87"/>
      <c r="N1170" s="87"/>
      <c r="O1170" s="87"/>
      <c r="P1170" s="89" t="str">
        <f t="shared" si="189"/>
        <v/>
      </c>
      <c r="Q1170" s="89" t="str">
        <f t="shared" si="190"/>
        <v/>
      </c>
      <c r="R1170" s="89" t="str">
        <f t="shared" si="191"/>
        <v/>
      </c>
      <c r="S1170" s="88" t="str">
        <f>IF(F1170="Bao",[1]Setup!$B$4,IF(F1170="Soup Dumplings",[1]Setup!$B$5,""))</f>
        <v/>
      </c>
      <c r="T1170" s="88" t="str">
        <f t="shared" si="192"/>
        <v/>
      </c>
      <c r="U1170" s="84" t="str">
        <f t="shared" si="193"/>
        <v/>
      </c>
      <c r="V1170" s="88">
        <f>IF(U1170="",0,MAX(0,T1170)+N1170+ROUND(J1170*[1]Setup!$B$9,0)+IF(O1170&gt;[1]Setup!$B$10,ROUND(J1170*[1]Setup!$B$11,0),0))</f>
        <v>0</v>
      </c>
      <c r="W1170" s="85" t="str">
        <f>IF(L1170="","Open",IF(OR(P1170&lt;[1]Setup!$B$6,Q1170&gt;[1]Setup!$B$7,R1170&gt;[1]Setup!$B$8,O1170&gt;[1]Setup!$B$10),"Review","OK"))</f>
        <v>Open</v>
      </c>
      <c r="X1170" s="86"/>
    </row>
    <row r="1171" spans="1:24" x14ac:dyDescent="0.3">
      <c r="A1171" s="84"/>
      <c r="B1171" s="100">
        <f t="shared" si="195"/>
        <v>0</v>
      </c>
      <c r="C1171" s="84" t="str">
        <f t="shared" si="196"/>
        <v>January</v>
      </c>
      <c r="D1171" s="85" t="str">
        <f t="shared" si="194"/>
        <v/>
      </c>
      <c r="E1171" s="86"/>
      <c r="F1171" s="86"/>
      <c r="G1171" s="86"/>
      <c r="H1171" s="86"/>
      <c r="I1171" s="87" t="str">
        <f>IF(F1171=0,"",IF(COUNTIF(F1171,"Bao"),[1]Setup!$B$4,IF(COUNTIF(F1171,"Soup Dumplings"),[1]Setup!$B$5,F1171)))</f>
        <v/>
      </c>
      <c r="J1171" s="88" t="str">
        <f t="shared" si="188"/>
        <v/>
      </c>
      <c r="K1171" s="88"/>
      <c r="L1171" s="87"/>
      <c r="M1171" s="87"/>
      <c r="N1171" s="87"/>
      <c r="O1171" s="87"/>
      <c r="P1171" s="89" t="str">
        <f t="shared" si="189"/>
        <v/>
      </c>
      <c r="Q1171" s="89" t="str">
        <f t="shared" si="190"/>
        <v/>
      </c>
      <c r="R1171" s="89" t="str">
        <f t="shared" si="191"/>
        <v/>
      </c>
      <c r="S1171" s="88" t="str">
        <f>IF(F1171="Bao",[1]Setup!$B$4,IF(F1171="Soup Dumplings",[1]Setup!$B$5,""))</f>
        <v/>
      </c>
      <c r="T1171" s="88" t="str">
        <f t="shared" si="192"/>
        <v/>
      </c>
      <c r="U1171" s="84" t="str">
        <f t="shared" si="193"/>
        <v/>
      </c>
      <c r="V1171" s="88">
        <f>IF(U1171="",0,MAX(0,T1171)+N1171+ROUND(J1171*[1]Setup!$B$9,0)+IF(O1171&gt;[1]Setup!$B$10,ROUND(J1171*[1]Setup!$B$11,0),0))</f>
        <v>0</v>
      </c>
      <c r="W1171" s="85" t="str">
        <f>IF(L1171="","Open",IF(OR(P1171&lt;[1]Setup!$B$6,Q1171&gt;[1]Setup!$B$7,R1171&gt;[1]Setup!$B$8,O1171&gt;[1]Setup!$B$10),"Review","OK"))</f>
        <v>Open</v>
      </c>
      <c r="X1171" s="86"/>
    </row>
    <row r="1172" spans="1:24" x14ac:dyDescent="0.3">
      <c r="A1172" s="84"/>
      <c r="B1172" s="100">
        <f t="shared" si="195"/>
        <v>0</v>
      </c>
      <c r="C1172" s="84" t="str">
        <f t="shared" si="196"/>
        <v>January</v>
      </c>
      <c r="D1172" s="85" t="str">
        <f t="shared" si="194"/>
        <v/>
      </c>
      <c r="E1172" s="86"/>
      <c r="F1172" s="86"/>
      <c r="G1172" s="86"/>
      <c r="H1172" s="86"/>
      <c r="I1172" s="87" t="str">
        <f>IF(F1172=0,"",IF(COUNTIF(F1172,"Bao"),[1]Setup!$B$4,IF(COUNTIF(F1172,"Soup Dumplings"),[1]Setup!$B$5,F1172)))</f>
        <v/>
      </c>
      <c r="J1172" s="88" t="str">
        <f t="shared" si="188"/>
        <v/>
      </c>
      <c r="K1172" s="88"/>
      <c r="L1172" s="87"/>
      <c r="M1172" s="87"/>
      <c r="N1172" s="87"/>
      <c r="O1172" s="87"/>
      <c r="P1172" s="89" t="str">
        <f t="shared" si="189"/>
        <v/>
      </c>
      <c r="Q1172" s="89" t="str">
        <f t="shared" si="190"/>
        <v/>
      </c>
      <c r="R1172" s="89" t="str">
        <f t="shared" si="191"/>
        <v/>
      </c>
      <c r="S1172" s="88" t="str">
        <f>IF(F1172="Bao",[1]Setup!$B$4,IF(F1172="Soup Dumplings",[1]Setup!$B$5,""))</f>
        <v/>
      </c>
      <c r="T1172" s="88" t="str">
        <f t="shared" si="192"/>
        <v/>
      </c>
      <c r="U1172" s="84" t="str">
        <f t="shared" si="193"/>
        <v/>
      </c>
      <c r="V1172" s="88">
        <f>IF(U1172="",0,MAX(0,T1172)+N1172+ROUND(J1172*[1]Setup!$B$9,0)+IF(O1172&gt;[1]Setup!$B$10,ROUND(J1172*[1]Setup!$B$11,0),0))</f>
        <v>0</v>
      </c>
      <c r="W1172" s="85" t="str">
        <f>IF(L1172="","Open",IF(OR(P1172&lt;[1]Setup!$B$6,Q1172&gt;[1]Setup!$B$7,R1172&gt;[1]Setup!$B$8,O1172&gt;[1]Setup!$B$10),"Review","OK"))</f>
        <v>Open</v>
      </c>
      <c r="X1172" s="86"/>
    </row>
    <row r="1173" spans="1:24" x14ac:dyDescent="0.3">
      <c r="A1173" s="84"/>
      <c r="B1173" s="100">
        <f t="shared" si="195"/>
        <v>0</v>
      </c>
      <c r="C1173" s="84" t="str">
        <f t="shared" si="196"/>
        <v>January</v>
      </c>
      <c r="D1173" s="85" t="str">
        <f t="shared" si="194"/>
        <v/>
      </c>
      <c r="E1173" s="86"/>
      <c r="F1173" s="86"/>
      <c r="G1173" s="86"/>
      <c r="H1173" s="86"/>
      <c r="I1173" s="87" t="str">
        <f>IF(F1173=0,"",IF(COUNTIF(F1173,"Bao"),[1]Setup!$B$4,IF(COUNTIF(F1173,"Soup Dumplings"),[1]Setup!$B$5,F1173)))</f>
        <v/>
      </c>
      <c r="J1173" s="88" t="str">
        <f t="shared" si="188"/>
        <v/>
      </c>
      <c r="K1173" s="88"/>
      <c r="L1173" s="87"/>
      <c r="M1173" s="87"/>
      <c r="N1173" s="87"/>
      <c r="O1173" s="87"/>
      <c r="P1173" s="89" t="str">
        <f t="shared" si="189"/>
        <v/>
      </c>
      <c r="Q1173" s="89" t="str">
        <f t="shared" si="190"/>
        <v/>
      </c>
      <c r="R1173" s="89" t="str">
        <f t="shared" si="191"/>
        <v/>
      </c>
      <c r="S1173" s="88" t="str">
        <f>IF(F1173="Bao",[1]Setup!$B$4,IF(F1173="Soup Dumplings",[1]Setup!$B$5,""))</f>
        <v/>
      </c>
      <c r="T1173" s="88" t="str">
        <f t="shared" si="192"/>
        <v/>
      </c>
      <c r="U1173" s="84" t="str">
        <f t="shared" si="193"/>
        <v/>
      </c>
      <c r="V1173" s="88">
        <f>IF(U1173="",0,MAX(0,T1173)+N1173+ROUND(J1173*[1]Setup!$B$9,0)+IF(O1173&gt;[1]Setup!$B$10,ROUND(J1173*[1]Setup!$B$11,0),0))</f>
        <v>0</v>
      </c>
      <c r="W1173" s="85" t="str">
        <f>IF(L1173="","Open",IF(OR(P1173&lt;[1]Setup!$B$6,Q1173&gt;[1]Setup!$B$7,R1173&gt;[1]Setup!$B$8,O1173&gt;[1]Setup!$B$10),"Review","OK"))</f>
        <v>Open</v>
      </c>
      <c r="X1173" s="86"/>
    </row>
    <row r="1174" spans="1:24" x14ac:dyDescent="0.3">
      <c r="A1174" s="84"/>
      <c r="B1174" s="100">
        <f t="shared" si="195"/>
        <v>0</v>
      </c>
      <c r="C1174" s="84" t="str">
        <f t="shared" si="196"/>
        <v>January</v>
      </c>
      <c r="D1174" s="85" t="str">
        <f t="shared" si="194"/>
        <v/>
      </c>
      <c r="E1174" s="86"/>
      <c r="F1174" s="86"/>
      <c r="G1174" s="86"/>
      <c r="H1174" s="86"/>
      <c r="I1174" s="87" t="str">
        <f>IF(F1174=0,"",IF(COUNTIF(F1174,"Bao"),[1]Setup!$B$4,IF(COUNTIF(F1174,"Soup Dumplings"),[1]Setup!$B$5,F1174)))</f>
        <v/>
      </c>
      <c r="J1174" s="88" t="str">
        <f t="shared" si="188"/>
        <v/>
      </c>
      <c r="K1174" s="88"/>
      <c r="L1174" s="87"/>
      <c r="M1174" s="87"/>
      <c r="N1174" s="87"/>
      <c r="O1174" s="87"/>
      <c r="P1174" s="89" t="str">
        <f t="shared" si="189"/>
        <v/>
      </c>
      <c r="Q1174" s="89" t="str">
        <f t="shared" si="190"/>
        <v/>
      </c>
      <c r="R1174" s="89" t="str">
        <f t="shared" si="191"/>
        <v/>
      </c>
      <c r="S1174" s="88" t="str">
        <f>IF(F1174="Bao",[1]Setup!$B$4,IF(F1174="Soup Dumplings",[1]Setup!$B$5,""))</f>
        <v/>
      </c>
      <c r="T1174" s="88" t="str">
        <f t="shared" si="192"/>
        <v/>
      </c>
      <c r="U1174" s="84" t="str">
        <f t="shared" si="193"/>
        <v/>
      </c>
      <c r="V1174" s="88">
        <f>IF(U1174="",0,MAX(0,T1174)+N1174+ROUND(J1174*[1]Setup!$B$9,0)+IF(O1174&gt;[1]Setup!$B$10,ROUND(J1174*[1]Setup!$B$11,0),0))</f>
        <v>0</v>
      </c>
      <c r="W1174" s="85" t="str">
        <f>IF(L1174="","Open",IF(OR(P1174&lt;[1]Setup!$B$6,Q1174&gt;[1]Setup!$B$7,R1174&gt;[1]Setup!$B$8,O1174&gt;[1]Setup!$B$10),"Review","OK"))</f>
        <v>Open</v>
      </c>
      <c r="X1174" s="86"/>
    </row>
    <row r="1175" spans="1:24" x14ac:dyDescent="0.3">
      <c r="A1175" s="84"/>
      <c r="B1175" s="100">
        <f t="shared" si="195"/>
        <v>0</v>
      </c>
      <c r="C1175" s="84" t="str">
        <f t="shared" si="196"/>
        <v>January</v>
      </c>
      <c r="D1175" s="85" t="str">
        <f t="shared" si="194"/>
        <v/>
      </c>
      <c r="E1175" s="86"/>
      <c r="F1175" s="86"/>
      <c r="G1175" s="86"/>
      <c r="H1175" s="86"/>
      <c r="I1175" s="87" t="str">
        <f>IF(F1175=0,"",IF(COUNTIF(F1175,"Bao"),[1]Setup!$B$4,IF(COUNTIF(F1175,"Soup Dumplings"),[1]Setup!$B$5,F1175)))</f>
        <v/>
      </c>
      <c r="J1175" s="88" t="str">
        <f t="shared" si="188"/>
        <v/>
      </c>
      <c r="K1175" s="88"/>
      <c r="L1175" s="87"/>
      <c r="M1175" s="87"/>
      <c r="N1175" s="87"/>
      <c r="O1175" s="87"/>
      <c r="P1175" s="89" t="str">
        <f t="shared" si="189"/>
        <v/>
      </c>
      <c r="Q1175" s="89" t="str">
        <f t="shared" si="190"/>
        <v/>
      </c>
      <c r="R1175" s="89" t="str">
        <f t="shared" si="191"/>
        <v/>
      </c>
      <c r="S1175" s="88" t="str">
        <f>IF(F1175="Bao",[1]Setup!$B$4,IF(F1175="Soup Dumplings",[1]Setup!$B$5,""))</f>
        <v/>
      </c>
      <c r="T1175" s="88" t="str">
        <f t="shared" si="192"/>
        <v/>
      </c>
      <c r="U1175" s="84" t="str">
        <f t="shared" si="193"/>
        <v/>
      </c>
      <c r="V1175" s="88">
        <f>IF(U1175="",0,MAX(0,T1175)+N1175+ROUND(J1175*[1]Setup!$B$9,0)+IF(O1175&gt;[1]Setup!$B$10,ROUND(J1175*[1]Setup!$B$11,0),0))</f>
        <v>0</v>
      </c>
      <c r="W1175" s="85" t="str">
        <f>IF(L1175="","Open",IF(OR(P1175&lt;[1]Setup!$B$6,Q1175&gt;[1]Setup!$B$7,R1175&gt;[1]Setup!$B$8,O1175&gt;[1]Setup!$B$10),"Review","OK"))</f>
        <v>Open</v>
      </c>
      <c r="X1175" s="86"/>
    </row>
    <row r="1176" spans="1:24" x14ac:dyDescent="0.3">
      <c r="A1176" s="84"/>
      <c r="B1176" s="100">
        <f t="shared" si="195"/>
        <v>0</v>
      </c>
      <c r="C1176" s="84" t="str">
        <f t="shared" si="196"/>
        <v>January</v>
      </c>
      <c r="D1176" s="85" t="str">
        <f t="shared" si="194"/>
        <v/>
      </c>
      <c r="E1176" s="86"/>
      <c r="F1176" s="86"/>
      <c r="G1176" s="86"/>
      <c r="H1176" s="86"/>
      <c r="I1176" s="87" t="str">
        <f>IF(F1176=0,"",IF(COUNTIF(F1176,"Bao"),[1]Setup!$B$4,IF(COUNTIF(F1176,"Soup Dumplings"),[1]Setup!$B$5,F1176)))</f>
        <v/>
      </c>
      <c r="J1176" s="88" t="str">
        <f t="shared" si="188"/>
        <v/>
      </c>
      <c r="K1176" s="88"/>
      <c r="L1176" s="87"/>
      <c r="M1176" s="87"/>
      <c r="N1176" s="87"/>
      <c r="O1176" s="87"/>
      <c r="P1176" s="89" t="str">
        <f t="shared" si="189"/>
        <v/>
      </c>
      <c r="Q1176" s="89" t="str">
        <f t="shared" si="190"/>
        <v/>
      </c>
      <c r="R1176" s="89" t="str">
        <f t="shared" si="191"/>
        <v/>
      </c>
      <c r="S1176" s="88" t="str">
        <f>IF(F1176="Bao",[1]Setup!$B$4,IF(F1176="Soup Dumplings",[1]Setup!$B$5,""))</f>
        <v/>
      </c>
      <c r="T1176" s="88" t="str">
        <f t="shared" si="192"/>
        <v/>
      </c>
      <c r="U1176" s="84" t="str">
        <f t="shared" si="193"/>
        <v/>
      </c>
      <c r="V1176" s="88">
        <f>IF(U1176="",0,MAX(0,T1176)+N1176+ROUND(J1176*[1]Setup!$B$9,0)+IF(O1176&gt;[1]Setup!$B$10,ROUND(J1176*[1]Setup!$B$11,0),0))</f>
        <v>0</v>
      </c>
      <c r="W1176" s="85" t="str">
        <f>IF(L1176="","Open",IF(OR(P1176&lt;[1]Setup!$B$6,Q1176&gt;[1]Setup!$B$7,R1176&gt;[1]Setup!$B$8,O1176&gt;[1]Setup!$B$10),"Review","OK"))</f>
        <v>Open</v>
      </c>
      <c r="X1176" s="86"/>
    </row>
    <row r="1177" spans="1:24" x14ac:dyDescent="0.3">
      <c r="A1177" s="84"/>
      <c r="B1177" s="100">
        <f t="shared" si="195"/>
        <v>0</v>
      </c>
      <c r="C1177" s="84" t="str">
        <f t="shared" si="196"/>
        <v>January</v>
      </c>
      <c r="D1177" s="85" t="str">
        <f t="shared" si="194"/>
        <v/>
      </c>
      <c r="E1177" s="86"/>
      <c r="F1177" s="86"/>
      <c r="G1177" s="86"/>
      <c r="H1177" s="86"/>
      <c r="I1177" s="87" t="str">
        <f>IF(F1177=0,"",IF(COUNTIF(F1177,"Bao"),[1]Setup!$B$4,IF(COUNTIF(F1177,"Soup Dumplings"),[1]Setup!$B$5,F1177)))</f>
        <v/>
      </c>
      <c r="J1177" s="88" t="str">
        <f t="shared" si="188"/>
        <v/>
      </c>
      <c r="K1177" s="88"/>
      <c r="L1177" s="87"/>
      <c r="M1177" s="87"/>
      <c r="N1177" s="87"/>
      <c r="O1177" s="87"/>
      <c r="P1177" s="89" t="str">
        <f t="shared" si="189"/>
        <v/>
      </c>
      <c r="Q1177" s="89" t="str">
        <f t="shared" si="190"/>
        <v/>
      </c>
      <c r="R1177" s="89" t="str">
        <f t="shared" si="191"/>
        <v/>
      </c>
      <c r="S1177" s="88" t="str">
        <f>IF(F1177="Bao",[1]Setup!$B$4,IF(F1177="Soup Dumplings",[1]Setup!$B$5,""))</f>
        <v/>
      </c>
      <c r="T1177" s="88" t="str">
        <f t="shared" si="192"/>
        <v/>
      </c>
      <c r="U1177" s="84" t="str">
        <f t="shared" si="193"/>
        <v/>
      </c>
      <c r="V1177" s="88">
        <f>IF(U1177="",0,MAX(0,T1177)+N1177+ROUND(J1177*[1]Setup!$B$9,0)+IF(O1177&gt;[1]Setup!$B$10,ROUND(J1177*[1]Setup!$B$11,0),0))</f>
        <v>0</v>
      </c>
      <c r="W1177" s="85" t="str">
        <f>IF(L1177="","Open",IF(OR(P1177&lt;[1]Setup!$B$6,Q1177&gt;[1]Setup!$B$7,R1177&gt;[1]Setup!$B$8,O1177&gt;[1]Setup!$B$10),"Review","OK"))</f>
        <v>Open</v>
      </c>
      <c r="X1177" s="86"/>
    </row>
    <row r="1178" spans="1:24" x14ac:dyDescent="0.3">
      <c r="A1178" s="84"/>
      <c r="B1178" s="100">
        <f t="shared" si="195"/>
        <v>0</v>
      </c>
      <c r="C1178" s="84" t="str">
        <f t="shared" si="196"/>
        <v>January</v>
      </c>
      <c r="D1178" s="85" t="str">
        <f t="shared" si="194"/>
        <v/>
      </c>
      <c r="E1178" s="86"/>
      <c r="F1178" s="86"/>
      <c r="G1178" s="86"/>
      <c r="H1178" s="86"/>
      <c r="I1178" s="87" t="str">
        <f>IF(F1178=0,"",IF(COUNTIF(F1178,"Bao"),[1]Setup!$B$4,IF(COUNTIF(F1178,"Soup Dumplings"),[1]Setup!$B$5,F1178)))</f>
        <v/>
      </c>
      <c r="J1178" s="88" t="str">
        <f t="shared" si="188"/>
        <v/>
      </c>
      <c r="K1178" s="88"/>
      <c r="L1178" s="87"/>
      <c r="M1178" s="87"/>
      <c r="N1178" s="87"/>
      <c r="O1178" s="87"/>
      <c r="P1178" s="89" t="str">
        <f t="shared" si="189"/>
        <v/>
      </c>
      <c r="Q1178" s="89" t="str">
        <f t="shared" si="190"/>
        <v/>
      </c>
      <c r="R1178" s="89" t="str">
        <f t="shared" si="191"/>
        <v/>
      </c>
      <c r="S1178" s="88" t="str">
        <f>IF(F1178="Bao",[1]Setup!$B$4,IF(F1178="Soup Dumplings",[1]Setup!$B$5,""))</f>
        <v/>
      </c>
      <c r="T1178" s="88" t="str">
        <f t="shared" si="192"/>
        <v/>
      </c>
      <c r="U1178" s="84" t="str">
        <f t="shared" si="193"/>
        <v/>
      </c>
      <c r="V1178" s="88">
        <f>IF(U1178="",0,MAX(0,T1178)+N1178+ROUND(J1178*[1]Setup!$B$9,0)+IF(O1178&gt;[1]Setup!$B$10,ROUND(J1178*[1]Setup!$B$11,0),0))</f>
        <v>0</v>
      </c>
      <c r="W1178" s="85" t="str">
        <f>IF(L1178="","Open",IF(OR(P1178&lt;[1]Setup!$B$6,Q1178&gt;[1]Setup!$B$7,R1178&gt;[1]Setup!$B$8,O1178&gt;[1]Setup!$B$10),"Review","OK"))</f>
        <v>Open</v>
      </c>
      <c r="X1178" s="86"/>
    </row>
    <row r="1179" spans="1:24" x14ac:dyDescent="0.3">
      <c r="A1179" s="84"/>
      <c r="B1179" s="100">
        <f t="shared" si="195"/>
        <v>0</v>
      </c>
      <c r="C1179" s="84" t="str">
        <f t="shared" si="196"/>
        <v>January</v>
      </c>
      <c r="D1179" s="85" t="str">
        <f t="shared" si="194"/>
        <v/>
      </c>
      <c r="E1179" s="86"/>
      <c r="F1179" s="86"/>
      <c r="G1179" s="86"/>
      <c r="H1179" s="86"/>
      <c r="I1179" s="87" t="str">
        <f>IF(F1179=0,"",IF(COUNTIF(F1179,"Bao"),[1]Setup!$B$4,IF(COUNTIF(F1179,"Soup Dumplings"),[1]Setup!$B$5,F1179)))</f>
        <v/>
      </c>
      <c r="J1179" s="88" t="str">
        <f t="shared" si="188"/>
        <v/>
      </c>
      <c r="K1179" s="88"/>
      <c r="L1179" s="87"/>
      <c r="M1179" s="87"/>
      <c r="N1179" s="87"/>
      <c r="O1179" s="87"/>
      <c r="P1179" s="89" t="str">
        <f t="shared" si="189"/>
        <v/>
      </c>
      <c r="Q1179" s="89" t="str">
        <f t="shared" si="190"/>
        <v/>
      </c>
      <c r="R1179" s="89" t="str">
        <f t="shared" si="191"/>
        <v/>
      </c>
      <c r="S1179" s="88" t="str">
        <f>IF(F1179="Bao",[1]Setup!$B$4,IF(F1179="Soup Dumplings",[1]Setup!$B$5,""))</f>
        <v/>
      </c>
      <c r="T1179" s="88" t="str">
        <f t="shared" si="192"/>
        <v/>
      </c>
      <c r="U1179" s="84" t="str">
        <f t="shared" si="193"/>
        <v/>
      </c>
      <c r="V1179" s="88">
        <f>IF(U1179="",0,MAX(0,T1179)+N1179+ROUND(J1179*[1]Setup!$B$9,0)+IF(O1179&gt;[1]Setup!$B$10,ROUND(J1179*[1]Setup!$B$11,0),0))</f>
        <v>0</v>
      </c>
      <c r="W1179" s="85" t="str">
        <f>IF(L1179="","Open",IF(OR(P1179&lt;[1]Setup!$B$6,Q1179&gt;[1]Setup!$B$7,R1179&gt;[1]Setup!$B$8,O1179&gt;[1]Setup!$B$10),"Review","OK"))</f>
        <v>Open</v>
      </c>
      <c r="X1179" s="86"/>
    </row>
    <row r="1180" spans="1:24" x14ac:dyDescent="0.3">
      <c r="A1180" s="84"/>
      <c r="B1180" s="100">
        <f t="shared" si="195"/>
        <v>0</v>
      </c>
      <c r="C1180" s="84" t="str">
        <f t="shared" si="196"/>
        <v>January</v>
      </c>
      <c r="D1180" s="85" t="str">
        <f t="shared" si="194"/>
        <v/>
      </c>
      <c r="E1180" s="86"/>
      <c r="F1180" s="86"/>
      <c r="G1180" s="86"/>
      <c r="H1180" s="86"/>
      <c r="I1180" s="87" t="str">
        <f>IF(F1180=0,"",IF(COUNTIF(F1180,"Bao"),[1]Setup!$B$4,IF(COUNTIF(F1180,"Soup Dumplings"),[1]Setup!$B$5,F1180)))</f>
        <v/>
      </c>
      <c r="J1180" s="88" t="str">
        <f t="shared" si="188"/>
        <v/>
      </c>
      <c r="K1180" s="88"/>
      <c r="L1180" s="87"/>
      <c r="M1180" s="87"/>
      <c r="N1180" s="87"/>
      <c r="O1180" s="87"/>
      <c r="P1180" s="89" t="str">
        <f t="shared" si="189"/>
        <v/>
      </c>
      <c r="Q1180" s="89" t="str">
        <f t="shared" si="190"/>
        <v/>
      </c>
      <c r="R1180" s="89" t="str">
        <f t="shared" si="191"/>
        <v/>
      </c>
      <c r="S1180" s="88" t="str">
        <f>IF(F1180="Bao",[1]Setup!$B$4,IF(F1180="Soup Dumplings",[1]Setup!$B$5,""))</f>
        <v/>
      </c>
      <c r="T1180" s="88" t="str">
        <f t="shared" si="192"/>
        <v/>
      </c>
      <c r="U1180" s="84" t="str">
        <f t="shared" si="193"/>
        <v/>
      </c>
      <c r="V1180" s="88">
        <f>IF(U1180="",0,MAX(0,T1180)+N1180+ROUND(J1180*[1]Setup!$B$9,0)+IF(O1180&gt;[1]Setup!$B$10,ROUND(J1180*[1]Setup!$B$11,0),0))</f>
        <v>0</v>
      </c>
      <c r="W1180" s="85" t="str">
        <f>IF(L1180="","Open",IF(OR(P1180&lt;[1]Setup!$B$6,Q1180&gt;[1]Setup!$B$7,R1180&gt;[1]Setup!$B$8,O1180&gt;[1]Setup!$B$10),"Review","OK"))</f>
        <v>Open</v>
      </c>
      <c r="X1180" s="86"/>
    </row>
    <row r="1181" spans="1:24" x14ac:dyDescent="0.3">
      <c r="A1181" s="84"/>
      <c r="B1181" s="100">
        <f t="shared" si="195"/>
        <v>0</v>
      </c>
      <c r="C1181" s="84" t="str">
        <f t="shared" si="196"/>
        <v>January</v>
      </c>
      <c r="D1181" s="85" t="str">
        <f t="shared" si="194"/>
        <v/>
      </c>
      <c r="E1181" s="86"/>
      <c r="F1181" s="86"/>
      <c r="G1181" s="86"/>
      <c r="H1181" s="86"/>
      <c r="I1181" s="87" t="str">
        <f>IF(F1181=0,"",IF(COUNTIF(F1181,"Bao"),[1]Setup!$B$4,IF(COUNTIF(F1181,"Soup Dumplings"),[1]Setup!$B$5,F1181)))</f>
        <v/>
      </c>
      <c r="J1181" s="88" t="str">
        <f t="shared" si="188"/>
        <v/>
      </c>
      <c r="K1181" s="88"/>
      <c r="L1181" s="87"/>
      <c r="M1181" s="87"/>
      <c r="N1181" s="87"/>
      <c r="O1181" s="87"/>
      <c r="P1181" s="89" t="str">
        <f t="shared" si="189"/>
        <v/>
      </c>
      <c r="Q1181" s="89" t="str">
        <f t="shared" si="190"/>
        <v/>
      </c>
      <c r="R1181" s="89" t="str">
        <f t="shared" si="191"/>
        <v/>
      </c>
      <c r="S1181" s="88" t="str">
        <f>IF(F1181="Bao",[1]Setup!$B$4,IF(F1181="Soup Dumplings",[1]Setup!$B$5,""))</f>
        <v/>
      </c>
      <c r="T1181" s="88" t="str">
        <f t="shared" si="192"/>
        <v/>
      </c>
      <c r="U1181" s="84" t="str">
        <f t="shared" si="193"/>
        <v/>
      </c>
      <c r="V1181" s="88">
        <f>IF(U1181="",0,MAX(0,T1181)+N1181+ROUND(J1181*[1]Setup!$B$9,0)+IF(O1181&gt;[1]Setup!$B$10,ROUND(J1181*[1]Setup!$B$11,0),0))</f>
        <v>0</v>
      </c>
      <c r="W1181" s="85" t="str">
        <f>IF(L1181="","Open",IF(OR(P1181&lt;[1]Setup!$B$6,Q1181&gt;[1]Setup!$B$7,R1181&gt;[1]Setup!$B$8,O1181&gt;[1]Setup!$B$10),"Review","OK"))</f>
        <v>Open</v>
      </c>
      <c r="X1181" s="86"/>
    </row>
    <row r="1182" spans="1:24" x14ac:dyDescent="0.3">
      <c r="A1182" s="84"/>
      <c r="B1182" s="100">
        <f t="shared" si="195"/>
        <v>0</v>
      </c>
      <c r="C1182" s="84" t="str">
        <f t="shared" si="196"/>
        <v>January</v>
      </c>
      <c r="D1182" s="85" t="str">
        <f t="shared" si="194"/>
        <v/>
      </c>
      <c r="E1182" s="86"/>
      <c r="F1182" s="86"/>
      <c r="G1182" s="86"/>
      <c r="H1182" s="86"/>
      <c r="I1182" s="87" t="str">
        <f>IF(F1182=0,"",IF(COUNTIF(F1182,"Bao"),[1]Setup!$B$4,IF(COUNTIF(F1182,"Soup Dumplings"),[1]Setup!$B$5,F1182)))</f>
        <v/>
      </c>
      <c r="J1182" s="88" t="str">
        <f t="shared" si="188"/>
        <v/>
      </c>
      <c r="K1182" s="88"/>
      <c r="L1182" s="87"/>
      <c r="M1182" s="87"/>
      <c r="N1182" s="87"/>
      <c r="O1182" s="87"/>
      <c r="P1182" s="89" t="str">
        <f t="shared" si="189"/>
        <v/>
      </c>
      <c r="Q1182" s="89" t="str">
        <f t="shared" si="190"/>
        <v/>
      </c>
      <c r="R1182" s="89" t="str">
        <f t="shared" si="191"/>
        <v/>
      </c>
      <c r="S1182" s="88" t="str">
        <f>IF(F1182="Bao",[1]Setup!$B$4,IF(F1182="Soup Dumplings",[1]Setup!$B$5,""))</f>
        <v/>
      </c>
      <c r="T1182" s="88" t="str">
        <f t="shared" si="192"/>
        <v/>
      </c>
      <c r="U1182" s="84" t="str">
        <f t="shared" si="193"/>
        <v/>
      </c>
      <c r="V1182" s="88">
        <f>IF(U1182="",0,MAX(0,T1182)+N1182+ROUND(J1182*[1]Setup!$B$9,0)+IF(O1182&gt;[1]Setup!$B$10,ROUND(J1182*[1]Setup!$B$11,0),0))</f>
        <v>0</v>
      </c>
      <c r="W1182" s="85" t="str">
        <f>IF(L1182="","Open",IF(OR(P1182&lt;[1]Setup!$B$6,Q1182&gt;[1]Setup!$B$7,R1182&gt;[1]Setup!$B$8,O1182&gt;[1]Setup!$B$10),"Review","OK"))</f>
        <v>Open</v>
      </c>
      <c r="X1182" s="86"/>
    </row>
    <row r="1183" spans="1:24" x14ac:dyDescent="0.3">
      <c r="A1183" s="84"/>
      <c r="B1183" s="100">
        <f t="shared" si="195"/>
        <v>0</v>
      </c>
      <c r="C1183" s="84" t="str">
        <f t="shared" si="196"/>
        <v>January</v>
      </c>
      <c r="D1183" s="85" t="str">
        <f t="shared" si="194"/>
        <v/>
      </c>
      <c r="E1183" s="86"/>
      <c r="F1183" s="86"/>
      <c r="G1183" s="86"/>
      <c r="H1183" s="86"/>
      <c r="I1183" s="87" t="str">
        <f>IF(F1183=0,"",IF(COUNTIF(F1183,"Bao"),[1]Setup!$B$4,IF(COUNTIF(F1183,"Soup Dumplings"),[1]Setup!$B$5,F1183)))</f>
        <v/>
      </c>
      <c r="J1183" s="88" t="str">
        <f t="shared" si="188"/>
        <v/>
      </c>
      <c r="K1183" s="88"/>
      <c r="L1183" s="87"/>
      <c r="M1183" s="87"/>
      <c r="N1183" s="87"/>
      <c r="O1183" s="87"/>
      <c r="P1183" s="89" t="str">
        <f t="shared" si="189"/>
        <v/>
      </c>
      <c r="Q1183" s="89" t="str">
        <f t="shared" si="190"/>
        <v/>
      </c>
      <c r="R1183" s="89" t="str">
        <f t="shared" si="191"/>
        <v/>
      </c>
      <c r="S1183" s="88" t="str">
        <f>IF(F1183="Bao",[1]Setup!$B$4,IF(F1183="Soup Dumplings",[1]Setup!$B$5,""))</f>
        <v/>
      </c>
      <c r="T1183" s="88" t="str">
        <f t="shared" si="192"/>
        <v/>
      </c>
      <c r="U1183" s="84" t="str">
        <f t="shared" si="193"/>
        <v/>
      </c>
      <c r="V1183" s="88">
        <f>IF(U1183="",0,MAX(0,T1183)+N1183+ROUND(J1183*[1]Setup!$B$9,0)+IF(O1183&gt;[1]Setup!$B$10,ROUND(J1183*[1]Setup!$B$11,0),0))</f>
        <v>0</v>
      </c>
      <c r="W1183" s="85" t="str">
        <f>IF(L1183="","Open",IF(OR(P1183&lt;[1]Setup!$B$6,Q1183&gt;[1]Setup!$B$7,R1183&gt;[1]Setup!$B$8,O1183&gt;[1]Setup!$B$10),"Review","OK"))</f>
        <v>Open</v>
      </c>
      <c r="X1183" s="86"/>
    </row>
    <row r="1184" spans="1:24" x14ac:dyDescent="0.3">
      <c r="A1184" s="84"/>
      <c r="B1184" s="100">
        <f t="shared" si="195"/>
        <v>0</v>
      </c>
      <c r="C1184" s="84" t="str">
        <f t="shared" si="196"/>
        <v>January</v>
      </c>
      <c r="D1184" s="85" t="str">
        <f t="shared" si="194"/>
        <v/>
      </c>
      <c r="E1184" s="86"/>
      <c r="F1184" s="86"/>
      <c r="G1184" s="86"/>
      <c r="H1184" s="86"/>
      <c r="I1184" s="87" t="str">
        <f>IF(F1184=0,"",IF(COUNTIF(F1184,"Bao"),[1]Setup!$B$4,IF(COUNTIF(F1184,"Soup Dumplings"),[1]Setup!$B$5,F1184)))</f>
        <v/>
      </c>
      <c r="J1184" s="88" t="str">
        <f t="shared" si="188"/>
        <v/>
      </c>
      <c r="K1184" s="88"/>
      <c r="L1184" s="87"/>
      <c r="M1184" s="87"/>
      <c r="N1184" s="87"/>
      <c r="O1184" s="87"/>
      <c r="P1184" s="89" t="str">
        <f t="shared" si="189"/>
        <v/>
      </c>
      <c r="Q1184" s="89" t="str">
        <f t="shared" si="190"/>
        <v/>
      </c>
      <c r="R1184" s="89" t="str">
        <f t="shared" si="191"/>
        <v/>
      </c>
      <c r="S1184" s="88" t="str">
        <f>IF(F1184="Bao",[1]Setup!$B$4,IF(F1184="Soup Dumplings",[1]Setup!$B$5,""))</f>
        <v/>
      </c>
      <c r="T1184" s="88" t="str">
        <f t="shared" si="192"/>
        <v/>
      </c>
      <c r="U1184" s="84" t="str">
        <f t="shared" si="193"/>
        <v/>
      </c>
      <c r="V1184" s="88">
        <f>IF(U1184="",0,MAX(0,T1184)+N1184+ROUND(J1184*[1]Setup!$B$9,0)+IF(O1184&gt;[1]Setup!$B$10,ROUND(J1184*[1]Setup!$B$11,0),0))</f>
        <v>0</v>
      </c>
      <c r="W1184" s="85" t="str">
        <f>IF(L1184="","Open",IF(OR(P1184&lt;[1]Setup!$B$6,Q1184&gt;[1]Setup!$B$7,R1184&gt;[1]Setup!$B$8,O1184&gt;[1]Setup!$B$10),"Review","OK"))</f>
        <v>Open</v>
      </c>
      <c r="X1184" s="86"/>
    </row>
    <row r="1185" spans="1:24" x14ac:dyDescent="0.3">
      <c r="A1185" s="84"/>
      <c r="B1185" s="100">
        <f t="shared" si="195"/>
        <v>0</v>
      </c>
      <c r="C1185" s="84" t="str">
        <f t="shared" si="196"/>
        <v>January</v>
      </c>
      <c r="D1185" s="85" t="str">
        <f t="shared" si="194"/>
        <v/>
      </c>
      <c r="E1185" s="86"/>
      <c r="F1185" s="86"/>
      <c r="G1185" s="86"/>
      <c r="H1185" s="86"/>
      <c r="I1185" s="87" t="str">
        <f>IF(F1185=0,"",IF(COUNTIF(F1185,"Bao"),[1]Setup!$B$4,IF(COUNTIF(F1185,"Soup Dumplings"),[1]Setup!$B$5,F1185)))</f>
        <v/>
      </c>
      <c r="J1185" s="88" t="str">
        <f t="shared" si="188"/>
        <v/>
      </c>
      <c r="K1185" s="88"/>
      <c r="L1185" s="87"/>
      <c r="M1185" s="87"/>
      <c r="N1185" s="87"/>
      <c r="O1185" s="87"/>
      <c r="P1185" s="89" t="str">
        <f t="shared" si="189"/>
        <v/>
      </c>
      <c r="Q1185" s="89" t="str">
        <f t="shared" si="190"/>
        <v/>
      </c>
      <c r="R1185" s="89" t="str">
        <f t="shared" si="191"/>
        <v/>
      </c>
      <c r="S1185" s="88" t="str">
        <f>IF(F1185="Bao",[1]Setup!$B$4,IF(F1185="Soup Dumplings",[1]Setup!$B$5,""))</f>
        <v/>
      </c>
      <c r="T1185" s="88" t="str">
        <f t="shared" si="192"/>
        <v/>
      </c>
      <c r="U1185" s="84" t="str">
        <f t="shared" si="193"/>
        <v/>
      </c>
      <c r="V1185" s="88">
        <f>IF(U1185="",0,MAX(0,T1185)+N1185+ROUND(J1185*[1]Setup!$B$9,0)+IF(O1185&gt;[1]Setup!$B$10,ROUND(J1185*[1]Setup!$B$11,0),0))</f>
        <v>0</v>
      </c>
      <c r="W1185" s="85" t="str">
        <f>IF(L1185="","Open",IF(OR(P1185&lt;[1]Setup!$B$6,Q1185&gt;[1]Setup!$B$7,R1185&gt;[1]Setup!$B$8,O1185&gt;[1]Setup!$B$10),"Review","OK"))</f>
        <v>Open</v>
      </c>
      <c r="X1185" s="86"/>
    </row>
    <row r="1186" spans="1:24" x14ac:dyDescent="0.3">
      <c r="A1186" s="84"/>
      <c r="B1186" s="100">
        <f t="shared" si="195"/>
        <v>0</v>
      </c>
      <c r="C1186" s="84" t="str">
        <f t="shared" si="196"/>
        <v>January</v>
      </c>
      <c r="D1186" s="85" t="str">
        <f t="shared" si="194"/>
        <v/>
      </c>
      <c r="E1186" s="86"/>
      <c r="F1186" s="86"/>
      <c r="G1186" s="86"/>
      <c r="H1186" s="86"/>
      <c r="I1186" s="87" t="str">
        <f>IF(F1186=0,"",IF(COUNTIF(F1186,"Bao"),[1]Setup!$B$4,IF(COUNTIF(F1186,"Soup Dumplings"),[1]Setup!$B$5,F1186)))</f>
        <v/>
      </c>
      <c r="J1186" s="88" t="str">
        <f t="shared" si="188"/>
        <v/>
      </c>
      <c r="K1186" s="88"/>
      <c r="L1186" s="87"/>
      <c r="M1186" s="87"/>
      <c r="N1186" s="87"/>
      <c r="O1186" s="87"/>
      <c r="P1186" s="89" t="str">
        <f t="shared" si="189"/>
        <v/>
      </c>
      <c r="Q1186" s="89" t="str">
        <f t="shared" si="190"/>
        <v/>
      </c>
      <c r="R1186" s="89" t="str">
        <f t="shared" si="191"/>
        <v/>
      </c>
      <c r="S1186" s="88" t="str">
        <f>IF(F1186="Bao",[1]Setup!$B$4,IF(F1186="Soup Dumplings",[1]Setup!$B$5,""))</f>
        <v/>
      </c>
      <c r="T1186" s="88" t="str">
        <f t="shared" si="192"/>
        <v/>
      </c>
      <c r="U1186" s="84" t="str">
        <f t="shared" si="193"/>
        <v/>
      </c>
      <c r="V1186" s="88">
        <f>IF(U1186="",0,MAX(0,T1186)+N1186+ROUND(J1186*[1]Setup!$B$9,0)+IF(O1186&gt;[1]Setup!$B$10,ROUND(J1186*[1]Setup!$B$11,0),0))</f>
        <v>0</v>
      </c>
      <c r="W1186" s="85" t="str">
        <f>IF(L1186="","Open",IF(OR(P1186&lt;[1]Setup!$B$6,Q1186&gt;[1]Setup!$B$7,R1186&gt;[1]Setup!$B$8,O1186&gt;[1]Setup!$B$10),"Review","OK"))</f>
        <v>Open</v>
      </c>
      <c r="X1186" s="86"/>
    </row>
    <row r="1187" spans="1:24" x14ac:dyDescent="0.3">
      <c r="A1187" s="84"/>
      <c r="B1187" s="100">
        <f t="shared" si="195"/>
        <v>0</v>
      </c>
      <c r="C1187" s="84" t="str">
        <f t="shared" si="196"/>
        <v>January</v>
      </c>
      <c r="D1187" s="85" t="str">
        <f t="shared" si="194"/>
        <v/>
      </c>
      <c r="E1187" s="86"/>
      <c r="F1187" s="86"/>
      <c r="G1187" s="86"/>
      <c r="H1187" s="86"/>
      <c r="I1187" s="87" t="str">
        <f>IF(F1187=0,"",IF(COUNTIF(F1187,"Bao"),[1]Setup!$B$4,IF(COUNTIF(F1187,"Soup Dumplings"),[1]Setup!$B$5,F1187)))</f>
        <v/>
      </c>
      <c r="J1187" s="88" t="str">
        <f t="shared" si="188"/>
        <v/>
      </c>
      <c r="K1187" s="88"/>
      <c r="L1187" s="87"/>
      <c r="M1187" s="87"/>
      <c r="N1187" s="87"/>
      <c r="O1187" s="87"/>
      <c r="P1187" s="89" t="str">
        <f t="shared" si="189"/>
        <v/>
      </c>
      <c r="Q1187" s="89" t="str">
        <f t="shared" si="190"/>
        <v/>
      </c>
      <c r="R1187" s="89" t="str">
        <f t="shared" si="191"/>
        <v/>
      </c>
      <c r="S1187" s="88" t="str">
        <f>IF(F1187="Bao",[1]Setup!$B$4,IF(F1187="Soup Dumplings",[1]Setup!$B$5,""))</f>
        <v/>
      </c>
      <c r="T1187" s="88" t="str">
        <f t="shared" si="192"/>
        <v/>
      </c>
      <c r="U1187" s="84" t="str">
        <f t="shared" si="193"/>
        <v/>
      </c>
      <c r="V1187" s="88">
        <f>IF(U1187="",0,MAX(0,T1187)+N1187+ROUND(J1187*[1]Setup!$B$9,0)+IF(O1187&gt;[1]Setup!$B$10,ROUND(J1187*[1]Setup!$B$11,0),0))</f>
        <v>0</v>
      </c>
      <c r="W1187" s="85" t="str">
        <f>IF(L1187="","Open",IF(OR(P1187&lt;[1]Setup!$B$6,Q1187&gt;[1]Setup!$B$7,R1187&gt;[1]Setup!$B$8,O1187&gt;[1]Setup!$B$10),"Review","OK"))</f>
        <v>Open</v>
      </c>
      <c r="X1187" s="86"/>
    </row>
    <row r="1188" spans="1:24" x14ac:dyDescent="0.3">
      <c r="A1188" s="84"/>
      <c r="B1188" s="100">
        <f t="shared" si="195"/>
        <v>0</v>
      </c>
      <c r="C1188" s="84" t="str">
        <f t="shared" si="196"/>
        <v>January</v>
      </c>
      <c r="D1188" s="85" t="str">
        <f t="shared" si="194"/>
        <v/>
      </c>
      <c r="E1188" s="86"/>
      <c r="F1188" s="86"/>
      <c r="G1188" s="86"/>
      <c r="H1188" s="86"/>
      <c r="I1188" s="87" t="str">
        <f>IF(F1188=0,"",IF(COUNTIF(F1188,"Bao"),[1]Setup!$B$4,IF(COUNTIF(F1188,"Soup Dumplings"),[1]Setup!$B$5,F1188)))</f>
        <v/>
      </c>
      <c r="J1188" s="88" t="str">
        <f t="shared" si="188"/>
        <v/>
      </c>
      <c r="K1188" s="88"/>
      <c r="L1188" s="87"/>
      <c r="M1188" s="87"/>
      <c r="N1188" s="87"/>
      <c r="O1188" s="87"/>
      <c r="P1188" s="89" t="str">
        <f t="shared" si="189"/>
        <v/>
      </c>
      <c r="Q1188" s="89" t="str">
        <f t="shared" si="190"/>
        <v/>
      </c>
      <c r="R1188" s="89" t="str">
        <f t="shared" si="191"/>
        <v/>
      </c>
      <c r="S1188" s="88" t="str">
        <f>IF(F1188="Bao",[1]Setup!$B$4,IF(F1188="Soup Dumplings",[1]Setup!$B$5,""))</f>
        <v/>
      </c>
      <c r="T1188" s="88" t="str">
        <f t="shared" si="192"/>
        <v/>
      </c>
      <c r="U1188" s="84" t="str">
        <f t="shared" si="193"/>
        <v/>
      </c>
      <c r="V1188" s="88">
        <f>IF(U1188="",0,MAX(0,T1188)+N1188+ROUND(J1188*[1]Setup!$B$9,0)+IF(O1188&gt;[1]Setup!$B$10,ROUND(J1188*[1]Setup!$B$11,0),0))</f>
        <v>0</v>
      </c>
      <c r="W1188" s="85" t="str">
        <f>IF(L1188="","Open",IF(OR(P1188&lt;[1]Setup!$B$6,Q1188&gt;[1]Setup!$B$7,R1188&gt;[1]Setup!$B$8,O1188&gt;[1]Setup!$B$10),"Review","OK"))</f>
        <v>Open</v>
      </c>
      <c r="X1188" s="86"/>
    </row>
    <row r="1189" spans="1:24" x14ac:dyDescent="0.3">
      <c r="A1189" s="84"/>
      <c r="B1189" s="100">
        <f t="shared" si="195"/>
        <v>0</v>
      </c>
      <c r="C1189" s="84" t="str">
        <f t="shared" si="196"/>
        <v>January</v>
      </c>
      <c r="D1189" s="85" t="str">
        <f t="shared" si="194"/>
        <v/>
      </c>
      <c r="E1189" s="86"/>
      <c r="F1189" s="86"/>
      <c r="G1189" s="86"/>
      <c r="H1189" s="86"/>
      <c r="I1189" s="87" t="str">
        <f>IF(F1189=0,"",IF(COUNTIF(F1189,"Bao"),[1]Setup!$B$4,IF(COUNTIF(F1189,"Soup Dumplings"),[1]Setup!$B$5,F1189)))</f>
        <v/>
      </c>
      <c r="J1189" s="88" t="str">
        <f t="shared" si="188"/>
        <v/>
      </c>
      <c r="K1189" s="88"/>
      <c r="L1189" s="87"/>
      <c r="M1189" s="87"/>
      <c r="N1189" s="87"/>
      <c r="O1189" s="87"/>
      <c r="P1189" s="89" t="str">
        <f t="shared" si="189"/>
        <v/>
      </c>
      <c r="Q1189" s="89" t="str">
        <f t="shared" si="190"/>
        <v/>
      </c>
      <c r="R1189" s="89" t="str">
        <f t="shared" si="191"/>
        <v/>
      </c>
      <c r="S1189" s="88" t="str">
        <f>IF(F1189="Bao",[1]Setup!$B$4,IF(F1189="Soup Dumplings",[1]Setup!$B$5,""))</f>
        <v/>
      </c>
      <c r="T1189" s="88" t="str">
        <f t="shared" si="192"/>
        <v/>
      </c>
      <c r="U1189" s="84" t="str">
        <f t="shared" si="193"/>
        <v/>
      </c>
      <c r="V1189" s="88">
        <f>IF(U1189="",0,MAX(0,T1189)+N1189+ROUND(J1189*[1]Setup!$B$9,0)+IF(O1189&gt;[1]Setup!$B$10,ROUND(J1189*[1]Setup!$B$11,0),0))</f>
        <v>0</v>
      </c>
      <c r="W1189" s="85" t="str">
        <f>IF(L1189="","Open",IF(OR(P1189&lt;[1]Setup!$B$6,Q1189&gt;[1]Setup!$B$7,R1189&gt;[1]Setup!$B$8,O1189&gt;[1]Setup!$B$10),"Review","OK"))</f>
        <v>Open</v>
      </c>
      <c r="X1189" s="86"/>
    </row>
    <row r="1190" spans="1:24" x14ac:dyDescent="0.3">
      <c r="A1190" s="84"/>
      <c r="B1190" s="100">
        <f t="shared" si="195"/>
        <v>0</v>
      </c>
      <c r="C1190" s="84" t="str">
        <f t="shared" si="196"/>
        <v>January</v>
      </c>
      <c r="D1190" s="85" t="str">
        <f t="shared" si="194"/>
        <v/>
      </c>
      <c r="E1190" s="86"/>
      <c r="F1190" s="86"/>
      <c r="G1190" s="86"/>
      <c r="H1190" s="86"/>
      <c r="I1190" s="87" t="str">
        <f>IF(F1190=0,"",IF(COUNTIF(F1190,"Bao"),[1]Setup!$B$4,IF(COUNTIF(F1190,"Soup Dumplings"),[1]Setup!$B$5,F1190)))</f>
        <v/>
      </c>
      <c r="J1190" s="88" t="str">
        <f t="shared" si="188"/>
        <v/>
      </c>
      <c r="K1190" s="88"/>
      <c r="L1190" s="87"/>
      <c r="M1190" s="87"/>
      <c r="N1190" s="87"/>
      <c r="O1190" s="87"/>
      <c r="P1190" s="89" t="str">
        <f t="shared" si="189"/>
        <v/>
      </c>
      <c r="Q1190" s="89" t="str">
        <f t="shared" si="190"/>
        <v/>
      </c>
      <c r="R1190" s="89" t="str">
        <f t="shared" si="191"/>
        <v/>
      </c>
      <c r="S1190" s="88" t="str">
        <f>IF(F1190="Bao",[1]Setup!$B$4,IF(F1190="Soup Dumplings",[1]Setup!$B$5,""))</f>
        <v/>
      </c>
      <c r="T1190" s="88" t="str">
        <f t="shared" si="192"/>
        <v/>
      </c>
      <c r="U1190" s="84" t="str">
        <f t="shared" si="193"/>
        <v/>
      </c>
      <c r="V1190" s="88">
        <f>IF(U1190="",0,MAX(0,T1190)+N1190+ROUND(J1190*[1]Setup!$B$9,0)+IF(O1190&gt;[1]Setup!$B$10,ROUND(J1190*[1]Setup!$B$11,0),0))</f>
        <v>0</v>
      </c>
      <c r="W1190" s="85" t="str">
        <f>IF(L1190="","Open",IF(OR(P1190&lt;[1]Setup!$B$6,Q1190&gt;[1]Setup!$B$7,R1190&gt;[1]Setup!$B$8,O1190&gt;[1]Setup!$B$10),"Review","OK"))</f>
        <v>Open</v>
      </c>
      <c r="X1190" s="86"/>
    </row>
    <row r="1191" spans="1:24" x14ac:dyDescent="0.3">
      <c r="A1191" s="84"/>
      <c r="B1191" s="100">
        <f t="shared" si="195"/>
        <v>0</v>
      </c>
      <c r="C1191" s="84" t="str">
        <f t="shared" si="196"/>
        <v>January</v>
      </c>
      <c r="D1191" s="85" t="str">
        <f t="shared" si="194"/>
        <v/>
      </c>
      <c r="E1191" s="86"/>
      <c r="F1191" s="86"/>
      <c r="G1191" s="86"/>
      <c r="H1191" s="86"/>
      <c r="I1191" s="87" t="str">
        <f>IF(F1191=0,"",IF(COUNTIF(F1191,"Bao"),[1]Setup!$B$4,IF(COUNTIF(F1191,"Soup Dumplings"),[1]Setup!$B$5,F1191)))</f>
        <v/>
      </c>
      <c r="J1191" s="88" t="str">
        <f t="shared" si="188"/>
        <v/>
      </c>
      <c r="K1191" s="88"/>
      <c r="L1191" s="87"/>
      <c r="M1191" s="87"/>
      <c r="N1191" s="87"/>
      <c r="O1191" s="87"/>
      <c r="P1191" s="89" t="str">
        <f t="shared" si="189"/>
        <v/>
      </c>
      <c r="Q1191" s="89" t="str">
        <f t="shared" si="190"/>
        <v/>
      </c>
      <c r="R1191" s="89" t="str">
        <f t="shared" si="191"/>
        <v/>
      </c>
      <c r="S1191" s="88" t="str">
        <f>IF(F1191="Bao",[1]Setup!$B$4,IF(F1191="Soup Dumplings",[1]Setup!$B$5,""))</f>
        <v/>
      </c>
      <c r="T1191" s="88" t="str">
        <f t="shared" si="192"/>
        <v/>
      </c>
      <c r="U1191" s="84" t="str">
        <f t="shared" si="193"/>
        <v/>
      </c>
      <c r="V1191" s="88">
        <f>IF(U1191="",0,MAX(0,T1191)+N1191+ROUND(J1191*[1]Setup!$B$9,0)+IF(O1191&gt;[1]Setup!$B$10,ROUND(J1191*[1]Setup!$B$11,0),0))</f>
        <v>0</v>
      </c>
      <c r="W1191" s="85" t="str">
        <f>IF(L1191="","Open",IF(OR(P1191&lt;[1]Setup!$B$6,Q1191&gt;[1]Setup!$B$7,R1191&gt;[1]Setup!$B$8,O1191&gt;[1]Setup!$B$10),"Review","OK"))</f>
        <v>Open</v>
      </c>
      <c r="X1191" s="86"/>
    </row>
    <row r="1192" spans="1:24" x14ac:dyDescent="0.3">
      <c r="A1192" s="84"/>
      <c r="B1192" s="100">
        <f t="shared" si="195"/>
        <v>0</v>
      </c>
      <c r="C1192" s="84" t="str">
        <f t="shared" si="196"/>
        <v>January</v>
      </c>
      <c r="D1192" s="85" t="str">
        <f t="shared" si="194"/>
        <v/>
      </c>
      <c r="E1192" s="86"/>
      <c r="F1192" s="86"/>
      <c r="G1192" s="86"/>
      <c r="H1192" s="86"/>
      <c r="I1192" s="87" t="str">
        <f>IF(F1192=0,"",IF(COUNTIF(F1192,"Bao"),[1]Setup!$B$4,IF(COUNTIF(F1192,"Soup Dumplings"),[1]Setup!$B$5,F1192)))</f>
        <v/>
      </c>
      <c r="J1192" s="88" t="str">
        <f t="shared" si="188"/>
        <v/>
      </c>
      <c r="K1192" s="88"/>
      <c r="L1192" s="87"/>
      <c r="M1192" s="87"/>
      <c r="N1192" s="87"/>
      <c r="O1192" s="87"/>
      <c r="P1192" s="89" t="str">
        <f t="shared" si="189"/>
        <v/>
      </c>
      <c r="Q1192" s="89" t="str">
        <f t="shared" si="190"/>
        <v/>
      </c>
      <c r="R1192" s="89" t="str">
        <f t="shared" si="191"/>
        <v/>
      </c>
      <c r="S1192" s="88" t="str">
        <f>IF(F1192="Bao",[1]Setup!$B$4,IF(F1192="Soup Dumplings",[1]Setup!$B$5,""))</f>
        <v/>
      </c>
      <c r="T1192" s="88" t="str">
        <f t="shared" si="192"/>
        <v/>
      </c>
      <c r="U1192" s="84" t="str">
        <f t="shared" si="193"/>
        <v/>
      </c>
      <c r="V1192" s="88">
        <f>IF(U1192="",0,MAX(0,T1192)+N1192+ROUND(J1192*[1]Setup!$B$9,0)+IF(O1192&gt;[1]Setup!$B$10,ROUND(J1192*[1]Setup!$B$11,0),0))</f>
        <v>0</v>
      </c>
      <c r="W1192" s="85" t="str">
        <f>IF(L1192="","Open",IF(OR(P1192&lt;[1]Setup!$B$6,Q1192&gt;[1]Setup!$B$7,R1192&gt;[1]Setup!$B$8,O1192&gt;[1]Setup!$B$10),"Review","OK"))</f>
        <v>Open</v>
      </c>
      <c r="X1192" s="86"/>
    </row>
    <row r="1193" spans="1:24" x14ac:dyDescent="0.3">
      <c r="A1193" s="84"/>
      <c r="B1193" s="100">
        <f t="shared" si="195"/>
        <v>0</v>
      </c>
      <c r="C1193" s="84" t="str">
        <f t="shared" si="196"/>
        <v>January</v>
      </c>
      <c r="D1193" s="85" t="str">
        <f t="shared" si="194"/>
        <v/>
      </c>
      <c r="E1193" s="86"/>
      <c r="F1193" s="86"/>
      <c r="G1193" s="86"/>
      <c r="H1193" s="86"/>
      <c r="I1193" s="87" t="str">
        <f>IF(F1193=0,"",IF(COUNTIF(F1193,"Bao"),[1]Setup!$B$4,IF(COUNTIF(F1193,"Soup Dumplings"),[1]Setup!$B$5,F1193)))</f>
        <v/>
      </c>
      <c r="J1193" s="88" t="str">
        <f t="shared" si="188"/>
        <v/>
      </c>
      <c r="K1193" s="88"/>
      <c r="L1193" s="87"/>
      <c r="M1193" s="87"/>
      <c r="N1193" s="87"/>
      <c r="O1193" s="87"/>
      <c r="P1193" s="89" t="str">
        <f t="shared" si="189"/>
        <v/>
      </c>
      <c r="Q1193" s="89" t="str">
        <f t="shared" si="190"/>
        <v/>
      </c>
      <c r="R1193" s="89" t="str">
        <f t="shared" si="191"/>
        <v/>
      </c>
      <c r="S1193" s="88" t="str">
        <f>IF(F1193="Bao",[1]Setup!$B$4,IF(F1193="Soup Dumplings",[1]Setup!$B$5,""))</f>
        <v/>
      </c>
      <c r="T1193" s="88" t="str">
        <f t="shared" si="192"/>
        <v/>
      </c>
      <c r="U1193" s="84" t="str">
        <f t="shared" si="193"/>
        <v/>
      </c>
      <c r="V1193" s="88">
        <f>IF(U1193="",0,MAX(0,T1193)+N1193+ROUND(J1193*[1]Setup!$B$9,0)+IF(O1193&gt;[1]Setup!$B$10,ROUND(J1193*[1]Setup!$B$11,0),0))</f>
        <v>0</v>
      </c>
      <c r="W1193" s="85" t="str">
        <f>IF(L1193="","Open",IF(OR(P1193&lt;[1]Setup!$B$6,Q1193&gt;[1]Setup!$B$7,R1193&gt;[1]Setup!$B$8,O1193&gt;[1]Setup!$B$10),"Review","OK"))</f>
        <v>Open</v>
      </c>
      <c r="X1193" s="86"/>
    </row>
    <row r="1194" spans="1:24" x14ac:dyDescent="0.3">
      <c r="A1194" s="84"/>
      <c r="B1194" s="100">
        <f t="shared" si="195"/>
        <v>0</v>
      </c>
      <c r="C1194" s="84" t="str">
        <f t="shared" si="196"/>
        <v>January</v>
      </c>
      <c r="D1194" s="85" t="str">
        <f t="shared" si="194"/>
        <v/>
      </c>
      <c r="E1194" s="86"/>
      <c r="F1194" s="86"/>
      <c r="G1194" s="86"/>
      <c r="H1194" s="86"/>
      <c r="I1194" s="87" t="str">
        <f>IF(F1194=0,"",IF(COUNTIF(F1194,"Bao"),[1]Setup!$B$4,IF(COUNTIF(F1194,"Soup Dumplings"),[1]Setup!$B$5,F1194)))</f>
        <v/>
      </c>
      <c r="J1194" s="88" t="str">
        <f t="shared" si="188"/>
        <v/>
      </c>
      <c r="K1194" s="88"/>
      <c r="L1194" s="87"/>
      <c r="M1194" s="87"/>
      <c r="N1194" s="87"/>
      <c r="O1194" s="87"/>
      <c r="P1194" s="89" t="str">
        <f t="shared" si="189"/>
        <v/>
      </c>
      <c r="Q1194" s="89" t="str">
        <f t="shared" si="190"/>
        <v/>
      </c>
      <c r="R1194" s="89" t="str">
        <f t="shared" si="191"/>
        <v/>
      </c>
      <c r="S1194" s="88" t="str">
        <f>IF(F1194="Bao",[1]Setup!$B$4,IF(F1194="Soup Dumplings",[1]Setup!$B$5,""))</f>
        <v/>
      </c>
      <c r="T1194" s="88" t="str">
        <f t="shared" si="192"/>
        <v/>
      </c>
      <c r="U1194" s="84" t="str">
        <f t="shared" si="193"/>
        <v/>
      </c>
      <c r="V1194" s="88">
        <f>IF(U1194="",0,MAX(0,T1194)+N1194+ROUND(J1194*[1]Setup!$B$9,0)+IF(O1194&gt;[1]Setup!$B$10,ROUND(J1194*[1]Setup!$B$11,0),0))</f>
        <v>0</v>
      </c>
      <c r="W1194" s="85" t="str">
        <f>IF(L1194="","Open",IF(OR(P1194&lt;[1]Setup!$B$6,Q1194&gt;[1]Setup!$B$7,R1194&gt;[1]Setup!$B$8,O1194&gt;[1]Setup!$B$10),"Review","OK"))</f>
        <v>Open</v>
      </c>
      <c r="X1194" s="86"/>
    </row>
    <row r="1195" spans="1:24" x14ac:dyDescent="0.3">
      <c r="A1195" s="84"/>
      <c r="B1195" s="100">
        <f t="shared" si="195"/>
        <v>0</v>
      </c>
      <c r="C1195" s="84" t="str">
        <f t="shared" si="196"/>
        <v>January</v>
      </c>
      <c r="D1195" s="85" t="str">
        <f t="shared" si="194"/>
        <v/>
      </c>
      <c r="E1195" s="86"/>
      <c r="F1195" s="86"/>
      <c r="G1195" s="86"/>
      <c r="H1195" s="86"/>
      <c r="I1195" s="87" t="str">
        <f>IF(F1195=0,"",IF(COUNTIF(F1195,"Bao"),[1]Setup!$B$4,IF(COUNTIF(F1195,"Soup Dumplings"),[1]Setup!$B$5,F1195)))</f>
        <v/>
      </c>
      <c r="J1195" s="88" t="str">
        <f t="shared" si="188"/>
        <v/>
      </c>
      <c r="K1195" s="88"/>
      <c r="L1195" s="87"/>
      <c r="M1195" s="87"/>
      <c r="N1195" s="87"/>
      <c r="O1195" s="87"/>
      <c r="P1195" s="89" t="str">
        <f t="shared" si="189"/>
        <v/>
      </c>
      <c r="Q1195" s="89" t="str">
        <f t="shared" si="190"/>
        <v/>
      </c>
      <c r="R1195" s="89" t="str">
        <f t="shared" si="191"/>
        <v/>
      </c>
      <c r="S1195" s="88" t="str">
        <f>IF(F1195="Bao",[1]Setup!$B$4,IF(F1195="Soup Dumplings",[1]Setup!$B$5,""))</f>
        <v/>
      </c>
      <c r="T1195" s="88" t="str">
        <f t="shared" si="192"/>
        <v/>
      </c>
      <c r="U1195" s="84" t="str">
        <f t="shared" si="193"/>
        <v/>
      </c>
      <c r="V1195" s="88">
        <f>IF(U1195="",0,MAX(0,T1195)+N1195+ROUND(J1195*[1]Setup!$B$9,0)+IF(O1195&gt;[1]Setup!$B$10,ROUND(J1195*[1]Setup!$B$11,0),0))</f>
        <v>0</v>
      </c>
      <c r="W1195" s="85" t="str">
        <f>IF(L1195="","Open",IF(OR(P1195&lt;[1]Setup!$B$6,Q1195&gt;[1]Setup!$B$7,R1195&gt;[1]Setup!$B$8,O1195&gt;[1]Setup!$B$10),"Review","OK"))</f>
        <v>Open</v>
      </c>
      <c r="X1195" s="86"/>
    </row>
    <row r="1196" spans="1:24" x14ac:dyDescent="0.3">
      <c r="A1196" s="84"/>
      <c r="B1196" s="100">
        <f t="shared" si="195"/>
        <v>0</v>
      </c>
      <c r="C1196" s="84" t="str">
        <f t="shared" si="196"/>
        <v>January</v>
      </c>
      <c r="D1196" s="85" t="str">
        <f t="shared" si="194"/>
        <v/>
      </c>
      <c r="E1196" s="86"/>
      <c r="F1196" s="86"/>
      <c r="G1196" s="86"/>
      <c r="H1196" s="86"/>
      <c r="I1196" s="87" t="str">
        <f>IF(F1196=0,"",IF(COUNTIF(F1196,"Bao"),[1]Setup!$B$4,IF(COUNTIF(F1196,"Soup Dumplings"),[1]Setup!$B$5,F1196)))</f>
        <v/>
      </c>
      <c r="J1196" s="88" t="str">
        <f t="shared" si="188"/>
        <v/>
      </c>
      <c r="K1196" s="88"/>
      <c r="L1196" s="87"/>
      <c r="M1196" s="87"/>
      <c r="N1196" s="87"/>
      <c r="O1196" s="87"/>
      <c r="P1196" s="89" t="str">
        <f t="shared" si="189"/>
        <v/>
      </c>
      <c r="Q1196" s="89" t="str">
        <f t="shared" si="190"/>
        <v/>
      </c>
      <c r="R1196" s="89" t="str">
        <f t="shared" si="191"/>
        <v/>
      </c>
      <c r="S1196" s="88" t="str">
        <f>IF(F1196="Bao",[1]Setup!$B$4,IF(F1196="Soup Dumplings",[1]Setup!$B$5,""))</f>
        <v/>
      </c>
      <c r="T1196" s="88" t="str">
        <f t="shared" si="192"/>
        <v/>
      </c>
      <c r="U1196" s="84" t="str">
        <f t="shared" si="193"/>
        <v/>
      </c>
      <c r="V1196" s="88">
        <f>IF(U1196="",0,MAX(0,T1196)+N1196+ROUND(J1196*[1]Setup!$B$9,0)+IF(O1196&gt;[1]Setup!$B$10,ROUND(J1196*[1]Setup!$B$11,0),0))</f>
        <v>0</v>
      </c>
      <c r="W1196" s="85" t="str">
        <f>IF(L1196="","Open",IF(OR(P1196&lt;[1]Setup!$B$6,Q1196&gt;[1]Setup!$B$7,R1196&gt;[1]Setup!$B$8,O1196&gt;[1]Setup!$B$10),"Review","OK"))</f>
        <v>Open</v>
      </c>
      <c r="X1196" s="86"/>
    </row>
    <row r="1197" spans="1:24" x14ac:dyDescent="0.3">
      <c r="A1197" s="84"/>
      <c r="B1197" s="100">
        <f t="shared" si="195"/>
        <v>0</v>
      </c>
      <c r="C1197" s="84" t="str">
        <f t="shared" si="196"/>
        <v>January</v>
      </c>
      <c r="D1197" s="85" t="str">
        <f t="shared" si="194"/>
        <v/>
      </c>
      <c r="E1197" s="86"/>
      <c r="F1197" s="86"/>
      <c r="G1197" s="86"/>
      <c r="H1197" s="86"/>
      <c r="I1197" s="87" t="str">
        <f>IF(F1197=0,"",IF(COUNTIF(F1197,"Bao"),[1]Setup!$B$4,IF(COUNTIF(F1197,"Soup Dumplings"),[1]Setup!$B$5,F1197)))</f>
        <v/>
      </c>
      <c r="J1197" s="88" t="str">
        <f t="shared" si="188"/>
        <v/>
      </c>
      <c r="K1197" s="88"/>
      <c r="L1197" s="87"/>
      <c r="M1197" s="87"/>
      <c r="N1197" s="87"/>
      <c r="O1197" s="87"/>
      <c r="P1197" s="89" t="str">
        <f t="shared" si="189"/>
        <v/>
      </c>
      <c r="Q1197" s="89" t="str">
        <f t="shared" si="190"/>
        <v/>
      </c>
      <c r="R1197" s="89" t="str">
        <f t="shared" si="191"/>
        <v/>
      </c>
      <c r="S1197" s="88" t="str">
        <f>IF(F1197="Bao",[1]Setup!$B$4,IF(F1197="Soup Dumplings",[1]Setup!$B$5,""))</f>
        <v/>
      </c>
      <c r="T1197" s="88" t="str">
        <f t="shared" si="192"/>
        <v/>
      </c>
      <c r="U1197" s="84" t="str">
        <f t="shared" si="193"/>
        <v/>
      </c>
      <c r="V1197" s="88">
        <f>IF(U1197="",0,MAX(0,T1197)+N1197+ROUND(J1197*[1]Setup!$B$9,0)+IF(O1197&gt;[1]Setup!$B$10,ROUND(J1197*[1]Setup!$B$11,0),0))</f>
        <v>0</v>
      </c>
      <c r="W1197" s="85" t="str">
        <f>IF(L1197="","Open",IF(OR(P1197&lt;[1]Setup!$B$6,Q1197&gt;[1]Setup!$B$7,R1197&gt;[1]Setup!$B$8,O1197&gt;[1]Setup!$B$10),"Review","OK"))</f>
        <v>Open</v>
      </c>
      <c r="X1197" s="86"/>
    </row>
    <row r="1198" spans="1:24" x14ac:dyDescent="0.3">
      <c r="A1198" s="84"/>
      <c r="B1198" s="100">
        <f t="shared" si="195"/>
        <v>0</v>
      </c>
      <c r="C1198" s="84" t="str">
        <f t="shared" si="196"/>
        <v>January</v>
      </c>
      <c r="D1198" s="85" t="str">
        <f t="shared" si="194"/>
        <v/>
      </c>
      <c r="E1198" s="86"/>
      <c r="F1198" s="86"/>
      <c r="G1198" s="86"/>
      <c r="H1198" s="86"/>
      <c r="I1198" s="87" t="str">
        <f>IF(F1198=0,"",IF(COUNTIF(F1198,"Bao"),[1]Setup!$B$4,IF(COUNTIF(F1198,"Soup Dumplings"),[1]Setup!$B$5,F1198)))</f>
        <v/>
      </c>
      <c r="J1198" s="88" t="str">
        <f t="shared" si="188"/>
        <v/>
      </c>
      <c r="K1198" s="88"/>
      <c r="L1198" s="87"/>
      <c r="M1198" s="87"/>
      <c r="N1198" s="87"/>
      <c r="O1198" s="87"/>
      <c r="P1198" s="89" t="str">
        <f t="shared" si="189"/>
        <v/>
      </c>
      <c r="Q1198" s="89" t="str">
        <f t="shared" si="190"/>
        <v/>
      </c>
      <c r="R1198" s="89" t="str">
        <f t="shared" si="191"/>
        <v/>
      </c>
      <c r="S1198" s="88" t="str">
        <f>IF(F1198="Bao",[1]Setup!$B$4,IF(F1198="Soup Dumplings",[1]Setup!$B$5,""))</f>
        <v/>
      </c>
      <c r="T1198" s="88" t="str">
        <f t="shared" si="192"/>
        <v/>
      </c>
      <c r="U1198" s="84" t="str">
        <f t="shared" si="193"/>
        <v/>
      </c>
      <c r="V1198" s="88">
        <f>IF(U1198="",0,MAX(0,T1198)+N1198+ROUND(J1198*[1]Setup!$B$9,0)+IF(O1198&gt;[1]Setup!$B$10,ROUND(J1198*[1]Setup!$B$11,0),0))</f>
        <v>0</v>
      </c>
      <c r="W1198" s="85" t="str">
        <f>IF(L1198="","Open",IF(OR(P1198&lt;[1]Setup!$B$6,Q1198&gt;[1]Setup!$B$7,R1198&gt;[1]Setup!$B$8,O1198&gt;[1]Setup!$B$10),"Review","OK"))</f>
        <v>Open</v>
      </c>
      <c r="X1198" s="86"/>
    </row>
    <row r="1199" spans="1:24" x14ac:dyDescent="0.3">
      <c r="A1199" s="84"/>
      <c r="B1199" s="100">
        <f t="shared" si="195"/>
        <v>0</v>
      </c>
      <c r="C1199" s="84" t="str">
        <f t="shared" si="196"/>
        <v>January</v>
      </c>
      <c r="D1199" s="85" t="str">
        <f t="shared" si="194"/>
        <v/>
      </c>
      <c r="E1199" s="86"/>
      <c r="F1199" s="86"/>
      <c r="G1199" s="86"/>
      <c r="H1199" s="86"/>
      <c r="I1199" s="87" t="str">
        <f>IF(F1199=0,"",IF(COUNTIF(F1199,"Bao"),[1]Setup!$B$4,IF(COUNTIF(F1199,"Soup Dumplings"),[1]Setup!$B$5,F1199)))</f>
        <v/>
      </c>
      <c r="J1199" s="88" t="str">
        <f t="shared" ref="J1199:J1244" si="197">IF(A1199="","",
   IFERROR(
      N(I1199)+SUMIFS($V$4:$V$30,$U$4:$U$30,A1199,$G$4:$G$30,G1199),
   0)
)</f>
        <v/>
      </c>
      <c r="K1199" s="88"/>
      <c r="L1199" s="87"/>
      <c r="M1199" s="87"/>
      <c r="N1199" s="87"/>
      <c r="O1199" s="87"/>
      <c r="P1199" s="89" t="str">
        <f t="shared" ref="P1199:P1244" si="198">IF(J1199="","",IF(J1199&gt;0,(L1199+M1199)/J1199,""))</f>
        <v/>
      </c>
      <c r="Q1199" s="89" t="str">
        <f t="shared" ref="Q1199:Q1244" si="199">IF(J1199="","",IF(J1199&gt;0,MAX(0,(J1199-(L1199+M1199))/J1199),""))</f>
        <v/>
      </c>
      <c r="R1199" s="89" t="str">
        <f t="shared" ref="R1199:R1244" si="200">IF(J1199="","",IF(J1199&gt;0,MAX(0,(L1199+M1199-J1199)/J1199),""))</f>
        <v/>
      </c>
      <c r="S1199" s="88" t="str">
        <f>IF(F1199="Bao",[1]Setup!$B$4,IF(F1199="Soup Dumplings",[1]Setup!$B$5,""))</f>
        <v/>
      </c>
      <c r="T1199" s="88" t="str">
        <f t="shared" ref="T1199:T1244" si="201">IF(L1199="","",S1199-L1199)</f>
        <v/>
      </c>
      <c r="U1199" s="84" t="str">
        <f t="shared" ref="U1199:U1244" si="202">IF(A1199="","",A1199+1)</f>
        <v/>
      </c>
      <c r="V1199" s="88">
        <f>IF(U1199="",0,MAX(0,T1199)+N1199+ROUND(J1199*[1]Setup!$B$9,0)+IF(O1199&gt;[1]Setup!$B$10,ROUND(J1199*[1]Setup!$B$11,0),0))</f>
        <v>0</v>
      </c>
      <c r="W1199" s="85" t="str">
        <f>IF(L1199="","Open",IF(OR(P1199&lt;[1]Setup!$B$6,Q1199&gt;[1]Setup!$B$7,R1199&gt;[1]Setup!$B$8,O1199&gt;[1]Setup!$B$10),"Review","OK"))</f>
        <v>Open</v>
      </c>
      <c r="X1199" s="86"/>
    </row>
    <row r="1200" spans="1:24" x14ac:dyDescent="0.3">
      <c r="A1200" s="84"/>
      <c r="B1200" s="100">
        <f t="shared" si="195"/>
        <v>0</v>
      </c>
      <c r="C1200" s="84" t="str">
        <f t="shared" si="196"/>
        <v>January</v>
      </c>
      <c r="D1200" s="85" t="str">
        <f t="shared" si="194"/>
        <v/>
      </c>
      <c r="E1200" s="86"/>
      <c r="F1200" s="86"/>
      <c r="G1200" s="86"/>
      <c r="H1200" s="86"/>
      <c r="I1200" s="87" t="str">
        <f>IF(F1200=0,"",IF(COUNTIF(F1200,"Bao"),[1]Setup!$B$4,IF(COUNTIF(F1200,"Soup Dumplings"),[1]Setup!$B$5,F1200)))</f>
        <v/>
      </c>
      <c r="J1200" s="88" t="str">
        <f t="shared" si="197"/>
        <v/>
      </c>
      <c r="K1200" s="88"/>
      <c r="L1200" s="87"/>
      <c r="M1200" s="87"/>
      <c r="N1200" s="87"/>
      <c r="O1200" s="87"/>
      <c r="P1200" s="89" t="str">
        <f t="shared" si="198"/>
        <v/>
      </c>
      <c r="Q1200" s="89" t="str">
        <f t="shared" si="199"/>
        <v/>
      </c>
      <c r="R1200" s="89" t="str">
        <f t="shared" si="200"/>
        <v/>
      </c>
      <c r="S1200" s="88" t="str">
        <f>IF(F1200="Bao",[1]Setup!$B$4,IF(F1200="Soup Dumplings",[1]Setup!$B$5,""))</f>
        <v/>
      </c>
      <c r="T1200" s="88" t="str">
        <f t="shared" si="201"/>
        <v/>
      </c>
      <c r="U1200" s="84" t="str">
        <f t="shared" si="202"/>
        <v/>
      </c>
      <c r="V1200" s="88">
        <f>IF(U1200="",0,MAX(0,T1200)+N1200+ROUND(J1200*[1]Setup!$B$9,0)+IF(O1200&gt;[1]Setup!$B$10,ROUND(J1200*[1]Setup!$B$11,0),0))</f>
        <v>0</v>
      </c>
      <c r="W1200" s="85" t="str">
        <f>IF(L1200="","Open",IF(OR(P1200&lt;[1]Setup!$B$6,Q1200&gt;[1]Setup!$B$7,R1200&gt;[1]Setup!$B$8,O1200&gt;[1]Setup!$B$10),"Review","OK"))</f>
        <v>Open</v>
      </c>
      <c r="X1200" s="86"/>
    </row>
    <row r="1201" spans="1:24" x14ac:dyDescent="0.3">
      <c r="A1201" s="84"/>
      <c r="B1201" s="100">
        <f t="shared" si="195"/>
        <v>0</v>
      </c>
      <c r="C1201" s="84" t="str">
        <f t="shared" si="196"/>
        <v>January</v>
      </c>
      <c r="D1201" s="85" t="str">
        <f t="shared" si="194"/>
        <v/>
      </c>
      <c r="E1201" s="86"/>
      <c r="F1201" s="86"/>
      <c r="G1201" s="86"/>
      <c r="H1201" s="86"/>
      <c r="I1201" s="87" t="str">
        <f>IF(F1201=0,"",IF(COUNTIF(F1201,"Bao"),[1]Setup!$B$4,IF(COUNTIF(F1201,"Soup Dumplings"),[1]Setup!$B$5,F1201)))</f>
        <v/>
      </c>
      <c r="J1201" s="88" t="str">
        <f t="shared" si="197"/>
        <v/>
      </c>
      <c r="K1201" s="88"/>
      <c r="L1201" s="87"/>
      <c r="M1201" s="87"/>
      <c r="N1201" s="87"/>
      <c r="O1201" s="87"/>
      <c r="P1201" s="89" t="str">
        <f t="shared" si="198"/>
        <v/>
      </c>
      <c r="Q1201" s="89" t="str">
        <f t="shared" si="199"/>
        <v/>
      </c>
      <c r="R1201" s="89" t="str">
        <f t="shared" si="200"/>
        <v/>
      </c>
      <c r="S1201" s="88" t="str">
        <f>IF(F1201="Bao",[1]Setup!$B$4,IF(F1201="Soup Dumplings",[1]Setup!$B$5,""))</f>
        <v/>
      </c>
      <c r="T1201" s="88" t="str">
        <f t="shared" si="201"/>
        <v/>
      </c>
      <c r="U1201" s="84" t="str">
        <f t="shared" si="202"/>
        <v/>
      </c>
      <c r="V1201" s="88">
        <f>IF(U1201="",0,MAX(0,T1201)+N1201+ROUND(J1201*[1]Setup!$B$9,0)+IF(O1201&gt;[1]Setup!$B$10,ROUND(J1201*[1]Setup!$B$11,0),0))</f>
        <v>0</v>
      </c>
      <c r="W1201" s="85" t="str">
        <f>IF(L1201="","Open",IF(OR(P1201&lt;[1]Setup!$B$6,Q1201&gt;[1]Setup!$B$7,R1201&gt;[1]Setup!$B$8,O1201&gt;[1]Setup!$B$10),"Review","OK"))</f>
        <v>Open</v>
      </c>
      <c r="X1201" s="86"/>
    </row>
    <row r="1202" spans="1:24" x14ac:dyDescent="0.3">
      <c r="A1202" s="84"/>
      <c r="B1202" s="100">
        <f t="shared" si="195"/>
        <v>0</v>
      </c>
      <c r="C1202" s="84" t="str">
        <f t="shared" si="196"/>
        <v>January</v>
      </c>
      <c r="D1202" s="85" t="str">
        <f t="shared" si="194"/>
        <v/>
      </c>
      <c r="E1202" s="86"/>
      <c r="F1202" s="86"/>
      <c r="G1202" s="86"/>
      <c r="H1202" s="86"/>
      <c r="I1202" s="87" t="str">
        <f>IF(F1202=0,"",IF(COUNTIF(F1202,"Bao"),[1]Setup!$B$4,IF(COUNTIF(F1202,"Soup Dumplings"),[1]Setup!$B$5,F1202)))</f>
        <v/>
      </c>
      <c r="J1202" s="88" t="str">
        <f t="shared" si="197"/>
        <v/>
      </c>
      <c r="K1202" s="88"/>
      <c r="L1202" s="87"/>
      <c r="M1202" s="87"/>
      <c r="N1202" s="87"/>
      <c r="O1202" s="87"/>
      <c r="P1202" s="89" t="str">
        <f t="shared" si="198"/>
        <v/>
      </c>
      <c r="Q1202" s="89" t="str">
        <f t="shared" si="199"/>
        <v/>
      </c>
      <c r="R1202" s="89" t="str">
        <f t="shared" si="200"/>
        <v/>
      </c>
      <c r="S1202" s="88" t="str">
        <f>IF(F1202="Bao",[1]Setup!$B$4,IF(F1202="Soup Dumplings",[1]Setup!$B$5,""))</f>
        <v/>
      </c>
      <c r="T1202" s="88" t="str">
        <f t="shared" si="201"/>
        <v/>
      </c>
      <c r="U1202" s="84" t="str">
        <f t="shared" si="202"/>
        <v/>
      </c>
      <c r="V1202" s="88">
        <f>IF(U1202="",0,MAX(0,T1202)+N1202+ROUND(J1202*[1]Setup!$B$9,0)+IF(O1202&gt;[1]Setup!$B$10,ROUND(J1202*[1]Setup!$B$11,0),0))</f>
        <v>0</v>
      </c>
      <c r="W1202" s="85" t="str">
        <f>IF(L1202="","Open",IF(OR(P1202&lt;[1]Setup!$B$6,Q1202&gt;[1]Setup!$B$7,R1202&gt;[1]Setup!$B$8,O1202&gt;[1]Setup!$B$10),"Review","OK"))</f>
        <v>Open</v>
      </c>
      <c r="X1202" s="86"/>
    </row>
    <row r="1203" spans="1:24" x14ac:dyDescent="0.3">
      <c r="A1203" s="84"/>
      <c r="B1203" s="100">
        <f t="shared" si="195"/>
        <v>0</v>
      </c>
      <c r="C1203" s="84" t="str">
        <f t="shared" si="196"/>
        <v>January</v>
      </c>
      <c r="D1203" s="85" t="str">
        <f t="shared" si="194"/>
        <v/>
      </c>
      <c r="E1203" s="86"/>
      <c r="F1203" s="86"/>
      <c r="G1203" s="86"/>
      <c r="H1203" s="86"/>
      <c r="I1203" s="87" t="str">
        <f>IF(F1203=0,"",IF(COUNTIF(F1203,"Bao"),[1]Setup!$B$4,IF(COUNTIF(F1203,"Soup Dumplings"),[1]Setup!$B$5,F1203)))</f>
        <v/>
      </c>
      <c r="J1203" s="88" t="str">
        <f t="shared" si="197"/>
        <v/>
      </c>
      <c r="K1203" s="88"/>
      <c r="L1203" s="87"/>
      <c r="M1203" s="87"/>
      <c r="N1203" s="87"/>
      <c r="O1203" s="87"/>
      <c r="P1203" s="89" t="str">
        <f t="shared" si="198"/>
        <v/>
      </c>
      <c r="Q1203" s="89" t="str">
        <f t="shared" si="199"/>
        <v/>
      </c>
      <c r="R1203" s="89" t="str">
        <f t="shared" si="200"/>
        <v/>
      </c>
      <c r="S1203" s="88" t="str">
        <f>IF(F1203="Bao",[1]Setup!$B$4,IF(F1203="Soup Dumplings",[1]Setup!$B$5,""))</f>
        <v/>
      </c>
      <c r="T1203" s="88" t="str">
        <f t="shared" si="201"/>
        <v/>
      </c>
      <c r="U1203" s="84" t="str">
        <f t="shared" si="202"/>
        <v/>
      </c>
      <c r="V1203" s="88">
        <f>IF(U1203="",0,MAX(0,T1203)+N1203+ROUND(J1203*[1]Setup!$B$9,0)+IF(O1203&gt;[1]Setup!$B$10,ROUND(J1203*[1]Setup!$B$11,0),0))</f>
        <v>0</v>
      </c>
      <c r="W1203" s="85" t="str">
        <f>IF(L1203="","Open",IF(OR(P1203&lt;[1]Setup!$B$6,Q1203&gt;[1]Setup!$B$7,R1203&gt;[1]Setup!$B$8,O1203&gt;[1]Setup!$B$10),"Review","OK"))</f>
        <v>Open</v>
      </c>
      <c r="X1203" s="86"/>
    </row>
    <row r="1204" spans="1:24" x14ac:dyDescent="0.3">
      <c r="A1204" s="84"/>
      <c r="B1204" s="100">
        <f t="shared" si="195"/>
        <v>0</v>
      </c>
      <c r="C1204" s="84" t="str">
        <f t="shared" si="196"/>
        <v>January</v>
      </c>
      <c r="D1204" s="85" t="str">
        <f t="shared" si="194"/>
        <v/>
      </c>
      <c r="E1204" s="86"/>
      <c r="F1204" s="86"/>
      <c r="G1204" s="86"/>
      <c r="H1204" s="86"/>
      <c r="I1204" s="87" t="str">
        <f>IF(F1204=0,"",IF(COUNTIF(F1204,"Bao"),[1]Setup!$B$4,IF(COUNTIF(F1204,"Soup Dumplings"),[1]Setup!$B$5,F1204)))</f>
        <v/>
      </c>
      <c r="J1204" s="88" t="str">
        <f t="shared" si="197"/>
        <v/>
      </c>
      <c r="K1204" s="88"/>
      <c r="L1204" s="87"/>
      <c r="M1204" s="87"/>
      <c r="N1204" s="87"/>
      <c r="O1204" s="87"/>
      <c r="P1204" s="89" t="str">
        <f t="shared" si="198"/>
        <v/>
      </c>
      <c r="Q1204" s="89" t="str">
        <f t="shared" si="199"/>
        <v/>
      </c>
      <c r="R1204" s="89" t="str">
        <f t="shared" si="200"/>
        <v/>
      </c>
      <c r="S1204" s="88" t="str">
        <f>IF(F1204="Bao",[1]Setup!$B$4,IF(F1204="Soup Dumplings",[1]Setup!$B$5,""))</f>
        <v/>
      </c>
      <c r="T1204" s="88" t="str">
        <f t="shared" si="201"/>
        <v/>
      </c>
      <c r="U1204" s="84" t="str">
        <f t="shared" si="202"/>
        <v/>
      </c>
      <c r="V1204" s="88">
        <f>IF(U1204="",0,MAX(0,T1204)+N1204+ROUND(J1204*[1]Setup!$B$9,0)+IF(O1204&gt;[1]Setup!$B$10,ROUND(J1204*[1]Setup!$B$11,0),0))</f>
        <v>0</v>
      </c>
      <c r="W1204" s="85" t="str">
        <f>IF(L1204="","Open",IF(OR(P1204&lt;[1]Setup!$B$6,Q1204&gt;[1]Setup!$B$7,R1204&gt;[1]Setup!$B$8,O1204&gt;[1]Setup!$B$10),"Review","OK"))</f>
        <v>Open</v>
      </c>
      <c r="X1204" s="86"/>
    </row>
    <row r="1205" spans="1:24" x14ac:dyDescent="0.3">
      <c r="A1205" s="84"/>
      <c r="B1205" s="100">
        <f t="shared" si="195"/>
        <v>0</v>
      </c>
      <c r="C1205" s="84" t="str">
        <f t="shared" si="196"/>
        <v>January</v>
      </c>
      <c r="D1205" s="85" t="str">
        <f t="shared" si="194"/>
        <v/>
      </c>
      <c r="E1205" s="86"/>
      <c r="F1205" s="86"/>
      <c r="G1205" s="86"/>
      <c r="H1205" s="86"/>
      <c r="I1205" s="87" t="str">
        <f>IF(F1205=0,"",IF(COUNTIF(F1205,"Bao"),[1]Setup!$B$4,IF(COUNTIF(F1205,"Soup Dumplings"),[1]Setup!$B$5,F1205)))</f>
        <v/>
      </c>
      <c r="J1205" s="88" t="str">
        <f t="shared" si="197"/>
        <v/>
      </c>
      <c r="K1205" s="88"/>
      <c r="L1205" s="87"/>
      <c r="M1205" s="87"/>
      <c r="N1205" s="87"/>
      <c r="O1205" s="87"/>
      <c r="P1205" s="89" t="str">
        <f t="shared" si="198"/>
        <v/>
      </c>
      <c r="Q1205" s="89" t="str">
        <f t="shared" si="199"/>
        <v/>
      </c>
      <c r="R1205" s="89" t="str">
        <f t="shared" si="200"/>
        <v/>
      </c>
      <c r="S1205" s="88" t="str">
        <f>IF(F1205="Bao",[1]Setup!$B$4,IF(F1205="Soup Dumplings",[1]Setup!$B$5,""))</f>
        <v/>
      </c>
      <c r="T1205" s="88" t="str">
        <f t="shared" si="201"/>
        <v/>
      </c>
      <c r="U1205" s="84" t="str">
        <f t="shared" si="202"/>
        <v/>
      </c>
      <c r="V1205" s="88">
        <f>IF(U1205="",0,MAX(0,T1205)+N1205+ROUND(J1205*[1]Setup!$B$9,0)+IF(O1205&gt;[1]Setup!$B$10,ROUND(J1205*[1]Setup!$B$11,0),0))</f>
        <v>0</v>
      </c>
      <c r="W1205" s="85" t="str">
        <f>IF(L1205="","Open",IF(OR(P1205&lt;[1]Setup!$B$6,Q1205&gt;[1]Setup!$B$7,R1205&gt;[1]Setup!$B$8,O1205&gt;[1]Setup!$B$10),"Review","OK"))</f>
        <v>Open</v>
      </c>
      <c r="X1205" s="86"/>
    </row>
    <row r="1206" spans="1:24" x14ac:dyDescent="0.3">
      <c r="A1206" s="84"/>
      <c r="B1206" s="100">
        <f t="shared" si="195"/>
        <v>0</v>
      </c>
      <c r="C1206" s="84" t="str">
        <f t="shared" si="196"/>
        <v>January</v>
      </c>
      <c r="D1206" s="85" t="str">
        <f t="shared" si="194"/>
        <v/>
      </c>
      <c r="E1206" s="86"/>
      <c r="F1206" s="86"/>
      <c r="G1206" s="86"/>
      <c r="H1206" s="86"/>
      <c r="I1206" s="87" t="str">
        <f>IF(F1206=0,"",IF(COUNTIF(F1206,"Bao"),[1]Setup!$B$4,IF(COUNTIF(F1206,"Soup Dumplings"),[1]Setup!$B$5,F1206)))</f>
        <v/>
      </c>
      <c r="J1206" s="88" t="str">
        <f t="shared" si="197"/>
        <v/>
      </c>
      <c r="K1206" s="88"/>
      <c r="L1206" s="87"/>
      <c r="M1206" s="87"/>
      <c r="N1206" s="87"/>
      <c r="O1206" s="87"/>
      <c r="P1206" s="89" t="str">
        <f t="shared" si="198"/>
        <v/>
      </c>
      <c r="Q1206" s="89" t="str">
        <f t="shared" si="199"/>
        <v/>
      </c>
      <c r="R1206" s="89" t="str">
        <f t="shared" si="200"/>
        <v/>
      </c>
      <c r="S1206" s="88" t="str">
        <f>IF(F1206="Bao",[1]Setup!$B$4,IF(F1206="Soup Dumplings",[1]Setup!$B$5,""))</f>
        <v/>
      </c>
      <c r="T1206" s="88" t="str">
        <f t="shared" si="201"/>
        <v/>
      </c>
      <c r="U1206" s="84" t="str">
        <f t="shared" si="202"/>
        <v/>
      </c>
      <c r="V1206" s="88">
        <f>IF(U1206="",0,MAX(0,T1206)+N1206+ROUND(J1206*[1]Setup!$B$9,0)+IF(O1206&gt;[1]Setup!$B$10,ROUND(J1206*[1]Setup!$B$11,0),0))</f>
        <v>0</v>
      </c>
      <c r="W1206" s="85" t="str">
        <f>IF(L1206="","Open",IF(OR(P1206&lt;[1]Setup!$B$6,Q1206&gt;[1]Setup!$B$7,R1206&gt;[1]Setup!$B$8,O1206&gt;[1]Setup!$B$10),"Review","OK"))</f>
        <v>Open</v>
      </c>
      <c r="X1206" s="86"/>
    </row>
    <row r="1207" spans="1:24" x14ac:dyDescent="0.3">
      <c r="A1207" s="84"/>
      <c r="B1207" s="100">
        <f t="shared" si="195"/>
        <v>0</v>
      </c>
      <c r="C1207" s="84" t="str">
        <f t="shared" si="196"/>
        <v>January</v>
      </c>
      <c r="D1207" s="85" t="str">
        <f t="shared" si="194"/>
        <v/>
      </c>
      <c r="E1207" s="86"/>
      <c r="F1207" s="86"/>
      <c r="G1207" s="86"/>
      <c r="H1207" s="86"/>
      <c r="I1207" s="87" t="str">
        <f>IF(F1207=0,"",IF(COUNTIF(F1207,"Bao"),[1]Setup!$B$4,IF(COUNTIF(F1207,"Soup Dumplings"),[1]Setup!$B$5,F1207)))</f>
        <v/>
      </c>
      <c r="J1207" s="88" t="str">
        <f t="shared" si="197"/>
        <v/>
      </c>
      <c r="K1207" s="88"/>
      <c r="L1207" s="87"/>
      <c r="M1207" s="87"/>
      <c r="N1207" s="87"/>
      <c r="O1207" s="87"/>
      <c r="P1207" s="89" t="str">
        <f t="shared" si="198"/>
        <v/>
      </c>
      <c r="Q1207" s="89" t="str">
        <f t="shared" si="199"/>
        <v/>
      </c>
      <c r="R1207" s="89" t="str">
        <f t="shared" si="200"/>
        <v/>
      </c>
      <c r="S1207" s="88" t="str">
        <f>IF(F1207="Bao",[1]Setup!$B$4,IF(F1207="Soup Dumplings",[1]Setup!$B$5,""))</f>
        <v/>
      </c>
      <c r="T1207" s="88" t="str">
        <f t="shared" si="201"/>
        <v/>
      </c>
      <c r="U1207" s="84" t="str">
        <f t="shared" si="202"/>
        <v/>
      </c>
      <c r="V1207" s="88">
        <f>IF(U1207="",0,MAX(0,T1207)+N1207+ROUND(J1207*[1]Setup!$B$9,0)+IF(O1207&gt;[1]Setup!$B$10,ROUND(J1207*[1]Setup!$B$11,0),0))</f>
        <v>0</v>
      </c>
      <c r="W1207" s="85" t="str">
        <f>IF(L1207="","Open",IF(OR(P1207&lt;[1]Setup!$B$6,Q1207&gt;[1]Setup!$B$7,R1207&gt;[1]Setup!$B$8,O1207&gt;[1]Setup!$B$10),"Review","OK"))</f>
        <v>Open</v>
      </c>
      <c r="X1207" s="86"/>
    </row>
    <row r="1208" spans="1:24" x14ac:dyDescent="0.3">
      <c r="A1208" s="84"/>
      <c r="B1208" s="100">
        <f t="shared" si="195"/>
        <v>0</v>
      </c>
      <c r="C1208" s="84" t="str">
        <f t="shared" si="196"/>
        <v>January</v>
      </c>
      <c r="D1208" s="85" t="str">
        <f t="shared" si="194"/>
        <v/>
      </c>
      <c r="E1208" s="86"/>
      <c r="F1208" s="86"/>
      <c r="G1208" s="86"/>
      <c r="H1208" s="86"/>
      <c r="I1208" s="87" t="str">
        <f>IF(F1208=0,"",IF(COUNTIF(F1208,"Bao"),[1]Setup!$B$4,IF(COUNTIF(F1208,"Soup Dumplings"),[1]Setup!$B$5,F1208)))</f>
        <v/>
      </c>
      <c r="J1208" s="88" t="str">
        <f t="shared" si="197"/>
        <v/>
      </c>
      <c r="K1208" s="88"/>
      <c r="L1208" s="87"/>
      <c r="M1208" s="87"/>
      <c r="N1208" s="87"/>
      <c r="O1208" s="87"/>
      <c r="P1208" s="89" t="str">
        <f t="shared" si="198"/>
        <v/>
      </c>
      <c r="Q1208" s="89" t="str">
        <f t="shared" si="199"/>
        <v/>
      </c>
      <c r="R1208" s="89" t="str">
        <f t="shared" si="200"/>
        <v/>
      </c>
      <c r="S1208" s="88" t="str">
        <f>IF(F1208="Bao",[1]Setup!$B$4,IF(F1208="Soup Dumplings",[1]Setup!$B$5,""))</f>
        <v/>
      </c>
      <c r="T1208" s="88" t="str">
        <f t="shared" si="201"/>
        <v/>
      </c>
      <c r="U1208" s="84" t="str">
        <f t="shared" si="202"/>
        <v/>
      </c>
      <c r="V1208" s="88">
        <f>IF(U1208="",0,MAX(0,T1208)+N1208+ROUND(J1208*[1]Setup!$B$9,0)+IF(O1208&gt;[1]Setup!$B$10,ROUND(J1208*[1]Setup!$B$11,0),0))</f>
        <v>0</v>
      </c>
      <c r="W1208" s="85" t="str">
        <f>IF(L1208="","Open",IF(OR(P1208&lt;[1]Setup!$B$6,Q1208&gt;[1]Setup!$B$7,R1208&gt;[1]Setup!$B$8,O1208&gt;[1]Setup!$B$10),"Review","OK"))</f>
        <v>Open</v>
      </c>
      <c r="X1208" s="86"/>
    </row>
    <row r="1209" spans="1:24" x14ac:dyDescent="0.3">
      <c r="A1209" s="84"/>
      <c r="B1209" s="100">
        <f t="shared" si="195"/>
        <v>0</v>
      </c>
      <c r="C1209" s="84" t="str">
        <f t="shared" si="196"/>
        <v>January</v>
      </c>
      <c r="D1209" s="85" t="str">
        <f t="shared" si="194"/>
        <v/>
      </c>
      <c r="E1209" s="86"/>
      <c r="F1209" s="86"/>
      <c r="G1209" s="86"/>
      <c r="H1209" s="86"/>
      <c r="I1209" s="87" t="str">
        <f>IF(F1209=0,"",IF(COUNTIF(F1209,"Bao"),[1]Setup!$B$4,IF(COUNTIF(F1209,"Soup Dumplings"),[1]Setup!$B$5,F1209)))</f>
        <v/>
      </c>
      <c r="J1209" s="88" t="str">
        <f t="shared" si="197"/>
        <v/>
      </c>
      <c r="K1209" s="88"/>
      <c r="L1209" s="87"/>
      <c r="M1209" s="87"/>
      <c r="N1209" s="87"/>
      <c r="O1209" s="87"/>
      <c r="P1209" s="89" t="str">
        <f t="shared" si="198"/>
        <v/>
      </c>
      <c r="Q1209" s="89" t="str">
        <f t="shared" si="199"/>
        <v/>
      </c>
      <c r="R1209" s="89" t="str">
        <f t="shared" si="200"/>
        <v/>
      </c>
      <c r="S1209" s="88" t="str">
        <f>IF(F1209="Bao",[1]Setup!$B$4,IF(F1209="Soup Dumplings",[1]Setup!$B$5,""))</f>
        <v/>
      </c>
      <c r="T1209" s="88" t="str">
        <f t="shared" si="201"/>
        <v/>
      </c>
      <c r="U1209" s="84" t="str">
        <f t="shared" si="202"/>
        <v/>
      </c>
      <c r="V1209" s="88">
        <f>IF(U1209="",0,MAX(0,T1209)+N1209+ROUND(J1209*[1]Setup!$B$9,0)+IF(O1209&gt;[1]Setup!$B$10,ROUND(J1209*[1]Setup!$B$11,0),0))</f>
        <v>0</v>
      </c>
      <c r="W1209" s="85" t="str">
        <f>IF(L1209="","Open",IF(OR(P1209&lt;[1]Setup!$B$6,Q1209&gt;[1]Setup!$B$7,R1209&gt;[1]Setup!$B$8,O1209&gt;[1]Setup!$B$10),"Review","OK"))</f>
        <v>Open</v>
      </c>
      <c r="X1209" s="86"/>
    </row>
    <row r="1210" spans="1:24" x14ac:dyDescent="0.3">
      <c r="A1210" s="84"/>
      <c r="B1210" s="100">
        <f t="shared" si="195"/>
        <v>0</v>
      </c>
      <c r="C1210" s="84" t="str">
        <f t="shared" si="196"/>
        <v>January</v>
      </c>
      <c r="D1210" s="85" t="str">
        <f t="shared" si="194"/>
        <v/>
      </c>
      <c r="E1210" s="86"/>
      <c r="F1210" s="86"/>
      <c r="G1210" s="86"/>
      <c r="H1210" s="86"/>
      <c r="I1210" s="87" t="str">
        <f>IF(F1210=0,"",IF(COUNTIF(F1210,"Bao"),[1]Setup!$B$4,IF(COUNTIF(F1210,"Soup Dumplings"),[1]Setup!$B$5,F1210)))</f>
        <v/>
      </c>
      <c r="J1210" s="88" t="str">
        <f t="shared" si="197"/>
        <v/>
      </c>
      <c r="K1210" s="88"/>
      <c r="L1210" s="87"/>
      <c r="M1210" s="87"/>
      <c r="N1210" s="87"/>
      <c r="O1210" s="87"/>
      <c r="P1210" s="89" t="str">
        <f t="shared" si="198"/>
        <v/>
      </c>
      <c r="Q1210" s="89" t="str">
        <f t="shared" si="199"/>
        <v/>
      </c>
      <c r="R1210" s="89" t="str">
        <f t="shared" si="200"/>
        <v/>
      </c>
      <c r="S1210" s="88" t="str">
        <f>IF(F1210="Bao",[1]Setup!$B$4,IF(F1210="Soup Dumplings",[1]Setup!$B$5,""))</f>
        <v/>
      </c>
      <c r="T1210" s="88" t="str">
        <f t="shared" si="201"/>
        <v/>
      </c>
      <c r="U1210" s="84" t="str">
        <f t="shared" si="202"/>
        <v/>
      </c>
      <c r="V1210" s="88">
        <f>IF(U1210="",0,MAX(0,T1210)+N1210+ROUND(J1210*[1]Setup!$B$9,0)+IF(O1210&gt;[1]Setup!$B$10,ROUND(J1210*[1]Setup!$B$11,0),0))</f>
        <v>0</v>
      </c>
      <c r="W1210" s="85" t="str">
        <f>IF(L1210="","Open",IF(OR(P1210&lt;[1]Setup!$B$6,Q1210&gt;[1]Setup!$B$7,R1210&gt;[1]Setup!$B$8,O1210&gt;[1]Setup!$B$10),"Review","OK"))</f>
        <v>Open</v>
      </c>
      <c r="X1210" s="86"/>
    </row>
    <row r="1211" spans="1:24" x14ac:dyDescent="0.3">
      <c r="A1211" s="84"/>
      <c r="B1211" s="100">
        <f t="shared" si="195"/>
        <v>0</v>
      </c>
      <c r="C1211" s="84" t="str">
        <f t="shared" si="196"/>
        <v>January</v>
      </c>
      <c r="D1211" s="85" t="str">
        <f t="shared" si="194"/>
        <v/>
      </c>
      <c r="E1211" s="86"/>
      <c r="F1211" s="86"/>
      <c r="G1211" s="86"/>
      <c r="H1211" s="86"/>
      <c r="I1211" s="87" t="str">
        <f>IF(F1211=0,"",IF(COUNTIF(F1211,"Bao"),[1]Setup!$B$4,IF(COUNTIF(F1211,"Soup Dumplings"),[1]Setup!$B$5,F1211)))</f>
        <v/>
      </c>
      <c r="J1211" s="88" t="str">
        <f t="shared" si="197"/>
        <v/>
      </c>
      <c r="K1211" s="88"/>
      <c r="L1211" s="87"/>
      <c r="M1211" s="87"/>
      <c r="N1211" s="87"/>
      <c r="O1211" s="87"/>
      <c r="P1211" s="89" t="str">
        <f t="shared" si="198"/>
        <v/>
      </c>
      <c r="Q1211" s="89" t="str">
        <f t="shared" si="199"/>
        <v/>
      </c>
      <c r="R1211" s="89" t="str">
        <f t="shared" si="200"/>
        <v/>
      </c>
      <c r="S1211" s="88" t="str">
        <f>IF(F1211="Bao",[1]Setup!$B$4,IF(F1211="Soup Dumplings",[1]Setup!$B$5,""))</f>
        <v/>
      </c>
      <c r="T1211" s="88" t="str">
        <f t="shared" si="201"/>
        <v/>
      </c>
      <c r="U1211" s="84" t="str">
        <f t="shared" si="202"/>
        <v/>
      </c>
      <c r="V1211" s="88">
        <f>IF(U1211="",0,MAX(0,T1211)+N1211+ROUND(J1211*[1]Setup!$B$9,0)+IF(O1211&gt;[1]Setup!$B$10,ROUND(J1211*[1]Setup!$B$11,0),0))</f>
        <v>0</v>
      </c>
      <c r="W1211" s="85" t="str">
        <f>IF(L1211="","Open",IF(OR(P1211&lt;[1]Setup!$B$6,Q1211&gt;[1]Setup!$B$7,R1211&gt;[1]Setup!$B$8,O1211&gt;[1]Setup!$B$10),"Review","OK"))</f>
        <v>Open</v>
      </c>
      <c r="X1211" s="86"/>
    </row>
    <row r="1212" spans="1:24" x14ac:dyDescent="0.3">
      <c r="A1212" s="84"/>
      <c r="B1212" s="100">
        <f t="shared" si="195"/>
        <v>0</v>
      </c>
      <c r="C1212" s="84" t="str">
        <f t="shared" si="196"/>
        <v>January</v>
      </c>
      <c r="D1212" s="85" t="str">
        <f t="shared" si="194"/>
        <v/>
      </c>
      <c r="E1212" s="86"/>
      <c r="F1212" s="86"/>
      <c r="G1212" s="86"/>
      <c r="H1212" s="86"/>
      <c r="I1212" s="87" t="str">
        <f>IF(F1212=0,"",IF(COUNTIF(F1212,"Bao"),[1]Setup!$B$4,IF(COUNTIF(F1212,"Soup Dumplings"),[1]Setup!$B$5,F1212)))</f>
        <v/>
      </c>
      <c r="J1212" s="88" t="str">
        <f t="shared" si="197"/>
        <v/>
      </c>
      <c r="K1212" s="88"/>
      <c r="L1212" s="87"/>
      <c r="M1212" s="87"/>
      <c r="N1212" s="87"/>
      <c r="O1212" s="87"/>
      <c r="P1212" s="89" t="str">
        <f t="shared" si="198"/>
        <v/>
      </c>
      <c r="Q1212" s="89" t="str">
        <f t="shared" si="199"/>
        <v/>
      </c>
      <c r="R1212" s="89" t="str">
        <f t="shared" si="200"/>
        <v/>
      </c>
      <c r="S1212" s="88" t="str">
        <f>IF(F1212="Bao",[1]Setup!$B$4,IF(F1212="Soup Dumplings",[1]Setup!$B$5,""))</f>
        <v/>
      </c>
      <c r="T1212" s="88" t="str">
        <f t="shared" si="201"/>
        <v/>
      </c>
      <c r="U1212" s="84" t="str">
        <f t="shared" si="202"/>
        <v/>
      </c>
      <c r="V1212" s="88">
        <f>IF(U1212="",0,MAX(0,T1212)+N1212+ROUND(J1212*[1]Setup!$B$9,0)+IF(O1212&gt;[1]Setup!$B$10,ROUND(J1212*[1]Setup!$B$11,0),0))</f>
        <v>0</v>
      </c>
      <c r="W1212" s="85" t="str">
        <f>IF(L1212="","Open",IF(OR(P1212&lt;[1]Setup!$B$6,Q1212&gt;[1]Setup!$B$7,R1212&gt;[1]Setup!$B$8,O1212&gt;[1]Setup!$B$10),"Review","OK"))</f>
        <v>Open</v>
      </c>
      <c r="X1212" s="86"/>
    </row>
    <row r="1213" spans="1:24" x14ac:dyDescent="0.3">
      <c r="A1213" s="84"/>
      <c r="B1213" s="100">
        <f t="shared" si="195"/>
        <v>0</v>
      </c>
      <c r="C1213" s="84" t="str">
        <f t="shared" si="196"/>
        <v>January</v>
      </c>
      <c r="D1213" s="85" t="str">
        <f t="shared" si="194"/>
        <v/>
      </c>
      <c r="E1213" s="86"/>
      <c r="F1213" s="86"/>
      <c r="G1213" s="86"/>
      <c r="H1213" s="86"/>
      <c r="I1213" s="87" t="str">
        <f>IF(F1213=0,"",IF(COUNTIF(F1213,"Bao"),[1]Setup!$B$4,IF(COUNTIF(F1213,"Soup Dumplings"),[1]Setup!$B$5,F1213)))</f>
        <v/>
      </c>
      <c r="J1213" s="88" t="str">
        <f t="shared" si="197"/>
        <v/>
      </c>
      <c r="K1213" s="88"/>
      <c r="L1213" s="87"/>
      <c r="M1213" s="87"/>
      <c r="N1213" s="87"/>
      <c r="O1213" s="87"/>
      <c r="P1213" s="89" t="str">
        <f t="shared" si="198"/>
        <v/>
      </c>
      <c r="Q1213" s="89" t="str">
        <f t="shared" si="199"/>
        <v/>
      </c>
      <c r="R1213" s="89" t="str">
        <f t="shared" si="200"/>
        <v/>
      </c>
      <c r="S1213" s="88" t="str">
        <f>IF(F1213="Bao",[1]Setup!$B$4,IF(F1213="Soup Dumplings",[1]Setup!$B$5,""))</f>
        <v/>
      </c>
      <c r="T1213" s="88" t="str">
        <f t="shared" si="201"/>
        <v/>
      </c>
      <c r="U1213" s="84" t="str">
        <f t="shared" si="202"/>
        <v/>
      </c>
      <c r="V1213" s="88">
        <f>IF(U1213="",0,MAX(0,T1213)+N1213+ROUND(J1213*[1]Setup!$B$9,0)+IF(O1213&gt;[1]Setup!$B$10,ROUND(J1213*[1]Setup!$B$11,0),0))</f>
        <v>0</v>
      </c>
      <c r="W1213" s="85" t="str">
        <f>IF(L1213="","Open",IF(OR(P1213&lt;[1]Setup!$B$6,Q1213&gt;[1]Setup!$B$7,R1213&gt;[1]Setup!$B$8,O1213&gt;[1]Setup!$B$10),"Review","OK"))</f>
        <v>Open</v>
      </c>
      <c r="X1213" s="86"/>
    </row>
    <row r="1214" spans="1:24" x14ac:dyDescent="0.3">
      <c r="A1214" s="84"/>
      <c r="B1214" s="100">
        <f t="shared" si="195"/>
        <v>0</v>
      </c>
      <c r="C1214" s="84" t="str">
        <f t="shared" si="196"/>
        <v>January</v>
      </c>
      <c r="D1214" s="85" t="str">
        <f t="shared" si="194"/>
        <v/>
      </c>
      <c r="E1214" s="86"/>
      <c r="F1214" s="86"/>
      <c r="G1214" s="86"/>
      <c r="H1214" s="86"/>
      <c r="I1214" s="87" t="str">
        <f>IF(F1214=0,"",IF(COUNTIF(F1214,"Bao"),[1]Setup!$B$4,IF(COUNTIF(F1214,"Soup Dumplings"),[1]Setup!$B$5,F1214)))</f>
        <v/>
      </c>
      <c r="J1214" s="88" t="str">
        <f t="shared" si="197"/>
        <v/>
      </c>
      <c r="K1214" s="88"/>
      <c r="L1214" s="87"/>
      <c r="M1214" s="87"/>
      <c r="N1214" s="87"/>
      <c r="O1214" s="87"/>
      <c r="P1214" s="89" t="str">
        <f t="shared" si="198"/>
        <v/>
      </c>
      <c r="Q1214" s="89" t="str">
        <f t="shared" si="199"/>
        <v/>
      </c>
      <c r="R1214" s="89" t="str">
        <f t="shared" si="200"/>
        <v/>
      </c>
      <c r="S1214" s="88" t="str">
        <f>IF(F1214="Bao",[1]Setup!$B$4,IF(F1214="Soup Dumplings",[1]Setup!$B$5,""))</f>
        <v/>
      </c>
      <c r="T1214" s="88" t="str">
        <f t="shared" si="201"/>
        <v/>
      </c>
      <c r="U1214" s="84" t="str">
        <f t="shared" si="202"/>
        <v/>
      </c>
      <c r="V1214" s="88">
        <f>IF(U1214="",0,MAX(0,T1214)+N1214+ROUND(J1214*[1]Setup!$B$9,0)+IF(O1214&gt;[1]Setup!$B$10,ROUND(J1214*[1]Setup!$B$11,0),0))</f>
        <v>0</v>
      </c>
      <c r="W1214" s="85" t="str">
        <f>IF(L1214="","Open",IF(OR(P1214&lt;[1]Setup!$B$6,Q1214&gt;[1]Setup!$B$7,R1214&gt;[1]Setup!$B$8,O1214&gt;[1]Setup!$B$10),"Review","OK"))</f>
        <v>Open</v>
      </c>
      <c r="X1214" s="86"/>
    </row>
    <row r="1215" spans="1:24" x14ac:dyDescent="0.3">
      <c r="A1215" s="84"/>
      <c r="B1215" s="100">
        <f t="shared" si="195"/>
        <v>0</v>
      </c>
      <c r="C1215" s="84" t="str">
        <f t="shared" si="196"/>
        <v>January</v>
      </c>
      <c r="D1215" s="85" t="str">
        <f t="shared" si="194"/>
        <v/>
      </c>
      <c r="E1215" s="86"/>
      <c r="F1215" s="86"/>
      <c r="G1215" s="86"/>
      <c r="H1215" s="86"/>
      <c r="I1215" s="87" t="str">
        <f>IF(F1215=0,"",IF(COUNTIF(F1215,"Bao"),[1]Setup!$B$4,IF(COUNTIF(F1215,"Soup Dumplings"),[1]Setup!$B$5,F1215)))</f>
        <v/>
      </c>
      <c r="J1215" s="88" t="str">
        <f t="shared" si="197"/>
        <v/>
      </c>
      <c r="K1215" s="88"/>
      <c r="L1215" s="87"/>
      <c r="M1215" s="87"/>
      <c r="N1215" s="87"/>
      <c r="O1215" s="87"/>
      <c r="P1215" s="89" t="str">
        <f t="shared" si="198"/>
        <v/>
      </c>
      <c r="Q1215" s="89" t="str">
        <f t="shared" si="199"/>
        <v/>
      </c>
      <c r="R1215" s="89" t="str">
        <f t="shared" si="200"/>
        <v/>
      </c>
      <c r="S1215" s="88" t="str">
        <f>IF(F1215="Bao",[1]Setup!$B$4,IF(F1215="Soup Dumplings",[1]Setup!$B$5,""))</f>
        <v/>
      </c>
      <c r="T1215" s="88" t="str">
        <f t="shared" si="201"/>
        <v/>
      </c>
      <c r="U1215" s="84" t="str">
        <f t="shared" si="202"/>
        <v/>
      </c>
      <c r="V1215" s="88">
        <f>IF(U1215="",0,MAX(0,T1215)+N1215+ROUND(J1215*[1]Setup!$B$9,0)+IF(O1215&gt;[1]Setup!$B$10,ROUND(J1215*[1]Setup!$B$11,0),0))</f>
        <v>0</v>
      </c>
      <c r="W1215" s="85" t="str">
        <f>IF(L1215="","Open",IF(OR(P1215&lt;[1]Setup!$B$6,Q1215&gt;[1]Setup!$B$7,R1215&gt;[1]Setup!$B$8,O1215&gt;[1]Setup!$B$10),"Review","OK"))</f>
        <v>Open</v>
      </c>
      <c r="X1215" s="86"/>
    </row>
    <row r="1216" spans="1:24" x14ac:dyDescent="0.3">
      <c r="A1216" s="84"/>
      <c r="B1216" s="100">
        <f t="shared" si="195"/>
        <v>0</v>
      </c>
      <c r="C1216" s="84" t="str">
        <f t="shared" si="196"/>
        <v>January</v>
      </c>
      <c r="D1216" s="85" t="str">
        <f t="shared" si="194"/>
        <v/>
      </c>
      <c r="E1216" s="86"/>
      <c r="F1216" s="86"/>
      <c r="G1216" s="86"/>
      <c r="H1216" s="86"/>
      <c r="I1216" s="87" t="str">
        <f>IF(F1216=0,"",IF(COUNTIF(F1216,"Bao"),[1]Setup!$B$4,IF(COUNTIF(F1216,"Soup Dumplings"),[1]Setup!$B$5,F1216)))</f>
        <v/>
      </c>
      <c r="J1216" s="88" t="str">
        <f t="shared" si="197"/>
        <v/>
      </c>
      <c r="K1216" s="88"/>
      <c r="L1216" s="87"/>
      <c r="M1216" s="87"/>
      <c r="N1216" s="87"/>
      <c r="O1216" s="87"/>
      <c r="P1216" s="89" t="str">
        <f t="shared" si="198"/>
        <v/>
      </c>
      <c r="Q1216" s="89" t="str">
        <f t="shared" si="199"/>
        <v/>
      </c>
      <c r="R1216" s="89" t="str">
        <f t="shared" si="200"/>
        <v/>
      </c>
      <c r="S1216" s="88" t="str">
        <f>IF(F1216="Bao",[1]Setup!$B$4,IF(F1216="Soup Dumplings",[1]Setup!$B$5,""))</f>
        <v/>
      </c>
      <c r="T1216" s="88" t="str">
        <f t="shared" si="201"/>
        <v/>
      </c>
      <c r="U1216" s="84" t="str">
        <f t="shared" si="202"/>
        <v/>
      </c>
      <c r="V1216" s="88">
        <f>IF(U1216="",0,MAX(0,T1216)+N1216+ROUND(J1216*[1]Setup!$B$9,0)+IF(O1216&gt;[1]Setup!$B$10,ROUND(J1216*[1]Setup!$B$11,0),0))</f>
        <v>0</v>
      </c>
      <c r="W1216" s="85" t="str">
        <f>IF(L1216="","Open",IF(OR(P1216&lt;[1]Setup!$B$6,Q1216&gt;[1]Setup!$B$7,R1216&gt;[1]Setup!$B$8,O1216&gt;[1]Setup!$B$10),"Review","OK"))</f>
        <v>Open</v>
      </c>
      <c r="X1216" s="86"/>
    </row>
    <row r="1217" spans="1:24" x14ac:dyDescent="0.3">
      <c r="A1217" s="84"/>
      <c r="B1217" s="100">
        <f t="shared" si="195"/>
        <v>0</v>
      </c>
      <c r="C1217" s="84" t="str">
        <f t="shared" si="196"/>
        <v>January</v>
      </c>
      <c r="D1217" s="85" t="str">
        <f t="shared" si="194"/>
        <v/>
      </c>
      <c r="E1217" s="86"/>
      <c r="F1217" s="86"/>
      <c r="G1217" s="86"/>
      <c r="H1217" s="86"/>
      <c r="I1217" s="87" t="str">
        <f>IF(F1217=0,"",IF(COUNTIF(F1217,"Bao"),[1]Setup!$B$4,IF(COUNTIF(F1217,"Soup Dumplings"),[1]Setup!$B$5,F1217)))</f>
        <v/>
      </c>
      <c r="J1217" s="88" t="str">
        <f t="shared" si="197"/>
        <v/>
      </c>
      <c r="K1217" s="88"/>
      <c r="L1217" s="87"/>
      <c r="M1217" s="87"/>
      <c r="N1217" s="87"/>
      <c r="O1217" s="87"/>
      <c r="P1217" s="89" t="str">
        <f t="shared" si="198"/>
        <v/>
      </c>
      <c r="Q1217" s="89" t="str">
        <f t="shared" si="199"/>
        <v/>
      </c>
      <c r="R1217" s="89" t="str">
        <f t="shared" si="200"/>
        <v/>
      </c>
      <c r="S1217" s="88" t="str">
        <f>IF(F1217="Bao",[1]Setup!$B$4,IF(F1217="Soup Dumplings",[1]Setup!$B$5,""))</f>
        <v/>
      </c>
      <c r="T1217" s="88" t="str">
        <f t="shared" si="201"/>
        <v/>
      </c>
      <c r="U1217" s="84" t="str">
        <f t="shared" si="202"/>
        <v/>
      </c>
      <c r="V1217" s="88">
        <f>IF(U1217="",0,MAX(0,T1217)+N1217+ROUND(J1217*[1]Setup!$B$9,0)+IF(O1217&gt;[1]Setup!$B$10,ROUND(J1217*[1]Setup!$B$11,0),0))</f>
        <v>0</v>
      </c>
      <c r="W1217" s="85" t="str">
        <f>IF(L1217="","Open",IF(OR(P1217&lt;[1]Setup!$B$6,Q1217&gt;[1]Setup!$B$7,R1217&gt;[1]Setup!$B$8,O1217&gt;[1]Setup!$B$10),"Review","OK"))</f>
        <v>Open</v>
      </c>
      <c r="X1217" s="86"/>
    </row>
    <row r="1218" spans="1:24" x14ac:dyDescent="0.3">
      <c r="A1218" s="84"/>
      <c r="B1218" s="100">
        <f t="shared" si="195"/>
        <v>0</v>
      </c>
      <c r="C1218" s="84" t="str">
        <f t="shared" si="196"/>
        <v>January</v>
      </c>
      <c r="D1218" s="85" t="str">
        <f t="shared" si="194"/>
        <v/>
      </c>
      <c r="E1218" s="86"/>
      <c r="F1218" s="86"/>
      <c r="G1218" s="86"/>
      <c r="H1218" s="86"/>
      <c r="I1218" s="87" t="str">
        <f>IF(F1218=0,"",IF(COUNTIF(F1218,"Bao"),[1]Setup!$B$4,IF(COUNTIF(F1218,"Soup Dumplings"),[1]Setup!$B$5,F1218)))</f>
        <v/>
      </c>
      <c r="J1218" s="88" t="str">
        <f t="shared" si="197"/>
        <v/>
      </c>
      <c r="K1218" s="88"/>
      <c r="L1218" s="87"/>
      <c r="M1218" s="87"/>
      <c r="N1218" s="87"/>
      <c r="O1218" s="87"/>
      <c r="P1218" s="89" t="str">
        <f t="shared" si="198"/>
        <v/>
      </c>
      <c r="Q1218" s="89" t="str">
        <f t="shared" si="199"/>
        <v/>
      </c>
      <c r="R1218" s="89" t="str">
        <f t="shared" si="200"/>
        <v/>
      </c>
      <c r="S1218" s="88" t="str">
        <f>IF(F1218="Bao",[1]Setup!$B$4,IF(F1218="Soup Dumplings",[1]Setup!$B$5,""))</f>
        <v/>
      </c>
      <c r="T1218" s="88" t="str">
        <f t="shared" si="201"/>
        <v/>
      </c>
      <c r="U1218" s="84" t="str">
        <f t="shared" si="202"/>
        <v/>
      </c>
      <c r="V1218" s="88">
        <f>IF(U1218="",0,MAX(0,T1218)+N1218+ROUND(J1218*[1]Setup!$B$9,0)+IF(O1218&gt;[1]Setup!$B$10,ROUND(J1218*[1]Setup!$B$11,0),0))</f>
        <v>0</v>
      </c>
      <c r="W1218" s="85" t="str">
        <f>IF(L1218="","Open",IF(OR(P1218&lt;[1]Setup!$B$6,Q1218&gt;[1]Setup!$B$7,R1218&gt;[1]Setup!$B$8,O1218&gt;[1]Setup!$B$10),"Review","OK"))</f>
        <v>Open</v>
      </c>
      <c r="X1218" s="86"/>
    </row>
    <row r="1219" spans="1:24" x14ac:dyDescent="0.3">
      <c r="A1219" s="84"/>
      <c r="B1219" s="100">
        <f t="shared" si="195"/>
        <v>0</v>
      </c>
      <c r="C1219" s="84" t="str">
        <f t="shared" si="196"/>
        <v>January</v>
      </c>
      <c r="D1219" s="85" t="str">
        <f t="shared" si="194"/>
        <v/>
      </c>
      <c r="E1219" s="86"/>
      <c r="F1219" s="86"/>
      <c r="G1219" s="86"/>
      <c r="H1219" s="86"/>
      <c r="I1219" s="87" t="str">
        <f>IF(F1219=0,"",IF(COUNTIF(F1219,"Bao"),[1]Setup!$B$4,IF(COUNTIF(F1219,"Soup Dumplings"),[1]Setup!$B$5,F1219)))</f>
        <v/>
      </c>
      <c r="J1219" s="88" t="str">
        <f t="shared" si="197"/>
        <v/>
      </c>
      <c r="K1219" s="88"/>
      <c r="L1219" s="87"/>
      <c r="M1219" s="87"/>
      <c r="N1219" s="87"/>
      <c r="O1219" s="87"/>
      <c r="P1219" s="89" t="str">
        <f t="shared" si="198"/>
        <v/>
      </c>
      <c r="Q1219" s="89" t="str">
        <f t="shared" si="199"/>
        <v/>
      </c>
      <c r="R1219" s="89" t="str">
        <f t="shared" si="200"/>
        <v/>
      </c>
      <c r="S1219" s="88" t="str">
        <f>IF(F1219="Bao",[1]Setup!$B$4,IF(F1219="Soup Dumplings",[1]Setup!$B$5,""))</f>
        <v/>
      </c>
      <c r="T1219" s="88" t="str">
        <f t="shared" si="201"/>
        <v/>
      </c>
      <c r="U1219" s="84" t="str">
        <f t="shared" si="202"/>
        <v/>
      </c>
      <c r="V1219" s="88">
        <f>IF(U1219="",0,MAX(0,T1219)+N1219+ROUND(J1219*[1]Setup!$B$9,0)+IF(O1219&gt;[1]Setup!$B$10,ROUND(J1219*[1]Setup!$B$11,0),0))</f>
        <v>0</v>
      </c>
      <c r="W1219" s="85" t="str">
        <f>IF(L1219="","Open",IF(OR(P1219&lt;[1]Setup!$B$6,Q1219&gt;[1]Setup!$B$7,R1219&gt;[1]Setup!$B$8,O1219&gt;[1]Setup!$B$10),"Review","OK"))</f>
        <v>Open</v>
      </c>
      <c r="X1219" s="86"/>
    </row>
    <row r="1220" spans="1:24" x14ac:dyDescent="0.3">
      <c r="A1220" s="84"/>
      <c r="B1220" s="100">
        <f t="shared" si="195"/>
        <v>0</v>
      </c>
      <c r="C1220" s="84" t="str">
        <f t="shared" si="196"/>
        <v>January</v>
      </c>
      <c r="D1220" s="85" t="str">
        <f t="shared" ref="D1220:D1244" si="203">IF(A1220="","",TEXT(A1220,"ddd"))</f>
        <v/>
      </c>
      <c r="E1220" s="86"/>
      <c r="F1220" s="86"/>
      <c r="G1220" s="86"/>
      <c r="H1220" s="86"/>
      <c r="I1220" s="87" t="str">
        <f>IF(F1220=0,"",IF(COUNTIF(F1220,"Bao"),[1]Setup!$B$4,IF(COUNTIF(F1220,"Soup Dumplings"),[1]Setup!$B$5,F1220)))</f>
        <v/>
      </c>
      <c r="J1220" s="88" t="str">
        <f t="shared" si="197"/>
        <v/>
      </c>
      <c r="K1220" s="88"/>
      <c r="L1220" s="87"/>
      <c r="M1220" s="87"/>
      <c r="N1220" s="87"/>
      <c r="O1220" s="87"/>
      <c r="P1220" s="89" t="str">
        <f t="shared" si="198"/>
        <v/>
      </c>
      <c r="Q1220" s="89" t="str">
        <f t="shared" si="199"/>
        <v/>
      </c>
      <c r="R1220" s="89" t="str">
        <f t="shared" si="200"/>
        <v/>
      </c>
      <c r="S1220" s="88" t="str">
        <f>IF(F1220="Bao",[1]Setup!$B$4,IF(F1220="Soup Dumplings",[1]Setup!$B$5,""))</f>
        <v/>
      </c>
      <c r="T1220" s="88" t="str">
        <f t="shared" si="201"/>
        <v/>
      </c>
      <c r="U1220" s="84" t="str">
        <f t="shared" si="202"/>
        <v/>
      </c>
      <c r="V1220" s="88">
        <f>IF(U1220="",0,MAX(0,T1220)+N1220+ROUND(J1220*[1]Setup!$B$9,0)+IF(O1220&gt;[1]Setup!$B$10,ROUND(J1220*[1]Setup!$B$11,0),0))</f>
        <v>0</v>
      </c>
      <c r="W1220" s="85" t="str">
        <f>IF(L1220="","Open",IF(OR(P1220&lt;[1]Setup!$B$6,Q1220&gt;[1]Setup!$B$7,R1220&gt;[1]Setup!$B$8,O1220&gt;[1]Setup!$B$10),"Review","OK"))</f>
        <v>Open</v>
      </c>
      <c r="X1220" s="86"/>
    </row>
    <row r="1221" spans="1:24" x14ac:dyDescent="0.3">
      <c r="A1221" s="84"/>
      <c r="B1221" s="100">
        <f t="shared" ref="B1221:B1284" si="204">+WEEKNUM(A1221)</f>
        <v>0</v>
      </c>
      <c r="C1221" s="84" t="str">
        <f t="shared" ref="C1221:C1284" si="205">+TEXT(A1221,"mmmm")</f>
        <v>January</v>
      </c>
      <c r="D1221" s="85" t="str">
        <f t="shared" si="203"/>
        <v/>
      </c>
      <c r="E1221" s="86"/>
      <c r="F1221" s="86"/>
      <c r="G1221" s="86"/>
      <c r="H1221" s="86"/>
      <c r="I1221" s="87" t="str">
        <f>IF(F1221=0,"",IF(COUNTIF(F1221,"Bao"),[1]Setup!$B$4,IF(COUNTIF(F1221,"Soup Dumplings"),[1]Setup!$B$5,F1221)))</f>
        <v/>
      </c>
      <c r="J1221" s="88" t="str">
        <f t="shared" si="197"/>
        <v/>
      </c>
      <c r="K1221" s="88"/>
      <c r="L1221" s="87"/>
      <c r="M1221" s="87"/>
      <c r="N1221" s="87"/>
      <c r="O1221" s="87"/>
      <c r="P1221" s="89" t="str">
        <f t="shared" si="198"/>
        <v/>
      </c>
      <c r="Q1221" s="89" t="str">
        <f t="shared" si="199"/>
        <v/>
      </c>
      <c r="R1221" s="89" t="str">
        <f t="shared" si="200"/>
        <v/>
      </c>
      <c r="S1221" s="88" t="str">
        <f>IF(F1221="Bao",[1]Setup!$B$4,IF(F1221="Soup Dumplings",[1]Setup!$B$5,""))</f>
        <v/>
      </c>
      <c r="T1221" s="88" t="str">
        <f t="shared" si="201"/>
        <v/>
      </c>
      <c r="U1221" s="84" t="str">
        <f t="shared" si="202"/>
        <v/>
      </c>
      <c r="V1221" s="88">
        <f>IF(U1221="",0,MAX(0,T1221)+N1221+ROUND(J1221*[1]Setup!$B$9,0)+IF(O1221&gt;[1]Setup!$B$10,ROUND(J1221*[1]Setup!$B$11,0),0))</f>
        <v>0</v>
      </c>
      <c r="W1221" s="85" t="str">
        <f>IF(L1221="","Open",IF(OR(P1221&lt;[1]Setup!$B$6,Q1221&gt;[1]Setup!$B$7,R1221&gt;[1]Setup!$B$8,O1221&gt;[1]Setup!$B$10),"Review","OK"))</f>
        <v>Open</v>
      </c>
      <c r="X1221" s="86"/>
    </row>
    <row r="1222" spans="1:24" x14ac:dyDescent="0.3">
      <c r="A1222" s="84"/>
      <c r="B1222" s="100">
        <f t="shared" si="204"/>
        <v>0</v>
      </c>
      <c r="C1222" s="84" t="str">
        <f t="shared" si="205"/>
        <v>January</v>
      </c>
      <c r="D1222" s="85" t="str">
        <f t="shared" si="203"/>
        <v/>
      </c>
      <c r="E1222" s="86"/>
      <c r="F1222" s="86"/>
      <c r="G1222" s="86"/>
      <c r="H1222" s="86"/>
      <c r="I1222" s="87" t="str">
        <f>IF(F1222=0,"",IF(COUNTIF(F1222,"Bao"),[1]Setup!$B$4,IF(COUNTIF(F1222,"Soup Dumplings"),[1]Setup!$B$5,F1222)))</f>
        <v/>
      </c>
      <c r="J1222" s="88" t="str">
        <f t="shared" si="197"/>
        <v/>
      </c>
      <c r="K1222" s="88"/>
      <c r="L1222" s="87"/>
      <c r="M1222" s="87"/>
      <c r="N1222" s="87"/>
      <c r="O1222" s="87"/>
      <c r="P1222" s="89" t="str">
        <f t="shared" si="198"/>
        <v/>
      </c>
      <c r="Q1222" s="89" t="str">
        <f t="shared" si="199"/>
        <v/>
      </c>
      <c r="R1222" s="89" t="str">
        <f t="shared" si="200"/>
        <v/>
      </c>
      <c r="S1222" s="88" t="str">
        <f>IF(F1222="Bao",[1]Setup!$B$4,IF(F1222="Soup Dumplings",[1]Setup!$B$5,""))</f>
        <v/>
      </c>
      <c r="T1222" s="88" t="str">
        <f t="shared" si="201"/>
        <v/>
      </c>
      <c r="U1222" s="84" t="str">
        <f t="shared" si="202"/>
        <v/>
      </c>
      <c r="V1222" s="88">
        <f>IF(U1222="",0,MAX(0,T1222)+N1222+ROUND(J1222*[1]Setup!$B$9,0)+IF(O1222&gt;[1]Setup!$B$10,ROUND(J1222*[1]Setup!$B$11,0),0))</f>
        <v>0</v>
      </c>
      <c r="W1222" s="85" t="str">
        <f>IF(L1222="","Open",IF(OR(P1222&lt;[1]Setup!$B$6,Q1222&gt;[1]Setup!$B$7,R1222&gt;[1]Setup!$B$8,O1222&gt;[1]Setup!$B$10),"Review","OK"))</f>
        <v>Open</v>
      </c>
      <c r="X1222" s="86"/>
    </row>
    <row r="1223" spans="1:24" x14ac:dyDescent="0.3">
      <c r="A1223" s="84"/>
      <c r="B1223" s="100">
        <f t="shared" si="204"/>
        <v>0</v>
      </c>
      <c r="C1223" s="84" t="str">
        <f t="shared" si="205"/>
        <v>January</v>
      </c>
      <c r="D1223" s="85" t="str">
        <f t="shared" si="203"/>
        <v/>
      </c>
      <c r="E1223" s="86"/>
      <c r="F1223" s="86"/>
      <c r="G1223" s="86"/>
      <c r="H1223" s="86"/>
      <c r="I1223" s="87" t="str">
        <f>IF(F1223=0,"",IF(COUNTIF(F1223,"Bao"),[1]Setup!$B$4,IF(COUNTIF(F1223,"Soup Dumplings"),[1]Setup!$B$5,F1223)))</f>
        <v/>
      </c>
      <c r="J1223" s="88" t="str">
        <f t="shared" si="197"/>
        <v/>
      </c>
      <c r="K1223" s="88"/>
      <c r="L1223" s="87"/>
      <c r="M1223" s="87"/>
      <c r="N1223" s="87"/>
      <c r="O1223" s="87"/>
      <c r="P1223" s="89" t="str">
        <f t="shared" si="198"/>
        <v/>
      </c>
      <c r="Q1223" s="89" t="str">
        <f t="shared" si="199"/>
        <v/>
      </c>
      <c r="R1223" s="89" t="str">
        <f t="shared" si="200"/>
        <v/>
      </c>
      <c r="S1223" s="88" t="str">
        <f>IF(F1223="Bao",[1]Setup!$B$4,IF(F1223="Soup Dumplings",[1]Setup!$B$5,""))</f>
        <v/>
      </c>
      <c r="T1223" s="88" t="str">
        <f t="shared" si="201"/>
        <v/>
      </c>
      <c r="U1223" s="84" t="str">
        <f t="shared" si="202"/>
        <v/>
      </c>
      <c r="V1223" s="88">
        <f>IF(U1223="",0,MAX(0,T1223)+N1223+ROUND(J1223*[1]Setup!$B$9,0)+IF(O1223&gt;[1]Setup!$B$10,ROUND(J1223*[1]Setup!$B$11,0),0))</f>
        <v>0</v>
      </c>
      <c r="W1223" s="85" t="str">
        <f>IF(L1223="","Open",IF(OR(P1223&lt;[1]Setup!$B$6,Q1223&gt;[1]Setup!$B$7,R1223&gt;[1]Setup!$B$8,O1223&gt;[1]Setup!$B$10),"Review","OK"))</f>
        <v>Open</v>
      </c>
      <c r="X1223" s="86"/>
    </row>
    <row r="1224" spans="1:24" x14ac:dyDescent="0.3">
      <c r="A1224" s="84"/>
      <c r="B1224" s="100">
        <f t="shared" si="204"/>
        <v>0</v>
      </c>
      <c r="C1224" s="84" t="str">
        <f t="shared" si="205"/>
        <v>January</v>
      </c>
      <c r="D1224" s="85" t="str">
        <f t="shared" si="203"/>
        <v/>
      </c>
      <c r="E1224" s="86"/>
      <c r="F1224" s="86"/>
      <c r="G1224" s="86"/>
      <c r="H1224" s="86"/>
      <c r="I1224" s="87" t="str">
        <f>IF(F1224=0,"",IF(COUNTIF(F1224,"Bao"),[1]Setup!$B$4,IF(COUNTIF(F1224,"Soup Dumplings"),[1]Setup!$B$5,F1224)))</f>
        <v/>
      </c>
      <c r="J1224" s="88" t="str">
        <f t="shared" si="197"/>
        <v/>
      </c>
      <c r="K1224" s="88"/>
      <c r="L1224" s="87"/>
      <c r="M1224" s="87"/>
      <c r="N1224" s="87"/>
      <c r="O1224" s="87"/>
      <c r="P1224" s="89" t="str">
        <f t="shared" si="198"/>
        <v/>
      </c>
      <c r="Q1224" s="89" t="str">
        <f t="shared" si="199"/>
        <v/>
      </c>
      <c r="R1224" s="89" t="str">
        <f t="shared" si="200"/>
        <v/>
      </c>
      <c r="S1224" s="88" t="str">
        <f>IF(F1224="Bao",[1]Setup!$B$4,IF(F1224="Soup Dumplings",[1]Setup!$B$5,""))</f>
        <v/>
      </c>
      <c r="T1224" s="88" t="str">
        <f t="shared" si="201"/>
        <v/>
      </c>
      <c r="U1224" s="84" t="str">
        <f t="shared" si="202"/>
        <v/>
      </c>
      <c r="V1224" s="88">
        <f>IF(U1224="",0,MAX(0,T1224)+N1224+ROUND(J1224*[1]Setup!$B$9,0)+IF(O1224&gt;[1]Setup!$B$10,ROUND(J1224*[1]Setup!$B$11,0),0))</f>
        <v>0</v>
      </c>
      <c r="W1224" s="85" t="str">
        <f>IF(L1224="","Open",IF(OR(P1224&lt;[1]Setup!$B$6,Q1224&gt;[1]Setup!$B$7,R1224&gt;[1]Setup!$B$8,O1224&gt;[1]Setup!$B$10),"Review","OK"))</f>
        <v>Open</v>
      </c>
      <c r="X1224" s="86"/>
    </row>
    <row r="1225" spans="1:24" x14ac:dyDescent="0.3">
      <c r="A1225" s="84"/>
      <c r="B1225" s="100">
        <f t="shared" si="204"/>
        <v>0</v>
      </c>
      <c r="C1225" s="84" t="str">
        <f t="shared" si="205"/>
        <v>January</v>
      </c>
      <c r="D1225" s="85" t="str">
        <f t="shared" si="203"/>
        <v/>
      </c>
      <c r="E1225" s="86"/>
      <c r="F1225" s="86"/>
      <c r="G1225" s="86"/>
      <c r="H1225" s="86"/>
      <c r="I1225" s="87" t="str">
        <f>IF(F1225=0,"",IF(COUNTIF(F1225,"Bao"),[1]Setup!$B$4,IF(COUNTIF(F1225,"Soup Dumplings"),[1]Setup!$B$5,F1225)))</f>
        <v/>
      </c>
      <c r="J1225" s="88" t="str">
        <f t="shared" si="197"/>
        <v/>
      </c>
      <c r="K1225" s="88"/>
      <c r="L1225" s="87"/>
      <c r="M1225" s="87"/>
      <c r="N1225" s="87"/>
      <c r="O1225" s="87"/>
      <c r="P1225" s="89" t="str">
        <f t="shared" si="198"/>
        <v/>
      </c>
      <c r="Q1225" s="89" t="str">
        <f t="shared" si="199"/>
        <v/>
      </c>
      <c r="R1225" s="89" t="str">
        <f t="shared" si="200"/>
        <v/>
      </c>
      <c r="S1225" s="88" t="str">
        <f>IF(F1225="Bao",[1]Setup!$B$4,IF(F1225="Soup Dumplings",[1]Setup!$B$5,""))</f>
        <v/>
      </c>
      <c r="T1225" s="88" t="str">
        <f t="shared" si="201"/>
        <v/>
      </c>
      <c r="U1225" s="84" t="str">
        <f t="shared" si="202"/>
        <v/>
      </c>
      <c r="V1225" s="88">
        <f>IF(U1225="",0,MAX(0,T1225)+N1225+ROUND(J1225*[1]Setup!$B$9,0)+IF(O1225&gt;[1]Setup!$B$10,ROUND(J1225*[1]Setup!$B$11,0),0))</f>
        <v>0</v>
      </c>
      <c r="W1225" s="85" t="str">
        <f>IF(L1225="","Open",IF(OR(P1225&lt;[1]Setup!$B$6,Q1225&gt;[1]Setup!$B$7,R1225&gt;[1]Setup!$B$8,O1225&gt;[1]Setup!$B$10),"Review","OK"))</f>
        <v>Open</v>
      </c>
      <c r="X1225" s="86"/>
    </row>
    <row r="1226" spans="1:24" x14ac:dyDescent="0.3">
      <c r="A1226" s="84"/>
      <c r="B1226" s="100">
        <f t="shared" si="204"/>
        <v>0</v>
      </c>
      <c r="C1226" s="84" t="str">
        <f t="shared" si="205"/>
        <v>January</v>
      </c>
      <c r="D1226" s="85" t="str">
        <f t="shared" si="203"/>
        <v/>
      </c>
      <c r="E1226" s="86"/>
      <c r="F1226" s="86"/>
      <c r="G1226" s="86"/>
      <c r="H1226" s="86"/>
      <c r="I1226" s="87" t="str">
        <f>IF(F1226=0,"",IF(COUNTIF(F1226,"Bao"),[1]Setup!$B$4,IF(COUNTIF(F1226,"Soup Dumplings"),[1]Setup!$B$5,F1226)))</f>
        <v/>
      </c>
      <c r="J1226" s="88" t="str">
        <f t="shared" si="197"/>
        <v/>
      </c>
      <c r="K1226" s="88"/>
      <c r="L1226" s="87"/>
      <c r="M1226" s="87"/>
      <c r="N1226" s="87"/>
      <c r="O1226" s="87"/>
      <c r="P1226" s="89" t="str">
        <f t="shared" si="198"/>
        <v/>
      </c>
      <c r="Q1226" s="89" t="str">
        <f t="shared" si="199"/>
        <v/>
      </c>
      <c r="R1226" s="89" t="str">
        <f t="shared" si="200"/>
        <v/>
      </c>
      <c r="S1226" s="88" t="str">
        <f>IF(F1226="Bao",[1]Setup!$B$4,IF(F1226="Soup Dumplings",[1]Setup!$B$5,""))</f>
        <v/>
      </c>
      <c r="T1226" s="88" t="str">
        <f t="shared" si="201"/>
        <v/>
      </c>
      <c r="U1226" s="84" t="str">
        <f t="shared" si="202"/>
        <v/>
      </c>
      <c r="V1226" s="88">
        <f>IF(U1226="",0,MAX(0,T1226)+N1226+ROUND(J1226*[1]Setup!$B$9,0)+IF(O1226&gt;[1]Setup!$B$10,ROUND(J1226*[1]Setup!$B$11,0),0))</f>
        <v>0</v>
      </c>
      <c r="W1226" s="85" t="str">
        <f>IF(L1226="","Open",IF(OR(P1226&lt;[1]Setup!$B$6,Q1226&gt;[1]Setup!$B$7,R1226&gt;[1]Setup!$B$8,O1226&gt;[1]Setup!$B$10),"Review","OK"))</f>
        <v>Open</v>
      </c>
      <c r="X1226" s="86"/>
    </row>
    <row r="1227" spans="1:24" x14ac:dyDescent="0.3">
      <c r="A1227" s="84"/>
      <c r="B1227" s="100">
        <f t="shared" si="204"/>
        <v>0</v>
      </c>
      <c r="C1227" s="84" t="str">
        <f t="shared" si="205"/>
        <v>January</v>
      </c>
      <c r="D1227" s="85" t="str">
        <f t="shared" si="203"/>
        <v/>
      </c>
      <c r="E1227" s="86"/>
      <c r="F1227" s="86"/>
      <c r="G1227" s="86"/>
      <c r="H1227" s="86"/>
      <c r="I1227" s="87" t="str">
        <f>IF(F1227=0,"",IF(COUNTIF(F1227,"Bao"),[1]Setup!$B$4,IF(COUNTIF(F1227,"Soup Dumplings"),[1]Setup!$B$5,F1227)))</f>
        <v/>
      </c>
      <c r="J1227" s="88" t="str">
        <f t="shared" si="197"/>
        <v/>
      </c>
      <c r="K1227" s="88"/>
      <c r="L1227" s="87"/>
      <c r="M1227" s="87"/>
      <c r="N1227" s="87"/>
      <c r="O1227" s="87"/>
      <c r="P1227" s="89" t="str">
        <f t="shared" si="198"/>
        <v/>
      </c>
      <c r="Q1227" s="89" t="str">
        <f t="shared" si="199"/>
        <v/>
      </c>
      <c r="R1227" s="89" t="str">
        <f t="shared" si="200"/>
        <v/>
      </c>
      <c r="S1227" s="88" t="str">
        <f>IF(F1227="Bao",[1]Setup!$B$4,IF(F1227="Soup Dumplings",[1]Setup!$B$5,""))</f>
        <v/>
      </c>
      <c r="T1227" s="88" t="str">
        <f t="shared" si="201"/>
        <v/>
      </c>
      <c r="U1227" s="84" t="str">
        <f t="shared" si="202"/>
        <v/>
      </c>
      <c r="V1227" s="88">
        <f>IF(U1227="",0,MAX(0,T1227)+N1227+ROUND(J1227*[1]Setup!$B$9,0)+IF(O1227&gt;[1]Setup!$B$10,ROUND(J1227*[1]Setup!$B$11,0),0))</f>
        <v>0</v>
      </c>
      <c r="W1227" s="85" t="str">
        <f>IF(L1227="","Open",IF(OR(P1227&lt;[1]Setup!$B$6,Q1227&gt;[1]Setup!$B$7,R1227&gt;[1]Setup!$B$8,O1227&gt;[1]Setup!$B$10),"Review","OK"))</f>
        <v>Open</v>
      </c>
      <c r="X1227" s="86"/>
    </row>
    <row r="1228" spans="1:24" x14ac:dyDescent="0.3">
      <c r="A1228" s="84"/>
      <c r="B1228" s="100">
        <f t="shared" si="204"/>
        <v>0</v>
      </c>
      <c r="C1228" s="84" t="str">
        <f t="shared" si="205"/>
        <v>January</v>
      </c>
      <c r="D1228" s="85" t="str">
        <f t="shared" si="203"/>
        <v/>
      </c>
      <c r="E1228" s="86"/>
      <c r="F1228" s="86"/>
      <c r="G1228" s="86"/>
      <c r="H1228" s="86"/>
      <c r="I1228" s="87" t="str">
        <f>IF(F1228=0,"",IF(COUNTIF(F1228,"Bao"),[1]Setup!$B$4,IF(COUNTIF(F1228,"Soup Dumplings"),[1]Setup!$B$5,F1228)))</f>
        <v/>
      </c>
      <c r="J1228" s="88" t="str">
        <f t="shared" si="197"/>
        <v/>
      </c>
      <c r="K1228" s="88"/>
      <c r="L1228" s="87"/>
      <c r="M1228" s="87"/>
      <c r="N1228" s="87"/>
      <c r="O1228" s="87"/>
      <c r="P1228" s="89" t="str">
        <f t="shared" si="198"/>
        <v/>
      </c>
      <c r="Q1228" s="89" t="str">
        <f t="shared" si="199"/>
        <v/>
      </c>
      <c r="R1228" s="89" t="str">
        <f t="shared" si="200"/>
        <v/>
      </c>
      <c r="S1228" s="88" t="str">
        <f>IF(F1228="Bao",[1]Setup!$B$4,IF(F1228="Soup Dumplings",[1]Setup!$B$5,""))</f>
        <v/>
      </c>
      <c r="T1228" s="88" t="str">
        <f t="shared" si="201"/>
        <v/>
      </c>
      <c r="U1228" s="84" t="str">
        <f t="shared" si="202"/>
        <v/>
      </c>
      <c r="V1228" s="88">
        <f>IF(U1228="",0,MAX(0,T1228)+N1228+ROUND(J1228*[1]Setup!$B$9,0)+IF(O1228&gt;[1]Setup!$B$10,ROUND(J1228*[1]Setup!$B$11,0),0))</f>
        <v>0</v>
      </c>
      <c r="W1228" s="85" t="str">
        <f>IF(L1228="","Open",IF(OR(P1228&lt;[1]Setup!$B$6,Q1228&gt;[1]Setup!$B$7,R1228&gt;[1]Setup!$B$8,O1228&gt;[1]Setup!$B$10),"Review","OK"))</f>
        <v>Open</v>
      </c>
      <c r="X1228" s="86"/>
    </row>
    <row r="1229" spans="1:24" x14ac:dyDescent="0.3">
      <c r="A1229" s="84"/>
      <c r="B1229" s="100">
        <f t="shared" si="204"/>
        <v>0</v>
      </c>
      <c r="C1229" s="84" t="str">
        <f t="shared" si="205"/>
        <v>January</v>
      </c>
      <c r="D1229" s="85" t="str">
        <f t="shared" si="203"/>
        <v/>
      </c>
      <c r="E1229" s="86"/>
      <c r="F1229" s="86"/>
      <c r="G1229" s="86"/>
      <c r="H1229" s="86"/>
      <c r="I1229" s="87" t="str">
        <f>IF(F1229=0,"",IF(COUNTIF(F1229,"Bao"),[1]Setup!$B$4,IF(COUNTIF(F1229,"Soup Dumplings"),[1]Setup!$B$5,F1229)))</f>
        <v/>
      </c>
      <c r="J1229" s="88" t="str">
        <f t="shared" si="197"/>
        <v/>
      </c>
      <c r="K1229" s="88"/>
      <c r="L1229" s="87"/>
      <c r="M1229" s="87"/>
      <c r="N1229" s="87"/>
      <c r="O1229" s="87"/>
      <c r="P1229" s="89" t="str">
        <f t="shared" si="198"/>
        <v/>
      </c>
      <c r="Q1229" s="89" t="str">
        <f t="shared" si="199"/>
        <v/>
      </c>
      <c r="R1229" s="89" t="str">
        <f t="shared" si="200"/>
        <v/>
      </c>
      <c r="S1229" s="88" t="str">
        <f>IF(F1229="Bao",[1]Setup!$B$4,IF(F1229="Soup Dumplings",[1]Setup!$B$5,""))</f>
        <v/>
      </c>
      <c r="T1229" s="88" t="str">
        <f t="shared" si="201"/>
        <v/>
      </c>
      <c r="U1229" s="84" t="str">
        <f t="shared" si="202"/>
        <v/>
      </c>
      <c r="V1229" s="88">
        <f>IF(U1229="",0,MAX(0,T1229)+N1229+ROUND(J1229*[1]Setup!$B$9,0)+IF(O1229&gt;[1]Setup!$B$10,ROUND(J1229*[1]Setup!$B$11,0),0))</f>
        <v>0</v>
      </c>
      <c r="W1229" s="85" t="str">
        <f>IF(L1229="","Open",IF(OR(P1229&lt;[1]Setup!$B$6,Q1229&gt;[1]Setup!$B$7,R1229&gt;[1]Setup!$B$8,O1229&gt;[1]Setup!$B$10),"Review","OK"))</f>
        <v>Open</v>
      </c>
      <c r="X1229" s="86"/>
    </row>
    <row r="1230" spans="1:24" x14ac:dyDescent="0.3">
      <c r="A1230" s="84"/>
      <c r="B1230" s="100">
        <f t="shared" si="204"/>
        <v>0</v>
      </c>
      <c r="C1230" s="84" t="str">
        <f t="shared" si="205"/>
        <v>January</v>
      </c>
      <c r="D1230" s="85" t="str">
        <f t="shared" si="203"/>
        <v/>
      </c>
      <c r="E1230" s="86"/>
      <c r="F1230" s="86"/>
      <c r="G1230" s="86"/>
      <c r="H1230" s="86"/>
      <c r="I1230" s="87" t="str">
        <f>IF(F1230=0,"",IF(COUNTIF(F1230,"Bao"),[1]Setup!$B$4,IF(COUNTIF(F1230,"Soup Dumplings"),[1]Setup!$B$5,F1230)))</f>
        <v/>
      </c>
      <c r="J1230" s="88" t="str">
        <f t="shared" si="197"/>
        <v/>
      </c>
      <c r="K1230" s="88"/>
      <c r="L1230" s="87"/>
      <c r="M1230" s="87"/>
      <c r="N1230" s="87"/>
      <c r="O1230" s="87"/>
      <c r="P1230" s="89" t="str">
        <f t="shared" si="198"/>
        <v/>
      </c>
      <c r="Q1230" s="89" t="str">
        <f t="shared" si="199"/>
        <v/>
      </c>
      <c r="R1230" s="89" t="str">
        <f t="shared" si="200"/>
        <v/>
      </c>
      <c r="S1230" s="88" t="str">
        <f>IF(F1230="Bao",[1]Setup!$B$4,IF(F1230="Soup Dumplings",[1]Setup!$B$5,""))</f>
        <v/>
      </c>
      <c r="T1230" s="88" t="str">
        <f t="shared" si="201"/>
        <v/>
      </c>
      <c r="U1230" s="84" t="str">
        <f t="shared" si="202"/>
        <v/>
      </c>
      <c r="V1230" s="88">
        <f>IF(U1230="",0,MAX(0,T1230)+N1230+ROUND(J1230*[1]Setup!$B$9,0)+IF(O1230&gt;[1]Setup!$B$10,ROUND(J1230*[1]Setup!$B$11,0),0))</f>
        <v>0</v>
      </c>
      <c r="W1230" s="85" t="str">
        <f>IF(L1230="","Open",IF(OR(P1230&lt;[1]Setup!$B$6,Q1230&gt;[1]Setup!$B$7,R1230&gt;[1]Setup!$B$8,O1230&gt;[1]Setup!$B$10),"Review","OK"))</f>
        <v>Open</v>
      </c>
      <c r="X1230" s="86"/>
    </row>
    <row r="1231" spans="1:24" x14ac:dyDescent="0.3">
      <c r="A1231" s="84"/>
      <c r="B1231" s="100">
        <f t="shared" si="204"/>
        <v>0</v>
      </c>
      <c r="C1231" s="84" t="str">
        <f t="shared" si="205"/>
        <v>January</v>
      </c>
      <c r="D1231" s="85" t="str">
        <f t="shared" si="203"/>
        <v/>
      </c>
      <c r="E1231" s="86"/>
      <c r="F1231" s="86"/>
      <c r="G1231" s="86"/>
      <c r="H1231" s="86"/>
      <c r="I1231" s="87" t="str">
        <f>IF(F1231=0,"",IF(COUNTIF(F1231,"Bao"),[1]Setup!$B$4,IF(COUNTIF(F1231,"Soup Dumplings"),[1]Setup!$B$5,F1231)))</f>
        <v/>
      </c>
      <c r="J1231" s="88" t="str">
        <f t="shared" si="197"/>
        <v/>
      </c>
      <c r="K1231" s="88"/>
      <c r="L1231" s="87"/>
      <c r="M1231" s="87"/>
      <c r="N1231" s="87"/>
      <c r="O1231" s="87"/>
      <c r="P1231" s="89" t="str">
        <f t="shared" si="198"/>
        <v/>
      </c>
      <c r="Q1231" s="89" t="str">
        <f t="shared" si="199"/>
        <v/>
      </c>
      <c r="R1231" s="89" t="str">
        <f t="shared" si="200"/>
        <v/>
      </c>
      <c r="S1231" s="88" t="str">
        <f>IF(F1231="Bao",[1]Setup!$B$4,IF(F1231="Soup Dumplings",[1]Setup!$B$5,""))</f>
        <v/>
      </c>
      <c r="T1231" s="88" t="str">
        <f t="shared" si="201"/>
        <v/>
      </c>
      <c r="U1231" s="84" t="str">
        <f t="shared" si="202"/>
        <v/>
      </c>
      <c r="V1231" s="88">
        <f>IF(U1231="",0,MAX(0,T1231)+N1231+ROUND(J1231*[1]Setup!$B$9,0)+IF(O1231&gt;[1]Setup!$B$10,ROUND(J1231*[1]Setup!$B$11,0),0))</f>
        <v>0</v>
      </c>
      <c r="W1231" s="85" t="str">
        <f>IF(L1231="","Open",IF(OR(P1231&lt;[1]Setup!$B$6,Q1231&gt;[1]Setup!$B$7,R1231&gt;[1]Setup!$B$8,O1231&gt;[1]Setup!$B$10),"Review","OK"))</f>
        <v>Open</v>
      </c>
      <c r="X1231" s="86"/>
    </row>
    <row r="1232" spans="1:24" x14ac:dyDescent="0.3">
      <c r="A1232" s="84"/>
      <c r="B1232" s="100">
        <f t="shared" si="204"/>
        <v>0</v>
      </c>
      <c r="C1232" s="84" t="str">
        <f t="shared" si="205"/>
        <v>January</v>
      </c>
      <c r="D1232" s="85" t="str">
        <f t="shared" si="203"/>
        <v/>
      </c>
      <c r="E1232" s="86"/>
      <c r="F1232" s="86"/>
      <c r="G1232" s="86"/>
      <c r="H1232" s="86"/>
      <c r="I1232" s="87" t="str">
        <f>IF(F1232=0,"",IF(COUNTIF(F1232,"Bao"),[1]Setup!$B$4,IF(COUNTIF(F1232,"Soup Dumplings"),[1]Setup!$B$5,F1232)))</f>
        <v/>
      </c>
      <c r="J1232" s="88" t="str">
        <f t="shared" si="197"/>
        <v/>
      </c>
      <c r="K1232" s="88"/>
      <c r="L1232" s="87"/>
      <c r="M1232" s="87"/>
      <c r="N1232" s="87"/>
      <c r="O1232" s="87"/>
      <c r="P1232" s="89" t="str">
        <f t="shared" si="198"/>
        <v/>
      </c>
      <c r="Q1232" s="89" t="str">
        <f t="shared" si="199"/>
        <v/>
      </c>
      <c r="R1232" s="89" t="str">
        <f t="shared" si="200"/>
        <v/>
      </c>
      <c r="S1232" s="88" t="str">
        <f>IF(F1232="Bao",[1]Setup!$B$4,IF(F1232="Soup Dumplings",[1]Setup!$B$5,""))</f>
        <v/>
      </c>
      <c r="T1232" s="88" t="str">
        <f t="shared" si="201"/>
        <v/>
      </c>
      <c r="U1232" s="84" t="str">
        <f t="shared" si="202"/>
        <v/>
      </c>
      <c r="V1232" s="88">
        <f>IF(U1232="",0,MAX(0,T1232)+N1232+ROUND(J1232*[1]Setup!$B$9,0)+IF(O1232&gt;[1]Setup!$B$10,ROUND(J1232*[1]Setup!$B$11,0),0))</f>
        <v>0</v>
      </c>
      <c r="W1232" s="85" t="str">
        <f>IF(L1232="","Open",IF(OR(P1232&lt;[1]Setup!$B$6,Q1232&gt;[1]Setup!$B$7,R1232&gt;[1]Setup!$B$8,O1232&gt;[1]Setup!$B$10),"Review","OK"))</f>
        <v>Open</v>
      </c>
      <c r="X1232" s="86"/>
    </row>
    <row r="1233" spans="1:24" x14ac:dyDescent="0.3">
      <c r="A1233" s="84"/>
      <c r="B1233" s="100">
        <f t="shared" si="204"/>
        <v>0</v>
      </c>
      <c r="C1233" s="84" t="str">
        <f t="shared" si="205"/>
        <v>January</v>
      </c>
      <c r="D1233" s="85" t="str">
        <f t="shared" si="203"/>
        <v/>
      </c>
      <c r="E1233" s="86"/>
      <c r="F1233" s="86"/>
      <c r="G1233" s="86"/>
      <c r="H1233" s="86"/>
      <c r="I1233" s="87" t="str">
        <f>IF(F1233=0,"",IF(COUNTIF(F1233,"Bao"),[1]Setup!$B$4,IF(COUNTIF(F1233,"Soup Dumplings"),[1]Setup!$B$5,F1233)))</f>
        <v/>
      </c>
      <c r="J1233" s="88" t="str">
        <f t="shared" si="197"/>
        <v/>
      </c>
      <c r="K1233" s="88"/>
      <c r="L1233" s="87"/>
      <c r="M1233" s="87"/>
      <c r="N1233" s="87"/>
      <c r="O1233" s="87"/>
      <c r="P1233" s="89" t="str">
        <f t="shared" si="198"/>
        <v/>
      </c>
      <c r="Q1233" s="89" t="str">
        <f t="shared" si="199"/>
        <v/>
      </c>
      <c r="R1233" s="89" t="str">
        <f t="shared" si="200"/>
        <v/>
      </c>
      <c r="S1233" s="88" t="str">
        <f>IF(F1233="Bao",[1]Setup!$B$4,IF(F1233="Soup Dumplings",[1]Setup!$B$5,""))</f>
        <v/>
      </c>
      <c r="T1233" s="88" t="str">
        <f t="shared" si="201"/>
        <v/>
      </c>
      <c r="U1233" s="84" t="str">
        <f t="shared" si="202"/>
        <v/>
      </c>
      <c r="V1233" s="88">
        <f>IF(U1233="",0,MAX(0,T1233)+N1233+ROUND(J1233*[1]Setup!$B$9,0)+IF(O1233&gt;[1]Setup!$B$10,ROUND(J1233*[1]Setup!$B$11,0),0))</f>
        <v>0</v>
      </c>
      <c r="W1233" s="85" t="str">
        <f>IF(L1233="","Open",IF(OR(P1233&lt;[1]Setup!$B$6,Q1233&gt;[1]Setup!$B$7,R1233&gt;[1]Setup!$B$8,O1233&gt;[1]Setup!$B$10),"Review","OK"))</f>
        <v>Open</v>
      </c>
      <c r="X1233" s="86"/>
    </row>
    <row r="1234" spans="1:24" x14ac:dyDescent="0.3">
      <c r="A1234" s="84"/>
      <c r="B1234" s="100">
        <f t="shared" si="204"/>
        <v>0</v>
      </c>
      <c r="C1234" s="84" t="str">
        <f t="shared" si="205"/>
        <v>January</v>
      </c>
      <c r="D1234" s="85" t="str">
        <f t="shared" si="203"/>
        <v/>
      </c>
      <c r="E1234" s="86"/>
      <c r="F1234" s="86"/>
      <c r="G1234" s="86"/>
      <c r="H1234" s="86"/>
      <c r="I1234" s="87" t="str">
        <f>IF(F1234=0,"",IF(COUNTIF(F1234,"Bao"),[1]Setup!$B$4,IF(COUNTIF(F1234,"Soup Dumplings"),[1]Setup!$B$5,F1234)))</f>
        <v/>
      </c>
      <c r="J1234" s="88" t="str">
        <f t="shared" si="197"/>
        <v/>
      </c>
      <c r="K1234" s="88"/>
      <c r="L1234" s="87"/>
      <c r="M1234" s="87"/>
      <c r="N1234" s="87"/>
      <c r="O1234" s="87"/>
      <c r="P1234" s="89" t="str">
        <f t="shared" si="198"/>
        <v/>
      </c>
      <c r="Q1234" s="89" t="str">
        <f t="shared" si="199"/>
        <v/>
      </c>
      <c r="R1234" s="89" t="str">
        <f t="shared" si="200"/>
        <v/>
      </c>
      <c r="S1234" s="88" t="str">
        <f>IF(F1234="Bao",[1]Setup!$B$4,IF(F1234="Soup Dumplings",[1]Setup!$B$5,""))</f>
        <v/>
      </c>
      <c r="T1234" s="88" t="str">
        <f t="shared" si="201"/>
        <v/>
      </c>
      <c r="U1234" s="84" t="str">
        <f t="shared" si="202"/>
        <v/>
      </c>
      <c r="V1234" s="88">
        <f>IF(U1234="",0,MAX(0,T1234)+N1234+ROUND(J1234*[1]Setup!$B$9,0)+IF(O1234&gt;[1]Setup!$B$10,ROUND(J1234*[1]Setup!$B$11,0),0))</f>
        <v>0</v>
      </c>
      <c r="W1234" s="85" t="str">
        <f>IF(L1234="","Open",IF(OR(P1234&lt;[1]Setup!$B$6,Q1234&gt;[1]Setup!$B$7,R1234&gt;[1]Setup!$B$8,O1234&gt;[1]Setup!$B$10),"Review","OK"))</f>
        <v>Open</v>
      </c>
      <c r="X1234" s="86"/>
    </row>
    <row r="1235" spans="1:24" x14ac:dyDescent="0.3">
      <c r="A1235" s="84"/>
      <c r="B1235" s="100">
        <f t="shared" si="204"/>
        <v>0</v>
      </c>
      <c r="C1235" s="84" t="str">
        <f t="shared" si="205"/>
        <v>January</v>
      </c>
      <c r="D1235" s="85" t="str">
        <f t="shared" si="203"/>
        <v/>
      </c>
      <c r="E1235" s="86"/>
      <c r="F1235" s="86"/>
      <c r="G1235" s="86"/>
      <c r="H1235" s="86"/>
      <c r="I1235" s="87" t="str">
        <f>IF(F1235=0,"",IF(COUNTIF(F1235,"Bao"),[1]Setup!$B$4,IF(COUNTIF(F1235,"Soup Dumplings"),[1]Setup!$B$5,F1235)))</f>
        <v/>
      </c>
      <c r="J1235" s="88" t="str">
        <f t="shared" si="197"/>
        <v/>
      </c>
      <c r="K1235" s="88"/>
      <c r="L1235" s="87"/>
      <c r="M1235" s="87"/>
      <c r="N1235" s="87"/>
      <c r="O1235" s="87"/>
      <c r="P1235" s="89" t="str">
        <f t="shared" si="198"/>
        <v/>
      </c>
      <c r="Q1235" s="89" t="str">
        <f t="shared" si="199"/>
        <v/>
      </c>
      <c r="R1235" s="89" t="str">
        <f t="shared" si="200"/>
        <v/>
      </c>
      <c r="S1235" s="88" t="str">
        <f>IF(F1235="Bao",[1]Setup!$B$4,IF(F1235="Soup Dumplings",[1]Setup!$B$5,""))</f>
        <v/>
      </c>
      <c r="T1235" s="88" t="str">
        <f t="shared" si="201"/>
        <v/>
      </c>
      <c r="U1235" s="84" t="str">
        <f t="shared" si="202"/>
        <v/>
      </c>
      <c r="V1235" s="88">
        <f>IF(U1235="",0,MAX(0,T1235)+N1235+ROUND(J1235*[1]Setup!$B$9,0)+IF(O1235&gt;[1]Setup!$B$10,ROUND(J1235*[1]Setup!$B$11,0),0))</f>
        <v>0</v>
      </c>
      <c r="W1235" s="85" t="str">
        <f>IF(L1235="","Open",IF(OR(P1235&lt;[1]Setup!$B$6,Q1235&gt;[1]Setup!$B$7,R1235&gt;[1]Setup!$B$8,O1235&gt;[1]Setup!$B$10),"Review","OK"))</f>
        <v>Open</v>
      </c>
      <c r="X1235" s="86"/>
    </row>
    <row r="1236" spans="1:24" x14ac:dyDescent="0.3">
      <c r="A1236" s="84"/>
      <c r="B1236" s="100">
        <f t="shared" si="204"/>
        <v>0</v>
      </c>
      <c r="C1236" s="84" t="str">
        <f t="shared" si="205"/>
        <v>January</v>
      </c>
      <c r="D1236" s="85" t="str">
        <f t="shared" si="203"/>
        <v/>
      </c>
      <c r="E1236" s="86"/>
      <c r="F1236" s="86"/>
      <c r="G1236" s="86"/>
      <c r="H1236" s="86"/>
      <c r="I1236" s="87" t="str">
        <f>IF(F1236=0,"",IF(COUNTIF(F1236,"Bao"),[1]Setup!$B$4,IF(COUNTIF(F1236,"Soup Dumplings"),[1]Setup!$B$5,F1236)))</f>
        <v/>
      </c>
      <c r="J1236" s="88" t="str">
        <f t="shared" si="197"/>
        <v/>
      </c>
      <c r="K1236" s="88"/>
      <c r="L1236" s="87"/>
      <c r="M1236" s="87"/>
      <c r="N1236" s="87"/>
      <c r="O1236" s="87"/>
      <c r="P1236" s="89" t="str">
        <f t="shared" si="198"/>
        <v/>
      </c>
      <c r="Q1236" s="89" t="str">
        <f t="shared" si="199"/>
        <v/>
      </c>
      <c r="R1236" s="89" t="str">
        <f t="shared" si="200"/>
        <v/>
      </c>
      <c r="S1236" s="88" t="str">
        <f>IF(F1236="Bao",[1]Setup!$B$4,IF(F1236="Soup Dumplings",[1]Setup!$B$5,""))</f>
        <v/>
      </c>
      <c r="T1236" s="88" t="str">
        <f t="shared" si="201"/>
        <v/>
      </c>
      <c r="U1236" s="84" t="str">
        <f t="shared" si="202"/>
        <v/>
      </c>
      <c r="V1236" s="88">
        <f>IF(U1236="",0,MAX(0,T1236)+N1236+ROUND(J1236*[1]Setup!$B$9,0)+IF(O1236&gt;[1]Setup!$B$10,ROUND(J1236*[1]Setup!$B$11,0),0))</f>
        <v>0</v>
      </c>
      <c r="W1236" s="85" t="str">
        <f>IF(L1236="","Open",IF(OR(P1236&lt;[1]Setup!$B$6,Q1236&gt;[1]Setup!$B$7,R1236&gt;[1]Setup!$B$8,O1236&gt;[1]Setup!$B$10),"Review","OK"))</f>
        <v>Open</v>
      </c>
      <c r="X1236" s="86"/>
    </row>
    <row r="1237" spans="1:24" x14ac:dyDescent="0.3">
      <c r="A1237" s="84"/>
      <c r="B1237" s="100">
        <f t="shared" si="204"/>
        <v>0</v>
      </c>
      <c r="C1237" s="84" t="str">
        <f t="shared" si="205"/>
        <v>January</v>
      </c>
      <c r="D1237" s="85" t="str">
        <f t="shared" si="203"/>
        <v/>
      </c>
      <c r="E1237" s="86"/>
      <c r="F1237" s="86"/>
      <c r="G1237" s="86"/>
      <c r="H1237" s="86"/>
      <c r="I1237" s="87" t="str">
        <f>IF(F1237=0,"",IF(COUNTIF(F1237,"Bao"),[1]Setup!$B$4,IF(COUNTIF(F1237,"Soup Dumplings"),[1]Setup!$B$5,F1237)))</f>
        <v/>
      </c>
      <c r="J1237" s="88" t="str">
        <f t="shared" si="197"/>
        <v/>
      </c>
      <c r="K1237" s="88"/>
      <c r="L1237" s="87"/>
      <c r="M1237" s="87"/>
      <c r="N1237" s="87"/>
      <c r="O1237" s="87"/>
      <c r="P1237" s="89" t="str">
        <f t="shared" si="198"/>
        <v/>
      </c>
      <c r="Q1237" s="89" t="str">
        <f t="shared" si="199"/>
        <v/>
      </c>
      <c r="R1237" s="89" t="str">
        <f t="shared" si="200"/>
        <v/>
      </c>
      <c r="S1237" s="88" t="str">
        <f>IF(F1237="Bao",[1]Setup!$B$4,IF(F1237="Soup Dumplings",[1]Setup!$B$5,""))</f>
        <v/>
      </c>
      <c r="T1237" s="88" t="str">
        <f t="shared" si="201"/>
        <v/>
      </c>
      <c r="U1237" s="84" t="str">
        <f t="shared" si="202"/>
        <v/>
      </c>
      <c r="V1237" s="88">
        <f>IF(U1237="",0,MAX(0,T1237)+N1237+ROUND(J1237*[1]Setup!$B$9,0)+IF(O1237&gt;[1]Setup!$B$10,ROUND(J1237*[1]Setup!$B$11,0),0))</f>
        <v>0</v>
      </c>
      <c r="W1237" s="85" t="str">
        <f>IF(L1237="","Open",IF(OR(P1237&lt;[1]Setup!$B$6,Q1237&gt;[1]Setup!$B$7,R1237&gt;[1]Setup!$B$8,O1237&gt;[1]Setup!$B$10),"Review","OK"))</f>
        <v>Open</v>
      </c>
      <c r="X1237" s="86"/>
    </row>
    <row r="1238" spans="1:24" x14ac:dyDescent="0.3">
      <c r="A1238" s="84"/>
      <c r="B1238" s="100">
        <f t="shared" si="204"/>
        <v>0</v>
      </c>
      <c r="C1238" s="84" t="str">
        <f t="shared" si="205"/>
        <v>January</v>
      </c>
      <c r="D1238" s="85" t="str">
        <f t="shared" si="203"/>
        <v/>
      </c>
      <c r="E1238" s="86"/>
      <c r="F1238" s="86"/>
      <c r="G1238" s="86"/>
      <c r="H1238" s="86"/>
      <c r="I1238" s="87" t="str">
        <f>IF(F1238=0,"",IF(COUNTIF(F1238,"Bao"),[1]Setup!$B$4,IF(COUNTIF(F1238,"Soup Dumplings"),[1]Setup!$B$5,F1238)))</f>
        <v/>
      </c>
      <c r="J1238" s="88" t="str">
        <f t="shared" si="197"/>
        <v/>
      </c>
      <c r="K1238" s="88"/>
      <c r="L1238" s="87"/>
      <c r="M1238" s="87"/>
      <c r="N1238" s="87"/>
      <c r="O1238" s="87"/>
      <c r="P1238" s="89" t="str">
        <f t="shared" si="198"/>
        <v/>
      </c>
      <c r="Q1238" s="89" t="str">
        <f t="shared" si="199"/>
        <v/>
      </c>
      <c r="R1238" s="89" t="str">
        <f t="shared" si="200"/>
        <v/>
      </c>
      <c r="S1238" s="88" t="str">
        <f>IF(F1238="Bao",[1]Setup!$B$4,IF(F1238="Soup Dumplings",[1]Setup!$B$5,""))</f>
        <v/>
      </c>
      <c r="T1238" s="88" t="str">
        <f t="shared" si="201"/>
        <v/>
      </c>
      <c r="U1238" s="84" t="str">
        <f t="shared" si="202"/>
        <v/>
      </c>
      <c r="V1238" s="88">
        <f>IF(U1238="",0,MAX(0,T1238)+N1238+ROUND(J1238*[1]Setup!$B$9,0)+IF(O1238&gt;[1]Setup!$B$10,ROUND(J1238*[1]Setup!$B$11,0),0))</f>
        <v>0</v>
      </c>
      <c r="W1238" s="85" t="str">
        <f>IF(L1238="","Open",IF(OR(P1238&lt;[1]Setup!$B$6,Q1238&gt;[1]Setup!$B$7,R1238&gt;[1]Setup!$B$8,O1238&gt;[1]Setup!$B$10),"Review","OK"))</f>
        <v>Open</v>
      </c>
      <c r="X1238" s="86"/>
    </row>
    <row r="1239" spans="1:24" x14ac:dyDescent="0.3">
      <c r="A1239" s="84"/>
      <c r="B1239" s="100">
        <f t="shared" si="204"/>
        <v>0</v>
      </c>
      <c r="C1239" s="84" t="str">
        <f t="shared" si="205"/>
        <v>January</v>
      </c>
      <c r="D1239" s="85" t="str">
        <f t="shared" si="203"/>
        <v/>
      </c>
      <c r="E1239" s="86"/>
      <c r="F1239" s="86"/>
      <c r="G1239" s="86"/>
      <c r="H1239" s="86"/>
      <c r="I1239" s="87" t="str">
        <f>IF(F1239=0,"",IF(COUNTIF(F1239,"Bao"),[1]Setup!$B$4,IF(COUNTIF(F1239,"Soup Dumplings"),[1]Setup!$B$5,F1239)))</f>
        <v/>
      </c>
      <c r="J1239" s="88" t="str">
        <f t="shared" si="197"/>
        <v/>
      </c>
      <c r="K1239" s="88"/>
      <c r="L1239" s="87"/>
      <c r="M1239" s="87"/>
      <c r="N1239" s="87"/>
      <c r="O1239" s="87"/>
      <c r="P1239" s="89" t="str">
        <f t="shared" si="198"/>
        <v/>
      </c>
      <c r="Q1239" s="89" t="str">
        <f t="shared" si="199"/>
        <v/>
      </c>
      <c r="R1239" s="89" t="str">
        <f t="shared" si="200"/>
        <v/>
      </c>
      <c r="S1239" s="88" t="str">
        <f>IF(F1239="Bao",[1]Setup!$B$4,IF(F1239="Soup Dumplings",[1]Setup!$B$5,""))</f>
        <v/>
      </c>
      <c r="T1239" s="88" t="str">
        <f t="shared" si="201"/>
        <v/>
      </c>
      <c r="U1239" s="84" t="str">
        <f t="shared" si="202"/>
        <v/>
      </c>
      <c r="V1239" s="88">
        <f>IF(U1239="",0,MAX(0,T1239)+N1239+ROUND(J1239*[1]Setup!$B$9,0)+IF(O1239&gt;[1]Setup!$B$10,ROUND(J1239*[1]Setup!$B$11,0),0))</f>
        <v>0</v>
      </c>
      <c r="W1239" s="85" t="str">
        <f>IF(L1239="","Open",IF(OR(P1239&lt;[1]Setup!$B$6,Q1239&gt;[1]Setup!$B$7,R1239&gt;[1]Setup!$B$8,O1239&gt;[1]Setup!$B$10),"Review","OK"))</f>
        <v>Open</v>
      </c>
      <c r="X1239" s="86"/>
    </row>
    <row r="1240" spans="1:24" x14ac:dyDescent="0.3">
      <c r="A1240" s="84"/>
      <c r="B1240" s="100">
        <f t="shared" si="204"/>
        <v>0</v>
      </c>
      <c r="C1240" s="84" t="str">
        <f t="shared" si="205"/>
        <v>January</v>
      </c>
      <c r="D1240" s="85" t="str">
        <f t="shared" si="203"/>
        <v/>
      </c>
      <c r="E1240" s="86"/>
      <c r="F1240" s="86"/>
      <c r="G1240" s="86"/>
      <c r="H1240" s="86"/>
      <c r="I1240" s="87" t="str">
        <f>IF(F1240=0,"",IF(COUNTIF(F1240,"Bao"),[1]Setup!$B$4,IF(COUNTIF(F1240,"Soup Dumplings"),[1]Setup!$B$5,F1240)))</f>
        <v/>
      </c>
      <c r="J1240" s="88" t="str">
        <f t="shared" si="197"/>
        <v/>
      </c>
      <c r="K1240" s="88"/>
      <c r="L1240" s="87"/>
      <c r="M1240" s="87"/>
      <c r="N1240" s="87"/>
      <c r="O1240" s="87"/>
      <c r="P1240" s="89" t="str">
        <f t="shared" si="198"/>
        <v/>
      </c>
      <c r="Q1240" s="89" t="str">
        <f t="shared" si="199"/>
        <v/>
      </c>
      <c r="R1240" s="89" t="str">
        <f t="shared" si="200"/>
        <v/>
      </c>
      <c r="S1240" s="88" t="str">
        <f>IF(F1240="Bao",[1]Setup!$B$4,IF(F1240="Soup Dumplings",[1]Setup!$B$5,""))</f>
        <v/>
      </c>
      <c r="T1240" s="88" t="str">
        <f t="shared" si="201"/>
        <v/>
      </c>
      <c r="U1240" s="84" t="str">
        <f t="shared" si="202"/>
        <v/>
      </c>
      <c r="V1240" s="88">
        <f>IF(U1240="",0,MAX(0,T1240)+N1240+ROUND(J1240*[1]Setup!$B$9,0)+IF(O1240&gt;[1]Setup!$B$10,ROUND(J1240*[1]Setup!$B$11,0),0))</f>
        <v>0</v>
      </c>
      <c r="W1240" s="85" t="str">
        <f>IF(L1240="","Open",IF(OR(P1240&lt;[1]Setup!$B$6,Q1240&gt;[1]Setup!$B$7,R1240&gt;[1]Setup!$B$8,O1240&gt;[1]Setup!$B$10),"Review","OK"))</f>
        <v>Open</v>
      </c>
      <c r="X1240" s="86"/>
    </row>
    <row r="1241" spans="1:24" x14ac:dyDescent="0.3">
      <c r="A1241" s="84"/>
      <c r="B1241" s="100">
        <f t="shared" si="204"/>
        <v>0</v>
      </c>
      <c r="C1241" s="84" t="str">
        <f t="shared" si="205"/>
        <v>January</v>
      </c>
      <c r="D1241" s="85" t="str">
        <f t="shared" si="203"/>
        <v/>
      </c>
      <c r="E1241" s="86"/>
      <c r="F1241" s="86"/>
      <c r="G1241" s="86"/>
      <c r="H1241" s="86"/>
      <c r="I1241" s="87" t="str">
        <f>IF(F1241=0,"",IF(COUNTIF(F1241,"Bao"),[1]Setup!$B$4,IF(COUNTIF(F1241,"Soup Dumplings"),[1]Setup!$B$5,F1241)))</f>
        <v/>
      </c>
      <c r="J1241" s="88" t="str">
        <f t="shared" si="197"/>
        <v/>
      </c>
      <c r="K1241" s="88"/>
      <c r="L1241" s="87"/>
      <c r="M1241" s="87"/>
      <c r="N1241" s="87"/>
      <c r="O1241" s="87"/>
      <c r="P1241" s="89" t="str">
        <f t="shared" si="198"/>
        <v/>
      </c>
      <c r="Q1241" s="89" t="str">
        <f t="shared" si="199"/>
        <v/>
      </c>
      <c r="R1241" s="89" t="str">
        <f t="shared" si="200"/>
        <v/>
      </c>
      <c r="S1241" s="88" t="str">
        <f>IF(F1241="Bao",[1]Setup!$B$4,IF(F1241="Soup Dumplings",[1]Setup!$B$5,""))</f>
        <v/>
      </c>
      <c r="T1241" s="88" t="str">
        <f t="shared" si="201"/>
        <v/>
      </c>
      <c r="U1241" s="84" t="str">
        <f t="shared" si="202"/>
        <v/>
      </c>
      <c r="V1241" s="88">
        <f>IF(U1241="",0,MAX(0,T1241)+N1241+ROUND(J1241*[1]Setup!$B$9,0)+IF(O1241&gt;[1]Setup!$B$10,ROUND(J1241*[1]Setup!$B$11,0),0))</f>
        <v>0</v>
      </c>
      <c r="W1241" s="85" t="str">
        <f>IF(L1241="","Open",IF(OR(P1241&lt;[1]Setup!$B$6,Q1241&gt;[1]Setup!$B$7,R1241&gt;[1]Setup!$B$8,O1241&gt;[1]Setup!$B$10),"Review","OK"))</f>
        <v>Open</v>
      </c>
      <c r="X1241" s="86"/>
    </row>
    <row r="1242" spans="1:24" x14ac:dyDescent="0.3">
      <c r="A1242" s="84"/>
      <c r="B1242" s="100">
        <f t="shared" si="204"/>
        <v>0</v>
      </c>
      <c r="C1242" s="84" t="str">
        <f t="shared" si="205"/>
        <v>January</v>
      </c>
      <c r="D1242" s="85" t="str">
        <f t="shared" si="203"/>
        <v/>
      </c>
      <c r="E1242" s="86"/>
      <c r="F1242" s="86"/>
      <c r="G1242" s="86"/>
      <c r="H1242" s="86"/>
      <c r="I1242" s="87" t="str">
        <f>IF(F1242=0,"",IF(COUNTIF(F1242,"Bao"),[1]Setup!$B$4,IF(COUNTIF(F1242,"Soup Dumplings"),[1]Setup!$B$5,F1242)))</f>
        <v/>
      </c>
      <c r="J1242" s="88" t="str">
        <f t="shared" si="197"/>
        <v/>
      </c>
      <c r="K1242" s="88"/>
      <c r="L1242" s="87"/>
      <c r="M1242" s="87"/>
      <c r="N1242" s="87"/>
      <c r="O1242" s="87"/>
      <c r="P1242" s="89" t="str">
        <f t="shared" si="198"/>
        <v/>
      </c>
      <c r="Q1242" s="89" t="str">
        <f t="shared" si="199"/>
        <v/>
      </c>
      <c r="R1242" s="89" t="str">
        <f t="shared" si="200"/>
        <v/>
      </c>
      <c r="S1242" s="88" t="str">
        <f>IF(F1242="Bao",[1]Setup!$B$4,IF(F1242="Soup Dumplings",[1]Setup!$B$5,""))</f>
        <v/>
      </c>
      <c r="T1242" s="88" t="str">
        <f t="shared" si="201"/>
        <v/>
      </c>
      <c r="U1242" s="84" t="str">
        <f t="shared" si="202"/>
        <v/>
      </c>
      <c r="V1242" s="88">
        <f>IF(U1242="",0,MAX(0,T1242)+N1242+ROUND(J1242*[1]Setup!$B$9,0)+IF(O1242&gt;[1]Setup!$B$10,ROUND(J1242*[1]Setup!$B$11,0),0))</f>
        <v>0</v>
      </c>
      <c r="W1242" s="85" t="str">
        <f>IF(L1242="","Open",IF(OR(P1242&lt;[1]Setup!$B$6,Q1242&gt;[1]Setup!$B$7,R1242&gt;[1]Setup!$B$8,O1242&gt;[1]Setup!$B$10),"Review","OK"))</f>
        <v>Open</v>
      </c>
      <c r="X1242" s="86"/>
    </row>
    <row r="1243" spans="1:24" x14ac:dyDescent="0.3">
      <c r="A1243" s="84"/>
      <c r="B1243" s="100">
        <f t="shared" si="204"/>
        <v>0</v>
      </c>
      <c r="C1243" s="84" t="str">
        <f t="shared" si="205"/>
        <v>January</v>
      </c>
      <c r="D1243" s="85" t="str">
        <f t="shared" si="203"/>
        <v/>
      </c>
      <c r="E1243" s="86"/>
      <c r="F1243" s="86"/>
      <c r="G1243" s="86"/>
      <c r="H1243" s="86"/>
      <c r="I1243" s="87" t="str">
        <f>IF(F1243=0,"",IF(COUNTIF(F1243,"Bao"),[1]Setup!$B$4,IF(COUNTIF(F1243,"Soup Dumplings"),[1]Setup!$B$5,F1243)))</f>
        <v/>
      </c>
      <c r="J1243" s="88" t="str">
        <f t="shared" si="197"/>
        <v/>
      </c>
      <c r="K1243" s="88"/>
      <c r="L1243" s="87"/>
      <c r="M1243" s="87"/>
      <c r="N1243" s="87"/>
      <c r="O1243" s="87"/>
      <c r="P1243" s="89" t="str">
        <f t="shared" si="198"/>
        <v/>
      </c>
      <c r="Q1243" s="89" t="str">
        <f t="shared" si="199"/>
        <v/>
      </c>
      <c r="R1243" s="89" t="str">
        <f t="shared" si="200"/>
        <v/>
      </c>
      <c r="S1243" s="88" t="str">
        <f>IF(F1243="Bao",[1]Setup!$B$4,IF(F1243="Soup Dumplings",[1]Setup!$B$5,""))</f>
        <v/>
      </c>
      <c r="T1243" s="88" t="str">
        <f t="shared" si="201"/>
        <v/>
      </c>
      <c r="U1243" s="84" t="str">
        <f t="shared" si="202"/>
        <v/>
      </c>
      <c r="V1243" s="88">
        <f>IF(U1243="",0,MAX(0,T1243)+N1243+ROUND(J1243*[1]Setup!$B$9,0)+IF(O1243&gt;[1]Setup!$B$10,ROUND(J1243*[1]Setup!$B$11,0),0))</f>
        <v>0</v>
      </c>
      <c r="W1243" s="85" t="str">
        <f>IF(L1243="","Open",IF(OR(P1243&lt;[1]Setup!$B$6,Q1243&gt;[1]Setup!$B$7,R1243&gt;[1]Setup!$B$8,O1243&gt;[1]Setup!$B$10),"Review","OK"))</f>
        <v>Open</v>
      </c>
      <c r="X1243" s="86"/>
    </row>
    <row r="1244" spans="1:24" x14ac:dyDescent="0.3">
      <c r="A1244" s="84"/>
      <c r="B1244" s="100">
        <f t="shared" si="204"/>
        <v>0</v>
      </c>
      <c r="C1244" s="84" t="str">
        <f t="shared" si="205"/>
        <v>January</v>
      </c>
      <c r="D1244" s="85" t="str">
        <f t="shared" si="203"/>
        <v/>
      </c>
      <c r="E1244" s="86"/>
      <c r="F1244" s="86"/>
      <c r="G1244" s="86"/>
      <c r="H1244" s="86"/>
      <c r="I1244" s="87" t="str">
        <f>IF(F1244=0,"",IF(COUNTIF(F1244,"Bao"),[1]Setup!$B$4,IF(COUNTIF(F1244,"Soup Dumplings"),[1]Setup!$B$5,F1244)))</f>
        <v/>
      </c>
      <c r="J1244" s="88" t="str">
        <f t="shared" si="197"/>
        <v/>
      </c>
      <c r="K1244" s="88"/>
      <c r="L1244" s="87"/>
      <c r="M1244" s="87"/>
      <c r="N1244" s="87"/>
      <c r="O1244" s="87"/>
      <c r="P1244" s="89" t="str">
        <f t="shared" si="198"/>
        <v/>
      </c>
      <c r="Q1244" s="89" t="str">
        <f t="shared" si="199"/>
        <v/>
      </c>
      <c r="R1244" s="89" t="str">
        <f t="shared" si="200"/>
        <v/>
      </c>
      <c r="S1244" s="88" t="str">
        <f>IF(F1244="Bao",[1]Setup!$B$4,IF(F1244="Soup Dumplings",[1]Setup!$B$5,""))</f>
        <v/>
      </c>
      <c r="T1244" s="88" t="str">
        <f t="shared" si="201"/>
        <v/>
      </c>
      <c r="U1244" s="84" t="str">
        <f t="shared" si="202"/>
        <v/>
      </c>
      <c r="V1244" s="88">
        <f>IF(U1244="",0,MAX(0,T1244)+N1244+ROUND(J1244*[1]Setup!$B$9,0)+IF(O1244&gt;[1]Setup!$B$10,ROUND(J1244*[1]Setup!$B$11,0),0))</f>
        <v>0</v>
      </c>
      <c r="W1244" s="85" t="str">
        <f>IF(L1244="","Open",IF(OR(P1244&lt;[1]Setup!$B$6,Q1244&gt;[1]Setup!$B$7,R1244&gt;[1]Setup!$B$8,O1244&gt;[1]Setup!$B$10),"Review","OK"))</f>
        <v>Open</v>
      </c>
      <c r="X1244" s="86"/>
    </row>
    <row r="1245" spans="1:24" x14ac:dyDescent="0.3">
      <c r="B1245" s="100">
        <f t="shared" si="204"/>
        <v>0</v>
      </c>
      <c r="C1245" s="84" t="str">
        <f t="shared" si="205"/>
        <v>January</v>
      </c>
      <c r="I1245" s="87" t="str">
        <f>IF(F1245=0,"",IF(COUNTIF(F1245,"Bao"),[1]Setup!$B$4,IF(COUNTIF(F1245,"Soup Dumpling"),[1]Setup!$B$5,F1245)))</f>
        <v/>
      </c>
    </row>
    <row r="1246" spans="1:24" x14ac:dyDescent="0.3">
      <c r="B1246" s="100">
        <f t="shared" si="204"/>
        <v>0</v>
      </c>
      <c r="C1246" s="84" t="str">
        <f t="shared" si="205"/>
        <v>January</v>
      </c>
      <c r="I1246" s="87" t="str">
        <f>IF(F1246=0,"",IF(COUNTIF(F1246,"Bao"),[1]Setup!$B$4,IF(COUNTIF(F1246,"Soup Dumpling"),[1]Setup!$B$5,F1246)))</f>
        <v/>
      </c>
    </row>
    <row r="1247" spans="1:24" x14ac:dyDescent="0.3">
      <c r="B1247" s="100">
        <f t="shared" si="204"/>
        <v>0</v>
      </c>
      <c r="C1247" s="84" t="str">
        <f t="shared" si="205"/>
        <v>January</v>
      </c>
      <c r="I1247" s="87" t="str">
        <f>IF(F1247=0,"",IF(COUNTIF(F1247,"Bao"),[1]Setup!$B$4,IF(COUNTIF(F1247,"Soup Dumpling"),[1]Setup!$B$5,F1247)))</f>
        <v/>
      </c>
    </row>
    <row r="1248" spans="1:24" x14ac:dyDescent="0.3">
      <c r="B1248" s="100">
        <f t="shared" si="204"/>
        <v>0</v>
      </c>
      <c r="C1248" s="84" t="str">
        <f t="shared" si="205"/>
        <v>January</v>
      </c>
      <c r="I1248" s="87" t="str">
        <f>IF(F1248=0,"",IF(COUNTIF(F1248,"Bao"),[1]Setup!$B$4,IF(COUNTIF(F1248,"Soup Dumpling"),[1]Setup!$B$5,F1248)))</f>
        <v/>
      </c>
    </row>
    <row r="1249" spans="2:9" x14ac:dyDescent="0.3">
      <c r="B1249" s="100">
        <f t="shared" si="204"/>
        <v>0</v>
      </c>
      <c r="C1249" s="84" t="str">
        <f t="shared" si="205"/>
        <v>January</v>
      </c>
      <c r="I1249" s="87" t="str">
        <f>IF(F1249=0,"",IF(COUNTIF(F1249,"Bao"),[1]Setup!$B$4,IF(COUNTIF(F1249,"Soup Dumpling"),[1]Setup!$B$5,F1249)))</f>
        <v/>
      </c>
    </row>
    <row r="1250" spans="2:9" x14ac:dyDescent="0.3">
      <c r="B1250" s="100">
        <f t="shared" si="204"/>
        <v>0</v>
      </c>
      <c r="C1250" s="84" t="str">
        <f t="shared" si="205"/>
        <v>January</v>
      </c>
      <c r="I1250" s="87" t="str">
        <f>IF(F1250=0,"",IF(COUNTIF(F1250,"Bao"),[1]Setup!$B$4,IF(COUNTIF(F1250,"Soup Dumpling"),[1]Setup!$B$5,F1250)))</f>
        <v/>
      </c>
    </row>
    <row r="1251" spans="2:9" x14ac:dyDescent="0.3">
      <c r="B1251" s="100">
        <f t="shared" si="204"/>
        <v>0</v>
      </c>
      <c r="C1251" s="84" t="str">
        <f t="shared" si="205"/>
        <v>January</v>
      </c>
      <c r="I1251" s="87" t="str">
        <f>IF(F1251=0,"",IF(COUNTIF(F1251,"Bao"),[1]Setup!$B$4,IF(COUNTIF(F1251,"Soup Dumpling"),[1]Setup!$B$5,F1251)))</f>
        <v/>
      </c>
    </row>
    <row r="1252" spans="2:9" x14ac:dyDescent="0.3">
      <c r="B1252" s="100">
        <f t="shared" si="204"/>
        <v>0</v>
      </c>
      <c r="C1252" s="84" t="str">
        <f t="shared" si="205"/>
        <v>January</v>
      </c>
      <c r="I1252" s="87" t="str">
        <f>IF(F1252=0,"",IF(COUNTIF(F1252,"Bao"),[1]Setup!$B$4,IF(COUNTIF(F1252,"Soup Dumpling"),[1]Setup!$B$5,F1252)))</f>
        <v/>
      </c>
    </row>
    <row r="1253" spans="2:9" x14ac:dyDescent="0.3">
      <c r="B1253" s="100">
        <f t="shared" si="204"/>
        <v>0</v>
      </c>
      <c r="C1253" s="84" t="str">
        <f t="shared" si="205"/>
        <v>January</v>
      </c>
      <c r="I1253" s="87" t="str">
        <f>IF(F1253=0,"",IF(COUNTIF(F1253,"Bao"),[1]Setup!$B$4,IF(COUNTIF(F1253,"Soup Dumpling"),[1]Setup!$B$5,F1253)))</f>
        <v/>
      </c>
    </row>
    <row r="1254" spans="2:9" x14ac:dyDescent="0.3">
      <c r="B1254" s="100">
        <f t="shared" si="204"/>
        <v>0</v>
      </c>
      <c r="C1254" s="84" t="str">
        <f t="shared" si="205"/>
        <v>January</v>
      </c>
      <c r="I1254" s="87" t="str">
        <f>IF(F1254=0,"",IF(COUNTIF(F1254,"Bao"),[1]Setup!$B$4,IF(COUNTIF(F1254,"Soup Dumpling"),[1]Setup!$B$5,F1254)))</f>
        <v/>
      </c>
    </row>
    <row r="1255" spans="2:9" x14ac:dyDescent="0.3">
      <c r="B1255" s="100">
        <f t="shared" si="204"/>
        <v>0</v>
      </c>
      <c r="C1255" s="84" t="str">
        <f t="shared" si="205"/>
        <v>January</v>
      </c>
      <c r="I1255" s="87" t="str">
        <f>IF(F1255=0,"",IF(COUNTIF(F1255,"Bao"),[1]Setup!$B$4,IF(COUNTIF(F1255,"Soup Dumpling"),[1]Setup!$B$5,F1255)))</f>
        <v/>
      </c>
    </row>
    <row r="1256" spans="2:9" x14ac:dyDescent="0.3">
      <c r="B1256" s="100">
        <f t="shared" si="204"/>
        <v>0</v>
      </c>
      <c r="C1256" s="84" t="str">
        <f t="shared" si="205"/>
        <v>January</v>
      </c>
      <c r="I1256" s="87" t="str">
        <f>IF(F1256=0,"",IF(COUNTIF(F1256,"Bao"),[1]Setup!$B$4,IF(COUNTIF(F1256,"Soup Dumpling"),[1]Setup!$B$5,F1256)))</f>
        <v/>
      </c>
    </row>
    <row r="1257" spans="2:9" x14ac:dyDescent="0.3">
      <c r="B1257" s="100">
        <f t="shared" si="204"/>
        <v>0</v>
      </c>
      <c r="C1257" s="84" t="str">
        <f t="shared" si="205"/>
        <v>January</v>
      </c>
      <c r="I1257" s="87" t="str">
        <f>IF(F1257=0,"",IF(COUNTIF(F1257,"Bao"),[1]Setup!$B$4,IF(COUNTIF(F1257,"Soup Dumpling"),[1]Setup!$B$5,F1257)))</f>
        <v/>
      </c>
    </row>
    <row r="1258" spans="2:9" x14ac:dyDescent="0.3">
      <c r="B1258" s="100">
        <f t="shared" si="204"/>
        <v>0</v>
      </c>
      <c r="C1258" s="84" t="str">
        <f t="shared" si="205"/>
        <v>January</v>
      </c>
      <c r="I1258" s="87" t="str">
        <f>IF(F1258=0,"",IF(COUNTIF(F1258,"Bao"),[1]Setup!$B$4,IF(COUNTIF(F1258,"Soup Dumpling"),[1]Setup!$B$5,F1258)))</f>
        <v/>
      </c>
    </row>
    <row r="1259" spans="2:9" x14ac:dyDescent="0.3">
      <c r="B1259" s="100">
        <f t="shared" si="204"/>
        <v>0</v>
      </c>
      <c r="C1259" s="84" t="str">
        <f t="shared" si="205"/>
        <v>January</v>
      </c>
      <c r="I1259" s="87" t="str">
        <f>IF(F1259=0,"",IF(COUNTIF(F1259,"Bao"),[1]Setup!$B$4,IF(COUNTIF(F1259,"Soup Dumpling"),[1]Setup!$B$5,F1259)))</f>
        <v/>
      </c>
    </row>
    <row r="1260" spans="2:9" x14ac:dyDescent="0.3">
      <c r="B1260" s="100">
        <f t="shared" si="204"/>
        <v>0</v>
      </c>
      <c r="C1260" s="84" t="str">
        <f t="shared" si="205"/>
        <v>January</v>
      </c>
      <c r="I1260" s="87" t="str">
        <f>IF(F1260=0,"",IF(COUNTIF(F1260,"Bao"),[1]Setup!$B$4,IF(COUNTIF(F1260,"Soup Dumpling"),[1]Setup!$B$5,F1260)))</f>
        <v/>
      </c>
    </row>
    <row r="1261" spans="2:9" x14ac:dyDescent="0.3">
      <c r="B1261" s="100">
        <f t="shared" si="204"/>
        <v>0</v>
      </c>
      <c r="C1261" s="84" t="str">
        <f t="shared" si="205"/>
        <v>January</v>
      </c>
      <c r="I1261" s="87" t="str">
        <f>IF(F1261=0,"",IF(COUNTIF(F1261,"Bao"),[1]Setup!$B$4,IF(COUNTIF(F1261,"Soup Dumpling"),[1]Setup!$B$5,F1261)))</f>
        <v/>
      </c>
    </row>
    <row r="1262" spans="2:9" x14ac:dyDescent="0.3">
      <c r="B1262" s="100">
        <f t="shared" si="204"/>
        <v>0</v>
      </c>
      <c r="C1262" s="84" t="str">
        <f t="shared" si="205"/>
        <v>January</v>
      </c>
      <c r="I1262" s="87" t="str">
        <f>IF(F1262=0,"",IF(COUNTIF(F1262,"Bao"),[1]Setup!$B$4,IF(COUNTIF(F1262,"Soup Dumpling"),[1]Setup!$B$5,F1262)))</f>
        <v/>
      </c>
    </row>
    <row r="1263" spans="2:9" x14ac:dyDescent="0.3">
      <c r="B1263" s="100">
        <f t="shared" si="204"/>
        <v>0</v>
      </c>
      <c r="C1263" s="84" t="str">
        <f t="shared" si="205"/>
        <v>January</v>
      </c>
      <c r="I1263" s="87" t="str">
        <f>IF(F1263=0,"",IF(COUNTIF(F1263,"Bao"),[1]Setup!$B$4,IF(COUNTIF(F1263,"Soup Dumpling"),[1]Setup!$B$5,F1263)))</f>
        <v/>
      </c>
    </row>
    <row r="1264" spans="2:9" x14ac:dyDescent="0.3">
      <c r="B1264" s="100">
        <f t="shared" si="204"/>
        <v>0</v>
      </c>
      <c r="C1264" s="84" t="str">
        <f t="shared" si="205"/>
        <v>January</v>
      </c>
      <c r="I1264" s="87" t="str">
        <f>IF(F1264=0,"",IF(COUNTIF(F1264,"Bao"),[1]Setup!$B$4,IF(COUNTIF(F1264,"Soup Dumpling"),[1]Setup!$B$5,F1264)))</f>
        <v/>
      </c>
    </row>
    <row r="1265" spans="2:9" x14ac:dyDescent="0.3">
      <c r="B1265" s="100">
        <f t="shared" si="204"/>
        <v>0</v>
      </c>
      <c r="C1265" s="84" t="str">
        <f t="shared" si="205"/>
        <v>January</v>
      </c>
      <c r="I1265" s="87" t="str">
        <f>IF(F1265=0,"",IF(COUNTIF(F1265,"Bao"),[1]Setup!$B$4,IF(COUNTIF(F1265,"Soup Dumpling"),[1]Setup!$B$5,F1265)))</f>
        <v/>
      </c>
    </row>
    <row r="1266" spans="2:9" x14ac:dyDescent="0.3">
      <c r="B1266" s="100">
        <f t="shared" si="204"/>
        <v>0</v>
      </c>
      <c r="C1266" s="84" t="str">
        <f t="shared" si="205"/>
        <v>January</v>
      </c>
      <c r="I1266" s="87" t="str">
        <f>IF(F1266=0,"",IF(COUNTIF(F1266,"Bao"),[1]Setup!$B$4,IF(COUNTIF(F1266,"Soup Dumpling"),[1]Setup!$B$5,F1266)))</f>
        <v/>
      </c>
    </row>
    <row r="1267" spans="2:9" x14ac:dyDescent="0.3">
      <c r="B1267" s="100">
        <f t="shared" si="204"/>
        <v>0</v>
      </c>
      <c r="C1267" s="84" t="str">
        <f t="shared" si="205"/>
        <v>January</v>
      </c>
      <c r="I1267" s="87" t="str">
        <f>IF(F1267=0,"",IF(COUNTIF(F1267,"Bao"),[1]Setup!$B$4,IF(COUNTIF(F1267,"Soup Dumpling"),[1]Setup!$B$5,F1267)))</f>
        <v/>
      </c>
    </row>
    <row r="1268" spans="2:9" x14ac:dyDescent="0.3">
      <c r="B1268" s="100">
        <f t="shared" si="204"/>
        <v>0</v>
      </c>
      <c r="C1268" s="84" t="str">
        <f t="shared" si="205"/>
        <v>January</v>
      </c>
      <c r="I1268" s="87" t="str">
        <f>IF(F1268=0,"",IF(COUNTIF(F1268,"Bao"),[1]Setup!$B$4,IF(COUNTIF(F1268,"Soup Dumpling"),[1]Setup!$B$5,F1268)))</f>
        <v/>
      </c>
    </row>
    <row r="1269" spans="2:9" x14ac:dyDescent="0.3">
      <c r="B1269" s="100">
        <f t="shared" si="204"/>
        <v>0</v>
      </c>
      <c r="C1269" s="84" t="str">
        <f t="shared" si="205"/>
        <v>January</v>
      </c>
      <c r="I1269" s="87" t="str">
        <f>IF(F1269=0,"",IF(COUNTIF(F1269,"Bao"),[1]Setup!$B$4,IF(COUNTIF(F1269,"Soup Dumpling"),[1]Setup!$B$5,F1269)))</f>
        <v/>
      </c>
    </row>
    <row r="1270" spans="2:9" x14ac:dyDescent="0.3">
      <c r="B1270" s="100">
        <f t="shared" si="204"/>
        <v>0</v>
      </c>
      <c r="C1270" s="84" t="str">
        <f t="shared" si="205"/>
        <v>January</v>
      </c>
      <c r="I1270" s="87" t="str">
        <f>IF(F1270=0,"",IF(COUNTIF(F1270,"Bao"),[1]Setup!$B$4,IF(COUNTIF(F1270,"Soup Dumpling"),[1]Setup!$B$5,F1270)))</f>
        <v/>
      </c>
    </row>
    <row r="1271" spans="2:9" x14ac:dyDescent="0.3">
      <c r="B1271" s="100">
        <f t="shared" si="204"/>
        <v>0</v>
      </c>
      <c r="C1271" s="84" t="str">
        <f t="shared" si="205"/>
        <v>January</v>
      </c>
      <c r="I1271" s="87" t="str">
        <f>IF(F1271=0,"",IF(COUNTIF(F1271,"Bao"),[1]Setup!$B$4,IF(COUNTIF(F1271,"Soup Dumpling"),[1]Setup!$B$5,F1271)))</f>
        <v/>
      </c>
    </row>
    <row r="1272" spans="2:9" x14ac:dyDescent="0.3">
      <c r="B1272" s="100">
        <f t="shared" si="204"/>
        <v>0</v>
      </c>
      <c r="C1272" s="84" t="str">
        <f t="shared" si="205"/>
        <v>January</v>
      </c>
      <c r="I1272" s="87" t="str">
        <f>IF(F1272=0,"",IF(COUNTIF(F1272,"Bao"),[1]Setup!$B$4,IF(COUNTIF(F1272,"Soup Dumpling"),[1]Setup!$B$5,F1272)))</f>
        <v/>
      </c>
    </row>
    <row r="1273" spans="2:9" x14ac:dyDescent="0.3">
      <c r="B1273" s="100">
        <f t="shared" si="204"/>
        <v>0</v>
      </c>
      <c r="C1273" s="84" t="str">
        <f t="shared" si="205"/>
        <v>January</v>
      </c>
      <c r="I1273" s="87" t="str">
        <f>IF(F1273=0,"",IF(COUNTIF(F1273,"Bao"),[1]Setup!$B$4,IF(COUNTIF(F1273,"Soup Dumpling"),[1]Setup!$B$5,F1273)))</f>
        <v/>
      </c>
    </row>
    <row r="1274" spans="2:9" x14ac:dyDescent="0.3">
      <c r="B1274" s="100">
        <f t="shared" si="204"/>
        <v>0</v>
      </c>
      <c r="C1274" s="84" t="str">
        <f t="shared" si="205"/>
        <v>January</v>
      </c>
      <c r="I1274" s="87" t="str">
        <f>IF(F1274=0,"",IF(COUNTIF(F1274,"Bao"),[1]Setup!$B$4,IF(COUNTIF(F1274,"Soup Dumpling"),[1]Setup!$B$5,F1274)))</f>
        <v/>
      </c>
    </row>
    <row r="1275" spans="2:9" x14ac:dyDescent="0.3">
      <c r="B1275" s="100">
        <f t="shared" si="204"/>
        <v>0</v>
      </c>
      <c r="C1275" s="84" t="str">
        <f t="shared" si="205"/>
        <v>January</v>
      </c>
      <c r="I1275" s="87" t="str">
        <f>IF(F1275=0,"",IF(COUNTIF(F1275,"Bao"),[1]Setup!$B$4,IF(COUNTIF(F1275,"Soup Dumpling"),[1]Setup!$B$5,F1275)))</f>
        <v/>
      </c>
    </row>
    <row r="1276" spans="2:9" x14ac:dyDescent="0.3">
      <c r="B1276" s="100">
        <f t="shared" si="204"/>
        <v>0</v>
      </c>
      <c r="C1276" s="84" t="str">
        <f t="shared" si="205"/>
        <v>January</v>
      </c>
      <c r="I1276" s="87" t="str">
        <f>IF(F1276=0,"",IF(COUNTIF(F1276,"Bao"),[1]Setup!$B$4,IF(COUNTIF(F1276,"Soup Dumpling"),[1]Setup!$B$5,F1276)))</f>
        <v/>
      </c>
    </row>
    <row r="1277" spans="2:9" x14ac:dyDescent="0.3">
      <c r="B1277" s="100">
        <f t="shared" si="204"/>
        <v>0</v>
      </c>
      <c r="C1277" s="84" t="str">
        <f t="shared" si="205"/>
        <v>January</v>
      </c>
      <c r="I1277" s="87" t="str">
        <f>IF(F1277=0,"",IF(COUNTIF(F1277,"Bao"),[1]Setup!$B$4,IF(COUNTIF(F1277,"Soup Dumpling"),[1]Setup!$B$5,F1277)))</f>
        <v/>
      </c>
    </row>
    <row r="1278" spans="2:9" x14ac:dyDescent="0.3">
      <c r="B1278" s="100">
        <f t="shared" si="204"/>
        <v>0</v>
      </c>
      <c r="C1278" s="84" t="str">
        <f t="shared" si="205"/>
        <v>January</v>
      </c>
      <c r="I1278" s="87" t="str">
        <f>IF(F1278=0,"",IF(COUNTIF(F1278,"Bao"),[1]Setup!$B$4,IF(COUNTIF(F1278,"Soup Dumpling"),[1]Setup!$B$5,F1278)))</f>
        <v/>
      </c>
    </row>
    <row r="1279" spans="2:9" x14ac:dyDescent="0.3">
      <c r="B1279" s="100">
        <f t="shared" si="204"/>
        <v>0</v>
      </c>
      <c r="C1279" s="84" t="str">
        <f t="shared" si="205"/>
        <v>January</v>
      </c>
      <c r="I1279" s="87" t="str">
        <f>IF(F1279=0,"",IF(COUNTIF(F1279,"Bao"),[1]Setup!$B$4,IF(COUNTIF(F1279,"Soup Dumpling"),[1]Setup!$B$5,F1279)))</f>
        <v/>
      </c>
    </row>
    <row r="1280" spans="2:9" x14ac:dyDescent="0.3">
      <c r="B1280" s="100">
        <f t="shared" si="204"/>
        <v>0</v>
      </c>
      <c r="C1280" s="84" t="str">
        <f t="shared" si="205"/>
        <v>January</v>
      </c>
      <c r="I1280" s="87" t="str">
        <f>IF(F1280=0,"",IF(COUNTIF(F1280,"Bao"),[1]Setup!$B$4,IF(COUNTIF(F1280,"Soup Dumpling"),[1]Setup!$B$5,F1280)))</f>
        <v/>
      </c>
    </row>
    <row r="1281" spans="2:9" x14ac:dyDescent="0.3">
      <c r="B1281" s="100">
        <f t="shared" si="204"/>
        <v>0</v>
      </c>
      <c r="C1281" s="84" t="str">
        <f t="shared" si="205"/>
        <v>January</v>
      </c>
      <c r="I1281" s="87" t="str">
        <f>IF(F1281=0,"",IF(COUNTIF(F1281,"Bao"),[1]Setup!$B$4,IF(COUNTIF(F1281,"Soup Dumpling"),[1]Setup!$B$5,F1281)))</f>
        <v/>
      </c>
    </row>
    <row r="1282" spans="2:9" x14ac:dyDescent="0.3">
      <c r="B1282" s="100">
        <f t="shared" si="204"/>
        <v>0</v>
      </c>
      <c r="C1282" s="84" t="str">
        <f t="shared" si="205"/>
        <v>January</v>
      </c>
      <c r="I1282" s="87" t="str">
        <f>IF(F1282=0,"",IF(COUNTIF(F1282,"Bao"),[1]Setup!$B$4,IF(COUNTIF(F1282,"Soup Dumpling"),[1]Setup!$B$5,F1282)))</f>
        <v/>
      </c>
    </row>
    <row r="1283" spans="2:9" x14ac:dyDescent="0.3">
      <c r="B1283" s="100">
        <f t="shared" si="204"/>
        <v>0</v>
      </c>
      <c r="C1283" s="84" t="str">
        <f t="shared" si="205"/>
        <v>January</v>
      </c>
      <c r="I1283" s="87" t="str">
        <f>IF(F1283=0,"",IF(COUNTIF(F1283,"Bao"),[1]Setup!$B$4,IF(COUNTIF(F1283,"Soup Dumpling"),[1]Setup!$B$5,F1283)))</f>
        <v/>
      </c>
    </row>
    <row r="1284" spans="2:9" x14ac:dyDescent="0.3">
      <c r="B1284" s="100">
        <f t="shared" si="204"/>
        <v>0</v>
      </c>
      <c r="C1284" s="84" t="str">
        <f t="shared" si="205"/>
        <v>January</v>
      </c>
      <c r="I1284" s="87" t="str">
        <f>IF(F1284=0,"",IF(COUNTIF(F1284,"Bao"),[1]Setup!$B$4,IF(COUNTIF(F1284,"Soup Dumpling"),[1]Setup!$B$5,F1284)))</f>
        <v/>
      </c>
    </row>
    <row r="1285" spans="2:9" x14ac:dyDescent="0.3">
      <c r="B1285" s="100">
        <f t="shared" ref="B1285:B1348" si="206">+WEEKNUM(A1285)</f>
        <v>0</v>
      </c>
      <c r="C1285" s="84" t="str">
        <f t="shared" ref="C1285:C1348" si="207">+TEXT(A1285,"mmmm")</f>
        <v>January</v>
      </c>
      <c r="I1285" s="87" t="str">
        <f>IF(F1285=0,"",IF(COUNTIF(F1285,"Bao"),[1]Setup!$B$4,IF(COUNTIF(F1285,"Soup Dumpling"),[1]Setup!$B$5,F1285)))</f>
        <v/>
      </c>
    </row>
    <row r="1286" spans="2:9" x14ac:dyDescent="0.3">
      <c r="B1286" s="100">
        <f t="shared" si="206"/>
        <v>0</v>
      </c>
      <c r="C1286" s="84" t="str">
        <f t="shared" si="207"/>
        <v>January</v>
      </c>
      <c r="I1286" s="87" t="str">
        <f>IF(F1286=0,"",IF(COUNTIF(F1286,"Bao"),[1]Setup!$B$4,IF(COUNTIF(F1286,"Soup Dumpling"),[1]Setup!$B$5,F1286)))</f>
        <v/>
      </c>
    </row>
    <row r="1287" spans="2:9" x14ac:dyDescent="0.3">
      <c r="B1287" s="100">
        <f t="shared" si="206"/>
        <v>0</v>
      </c>
      <c r="C1287" s="84" t="str">
        <f t="shared" si="207"/>
        <v>January</v>
      </c>
      <c r="I1287" s="87" t="str">
        <f>IF(F1287=0,"",IF(COUNTIF(F1287,"Bao"),[1]Setup!$B$4,IF(COUNTIF(F1287,"Soup Dumpling"),[1]Setup!$B$5,F1287)))</f>
        <v/>
      </c>
    </row>
    <row r="1288" spans="2:9" x14ac:dyDescent="0.3">
      <c r="B1288" s="100">
        <f t="shared" si="206"/>
        <v>0</v>
      </c>
      <c r="C1288" s="84" t="str">
        <f t="shared" si="207"/>
        <v>January</v>
      </c>
      <c r="I1288" s="87" t="str">
        <f>IF(F1288=0,"",IF(COUNTIF(F1288,"Bao"),[1]Setup!$B$4,IF(COUNTIF(F1288,"Soup Dumpling"),[1]Setup!$B$5,F1288)))</f>
        <v/>
      </c>
    </row>
    <row r="1289" spans="2:9" x14ac:dyDescent="0.3">
      <c r="B1289" s="100">
        <f t="shared" si="206"/>
        <v>0</v>
      </c>
      <c r="C1289" s="84" t="str">
        <f t="shared" si="207"/>
        <v>January</v>
      </c>
      <c r="I1289" s="87" t="str">
        <f>IF(F1289=0,"",IF(COUNTIF(F1289,"Bao"),[1]Setup!$B$4,IF(COUNTIF(F1289,"Soup Dumpling"),[1]Setup!$B$5,F1289)))</f>
        <v/>
      </c>
    </row>
    <row r="1290" spans="2:9" x14ac:dyDescent="0.3">
      <c r="B1290" s="100">
        <f t="shared" si="206"/>
        <v>0</v>
      </c>
      <c r="C1290" s="84" t="str">
        <f t="shared" si="207"/>
        <v>January</v>
      </c>
      <c r="I1290" s="87" t="str">
        <f>IF(F1290=0,"",IF(COUNTIF(F1290,"Bao"),[1]Setup!$B$4,IF(COUNTIF(F1290,"Soup Dumpling"),[1]Setup!$B$5,F1290)))</f>
        <v/>
      </c>
    </row>
    <row r="1291" spans="2:9" x14ac:dyDescent="0.3">
      <c r="B1291" s="100">
        <f t="shared" si="206"/>
        <v>0</v>
      </c>
      <c r="C1291" s="84" t="str">
        <f t="shared" si="207"/>
        <v>January</v>
      </c>
      <c r="I1291" s="87" t="str">
        <f>IF(F1291=0,"",IF(COUNTIF(F1291,"Bao"),[1]Setup!$B$4,IF(COUNTIF(F1291,"Soup Dumpling"),[1]Setup!$B$5,F1291)))</f>
        <v/>
      </c>
    </row>
    <row r="1292" spans="2:9" x14ac:dyDescent="0.3">
      <c r="B1292" s="100">
        <f t="shared" si="206"/>
        <v>0</v>
      </c>
      <c r="C1292" s="84" t="str">
        <f t="shared" si="207"/>
        <v>January</v>
      </c>
      <c r="I1292" s="87" t="str">
        <f>IF(F1292=0,"",IF(COUNTIF(F1292,"Bao"),[1]Setup!$B$4,IF(COUNTIF(F1292,"Soup Dumpling"),[1]Setup!$B$5,F1292)))</f>
        <v/>
      </c>
    </row>
    <row r="1293" spans="2:9" x14ac:dyDescent="0.3">
      <c r="B1293" s="100">
        <f t="shared" si="206"/>
        <v>0</v>
      </c>
      <c r="C1293" s="84" t="str">
        <f t="shared" si="207"/>
        <v>January</v>
      </c>
      <c r="I1293" s="87" t="str">
        <f>IF(F1293=0,"",IF(COUNTIF(F1293,"Bao"),[1]Setup!$B$4,IF(COUNTIF(F1293,"Soup Dumpling"),[1]Setup!$B$5,F1293)))</f>
        <v/>
      </c>
    </row>
    <row r="1294" spans="2:9" x14ac:dyDescent="0.3">
      <c r="B1294" s="100">
        <f t="shared" si="206"/>
        <v>0</v>
      </c>
      <c r="C1294" s="84" t="str">
        <f t="shared" si="207"/>
        <v>January</v>
      </c>
      <c r="I1294" s="87" t="str">
        <f>IF(F1294=0,"",IF(COUNTIF(F1294,"Bao"),[1]Setup!$B$4,IF(COUNTIF(F1294,"Soup Dumpling"),[1]Setup!$B$5,F1294)))</f>
        <v/>
      </c>
    </row>
    <row r="1295" spans="2:9" x14ac:dyDescent="0.3">
      <c r="B1295" s="100">
        <f t="shared" si="206"/>
        <v>0</v>
      </c>
      <c r="C1295" s="84" t="str">
        <f t="shared" si="207"/>
        <v>January</v>
      </c>
      <c r="I1295" s="87" t="str">
        <f>IF(F1295=0,"",IF(COUNTIF(F1295,"Bao"),[1]Setup!$B$4,IF(COUNTIF(F1295,"Soup Dumpling"),[1]Setup!$B$5,F1295)))</f>
        <v/>
      </c>
    </row>
    <row r="1296" spans="2:9" x14ac:dyDescent="0.3">
      <c r="B1296" s="100">
        <f t="shared" si="206"/>
        <v>0</v>
      </c>
      <c r="C1296" s="84" t="str">
        <f t="shared" si="207"/>
        <v>January</v>
      </c>
      <c r="I1296" s="87" t="str">
        <f>IF(F1296=0,"",IF(COUNTIF(F1296,"Bao"),[1]Setup!$B$4,IF(COUNTIF(F1296,"Soup Dumpling"),[1]Setup!$B$5,F1296)))</f>
        <v/>
      </c>
    </row>
    <row r="1297" spans="2:9" x14ac:dyDescent="0.3">
      <c r="B1297" s="100">
        <f t="shared" si="206"/>
        <v>0</v>
      </c>
      <c r="C1297" s="84" t="str">
        <f t="shared" si="207"/>
        <v>January</v>
      </c>
      <c r="I1297" s="87" t="str">
        <f>IF(F1297=0,"",IF(COUNTIF(F1297,"Bao"),[1]Setup!$B$4,IF(COUNTIF(F1297,"Soup Dumpling"),[1]Setup!$B$5,F1297)))</f>
        <v/>
      </c>
    </row>
    <row r="1298" spans="2:9" x14ac:dyDescent="0.3">
      <c r="B1298" s="100">
        <f t="shared" si="206"/>
        <v>0</v>
      </c>
      <c r="C1298" s="84" t="str">
        <f t="shared" si="207"/>
        <v>January</v>
      </c>
      <c r="I1298" s="87" t="str">
        <f>IF(F1298=0,"",IF(COUNTIF(F1298,"Bao"),[1]Setup!$B$4,IF(COUNTIF(F1298,"Soup Dumpling"),[1]Setup!$B$5,F1298)))</f>
        <v/>
      </c>
    </row>
    <row r="1299" spans="2:9" x14ac:dyDescent="0.3">
      <c r="B1299" s="100">
        <f t="shared" si="206"/>
        <v>0</v>
      </c>
      <c r="C1299" s="84" t="str">
        <f t="shared" si="207"/>
        <v>January</v>
      </c>
      <c r="I1299" s="87" t="str">
        <f>IF(F1299=0,"",IF(COUNTIF(F1299,"Bao"),[1]Setup!$B$4,IF(COUNTIF(F1299,"Soup Dumpling"),[1]Setup!$B$5,F1299)))</f>
        <v/>
      </c>
    </row>
    <row r="1300" spans="2:9" x14ac:dyDescent="0.3">
      <c r="B1300" s="100">
        <f t="shared" si="206"/>
        <v>0</v>
      </c>
      <c r="C1300" s="84" t="str">
        <f t="shared" si="207"/>
        <v>January</v>
      </c>
      <c r="I1300" s="87" t="str">
        <f>IF(F1300=0,"",IF(COUNTIF(F1300,"Bao"),[1]Setup!$B$4,IF(COUNTIF(F1300,"Soup Dumpling"),[1]Setup!$B$5,F1300)))</f>
        <v/>
      </c>
    </row>
    <row r="1301" spans="2:9" x14ac:dyDescent="0.3">
      <c r="B1301" s="100">
        <f t="shared" si="206"/>
        <v>0</v>
      </c>
      <c r="C1301" s="84" t="str">
        <f t="shared" si="207"/>
        <v>January</v>
      </c>
      <c r="I1301" s="87" t="str">
        <f>IF(F1301=0,"",IF(COUNTIF(F1301,"Bao"),[1]Setup!$B$4,IF(COUNTIF(F1301,"Soup Dumpling"),[1]Setup!$B$5,F1301)))</f>
        <v/>
      </c>
    </row>
    <row r="1302" spans="2:9" x14ac:dyDescent="0.3">
      <c r="B1302" s="100">
        <f t="shared" si="206"/>
        <v>0</v>
      </c>
      <c r="C1302" s="84" t="str">
        <f t="shared" si="207"/>
        <v>January</v>
      </c>
      <c r="I1302" s="87" t="str">
        <f>IF(F1302=0,"",IF(COUNTIF(F1302,"Bao"),[1]Setup!$B$4,IF(COUNTIF(F1302,"Soup Dumpling"),[1]Setup!$B$5,F1302)))</f>
        <v/>
      </c>
    </row>
    <row r="1303" spans="2:9" x14ac:dyDescent="0.3">
      <c r="B1303" s="100">
        <f t="shared" si="206"/>
        <v>0</v>
      </c>
      <c r="C1303" s="84" t="str">
        <f t="shared" si="207"/>
        <v>January</v>
      </c>
      <c r="I1303" s="87" t="str">
        <f>IF(F1303=0,"",IF(COUNTIF(F1303,"Bao"),[1]Setup!$B$4,IF(COUNTIF(F1303,"Soup Dumpling"),[1]Setup!$B$5,F1303)))</f>
        <v/>
      </c>
    </row>
    <row r="1304" spans="2:9" x14ac:dyDescent="0.3">
      <c r="B1304" s="100">
        <f t="shared" si="206"/>
        <v>0</v>
      </c>
      <c r="C1304" s="84" t="str">
        <f t="shared" si="207"/>
        <v>January</v>
      </c>
      <c r="I1304" s="87" t="str">
        <f>IF(F1304=0,"",IF(COUNTIF(F1304,"Bao"),[1]Setup!$B$4,IF(COUNTIF(F1304,"Soup Dumpling"),[1]Setup!$B$5,F1304)))</f>
        <v/>
      </c>
    </row>
    <row r="1305" spans="2:9" x14ac:dyDescent="0.3">
      <c r="B1305" s="100">
        <f t="shared" si="206"/>
        <v>0</v>
      </c>
      <c r="C1305" s="84" t="str">
        <f t="shared" si="207"/>
        <v>January</v>
      </c>
      <c r="I1305" s="87" t="str">
        <f>IF(F1305=0,"",IF(COUNTIF(F1305,"Bao"),[1]Setup!$B$4,IF(COUNTIF(F1305,"Soup Dumpling"),[1]Setup!$B$5,F1305)))</f>
        <v/>
      </c>
    </row>
    <row r="1306" spans="2:9" x14ac:dyDescent="0.3">
      <c r="B1306" s="100">
        <f t="shared" si="206"/>
        <v>0</v>
      </c>
      <c r="C1306" s="84" t="str">
        <f t="shared" si="207"/>
        <v>January</v>
      </c>
      <c r="I1306" s="87" t="str">
        <f>IF(F1306=0,"",IF(COUNTIF(F1306,"Bao"),[1]Setup!$B$4,IF(COUNTIF(F1306,"Soup Dumpling"),[1]Setup!$B$5,F1306)))</f>
        <v/>
      </c>
    </row>
    <row r="1307" spans="2:9" x14ac:dyDescent="0.3">
      <c r="B1307" s="100">
        <f t="shared" si="206"/>
        <v>0</v>
      </c>
      <c r="C1307" s="84" t="str">
        <f t="shared" si="207"/>
        <v>January</v>
      </c>
      <c r="I1307" s="87" t="str">
        <f>IF(F1307=0,"",IF(COUNTIF(F1307,"Bao"),[1]Setup!$B$4,IF(COUNTIF(F1307,"Soup Dumpling"),[1]Setup!$B$5,F1307)))</f>
        <v/>
      </c>
    </row>
    <row r="1308" spans="2:9" x14ac:dyDescent="0.3">
      <c r="B1308" s="100">
        <f t="shared" si="206"/>
        <v>0</v>
      </c>
      <c r="C1308" s="84" t="str">
        <f t="shared" si="207"/>
        <v>January</v>
      </c>
      <c r="I1308" s="87" t="str">
        <f>IF(F1308=0,"",IF(COUNTIF(F1308,"Bao"),[1]Setup!$B$4,IF(COUNTIF(F1308,"Soup Dumpling"),[1]Setup!$B$5,F1308)))</f>
        <v/>
      </c>
    </row>
    <row r="1309" spans="2:9" x14ac:dyDescent="0.3">
      <c r="B1309" s="100">
        <f t="shared" si="206"/>
        <v>0</v>
      </c>
      <c r="C1309" s="84" t="str">
        <f t="shared" si="207"/>
        <v>January</v>
      </c>
      <c r="I1309" s="87" t="str">
        <f>IF(F1309=0,"",IF(COUNTIF(F1309,"Bao"),[1]Setup!$B$4,IF(COUNTIF(F1309,"Soup Dumpling"),[1]Setup!$B$5,F1309)))</f>
        <v/>
      </c>
    </row>
    <row r="1310" spans="2:9" x14ac:dyDescent="0.3">
      <c r="B1310" s="100">
        <f t="shared" si="206"/>
        <v>0</v>
      </c>
      <c r="C1310" s="84" t="str">
        <f t="shared" si="207"/>
        <v>January</v>
      </c>
      <c r="I1310" s="87" t="str">
        <f>IF(F1310=0,"",IF(COUNTIF(F1310,"Bao"),[1]Setup!$B$4,IF(COUNTIF(F1310,"Soup Dumpling"),[1]Setup!$B$5,F1310)))</f>
        <v/>
      </c>
    </row>
    <row r="1311" spans="2:9" x14ac:dyDescent="0.3">
      <c r="B1311" s="100">
        <f t="shared" si="206"/>
        <v>0</v>
      </c>
      <c r="C1311" s="84" t="str">
        <f t="shared" si="207"/>
        <v>January</v>
      </c>
      <c r="I1311" s="87" t="str">
        <f>IF(F1311=0,"",IF(COUNTIF(F1311,"Bao"),[1]Setup!$B$4,IF(COUNTIF(F1311,"Soup Dumpling"),[1]Setup!$B$5,F1311)))</f>
        <v/>
      </c>
    </row>
    <row r="1312" spans="2:9" x14ac:dyDescent="0.3">
      <c r="B1312" s="100">
        <f t="shared" si="206"/>
        <v>0</v>
      </c>
      <c r="C1312" s="84" t="str">
        <f t="shared" si="207"/>
        <v>January</v>
      </c>
      <c r="I1312" s="87" t="str">
        <f>IF(F1312=0,"",IF(COUNTIF(F1312,"Bao"),[1]Setup!$B$4,IF(COUNTIF(F1312,"Soup Dumpling"),[1]Setup!$B$5,F1312)))</f>
        <v/>
      </c>
    </row>
    <row r="1313" spans="2:9" x14ac:dyDescent="0.3">
      <c r="B1313" s="100">
        <f t="shared" si="206"/>
        <v>0</v>
      </c>
      <c r="C1313" s="84" t="str">
        <f t="shared" si="207"/>
        <v>January</v>
      </c>
      <c r="I1313" s="87" t="str">
        <f>IF(F1313=0,"",IF(COUNTIF(F1313,"Bao"),[1]Setup!$B$4,IF(COUNTIF(F1313,"Soup Dumpling"),[1]Setup!$B$5,F1313)))</f>
        <v/>
      </c>
    </row>
    <row r="1314" spans="2:9" x14ac:dyDescent="0.3">
      <c r="B1314" s="100">
        <f t="shared" si="206"/>
        <v>0</v>
      </c>
      <c r="C1314" s="84" t="str">
        <f t="shared" si="207"/>
        <v>January</v>
      </c>
      <c r="I1314" s="87" t="str">
        <f>IF(F1314=0,"",IF(COUNTIF(F1314,"Bao"),[1]Setup!$B$4,IF(COUNTIF(F1314,"Soup Dumpling"),[1]Setup!$B$5,F1314)))</f>
        <v/>
      </c>
    </row>
    <row r="1315" spans="2:9" x14ac:dyDescent="0.3">
      <c r="B1315" s="100">
        <f t="shared" si="206"/>
        <v>0</v>
      </c>
      <c r="C1315" s="84" t="str">
        <f t="shared" si="207"/>
        <v>January</v>
      </c>
      <c r="I1315" s="87" t="str">
        <f>IF(F1315=0,"",IF(COUNTIF(F1315,"Bao"),[1]Setup!$B$4,IF(COUNTIF(F1315,"Soup Dumpling"),[1]Setup!$B$5,F1315)))</f>
        <v/>
      </c>
    </row>
    <row r="1316" spans="2:9" x14ac:dyDescent="0.3">
      <c r="B1316" s="100">
        <f t="shared" si="206"/>
        <v>0</v>
      </c>
      <c r="C1316" s="84" t="str">
        <f t="shared" si="207"/>
        <v>January</v>
      </c>
      <c r="I1316" s="87" t="str">
        <f>IF(F1316=0,"",IF(COUNTIF(F1316,"Bao"),[1]Setup!$B$4,IF(COUNTIF(F1316,"Soup Dumpling"),[1]Setup!$B$5,F1316)))</f>
        <v/>
      </c>
    </row>
    <row r="1317" spans="2:9" x14ac:dyDescent="0.3">
      <c r="B1317" s="100">
        <f t="shared" si="206"/>
        <v>0</v>
      </c>
      <c r="C1317" s="84" t="str">
        <f t="shared" si="207"/>
        <v>January</v>
      </c>
      <c r="I1317" s="87" t="str">
        <f>IF(F1317=0,"",IF(COUNTIF(F1317,"Bao"),[1]Setup!$B$4,IF(COUNTIF(F1317,"Soup Dumpling"),[1]Setup!$B$5,F1317)))</f>
        <v/>
      </c>
    </row>
    <row r="1318" spans="2:9" x14ac:dyDescent="0.3">
      <c r="B1318" s="100">
        <f t="shared" si="206"/>
        <v>0</v>
      </c>
      <c r="C1318" s="84" t="str">
        <f t="shared" si="207"/>
        <v>January</v>
      </c>
      <c r="I1318" s="87" t="str">
        <f>IF(F1318=0,"",IF(COUNTIF(F1318,"Bao"),[1]Setup!$B$4,IF(COUNTIF(F1318,"Soup Dumpling"),[1]Setup!$B$5,F1318)))</f>
        <v/>
      </c>
    </row>
    <row r="1319" spans="2:9" x14ac:dyDescent="0.3">
      <c r="B1319" s="100">
        <f t="shared" si="206"/>
        <v>0</v>
      </c>
      <c r="C1319" s="84" t="str">
        <f t="shared" si="207"/>
        <v>January</v>
      </c>
      <c r="I1319" s="87" t="str">
        <f>IF(F1319=0,"",IF(COUNTIF(F1319,"Bao"),[1]Setup!$B$4,IF(COUNTIF(F1319,"Soup Dumpling"),[1]Setup!$B$5,F1319)))</f>
        <v/>
      </c>
    </row>
    <row r="1320" spans="2:9" x14ac:dyDescent="0.3">
      <c r="B1320" s="100">
        <f t="shared" si="206"/>
        <v>0</v>
      </c>
      <c r="C1320" s="84" t="str">
        <f t="shared" si="207"/>
        <v>January</v>
      </c>
      <c r="I1320" s="87" t="str">
        <f>IF(F1320=0,"",IF(COUNTIF(F1320,"Bao"),[1]Setup!$B$4,IF(COUNTIF(F1320,"Soup Dumpling"),[1]Setup!$B$5,F1320)))</f>
        <v/>
      </c>
    </row>
    <row r="1321" spans="2:9" x14ac:dyDescent="0.3">
      <c r="B1321" s="100">
        <f t="shared" si="206"/>
        <v>0</v>
      </c>
      <c r="C1321" s="84" t="str">
        <f t="shared" si="207"/>
        <v>January</v>
      </c>
      <c r="I1321" s="87" t="str">
        <f>IF(F1321=0,"",IF(COUNTIF(F1321,"Bao"),[1]Setup!$B$4,IF(COUNTIF(F1321,"Soup Dumpling"),[1]Setup!$B$5,F1321)))</f>
        <v/>
      </c>
    </row>
    <row r="1322" spans="2:9" x14ac:dyDescent="0.3">
      <c r="B1322" s="100">
        <f t="shared" si="206"/>
        <v>0</v>
      </c>
      <c r="C1322" s="84" t="str">
        <f t="shared" si="207"/>
        <v>January</v>
      </c>
      <c r="I1322" s="87" t="str">
        <f>IF(F1322=0,"",IF(COUNTIF(F1322,"Bao"),[1]Setup!$B$4,IF(COUNTIF(F1322,"Soup Dumpling"),[1]Setup!$B$5,F1322)))</f>
        <v/>
      </c>
    </row>
    <row r="1323" spans="2:9" x14ac:dyDescent="0.3">
      <c r="B1323" s="100">
        <f t="shared" si="206"/>
        <v>0</v>
      </c>
      <c r="C1323" s="84" t="str">
        <f t="shared" si="207"/>
        <v>January</v>
      </c>
      <c r="I1323" s="87" t="str">
        <f>IF(F1323=0,"",IF(COUNTIF(F1323,"Bao"),[1]Setup!$B$4,IF(COUNTIF(F1323,"Soup Dumpling"),[1]Setup!$B$5,F1323)))</f>
        <v/>
      </c>
    </row>
    <row r="1324" spans="2:9" x14ac:dyDescent="0.3">
      <c r="B1324" s="100">
        <f t="shared" si="206"/>
        <v>0</v>
      </c>
      <c r="C1324" s="84" t="str">
        <f t="shared" si="207"/>
        <v>January</v>
      </c>
      <c r="I1324" s="87" t="str">
        <f>IF(F1324=0,"",IF(COUNTIF(F1324,"Bao"),[1]Setup!$B$4,IF(COUNTIF(F1324,"Soup Dumpling"),[1]Setup!$B$5,F1324)))</f>
        <v/>
      </c>
    </row>
    <row r="1325" spans="2:9" x14ac:dyDescent="0.3">
      <c r="B1325" s="100">
        <f t="shared" si="206"/>
        <v>0</v>
      </c>
      <c r="C1325" s="84" t="str">
        <f t="shared" si="207"/>
        <v>January</v>
      </c>
      <c r="I1325" s="87" t="str">
        <f>IF(F1325=0,"",IF(COUNTIF(F1325,"Bao"),[1]Setup!$B$4,IF(COUNTIF(F1325,"Soup Dumpling"),[1]Setup!$B$5,F1325)))</f>
        <v/>
      </c>
    </row>
    <row r="1326" spans="2:9" x14ac:dyDescent="0.3">
      <c r="B1326" s="100">
        <f t="shared" si="206"/>
        <v>0</v>
      </c>
      <c r="C1326" s="84" t="str">
        <f t="shared" si="207"/>
        <v>January</v>
      </c>
      <c r="I1326" s="87" t="str">
        <f>IF(F1326=0,"",IF(COUNTIF(F1326,"Bao"),[1]Setup!$B$4,IF(COUNTIF(F1326,"Soup Dumpling"),[1]Setup!$B$5,F1326)))</f>
        <v/>
      </c>
    </row>
    <row r="1327" spans="2:9" x14ac:dyDescent="0.3">
      <c r="B1327" s="100">
        <f t="shared" si="206"/>
        <v>0</v>
      </c>
      <c r="C1327" s="84" t="str">
        <f t="shared" si="207"/>
        <v>January</v>
      </c>
      <c r="I1327" s="87" t="str">
        <f>IF(F1327=0,"",IF(COUNTIF(F1327,"Bao"),[1]Setup!$B$4,IF(COUNTIF(F1327,"Soup Dumpling"),[1]Setup!$B$5,F1327)))</f>
        <v/>
      </c>
    </row>
    <row r="1328" spans="2:9" x14ac:dyDescent="0.3">
      <c r="B1328" s="100">
        <f t="shared" si="206"/>
        <v>0</v>
      </c>
      <c r="C1328" s="84" t="str">
        <f t="shared" si="207"/>
        <v>January</v>
      </c>
      <c r="I1328" s="87" t="str">
        <f>IF(F1328=0,"",IF(COUNTIF(F1328,"Bao"),[1]Setup!$B$4,IF(COUNTIF(F1328,"Soup Dumpling"),[1]Setup!$B$5,F1328)))</f>
        <v/>
      </c>
    </row>
    <row r="1329" spans="2:9" x14ac:dyDescent="0.3">
      <c r="B1329" s="100">
        <f t="shared" si="206"/>
        <v>0</v>
      </c>
      <c r="C1329" s="84" t="str">
        <f t="shared" si="207"/>
        <v>January</v>
      </c>
      <c r="I1329" s="87" t="str">
        <f>IF(F1329=0,"",IF(COUNTIF(F1329,"Bao"),[1]Setup!$B$4,IF(COUNTIF(F1329,"Soup Dumpling"),[1]Setup!$B$5,F1329)))</f>
        <v/>
      </c>
    </row>
    <row r="1330" spans="2:9" x14ac:dyDescent="0.3">
      <c r="B1330" s="100">
        <f t="shared" si="206"/>
        <v>0</v>
      </c>
      <c r="C1330" s="84" t="str">
        <f t="shared" si="207"/>
        <v>January</v>
      </c>
      <c r="I1330" s="87" t="str">
        <f>IF(F1330=0,"",IF(COUNTIF(F1330,"Bao"),[1]Setup!$B$4,IF(COUNTIF(F1330,"Soup Dumpling"),[1]Setup!$B$5,F1330)))</f>
        <v/>
      </c>
    </row>
    <row r="1331" spans="2:9" x14ac:dyDescent="0.3">
      <c r="B1331" s="100">
        <f t="shared" si="206"/>
        <v>0</v>
      </c>
      <c r="C1331" s="84" t="str">
        <f t="shared" si="207"/>
        <v>January</v>
      </c>
      <c r="I1331" s="87" t="str">
        <f>IF(F1331=0,"",IF(COUNTIF(F1331,"Bao"),[1]Setup!$B$4,IF(COUNTIF(F1331,"Soup Dumpling"),[1]Setup!$B$5,F1331)))</f>
        <v/>
      </c>
    </row>
    <row r="1332" spans="2:9" x14ac:dyDescent="0.3">
      <c r="B1332" s="100">
        <f t="shared" si="206"/>
        <v>0</v>
      </c>
      <c r="C1332" s="84" t="str">
        <f t="shared" si="207"/>
        <v>January</v>
      </c>
      <c r="I1332" s="87" t="str">
        <f>IF(F1332=0,"",IF(COUNTIF(F1332,"Bao"),[1]Setup!$B$4,IF(COUNTIF(F1332,"Soup Dumpling"),[1]Setup!$B$5,F1332)))</f>
        <v/>
      </c>
    </row>
    <row r="1333" spans="2:9" x14ac:dyDescent="0.3">
      <c r="B1333" s="100">
        <f t="shared" si="206"/>
        <v>0</v>
      </c>
      <c r="C1333" s="84" t="str">
        <f t="shared" si="207"/>
        <v>January</v>
      </c>
      <c r="I1333" s="87" t="str">
        <f>IF(F1333=0,"",IF(COUNTIF(F1333,"Bao"),[1]Setup!$B$4,IF(COUNTIF(F1333,"Soup Dumpling"),[1]Setup!$B$5,F1333)))</f>
        <v/>
      </c>
    </row>
    <row r="1334" spans="2:9" x14ac:dyDescent="0.3">
      <c r="B1334" s="100">
        <f t="shared" si="206"/>
        <v>0</v>
      </c>
      <c r="C1334" s="84" t="str">
        <f t="shared" si="207"/>
        <v>January</v>
      </c>
      <c r="I1334" s="87" t="str">
        <f>IF(F1334=0,"",IF(COUNTIF(F1334,"Bao"),[1]Setup!$B$4,IF(COUNTIF(F1334,"Soup Dumpling"),[1]Setup!$B$5,F1334)))</f>
        <v/>
      </c>
    </row>
    <row r="1335" spans="2:9" x14ac:dyDescent="0.3">
      <c r="B1335" s="100">
        <f t="shared" si="206"/>
        <v>0</v>
      </c>
      <c r="C1335" s="84" t="str">
        <f t="shared" si="207"/>
        <v>January</v>
      </c>
      <c r="I1335" s="87" t="str">
        <f>IF(F1335=0,"",IF(COUNTIF(F1335,"Bao"),[1]Setup!$B$4,IF(COUNTIF(F1335,"Soup Dumpling"),[1]Setup!$B$5,F1335)))</f>
        <v/>
      </c>
    </row>
    <row r="1336" spans="2:9" x14ac:dyDescent="0.3">
      <c r="B1336" s="100">
        <f t="shared" si="206"/>
        <v>0</v>
      </c>
      <c r="C1336" s="84" t="str">
        <f t="shared" si="207"/>
        <v>January</v>
      </c>
      <c r="I1336" s="87" t="str">
        <f>IF(F1336=0,"",IF(COUNTIF(F1336,"Bao"),[1]Setup!$B$4,IF(COUNTIF(F1336,"Soup Dumpling"),[1]Setup!$B$5,F1336)))</f>
        <v/>
      </c>
    </row>
    <row r="1337" spans="2:9" x14ac:dyDescent="0.3">
      <c r="B1337" s="100">
        <f t="shared" si="206"/>
        <v>0</v>
      </c>
      <c r="C1337" s="84" t="str">
        <f t="shared" si="207"/>
        <v>January</v>
      </c>
      <c r="I1337" s="87" t="str">
        <f>IF(F1337=0,"",IF(COUNTIF(F1337,"Bao"),[1]Setup!$B$4,IF(COUNTIF(F1337,"Soup Dumpling"),[1]Setup!$B$5,F1337)))</f>
        <v/>
      </c>
    </row>
    <row r="1338" spans="2:9" x14ac:dyDescent="0.3">
      <c r="B1338" s="100">
        <f t="shared" si="206"/>
        <v>0</v>
      </c>
      <c r="C1338" s="84" t="str">
        <f t="shared" si="207"/>
        <v>January</v>
      </c>
      <c r="I1338" s="87" t="str">
        <f>IF(F1338=0,"",IF(COUNTIF(F1338,"Bao"),[1]Setup!$B$4,IF(COUNTIF(F1338,"Soup Dumpling"),[1]Setup!$B$5,F1338)))</f>
        <v/>
      </c>
    </row>
    <row r="1339" spans="2:9" x14ac:dyDescent="0.3">
      <c r="B1339" s="100">
        <f t="shared" si="206"/>
        <v>0</v>
      </c>
      <c r="C1339" s="84" t="str">
        <f t="shared" si="207"/>
        <v>January</v>
      </c>
      <c r="I1339" s="87" t="str">
        <f>IF(F1339=0,"",IF(COUNTIF(F1339,"Bao"),[1]Setup!$B$4,IF(COUNTIF(F1339,"Soup Dumpling"),[1]Setup!$B$5,F1339)))</f>
        <v/>
      </c>
    </row>
    <row r="1340" spans="2:9" x14ac:dyDescent="0.3">
      <c r="B1340" s="100">
        <f t="shared" si="206"/>
        <v>0</v>
      </c>
      <c r="C1340" s="84" t="str">
        <f t="shared" si="207"/>
        <v>January</v>
      </c>
      <c r="I1340" s="87" t="str">
        <f>IF(F1340=0,"",IF(COUNTIF(F1340,"Bao"),[1]Setup!$B$4,IF(COUNTIF(F1340,"Soup Dumpling"),[1]Setup!$B$5,F1340)))</f>
        <v/>
      </c>
    </row>
    <row r="1341" spans="2:9" x14ac:dyDescent="0.3">
      <c r="B1341" s="100">
        <f t="shared" si="206"/>
        <v>0</v>
      </c>
      <c r="C1341" s="84" t="str">
        <f t="shared" si="207"/>
        <v>January</v>
      </c>
      <c r="I1341" s="87" t="str">
        <f>IF(F1341=0,"",IF(COUNTIF(F1341,"Bao"),[1]Setup!$B$4,IF(COUNTIF(F1341,"Soup Dumpling"),[1]Setup!$B$5,F1341)))</f>
        <v/>
      </c>
    </row>
    <row r="1342" spans="2:9" x14ac:dyDescent="0.3">
      <c r="B1342" s="100">
        <f t="shared" si="206"/>
        <v>0</v>
      </c>
      <c r="C1342" s="84" t="str">
        <f t="shared" si="207"/>
        <v>January</v>
      </c>
      <c r="I1342" s="87" t="str">
        <f>IF(F1342=0,"",IF(COUNTIF(F1342,"Bao"),[1]Setup!$B$4,IF(COUNTIF(F1342,"Soup Dumpling"),[1]Setup!$B$5,F1342)))</f>
        <v/>
      </c>
    </row>
    <row r="1343" spans="2:9" x14ac:dyDescent="0.3">
      <c r="B1343" s="100">
        <f t="shared" si="206"/>
        <v>0</v>
      </c>
      <c r="C1343" s="84" t="str">
        <f t="shared" si="207"/>
        <v>January</v>
      </c>
      <c r="I1343" s="87" t="str">
        <f>IF(F1343=0,"",IF(COUNTIF(F1343,"Bao"),[1]Setup!$B$4,IF(COUNTIF(F1343,"Soup Dumpling"),[1]Setup!$B$5,F1343)))</f>
        <v/>
      </c>
    </row>
    <row r="1344" spans="2:9" x14ac:dyDescent="0.3">
      <c r="B1344" s="100">
        <f t="shared" si="206"/>
        <v>0</v>
      </c>
      <c r="C1344" s="84" t="str">
        <f t="shared" si="207"/>
        <v>January</v>
      </c>
      <c r="I1344" s="87" t="str">
        <f>IF(F1344=0,"",IF(COUNTIF(F1344,"Bao"),[1]Setup!$B$4,IF(COUNTIF(F1344,"Soup Dumpling"),[1]Setup!$B$5,F1344)))</f>
        <v/>
      </c>
    </row>
    <row r="1345" spans="2:9" x14ac:dyDescent="0.3">
      <c r="B1345" s="100">
        <f t="shared" si="206"/>
        <v>0</v>
      </c>
      <c r="C1345" s="84" t="str">
        <f t="shared" si="207"/>
        <v>January</v>
      </c>
      <c r="I1345" s="87" t="str">
        <f>IF(F1345=0,"",IF(COUNTIF(F1345,"Bao"),[1]Setup!$B$4,IF(COUNTIF(F1345,"Soup Dumpling"),[1]Setup!$B$5,F1345)))</f>
        <v/>
      </c>
    </row>
    <row r="1346" spans="2:9" x14ac:dyDescent="0.3">
      <c r="B1346" s="100">
        <f t="shared" si="206"/>
        <v>0</v>
      </c>
      <c r="C1346" s="84" t="str">
        <f t="shared" si="207"/>
        <v>January</v>
      </c>
      <c r="I1346" s="87" t="str">
        <f>IF(F1346=0,"",IF(COUNTIF(F1346,"Bao"),[1]Setup!$B$4,IF(COUNTIF(F1346,"Soup Dumpling"),[1]Setup!$B$5,F1346)))</f>
        <v/>
      </c>
    </row>
    <row r="1347" spans="2:9" x14ac:dyDescent="0.3">
      <c r="B1347" s="100">
        <f t="shared" si="206"/>
        <v>0</v>
      </c>
      <c r="C1347" s="84" t="str">
        <f t="shared" si="207"/>
        <v>January</v>
      </c>
      <c r="I1347" s="87" t="str">
        <f>IF(F1347=0,"",IF(COUNTIF(F1347,"Bao"),[1]Setup!$B$4,IF(COUNTIF(F1347,"Soup Dumpling"),[1]Setup!$B$5,F1347)))</f>
        <v/>
      </c>
    </row>
    <row r="1348" spans="2:9" x14ac:dyDescent="0.3">
      <c r="B1348" s="100">
        <f t="shared" si="206"/>
        <v>0</v>
      </c>
      <c r="C1348" s="84" t="str">
        <f t="shared" si="207"/>
        <v>January</v>
      </c>
      <c r="I1348" s="87" t="str">
        <f>IF(F1348=0,"",IF(COUNTIF(F1348,"Bao"),[1]Setup!$B$4,IF(COUNTIF(F1348,"Soup Dumpling"),[1]Setup!$B$5,F1348)))</f>
        <v/>
      </c>
    </row>
    <row r="1349" spans="2:9" x14ac:dyDescent="0.3">
      <c r="B1349" s="100">
        <f t="shared" ref="B1349:B1412" si="208">+WEEKNUM(A1349)</f>
        <v>0</v>
      </c>
      <c r="C1349" s="84" t="str">
        <f t="shared" ref="C1349:C1412" si="209">+TEXT(A1349,"mmmm")</f>
        <v>January</v>
      </c>
      <c r="I1349" s="87" t="str">
        <f>IF(F1349=0,"",IF(COUNTIF(F1349,"Bao"),[1]Setup!$B$4,IF(COUNTIF(F1349,"Soup Dumpling"),[1]Setup!$B$5,F1349)))</f>
        <v/>
      </c>
    </row>
    <row r="1350" spans="2:9" x14ac:dyDescent="0.3">
      <c r="B1350" s="100">
        <f t="shared" si="208"/>
        <v>0</v>
      </c>
      <c r="C1350" s="84" t="str">
        <f t="shared" si="209"/>
        <v>January</v>
      </c>
      <c r="I1350" s="87" t="str">
        <f>IF(F1350=0,"",IF(COUNTIF(F1350,"Bao"),[1]Setup!$B$4,IF(COUNTIF(F1350,"Soup Dumpling"),[1]Setup!$B$5,F1350)))</f>
        <v/>
      </c>
    </row>
    <row r="1351" spans="2:9" x14ac:dyDescent="0.3">
      <c r="B1351" s="100">
        <f t="shared" si="208"/>
        <v>0</v>
      </c>
      <c r="C1351" s="84" t="str">
        <f t="shared" si="209"/>
        <v>January</v>
      </c>
      <c r="I1351" s="87" t="str">
        <f>IF(F1351=0,"",IF(COUNTIF(F1351,"Bao"),[1]Setup!$B$4,IF(COUNTIF(F1351,"Soup Dumpling"),[1]Setup!$B$5,F1351)))</f>
        <v/>
      </c>
    </row>
    <row r="1352" spans="2:9" x14ac:dyDescent="0.3">
      <c r="B1352" s="100">
        <f t="shared" si="208"/>
        <v>0</v>
      </c>
      <c r="C1352" s="84" t="str">
        <f t="shared" si="209"/>
        <v>January</v>
      </c>
      <c r="I1352" s="87" t="str">
        <f>IF(F1352=0,"",IF(COUNTIF(F1352,"Bao"),[1]Setup!$B$4,IF(COUNTIF(F1352,"Soup Dumpling"),[1]Setup!$B$5,F1352)))</f>
        <v/>
      </c>
    </row>
    <row r="1353" spans="2:9" x14ac:dyDescent="0.3">
      <c r="B1353" s="100">
        <f t="shared" si="208"/>
        <v>0</v>
      </c>
      <c r="C1353" s="84" t="str">
        <f t="shared" si="209"/>
        <v>January</v>
      </c>
      <c r="I1353" s="87" t="str">
        <f>IF(F1353=0,"",IF(COUNTIF(F1353,"Bao"),[1]Setup!$B$4,IF(COUNTIF(F1353,"Soup Dumpling"),[1]Setup!$B$5,F1353)))</f>
        <v/>
      </c>
    </row>
    <row r="1354" spans="2:9" x14ac:dyDescent="0.3">
      <c r="B1354" s="100">
        <f t="shared" si="208"/>
        <v>0</v>
      </c>
      <c r="C1354" s="84" t="str">
        <f t="shared" si="209"/>
        <v>January</v>
      </c>
      <c r="I1354" s="87" t="str">
        <f>IF(F1354=0,"",IF(COUNTIF(F1354,"Bao"),[1]Setup!$B$4,IF(COUNTIF(F1354,"Soup Dumpling"),[1]Setup!$B$5,F1354)))</f>
        <v/>
      </c>
    </row>
    <row r="1355" spans="2:9" x14ac:dyDescent="0.3">
      <c r="B1355" s="100">
        <f t="shared" si="208"/>
        <v>0</v>
      </c>
      <c r="C1355" s="84" t="str">
        <f t="shared" si="209"/>
        <v>January</v>
      </c>
      <c r="I1355" s="87" t="str">
        <f>IF(F1355=0,"",IF(COUNTIF(F1355,"Bao"),[1]Setup!$B$4,IF(COUNTIF(F1355,"Soup Dumpling"),[1]Setup!$B$5,F1355)))</f>
        <v/>
      </c>
    </row>
    <row r="1356" spans="2:9" x14ac:dyDescent="0.3">
      <c r="B1356" s="100">
        <f t="shared" si="208"/>
        <v>0</v>
      </c>
      <c r="C1356" s="84" t="str">
        <f t="shared" si="209"/>
        <v>January</v>
      </c>
      <c r="I1356" s="87" t="str">
        <f>IF(F1356=0,"",IF(COUNTIF(F1356,"Bao"),[1]Setup!$B$4,IF(COUNTIF(F1356,"Soup Dumpling"),[1]Setup!$B$5,F1356)))</f>
        <v/>
      </c>
    </row>
    <row r="1357" spans="2:9" x14ac:dyDescent="0.3">
      <c r="B1357" s="100">
        <f t="shared" si="208"/>
        <v>0</v>
      </c>
      <c r="C1357" s="84" t="str">
        <f t="shared" si="209"/>
        <v>January</v>
      </c>
      <c r="I1357" s="87" t="str">
        <f>IF(F1357=0,"",IF(COUNTIF(F1357,"Bao"),[1]Setup!$B$4,IF(COUNTIF(F1357,"Soup Dumpling"),[1]Setup!$B$5,F1357)))</f>
        <v/>
      </c>
    </row>
    <row r="1358" spans="2:9" x14ac:dyDescent="0.3">
      <c r="B1358" s="100">
        <f t="shared" si="208"/>
        <v>0</v>
      </c>
      <c r="C1358" s="84" t="str">
        <f t="shared" si="209"/>
        <v>January</v>
      </c>
      <c r="I1358" s="87" t="str">
        <f>IF(F1358=0,"",IF(COUNTIF(F1358,"Bao"),[1]Setup!$B$4,IF(COUNTIF(F1358,"Soup Dumpling"),[1]Setup!$B$5,F1358)))</f>
        <v/>
      </c>
    </row>
    <row r="1359" spans="2:9" x14ac:dyDescent="0.3">
      <c r="B1359" s="100">
        <f t="shared" si="208"/>
        <v>0</v>
      </c>
      <c r="C1359" s="84" t="str">
        <f t="shared" si="209"/>
        <v>January</v>
      </c>
      <c r="I1359" s="87" t="str">
        <f>IF(F1359=0,"",IF(COUNTIF(F1359,"Bao"),[1]Setup!$B$4,IF(COUNTIF(F1359,"Soup Dumpling"),[1]Setup!$B$5,F1359)))</f>
        <v/>
      </c>
    </row>
    <row r="1360" spans="2:9" x14ac:dyDescent="0.3">
      <c r="B1360" s="100">
        <f t="shared" si="208"/>
        <v>0</v>
      </c>
      <c r="C1360" s="84" t="str">
        <f t="shared" si="209"/>
        <v>January</v>
      </c>
      <c r="I1360" s="87" t="str">
        <f>IF(F1360=0,"",IF(COUNTIF(F1360,"Bao"),[1]Setup!$B$4,IF(COUNTIF(F1360,"Soup Dumpling"),[1]Setup!$B$5,F1360)))</f>
        <v/>
      </c>
    </row>
    <row r="1361" spans="2:9" x14ac:dyDescent="0.3">
      <c r="B1361" s="100">
        <f t="shared" si="208"/>
        <v>0</v>
      </c>
      <c r="C1361" s="84" t="str">
        <f t="shared" si="209"/>
        <v>January</v>
      </c>
      <c r="I1361" s="87" t="str">
        <f>IF(F1361=0,"",IF(COUNTIF(F1361,"Bao"),[1]Setup!$B$4,IF(COUNTIF(F1361,"Soup Dumpling"),[1]Setup!$B$5,F1361)))</f>
        <v/>
      </c>
    </row>
    <row r="1362" spans="2:9" x14ac:dyDescent="0.3">
      <c r="B1362" s="100">
        <f t="shared" si="208"/>
        <v>0</v>
      </c>
      <c r="C1362" s="84" t="str">
        <f t="shared" si="209"/>
        <v>January</v>
      </c>
      <c r="I1362" s="87" t="str">
        <f>IF(F1362=0,"",IF(COUNTIF(F1362,"Bao"),[1]Setup!$B$4,IF(COUNTIF(F1362,"Soup Dumpling"),[1]Setup!$B$5,F1362)))</f>
        <v/>
      </c>
    </row>
    <row r="1363" spans="2:9" x14ac:dyDescent="0.3">
      <c r="B1363" s="100">
        <f t="shared" si="208"/>
        <v>0</v>
      </c>
      <c r="C1363" s="84" t="str">
        <f t="shared" si="209"/>
        <v>January</v>
      </c>
      <c r="I1363" s="87" t="str">
        <f>IF(F1363=0,"",IF(COUNTIF(F1363,"Bao"),[1]Setup!$B$4,IF(COUNTIF(F1363,"Soup Dumpling"),[1]Setup!$B$5,F1363)))</f>
        <v/>
      </c>
    </row>
    <row r="1364" spans="2:9" x14ac:dyDescent="0.3">
      <c r="B1364" s="100">
        <f t="shared" si="208"/>
        <v>0</v>
      </c>
      <c r="C1364" s="84" t="str">
        <f t="shared" si="209"/>
        <v>January</v>
      </c>
      <c r="I1364" s="87" t="str">
        <f>IF(F1364=0,"",IF(COUNTIF(F1364,"Bao"),[1]Setup!$B$4,IF(COUNTIF(F1364,"Soup Dumpling"),[1]Setup!$B$5,F1364)))</f>
        <v/>
      </c>
    </row>
    <row r="1365" spans="2:9" x14ac:dyDescent="0.3">
      <c r="B1365" s="100">
        <f t="shared" si="208"/>
        <v>0</v>
      </c>
      <c r="C1365" s="84" t="str">
        <f t="shared" si="209"/>
        <v>January</v>
      </c>
      <c r="I1365" s="87" t="str">
        <f>IF(F1365=0,"",IF(COUNTIF(F1365,"Bao"),[1]Setup!$B$4,IF(COUNTIF(F1365,"Soup Dumpling"),[1]Setup!$B$5,F1365)))</f>
        <v/>
      </c>
    </row>
    <row r="1366" spans="2:9" x14ac:dyDescent="0.3">
      <c r="B1366" s="100">
        <f t="shared" si="208"/>
        <v>0</v>
      </c>
      <c r="C1366" s="84" t="str">
        <f t="shared" si="209"/>
        <v>January</v>
      </c>
      <c r="I1366" s="87" t="str">
        <f>IF(F1366=0,"",IF(COUNTIF(F1366,"Bao"),[1]Setup!$B$4,IF(COUNTIF(F1366,"Soup Dumpling"),[1]Setup!$B$5,F1366)))</f>
        <v/>
      </c>
    </row>
    <row r="1367" spans="2:9" x14ac:dyDescent="0.3">
      <c r="B1367" s="100">
        <f t="shared" si="208"/>
        <v>0</v>
      </c>
      <c r="C1367" s="84" t="str">
        <f t="shared" si="209"/>
        <v>January</v>
      </c>
      <c r="I1367" s="87" t="str">
        <f>IF(F1367=0,"",IF(COUNTIF(F1367,"Bao"),[1]Setup!$B$4,IF(COUNTIF(F1367,"Soup Dumpling"),[1]Setup!$B$5,F1367)))</f>
        <v/>
      </c>
    </row>
    <row r="1368" spans="2:9" x14ac:dyDescent="0.3">
      <c r="B1368" s="100">
        <f t="shared" si="208"/>
        <v>0</v>
      </c>
      <c r="C1368" s="84" t="str">
        <f t="shared" si="209"/>
        <v>January</v>
      </c>
      <c r="I1368" s="87" t="str">
        <f>IF(F1368=0,"",IF(COUNTIF(F1368,"Bao"),[1]Setup!$B$4,IF(COUNTIF(F1368,"Soup Dumpling"),[1]Setup!$B$5,F1368)))</f>
        <v/>
      </c>
    </row>
    <row r="1369" spans="2:9" x14ac:dyDescent="0.3">
      <c r="B1369" s="100">
        <f t="shared" si="208"/>
        <v>0</v>
      </c>
      <c r="C1369" s="84" t="str">
        <f t="shared" si="209"/>
        <v>January</v>
      </c>
      <c r="I1369" s="87" t="str">
        <f>IF(F1369=0,"",IF(COUNTIF(F1369,"Bao"),[1]Setup!$B$4,IF(COUNTIF(F1369,"Soup Dumpling"),[1]Setup!$B$5,F1369)))</f>
        <v/>
      </c>
    </row>
    <row r="1370" spans="2:9" x14ac:dyDescent="0.3">
      <c r="B1370" s="100">
        <f t="shared" si="208"/>
        <v>0</v>
      </c>
      <c r="C1370" s="84" t="str">
        <f t="shared" si="209"/>
        <v>January</v>
      </c>
      <c r="I1370" s="87" t="str">
        <f>IF(F1370=0,"",IF(COUNTIF(F1370,"Bao"),[1]Setup!$B$4,IF(COUNTIF(F1370,"Soup Dumpling"),[1]Setup!$B$5,F1370)))</f>
        <v/>
      </c>
    </row>
    <row r="1371" spans="2:9" x14ac:dyDescent="0.3">
      <c r="B1371" s="100">
        <f t="shared" si="208"/>
        <v>0</v>
      </c>
      <c r="C1371" s="84" t="str">
        <f t="shared" si="209"/>
        <v>January</v>
      </c>
      <c r="I1371" s="87" t="str">
        <f>IF(F1371=0,"",IF(COUNTIF(F1371,"Bao"),[1]Setup!$B$4,IF(COUNTIF(F1371,"Soup Dumpling"),[1]Setup!$B$5,F1371)))</f>
        <v/>
      </c>
    </row>
    <row r="1372" spans="2:9" x14ac:dyDescent="0.3">
      <c r="B1372" s="100">
        <f t="shared" si="208"/>
        <v>0</v>
      </c>
      <c r="C1372" s="84" t="str">
        <f t="shared" si="209"/>
        <v>January</v>
      </c>
      <c r="I1372" s="87" t="str">
        <f>IF(F1372=0,"",IF(COUNTIF(F1372,"Bao"),[1]Setup!$B$4,IF(COUNTIF(F1372,"Soup Dumpling"),[1]Setup!$B$5,F1372)))</f>
        <v/>
      </c>
    </row>
    <row r="1373" spans="2:9" x14ac:dyDescent="0.3">
      <c r="B1373" s="100">
        <f t="shared" si="208"/>
        <v>0</v>
      </c>
      <c r="C1373" s="84" t="str">
        <f t="shared" si="209"/>
        <v>January</v>
      </c>
      <c r="I1373" s="87" t="str">
        <f>IF(F1373=0,"",IF(COUNTIF(F1373,"Bao"),[1]Setup!$B$4,IF(COUNTIF(F1373,"Soup Dumpling"),[1]Setup!$B$5,F1373)))</f>
        <v/>
      </c>
    </row>
    <row r="1374" spans="2:9" x14ac:dyDescent="0.3">
      <c r="B1374" s="100">
        <f t="shared" si="208"/>
        <v>0</v>
      </c>
      <c r="C1374" s="84" t="str">
        <f t="shared" si="209"/>
        <v>January</v>
      </c>
      <c r="I1374" s="87" t="str">
        <f>IF(F1374=0,"",IF(COUNTIF(F1374,"Bao"),[1]Setup!$B$4,IF(COUNTIF(F1374,"Soup Dumpling"),[1]Setup!$B$5,F1374)))</f>
        <v/>
      </c>
    </row>
    <row r="1375" spans="2:9" x14ac:dyDescent="0.3">
      <c r="B1375" s="100">
        <f t="shared" si="208"/>
        <v>0</v>
      </c>
      <c r="C1375" s="84" t="str">
        <f t="shared" si="209"/>
        <v>January</v>
      </c>
      <c r="I1375" s="87" t="str">
        <f>IF(F1375=0,"",IF(COUNTIF(F1375,"Bao"),[1]Setup!$B$4,IF(COUNTIF(F1375,"Soup Dumpling"),[1]Setup!$B$5,F1375)))</f>
        <v/>
      </c>
    </row>
    <row r="1376" spans="2:9" x14ac:dyDescent="0.3">
      <c r="B1376" s="100">
        <f t="shared" si="208"/>
        <v>0</v>
      </c>
      <c r="C1376" s="84" t="str">
        <f t="shared" si="209"/>
        <v>January</v>
      </c>
      <c r="I1376" s="87" t="str">
        <f>IF(F1376=0,"",IF(COUNTIF(F1376,"Bao"),[1]Setup!$B$4,IF(COUNTIF(F1376,"Soup Dumpling"),[1]Setup!$B$5,F1376)))</f>
        <v/>
      </c>
    </row>
    <row r="1377" spans="2:9" x14ac:dyDescent="0.3">
      <c r="B1377" s="100">
        <f t="shared" si="208"/>
        <v>0</v>
      </c>
      <c r="C1377" s="84" t="str">
        <f t="shared" si="209"/>
        <v>January</v>
      </c>
      <c r="I1377" s="87" t="str">
        <f>IF(F1377=0,"",IF(COUNTIF(F1377,"Bao"),[1]Setup!$B$4,IF(COUNTIF(F1377,"Soup Dumpling"),[1]Setup!$B$5,F1377)))</f>
        <v/>
      </c>
    </row>
    <row r="1378" spans="2:9" x14ac:dyDescent="0.3">
      <c r="B1378" s="100">
        <f t="shared" si="208"/>
        <v>0</v>
      </c>
      <c r="C1378" s="84" t="str">
        <f t="shared" si="209"/>
        <v>January</v>
      </c>
      <c r="I1378" s="87" t="str">
        <f>IF(F1378=0,"",IF(COUNTIF(F1378,"Bao"),[1]Setup!$B$4,IF(COUNTIF(F1378,"Soup Dumpling"),[1]Setup!$B$5,F1378)))</f>
        <v/>
      </c>
    </row>
    <row r="1379" spans="2:9" x14ac:dyDescent="0.3">
      <c r="B1379" s="100">
        <f t="shared" si="208"/>
        <v>0</v>
      </c>
      <c r="C1379" s="84" t="str">
        <f t="shared" si="209"/>
        <v>January</v>
      </c>
      <c r="I1379" s="87" t="str">
        <f>IF(F1379=0,"",IF(COUNTIF(F1379,"Bao"),[1]Setup!$B$4,IF(COUNTIF(F1379,"Soup Dumpling"),[1]Setup!$B$5,F1379)))</f>
        <v/>
      </c>
    </row>
    <row r="1380" spans="2:9" x14ac:dyDescent="0.3">
      <c r="B1380" s="100">
        <f t="shared" si="208"/>
        <v>0</v>
      </c>
      <c r="C1380" s="84" t="str">
        <f t="shared" si="209"/>
        <v>January</v>
      </c>
      <c r="I1380" s="87" t="str">
        <f>IF(F1380=0,"",IF(COUNTIF(F1380,"Bao"),[1]Setup!$B$4,IF(COUNTIF(F1380,"Soup Dumpling"),[1]Setup!$B$5,F1380)))</f>
        <v/>
      </c>
    </row>
    <row r="1381" spans="2:9" x14ac:dyDescent="0.3">
      <c r="B1381" s="100">
        <f t="shared" si="208"/>
        <v>0</v>
      </c>
      <c r="C1381" s="84" t="str">
        <f t="shared" si="209"/>
        <v>January</v>
      </c>
      <c r="I1381" s="87" t="str">
        <f>IF(F1381=0,"",IF(COUNTIF(F1381,"Bao"),[1]Setup!$B$4,IF(COUNTIF(F1381,"Soup Dumpling"),[1]Setup!$B$5,F1381)))</f>
        <v/>
      </c>
    </row>
    <row r="1382" spans="2:9" x14ac:dyDescent="0.3">
      <c r="B1382" s="100">
        <f t="shared" si="208"/>
        <v>0</v>
      </c>
      <c r="C1382" s="84" t="str">
        <f t="shared" si="209"/>
        <v>January</v>
      </c>
      <c r="I1382" s="87" t="str">
        <f>IF(F1382=0,"",IF(COUNTIF(F1382,"Bao"),[1]Setup!$B$4,IF(COUNTIF(F1382,"Soup Dumpling"),[1]Setup!$B$5,F1382)))</f>
        <v/>
      </c>
    </row>
    <row r="1383" spans="2:9" x14ac:dyDescent="0.3">
      <c r="B1383" s="100">
        <f t="shared" si="208"/>
        <v>0</v>
      </c>
      <c r="C1383" s="84" t="str">
        <f t="shared" si="209"/>
        <v>January</v>
      </c>
      <c r="I1383" s="87" t="str">
        <f>IF(F1383=0,"",IF(COUNTIF(F1383,"Bao"),[1]Setup!$B$4,IF(COUNTIF(F1383,"Soup Dumpling"),[1]Setup!$B$5,F1383)))</f>
        <v/>
      </c>
    </row>
    <row r="1384" spans="2:9" x14ac:dyDescent="0.3">
      <c r="B1384" s="100">
        <f t="shared" si="208"/>
        <v>0</v>
      </c>
      <c r="C1384" s="84" t="str">
        <f t="shared" si="209"/>
        <v>January</v>
      </c>
      <c r="I1384" s="87" t="str">
        <f>IF(F1384=0,"",IF(COUNTIF(F1384,"Bao"),[1]Setup!$B$4,IF(COUNTIF(F1384,"Soup Dumpling"),[1]Setup!$B$5,F1384)))</f>
        <v/>
      </c>
    </row>
    <row r="1385" spans="2:9" x14ac:dyDescent="0.3">
      <c r="B1385" s="100">
        <f t="shared" si="208"/>
        <v>0</v>
      </c>
      <c r="C1385" s="84" t="str">
        <f t="shared" si="209"/>
        <v>January</v>
      </c>
      <c r="I1385" s="87" t="str">
        <f>IF(F1385=0,"",IF(COUNTIF(F1385,"Bao"),[1]Setup!$B$4,IF(COUNTIF(F1385,"Soup Dumpling"),[1]Setup!$B$5,F1385)))</f>
        <v/>
      </c>
    </row>
    <row r="1386" spans="2:9" x14ac:dyDescent="0.3">
      <c r="B1386" s="100">
        <f t="shared" si="208"/>
        <v>0</v>
      </c>
      <c r="C1386" s="84" t="str">
        <f t="shared" si="209"/>
        <v>January</v>
      </c>
      <c r="I1386" s="87" t="str">
        <f>IF(F1386=0,"",IF(COUNTIF(F1386,"Bao"),[1]Setup!$B$4,IF(COUNTIF(F1386,"Soup Dumpling"),[1]Setup!$B$5,F1386)))</f>
        <v/>
      </c>
    </row>
    <row r="1387" spans="2:9" x14ac:dyDescent="0.3">
      <c r="B1387" s="100">
        <f t="shared" si="208"/>
        <v>0</v>
      </c>
      <c r="C1387" s="84" t="str">
        <f t="shared" si="209"/>
        <v>January</v>
      </c>
      <c r="I1387" s="87" t="str">
        <f>IF(F1387=0,"",IF(COUNTIF(F1387,"Bao"),[1]Setup!$B$4,IF(COUNTIF(F1387,"Soup Dumpling"),[1]Setup!$B$5,F1387)))</f>
        <v/>
      </c>
    </row>
    <row r="1388" spans="2:9" x14ac:dyDescent="0.3">
      <c r="B1388" s="100">
        <f t="shared" si="208"/>
        <v>0</v>
      </c>
      <c r="C1388" s="84" t="str">
        <f t="shared" si="209"/>
        <v>January</v>
      </c>
      <c r="I1388" s="87" t="str">
        <f>IF(F1388=0,"",IF(COUNTIF(F1388,"Bao"),[1]Setup!$B$4,IF(COUNTIF(F1388,"Soup Dumpling"),[1]Setup!$B$5,F1388)))</f>
        <v/>
      </c>
    </row>
    <row r="1389" spans="2:9" x14ac:dyDescent="0.3">
      <c r="B1389" s="100">
        <f t="shared" si="208"/>
        <v>0</v>
      </c>
      <c r="C1389" s="84" t="str">
        <f t="shared" si="209"/>
        <v>January</v>
      </c>
      <c r="I1389" s="87" t="str">
        <f>IF(F1389=0,"",IF(COUNTIF(F1389,"Bao"),[1]Setup!$B$4,IF(COUNTIF(F1389,"Soup Dumpling"),[1]Setup!$B$5,F1389)))</f>
        <v/>
      </c>
    </row>
    <row r="1390" spans="2:9" x14ac:dyDescent="0.3">
      <c r="B1390" s="100">
        <f t="shared" si="208"/>
        <v>0</v>
      </c>
      <c r="C1390" s="84" t="str">
        <f t="shared" si="209"/>
        <v>January</v>
      </c>
      <c r="I1390" s="87" t="str">
        <f>IF(F1390=0,"",IF(COUNTIF(F1390,"Bao"),[1]Setup!$B$4,IF(COUNTIF(F1390,"Soup Dumpling"),[1]Setup!$B$5,F1390)))</f>
        <v/>
      </c>
    </row>
    <row r="1391" spans="2:9" x14ac:dyDescent="0.3">
      <c r="B1391" s="100">
        <f t="shared" si="208"/>
        <v>0</v>
      </c>
      <c r="C1391" s="84" t="str">
        <f t="shared" si="209"/>
        <v>January</v>
      </c>
      <c r="I1391" s="87" t="str">
        <f>IF(F1391=0,"",IF(COUNTIF(F1391,"Bao"),[1]Setup!$B$4,IF(COUNTIF(F1391,"Soup Dumpling"),[1]Setup!$B$5,F1391)))</f>
        <v/>
      </c>
    </row>
    <row r="1392" spans="2:9" x14ac:dyDescent="0.3">
      <c r="B1392" s="100">
        <f t="shared" si="208"/>
        <v>0</v>
      </c>
      <c r="C1392" s="84" t="str">
        <f t="shared" si="209"/>
        <v>January</v>
      </c>
      <c r="I1392" s="87" t="str">
        <f>IF(F1392=0,"",IF(COUNTIF(F1392,"Bao"),[1]Setup!$B$4,IF(COUNTIF(F1392,"Soup Dumpling"),[1]Setup!$B$5,F1392)))</f>
        <v/>
      </c>
    </row>
    <row r="1393" spans="2:9" x14ac:dyDescent="0.3">
      <c r="B1393" s="100">
        <f t="shared" si="208"/>
        <v>0</v>
      </c>
      <c r="C1393" s="84" t="str">
        <f t="shared" si="209"/>
        <v>January</v>
      </c>
      <c r="I1393" s="87" t="str">
        <f>IF(F1393=0,"",IF(COUNTIF(F1393,"Bao"),[1]Setup!$B$4,IF(COUNTIF(F1393,"Soup Dumpling"),[1]Setup!$B$5,F1393)))</f>
        <v/>
      </c>
    </row>
    <row r="1394" spans="2:9" x14ac:dyDescent="0.3">
      <c r="B1394" s="100">
        <f t="shared" si="208"/>
        <v>0</v>
      </c>
      <c r="C1394" s="84" t="str">
        <f t="shared" si="209"/>
        <v>January</v>
      </c>
      <c r="I1394" s="87" t="str">
        <f>IF(F1394=0,"",IF(COUNTIF(F1394,"Bao"),[1]Setup!$B$4,IF(COUNTIF(F1394,"Soup Dumpling"),[1]Setup!$B$5,F1394)))</f>
        <v/>
      </c>
    </row>
    <row r="1395" spans="2:9" x14ac:dyDescent="0.3">
      <c r="B1395" s="100">
        <f t="shared" si="208"/>
        <v>0</v>
      </c>
      <c r="C1395" s="84" t="str">
        <f t="shared" si="209"/>
        <v>January</v>
      </c>
      <c r="I1395" s="87" t="str">
        <f>IF(F1395=0,"",IF(COUNTIF(F1395,"Bao"),[1]Setup!$B$4,IF(COUNTIF(F1395,"Soup Dumpling"),[1]Setup!$B$5,F1395)))</f>
        <v/>
      </c>
    </row>
    <row r="1396" spans="2:9" x14ac:dyDescent="0.3">
      <c r="B1396" s="100">
        <f t="shared" si="208"/>
        <v>0</v>
      </c>
      <c r="C1396" s="84" t="str">
        <f t="shared" si="209"/>
        <v>January</v>
      </c>
      <c r="I1396" s="87" t="str">
        <f>IF(F1396=0,"",IF(COUNTIF(F1396,"Bao"),[1]Setup!$B$4,IF(COUNTIF(F1396,"Soup Dumpling"),[1]Setup!$B$5,F1396)))</f>
        <v/>
      </c>
    </row>
    <row r="1397" spans="2:9" x14ac:dyDescent="0.3">
      <c r="B1397" s="100">
        <f t="shared" si="208"/>
        <v>0</v>
      </c>
      <c r="C1397" s="84" t="str">
        <f t="shared" si="209"/>
        <v>January</v>
      </c>
      <c r="I1397" s="87" t="str">
        <f>IF(F1397=0,"",IF(COUNTIF(F1397,"Bao"),[1]Setup!$B$4,IF(COUNTIF(F1397,"Soup Dumpling"),[1]Setup!$B$5,F1397)))</f>
        <v/>
      </c>
    </row>
    <row r="1398" spans="2:9" x14ac:dyDescent="0.3">
      <c r="B1398" s="100">
        <f t="shared" si="208"/>
        <v>0</v>
      </c>
      <c r="C1398" s="84" t="str">
        <f t="shared" si="209"/>
        <v>January</v>
      </c>
      <c r="I1398" s="87" t="str">
        <f>IF(F1398=0,"",IF(COUNTIF(F1398,"Bao"),[1]Setup!$B$4,IF(COUNTIF(F1398,"Soup Dumpling"),[1]Setup!$B$5,F1398)))</f>
        <v/>
      </c>
    </row>
    <row r="1399" spans="2:9" x14ac:dyDescent="0.3">
      <c r="B1399" s="100">
        <f t="shared" si="208"/>
        <v>0</v>
      </c>
      <c r="C1399" s="84" t="str">
        <f t="shared" si="209"/>
        <v>January</v>
      </c>
      <c r="I1399" s="87" t="str">
        <f>IF(F1399=0,"",IF(COUNTIF(F1399,"Bao"),[1]Setup!$B$4,IF(COUNTIF(F1399,"Soup Dumpling"),[1]Setup!$B$5,F1399)))</f>
        <v/>
      </c>
    </row>
    <row r="1400" spans="2:9" x14ac:dyDescent="0.3">
      <c r="B1400" s="100">
        <f t="shared" si="208"/>
        <v>0</v>
      </c>
      <c r="C1400" s="84" t="str">
        <f t="shared" si="209"/>
        <v>January</v>
      </c>
      <c r="I1400" s="87" t="str">
        <f>IF(F1400=0,"",IF(COUNTIF(F1400,"Bao"),[1]Setup!$B$4,IF(COUNTIF(F1400,"Soup Dumpling"),[1]Setup!$B$5,F1400)))</f>
        <v/>
      </c>
    </row>
    <row r="1401" spans="2:9" x14ac:dyDescent="0.3">
      <c r="B1401" s="100">
        <f t="shared" si="208"/>
        <v>0</v>
      </c>
      <c r="C1401" s="84" t="str">
        <f t="shared" si="209"/>
        <v>January</v>
      </c>
      <c r="I1401" s="87" t="str">
        <f>IF(F1401=0,"",IF(COUNTIF(F1401,"Bao"),[1]Setup!$B$4,IF(COUNTIF(F1401,"Soup Dumpling"),[1]Setup!$B$5,F1401)))</f>
        <v/>
      </c>
    </row>
    <row r="1402" spans="2:9" x14ac:dyDescent="0.3">
      <c r="B1402" s="100">
        <f t="shared" si="208"/>
        <v>0</v>
      </c>
      <c r="C1402" s="84" t="str">
        <f t="shared" si="209"/>
        <v>January</v>
      </c>
      <c r="I1402" s="87" t="str">
        <f>IF(F1402=0,"",IF(COUNTIF(F1402,"Bao"),[1]Setup!$B$4,IF(COUNTIF(F1402,"Soup Dumpling"),[1]Setup!$B$5,F1402)))</f>
        <v/>
      </c>
    </row>
    <row r="1403" spans="2:9" x14ac:dyDescent="0.3">
      <c r="B1403" s="100">
        <f t="shared" si="208"/>
        <v>0</v>
      </c>
      <c r="C1403" s="84" t="str">
        <f t="shared" si="209"/>
        <v>January</v>
      </c>
      <c r="I1403" s="87" t="str">
        <f>IF(F1403=0,"",IF(COUNTIF(F1403,"Bao"),[1]Setup!$B$4,IF(COUNTIF(F1403,"Soup Dumpling"),[1]Setup!$B$5,F1403)))</f>
        <v/>
      </c>
    </row>
    <row r="1404" spans="2:9" x14ac:dyDescent="0.3">
      <c r="B1404" s="100">
        <f t="shared" si="208"/>
        <v>0</v>
      </c>
      <c r="C1404" s="84" t="str">
        <f t="shared" si="209"/>
        <v>January</v>
      </c>
      <c r="I1404" s="87" t="str">
        <f>IF(F1404=0,"",IF(COUNTIF(F1404,"Bao"),[1]Setup!$B$4,IF(COUNTIF(F1404,"Soup Dumpling"),[1]Setup!$B$5,F1404)))</f>
        <v/>
      </c>
    </row>
    <row r="1405" spans="2:9" x14ac:dyDescent="0.3">
      <c r="B1405" s="100">
        <f t="shared" si="208"/>
        <v>0</v>
      </c>
      <c r="C1405" s="84" t="str">
        <f t="shared" si="209"/>
        <v>January</v>
      </c>
      <c r="I1405" s="87" t="str">
        <f>IF(F1405=0,"",IF(COUNTIF(F1405,"Bao"),[1]Setup!$B$4,IF(COUNTIF(F1405,"Soup Dumpling"),[1]Setup!$B$5,F1405)))</f>
        <v/>
      </c>
    </row>
    <row r="1406" spans="2:9" x14ac:dyDescent="0.3">
      <c r="B1406" s="100">
        <f t="shared" si="208"/>
        <v>0</v>
      </c>
      <c r="C1406" s="84" t="str">
        <f t="shared" si="209"/>
        <v>January</v>
      </c>
      <c r="I1406" s="87" t="str">
        <f>IF(F1406=0,"",IF(COUNTIF(F1406,"Bao"),[1]Setup!$B$4,IF(COUNTIF(F1406,"Soup Dumpling"),[1]Setup!$B$5,F1406)))</f>
        <v/>
      </c>
    </row>
    <row r="1407" spans="2:9" x14ac:dyDescent="0.3">
      <c r="B1407" s="100">
        <f t="shared" si="208"/>
        <v>0</v>
      </c>
      <c r="C1407" s="84" t="str">
        <f t="shared" si="209"/>
        <v>January</v>
      </c>
      <c r="I1407" s="87" t="str">
        <f>IF(F1407=0,"",IF(COUNTIF(F1407,"Bao"),[1]Setup!$B$4,IF(COUNTIF(F1407,"Soup Dumpling"),[1]Setup!$B$5,F1407)))</f>
        <v/>
      </c>
    </row>
    <row r="1408" spans="2:9" x14ac:dyDescent="0.3">
      <c r="B1408" s="100">
        <f t="shared" si="208"/>
        <v>0</v>
      </c>
      <c r="C1408" s="84" t="str">
        <f t="shared" si="209"/>
        <v>January</v>
      </c>
      <c r="I1408" s="87" t="str">
        <f>IF(F1408=0,"",IF(COUNTIF(F1408,"Bao"),[1]Setup!$B$4,IF(COUNTIF(F1408,"Soup Dumpling"),[1]Setup!$B$5,F1408)))</f>
        <v/>
      </c>
    </row>
    <row r="1409" spans="2:9" x14ac:dyDescent="0.3">
      <c r="B1409" s="100">
        <f t="shared" si="208"/>
        <v>0</v>
      </c>
      <c r="C1409" s="84" t="str">
        <f t="shared" si="209"/>
        <v>January</v>
      </c>
      <c r="I1409" s="87" t="str">
        <f>IF(F1409=0,"",IF(COUNTIF(F1409,"Bao"),[1]Setup!$B$4,IF(COUNTIF(F1409,"Soup Dumpling"),[1]Setup!$B$5,F1409)))</f>
        <v/>
      </c>
    </row>
    <row r="1410" spans="2:9" x14ac:dyDescent="0.3">
      <c r="B1410" s="100">
        <f t="shared" si="208"/>
        <v>0</v>
      </c>
      <c r="C1410" s="84" t="str">
        <f t="shared" si="209"/>
        <v>January</v>
      </c>
      <c r="I1410" s="87" t="str">
        <f>IF(F1410=0,"",IF(COUNTIF(F1410,"Bao"),[1]Setup!$B$4,IF(COUNTIF(F1410,"Soup Dumpling"),[1]Setup!$B$5,F1410)))</f>
        <v/>
      </c>
    </row>
    <row r="1411" spans="2:9" x14ac:dyDescent="0.3">
      <c r="B1411" s="100">
        <f t="shared" si="208"/>
        <v>0</v>
      </c>
      <c r="C1411" s="84" t="str">
        <f t="shared" si="209"/>
        <v>January</v>
      </c>
      <c r="I1411" s="87" t="str">
        <f>IF(F1411=0,"",IF(COUNTIF(F1411,"Bao"),[1]Setup!$B$4,IF(COUNTIF(F1411,"Soup Dumpling"),[1]Setup!$B$5,F1411)))</f>
        <v/>
      </c>
    </row>
    <row r="1412" spans="2:9" x14ac:dyDescent="0.3">
      <c r="B1412" s="100">
        <f t="shared" si="208"/>
        <v>0</v>
      </c>
      <c r="C1412" s="84" t="str">
        <f t="shared" si="209"/>
        <v>January</v>
      </c>
      <c r="I1412" s="87" t="str">
        <f>IF(F1412=0,"",IF(COUNTIF(F1412,"Bao"),[1]Setup!$B$4,IF(COUNTIF(F1412,"Soup Dumpling"),[1]Setup!$B$5,F1412)))</f>
        <v/>
      </c>
    </row>
    <row r="1413" spans="2:9" x14ac:dyDescent="0.3">
      <c r="B1413" s="100">
        <f t="shared" ref="B1413:B1476" si="210">+WEEKNUM(A1413)</f>
        <v>0</v>
      </c>
      <c r="C1413" s="84" t="str">
        <f t="shared" ref="C1413:C1476" si="211">+TEXT(A1413,"mmmm")</f>
        <v>January</v>
      </c>
      <c r="I1413" s="87" t="str">
        <f>IF(F1413=0,"",IF(COUNTIF(F1413,"Bao"),[1]Setup!$B$4,IF(COUNTIF(F1413,"Soup Dumpling"),[1]Setup!$B$5,F1413)))</f>
        <v/>
      </c>
    </row>
    <row r="1414" spans="2:9" x14ac:dyDescent="0.3">
      <c r="B1414" s="100">
        <f t="shared" si="210"/>
        <v>0</v>
      </c>
      <c r="C1414" s="84" t="str">
        <f t="shared" si="211"/>
        <v>January</v>
      </c>
      <c r="I1414" s="87" t="str">
        <f>IF(F1414=0,"",IF(COUNTIF(F1414,"Bao"),[1]Setup!$B$4,IF(COUNTIF(F1414,"Soup Dumpling"),[1]Setup!$B$5,F1414)))</f>
        <v/>
      </c>
    </row>
    <row r="1415" spans="2:9" x14ac:dyDescent="0.3">
      <c r="B1415" s="100">
        <f t="shared" si="210"/>
        <v>0</v>
      </c>
      <c r="C1415" s="84" t="str">
        <f t="shared" si="211"/>
        <v>January</v>
      </c>
      <c r="I1415" s="87" t="str">
        <f>IF(F1415=0,"",IF(COUNTIF(F1415,"Bao"),[1]Setup!$B$4,IF(COUNTIF(F1415,"Soup Dumpling"),[1]Setup!$B$5,F1415)))</f>
        <v/>
      </c>
    </row>
    <row r="1416" spans="2:9" x14ac:dyDescent="0.3">
      <c r="B1416" s="100">
        <f t="shared" si="210"/>
        <v>0</v>
      </c>
      <c r="C1416" s="84" t="str">
        <f t="shared" si="211"/>
        <v>January</v>
      </c>
      <c r="I1416" s="87" t="str">
        <f>IF(F1416=0,"",IF(COUNTIF(F1416,"Bao"),[1]Setup!$B$4,IF(COUNTIF(F1416,"Soup Dumpling"),[1]Setup!$B$5,F1416)))</f>
        <v/>
      </c>
    </row>
    <row r="1417" spans="2:9" x14ac:dyDescent="0.3">
      <c r="B1417" s="100">
        <f t="shared" si="210"/>
        <v>0</v>
      </c>
      <c r="C1417" s="84" t="str">
        <f t="shared" si="211"/>
        <v>January</v>
      </c>
      <c r="I1417" s="87" t="str">
        <f>IF(F1417=0,"",IF(COUNTIF(F1417,"Bao"),[1]Setup!$B$4,IF(COUNTIF(F1417,"Soup Dumpling"),[1]Setup!$B$5,F1417)))</f>
        <v/>
      </c>
    </row>
    <row r="1418" spans="2:9" x14ac:dyDescent="0.3">
      <c r="B1418" s="100">
        <f t="shared" si="210"/>
        <v>0</v>
      </c>
      <c r="C1418" s="84" t="str">
        <f t="shared" si="211"/>
        <v>January</v>
      </c>
      <c r="I1418" s="87" t="str">
        <f>IF(F1418=0,"",IF(COUNTIF(F1418,"Bao"),[1]Setup!$B$4,IF(COUNTIF(F1418,"Soup Dumpling"),[1]Setup!$B$5,F1418)))</f>
        <v/>
      </c>
    </row>
    <row r="1419" spans="2:9" x14ac:dyDescent="0.3">
      <c r="B1419" s="100">
        <f t="shared" si="210"/>
        <v>0</v>
      </c>
      <c r="C1419" s="84" t="str">
        <f t="shared" si="211"/>
        <v>January</v>
      </c>
      <c r="I1419" s="87" t="str">
        <f>IF(F1419=0,"",IF(COUNTIF(F1419,"Bao"),[1]Setup!$B$4,IF(COUNTIF(F1419,"Soup Dumpling"),[1]Setup!$B$5,F1419)))</f>
        <v/>
      </c>
    </row>
    <row r="1420" spans="2:9" x14ac:dyDescent="0.3">
      <c r="B1420" s="100">
        <f t="shared" si="210"/>
        <v>0</v>
      </c>
      <c r="C1420" s="84" t="str">
        <f t="shared" si="211"/>
        <v>January</v>
      </c>
      <c r="I1420" s="87" t="str">
        <f>IF(F1420=0,"",IF(COUNTIF(F1420,"Bao"),[1]Setup!$B$4,IF(COUNTIF(F1420,"Soup Dumpling"),[1]Setup!$B$5,F1420)))</f>
        <v/>
      </c>
    </row>
    <row r="1421" spans="2:9" x14ac:dyDescent="0.3">
      <c r="B1421" s="100">
        <f t="shared" si="210"/>
        <v>0</v>
      </c>
      <c r="C1421" s="84" t="str">
        <f t="shared" si="211"/>
        <v>January</v>
      </c>
      <c r="I1421" s="87" t="str">
        <f>IF(F1421=0,"",IF(COUNTIF(F1421,"Bao"),[1]Setup!$B$4,IF(COUNTIF(F1421,"Soup Dumpling"),[1]Setup!$B$5,F1421)))</f>
        <v/>
      </c>
    </row>
    <row r="1422" spans="2:9" x14ac:dyDescent="0.3">
      <c r="B1422" s="100">
        <f t="shared" si="210"/>
        <v>0</v>
      </c>
      <c r="C1422" s="84" t="str">
        <f t="shared" si="211"/>
        <v>January</v>
      </c>
      <c r="I1422" s="87" t="str">
        <f>IF(F1422=0,"",IF(COUNTIF(F1422,"Bao"),[1]Setup!$B$4,IF(COUNTIF(F1422,"Soup Dumpling"),[1]Setup!$B$5,F1422)))</f>
        <v/>
      </c>
    </row>
    <row r="1423" spans="2:9" x14ac:dyDescent="0.3">
      <c r="B1423" s="100">
        <f t="shared" si="210"/>
        <v>0</v>
      </c>
      <c r="C1423" s="84" t="str">
        <f t="shared" si="211"/>
        <v>January</v>
      </c>
      <c r="I1423" s="87" t="str">
        <f>IF(F1423=0,"",IF(COUNTIF(F1423,"Bao"),[1]Setup!$B$4,IF(COUNTIF(F1423,"Soup Dumpling"),[1]Setup!$B$5,F1423)))</f>
        <v/>
      </c>
    </row>
    <row r="1424" spans="2:9" x14ac:dyDescent="0.3">
      <c r="B1424" s="100">
        <f t="shared" si="210"/>
        <v>0</v>
      </c>
      <c r="C1424" s="84" t="str">
        <f t="shared" si="211"/>
        <v>January</v>
      </c>
      <c r="I1424" s="87" t="str">
        <f>IF(F1424=0,"",IF(COUNTIF(F1424,"Bao"),[1]Setup!$B$4,IF(COUNTIF(F1424,"Soup Dumpling"),[1]Setup!$B$5,F1424)))</f>
        <v/>
      </c>
    </row>
    <row r="1425" spans="2:9" x14ac:dyDescent="0.3">
      <c r="B1425" s="100">
        <f t="shared" si="210"/>
        <v>0</v>
      </c>
      <c r="C1425" s="84" t="str">
        <f t="shared" si="211"/>
        <v>January</v>
      </c>
      <c r="I1425" s="87" t="str">
        <f>IF(F1425=0,"",IF(COUNTIF(F1425,"Bao"),[1]Setup!$B$4,IF(COUNTIF(F1425,"Soup Dumpling"),[1]Setup!$B$5,F1425)))</f>
        <v/>
      </c>
    </row>
    <row r="1426" spans="2:9" x14ac:dyDescent="0.3">
      <c r="B1426" s="100">
        <f t="shared" si="210"/>
        <v>0</v>
      </c>
      <c r="C1426" s="84" t="str">
        <f t="shared" si="211"/>
        <v>January</v>
      </c>
      <c r="I1426" s="87" t="str">
        <f>IF(F1426=0,"",IF(COUNTIF(F1426,"Bao"),[1]Setup!$B$4,IF(COUNTIF(F1426,"Soup Dumpling"),[1]Setup!$B$5,F1426)))</f>
        <v/>
      </c>
    </row>
    <row r="1427" spans="2:9" x14ac:dyDescent="0.3">
      <c r="B1427" s="100">
        <f t="shared" si="210"/>
        <v>0</v>
      </c>
      <c r="C1427" s="84" t="str">
        <f t="shared" si="211"/>
        <v>January</v>
      </c>
      <c r="I1427" s="87" t="str">
        <f>IF(F1427=0,"",IF(COUNTIF(F1427,"Bao"),[1]Setup!$B$4,IF(COUNTIF(F1427,"Soup Dumpling"),[1]Setup!$B$5,F1427)))</f>
        <v/>
      </c>
    </row>
    <row r="1428" spans="2:9" x14ac:dyDescent="0.3">
      <c r="B1428" s="100">
        <f t="shared" si="210"/>
        <v>0</v>
      </c>
      <c r="C1428" s="84" t="str">
        <f t="shared" si="211"/>
        <v>January</v>
      </c>
      <c r="I1428" s="87" t="str">
        <f>IF(F1428=0,"",IF(COUNTIF(F1428,"Bao"),[1]Setup!$B$4,IF(COUNTIF(F1428,"Soup Dumpling"),[1]Setup!$B$5,F1428)))</f>
        <v/>
      </c>
    </row>
    <row r="1429" spans="2:9" x14ac:dyDescent="0.3">
      <c r="B1429" s="100">
        <f t="shared" si="210"/>
        <v>0</v>
      </c>
      <c r="C1429" s="84" t="str">
        <f t="shared" si="211"/>
        <v>January</v>
      </c>
      <c r="I1429" s="87" t="str">
        <f>IF(F1429=0,"",IF(COUNTIF(F1429,"Bao"),[1]Setup!$B$4,IF(COUNTIF(F1429,"Soup Dumpling"),[1]Setup!$B$5,F1429)))</f>
        <v/>
      </c>
    </row>
    <row r="1430" spans="2:9" x14ac:dyDescent="0.3">
      <c r="B1430" s="100">
        <f t="shared" si="210"/>
        <v>0</v>
      </c>
      <c r="C1430" s="84" t="str">
        <f t="shared" si="211"/>
        <v>January</v>
      </c>
      <c r="I1430" s="87" t="str">
        <f>IF(F1430=0,"",IF(COUNTIF(F1430,"Bao"),[1]Setup!$B$4,IF(COUNTIF(F1430,"Soup Dumpling"),[1]Setup!$B$5,F1430)))</f>
        <v/>
      </c>
    </row>
    <row r="1431" spans="2:9" x14ac:dyDescent="0.3">
      <c r="B1431" s="100">
        <f t="shared" si="210"/>
        <v>0</v>
      </c>
      <c r="C1431" s="84" t="str">
        <f t="shared" si="211"/>
        <v>January</v>
      </c>
      <c r="I1431" s="87" t="str">
        <f>IF(F1431=0,"",IF(COUNTIF(F1431,"Bao"),[1]Setup!$B$4,IF(COUNTIF(F1431,"Soup Dumpling"),[1]Setup!$B$5,F1431)))</f>
        <v/>
      </c>
    </row>
    <row r="1432" spans="2:9" x14ac:dyDescent="0.3">
      <c r="B1432" s="100">
        <f t="shared" si="210"/>
        <v>0</v>
      </c>
      <c r="C1432" s="84" t="str">
        <f t="shared" si="211"/>
        <v>January</v>
      </c>
      <c r="I1432" s="87" t="str">
        <f>IF(F1432=0,"",IF(COUNTIF(F1432,"Bao"),[1]Setup!$B$4,IF(COUNTIF(F1432,"Soup Dumpling"),[1]Setup!$B$5,F1432)))</f>
        <v/>
      </c>
    </row>
    <row r="1433" spans="2:9" x14ac:dyDescent="0.3">
      <c r="B1433" s="100">
        <f t="shared" si="210"/>
        <v>0</v>
      </c>
      <c r="C1433" s="84" t="str">
        <f t="shared" si="211"/>
        <v>January</v>
      </c>
      <c r="I1433" s="87" t="str">
        <f>IF(F1433=0,"",IF(COUNTIF(F1433,"Bao"),[1]Setup!$B$4,IF(COUNTIF(F1433,"Soup Dumpling"),[1]Setup!$B$5,F1433)))</f>
        <v/>
      </c>
    </row>
    <row r="1434" spans="2:9" x14ac:dyDescent="0.3">
      <c r="B1434" s="100">
        <f t="shared" si="210"/>
        <v>0</v>
      </c>
      <c r="C1434" s="84" t="str">
        <f t="shared" si="211"/>
        <v>January</v>
      </c>
      <c r="I1434" s="87" t="str">
        <f>IF(F1434=0,"",IF(COUNTIF(F1434,"Bao"),[1]Setup!$B$4,IF(COUNTIF(F1434,"Soup Dumpling"),[1]Setup!$B$5,F1434)))</f>
        <v/>
      </c>
    </row>
    <row r="1435" spans="2:9" x14ac:dyDescent="0.3">
      <c r="B1435" s="100">
        <f t="shared" si="210"/>
        <v>0</v>
      </c>
      <c r="C1435" s="84" t="str">
        <f t="shared" si="211"/>
        <v>January</v>
      </c>
      <c r="I1435" s="87" t="str">
        <f>IF(F1435=0,"",IF(COUNTIF(F1435,"Bao"),[1]Setup!$B$4,IF(COUNTIF(F1435,"Soup Dumpling"),[1]Setup!$B$5,F1435)))</f>
        <v/>
      </c>
    </row>
    <row r="1436" spans="2:9" x14ac:dyDescent="0.3">
      <c r="B1436" s="100">
        <f t="shared" si="210"/>
        <v>0</v>
      </c>
      <c r="C1436" s="84" t="str">
        <f t="shared" si="211"/>
        <v>January</v>
      </c>
      <c r="I1436" s="87" t="str">
        <f>IF(F1436=0,"",IF(COUNTIF(F1436,"Bao"),[1]Setup!$B$4,IF(COUNTIF(F1436,"Soup Dumpling"),[1]Setup!$B$5,F1436)))</f>
        <v/>
      </c>
    </row>
    <row r="1437" spans="2:9" x14ac:dyDescent="0.3">
      <c r="B1437" s="100">
        <f t="shared" si="210"/>
        <v>0</v>
      </c>
      <c r="C1437" s="84" t="str">
        <f t="shared" si="211"/>
        <v>January</v>
      </c>
      <c r="I1437" s="87" t="str">
        <f>IF(F1437=0,"",IF(COUNTIF(F1437,"Bao"),[1]Setup!$B$4,IF(COUNTIF(F1437,"Soup Dumpling"),[1]Setup!$B$5,F1437)))</f>
        <v/>
      </c>
    </row>
    <row r="1438" spans="2:9" x14ac:dyDescent="0.3">
      <c r="B1438" s="100">
        <f t="shared" si="210"/>
        <v>0</v>
      </c>
      <c r="C1438" s="84" t="str">
        <f t="shared" si="211"/>
        <v>January</v>
      </c>
      <c r="I1438" s="87" t="str">
        <f>IF(F1438=0,"",IF(COUNTIF(F1438,"Bao"),[1]Setup!$B$4,IF(COUNTIF(F1438,"Soup Dumpling"),[1]Setup!$B$5,F1438)))</f>
        <v/>
      </c>
    </row>
    <row r="1439" spans="2:9" x14ac:dyDescent="0.3">
      <c r="B1439" s="100">
        <f t="shared" si="210"/>
        <v>0</v>
      </c>
      <c r="C1439" s="84" t="str">
        <f t="shared" si="211"/>
        <v>January</v>
      </c>
      <c r="I1439" s="87" t="str">
        <f>IF(F1439=0,"",IF(COUNTIF(F1439,"Bao"),[1]Setup!$B$4,IF(COUNTIF(F1439,"Soup Dumpling"),[1]Setup!$B$5,F1439)))</f>
        <v/>
      </c>
    </row>
    <row r="1440" spans="2:9" x14ac:dyDescent="0.3">
      <c r="B1440" s="100">
        <f t="shared" si="210"/>
        <v>0</v>
      </c>
      <c r="C1440" s="84" t="str">
        <f t="shared" si="211"/>
        <v>January</v>
      </c>
      <c r="I1440" s="87" t="str">
        <f>IF(F1440=0,"",IF(COUNTIF(F1440,"Bao"),[1]Setup!$B$4,IF(COUNTIF(F1440,"Soup Dumpling"),[1]Setup!$B$5,F1440)))</f>
        <v/>
      </c>
    </row>
    <row r="1441" spans="2:9" x14ac:dyDescent="0.3">
      <c r="B1441" s="100">
        <f t="shared" si="210"/>
        <v>0</v>
      </c>
      <c r="C1441" s="84" t="str">
        <f t="shared" si="211"/>
        <v>January</v>
      </c>
      <c r="I1441" s="87" t="str">
        <f>IF(F1441=0,"",IF(COUNTIF(F1441,"Bao"),[1]Setup!$B$4,IF(COUNTIF(F1441,"Soup Dumpling"),[1]Setup!$B$5,F1441)))</f>
        <v/>
      </c>
    </row>
    <row r="1442" spans="2:9" x14ac:dyDescent="0.3">
      <c r="B1442" s="100">
        <f t="shared" si="210"/>
        <v>0</v>
      </c>
      <c r="C1442" s="84" t="str">
        <f t="shared" si="211"/>
        <v>January</v>
      </c>
      <c r="I1442" s="87" t="str">
        <f>IF(F1442=0,"",IF(COUNTIF(F1442,"Bao"),[1]Setup!$B$4,IF(COUNTIF(F1442,"Soup Dumpling"),[1]Setup!$B$5,F1442)))</f>
        <v/>
      </c>
    </row>
    <row r="1443" spans="2:9" x14ac:dyDescent="0.3">
      <c r="B1443" s="100">
        <f t="shared" si="210"/>
        <v>0</v>
      </c>
      <c r="C1443" s="84" t="str">
        <f t="shared" si="211"/>
        <v>January</v>
      </c>
      <c r="I1443" s="87" t="str">
        <f>IF(F1443=0,"",IF(COUNTIF(F1443,"Bao"),[1]Setup!$B$4,IF(COUNTIF(F1443,"Soup Dumpling"),[1]Setup!$B$5,F1443)))</f>
        <v/>
      </c>
    </row>
    <row r="1444" spans="2:9" x14ac:dyDescent="0.3">
      <c r="B1444" s="100">
        <f t="shared" si="210"/>
        <v>0</v>
      </c>
      <c r="C1444" s="84" t="str">
        <f t="shared" si="211"/>
        <v>January</v>
      </c>
      <c r="I1444" s="87" t="str">
        <f>IF(F1444=0,"",IF(COUNTIF(F1444,"Bao"),[1]Setup!$B$4,IF(COUNTIF(F1444,"Soup Dumpling"),[1]Setup!$B$5,F1444)))</f>
        <v/>
      </c>
    </row>
    <row r="1445" spans="2:9" x14ac:dyDescent="0.3">
      <c r="B1445" s="100">
        <f t="shared" si="210"/>
        <v>0</v>
      </c>
      <c r="C1445" s="84" t="str">
        <f t="shared" si="211"/>
        <v>January</v>
      </c>
      <c r="I1445" s="87" t="str">
        <f>IF(F1445=0,"",IF(COUNTIF(F1445,"Bao"),[1]Setup!$B$4,IF(COUNTIF(F1445,"Soup Dumpling"),[1]Setup!$B$5,F1445)))</f>
        <v/>
      </c>
    </row>
    <row r="1446" spans="2:9" x14ac:dyDescent="0.3">
      <c r="B1446" s="100">
        <f t="shared" si="210"/>
        <v>0</v>
      </c>
      <c r="C1446" s="84" t="str">
        <f t="shared" si="211"/>
        <v>January</v>
      </c>
      <c r="I1446" s="87" t="str">
        <f>IF(F1446=0,"",IF(COUNTIF(F1446,"Bao"),[1]Setup!$B$4,IF(COUNTIF(F1446,"Soup Dumpling"),[1]Setup!$B$5,F1446)))</f>
        <v/>
      </c>
    </row>
    <row r="1447" spans="2:9" x14ac:dyDescent="0.3">
      <c r="B1447" s="100">
        <f t="shared" si="210"/>
        <v>0</v>
      </c>
      <c r="C1447" s="84" t="str">
        <f t="shared" si="211"/>
        <v>January</v>
      </c>
      <c r="I1447" s="87" t="str">
        <f>IF(F1447=0,"",IF(COUNTIF(F1447,"Bao"),[1]Setup!$B$4,IF(COUNTIF(F1447,"Soup Dumpling"),[1]Setup!$B$5,F1447)))</f>
        <v/>
      </c>
    </row>
    <row r="1448" spans="2:9" x14ac:dyDescent="0.3">
      <c r="B1448" s="100">
        <f t="shared" si="210"/>
        <v>0</v>
      </c>
      <c r="C1448" s="84" t="str">
        <f t="shared" si="211"/>
        <v>January</v>
      </c>
      <c r="I1448" s="87" t="str">
        <f>IF(F1448=0,"",IF(COUNTIF(F1448,"Bao"),[1]Setup!$B$4,IF(COUNTIF(F1448,"Soup Dumpling"),[1]Setup!$B$5,F1448)))</f>
        <v/>
      </c>
    </row>
    <row r="1449" spans="2:9" x14ac:dyDescent="0.3">
      <c r="B1449" s="100">
        <f t="shared" si="210"/>
        <v>0</v>
      </c>
      <c r="C1449" s="84" t="str">
        <f t="shared" si="211"/>
        <v>January</v>
      </c>
      <c r="I1449" s="87" t="str">
        <f>IF(F1449=0,"",IF(COUNTIF(F1449,"Bao"),[1]Setup!$B$4,IF(COUNTIF(F1449,"Soup Dumpling"),[1]Setup!$B$5,F1449)))</f>
        <v/>
      </c>
    </row>
    <row r="1450" spans="2:9" x14ac:dyDescent="0.3">
      <c r="B1450" s="100">
        <f t="shared" si="210"/>
        <v>0</v>
      </c>
      <c r="C1450" s="84" t="str">
        <f t="shared" si="211"/>
        <v>January</v>
      </c>
      <c r="I1450" s="87" t="str">
        <f>IF(F1450=0,"",IF(COUNTIF(F1450,"Bao"),[1]Setup!$B$4,IF(COUNTIF(F1450,"Soup Dumpling"),[1]Setup!$B$5,F1450)))</f>
        <v/>
      </c>
    </row>
    <row r="1451" spans="2:9" x14ac:dyDescent="0.3">
      <c r="B1451" s="100">
        <f t="shared" si="210"/>
        <v>0</v>
      </c>
      <c r="C1451" s="84" t="str">
        <f t="shared" si="211"/>
        <v>January</v>
      </c>
      <c r="I1451" s="87" t="str">
        <f>IF(F1451=0,"",IF(COUNTIF(F1451,"Bao"),[1]Setup!$B$4,IF(COUNTIF(F1451,"Soup Dumpling"),[1]Setup!$B$5,F1451)))</f>
        <v/>
      </c>
    </row>
    <row r="1452" spans="2:9" x14ac:dyDescent="0.3">
      <c r="B1452" s="100">
        <f t="shared" si="210"/>
        <v>0</v>
      </c>
      <c r="C1452" s="84" t="str">
        <f t="shared" si="211"/>
        <v>January</v>
      </c>
      <c r="I1452" s="87" t="str">
        <f>IF(F1452=0,"",IF(COUNTIF(F1452,"Bao"),[1]Setup!$B$4,IF(COUNTIF(F1452,"Soup Dumpling"),[1]Setup!$B$5,F1452)))</f>
        <v/>
      </c>
    </row>
    <row r="1453" spans="2:9" x14ac:dyDescent="0.3">
      <c r="B1453" s="100">
        <f t="shared" si="210"/>
        <v>0</v>
      </c>
      <c r="C1453" s="84" t="str">
        <f t="shared" si="211"/>
        <v>January</v>
      </c>
      <c r="I1453" s="87" t="str">
        <f>IF(F1453=0,"",IF(COUNTIF(F1453,"Bao"),[1]Setup!$B$4,IF(COUNTIF(F1453,"Soup Dumpling"),[1]Setup!$B$5,F1453)))</f>
        <v/>
      </c>
    </row>
    <row r="1454" spans="2:9" x14ac:dyDescent="0.3">
      <c r="B1454" s="100">
        <f t="shared" si="210"/>
        <v>0</v>
      </c>
      <c r="C1454" s="84" t="str">
        <f t="shared" si="211"/>
        <v>January</v>
      </c>
      <c r="I1454" s="87" t="str">
        <f>IF(F1454=0,"",IF(COUNTIF(F1454,"Bao"),[1]Setup!$B$4,IF(COUNTIF(F1454,"Soup Dumpling"),[1]Setup!$B$5,F1454)))</f>
        <v/>
      </c>
    </row>
    <row r="1455" spans="2:9" x14ac:dyDescent="0.3">
      <c r="B1455" s="100">
        <f t="shared" si="210"/>
        <v>0</v>
      </c>
      <c r="C1455" s="84" t="str">
        <f t="shared" si="211"/>
        <v>January</v>
      </c>
      <c r="I1455" s="87" t="str">
        <f>IF(F1455=0,"",IF(COUNTIF(F1455,"Bao"),[1]Setup!$B$4,IF(COUNTIF(F1455,"Soup Dumpling"),[1]Setup!$B$5,F1455)))</f>
        <v/>
      </c>
    </row>
    <row r="1456" spans="2:9" x14ac:dyDescent="0.3">
      <c r="B1456" s="100">
        <f t="shared" si="210"/>
        <v>0</v>
      </c>
      <c r="C1456" s="84" t="str">
        <f t="shared" si="211"/>
        <v>January</v>
      </c>
      <c r="I1456" s="87" t="str">
        <f>IF(F1456=0,"",IF(COUNTIF(F1456,"Bao"),[1]Setup!$B$4,IF(COUNTIF(F1456,"Soup Dumpling"),[1]Setup!$B$5,F1456)))</f>
        <v/>
      </c>
    </row>
    <row r="1457" spans="2:9" x14ac:dyDescent="0.3">
      <c r="B1457" s="100">
        <f t="shared" si="210"/>
        <v>0</v>
      </c>
      <c r="C1457" s="84" t="str">
        <f t="shared" si="211"/>
        <v>January</v>
      </c>
      <c r="I1457" s="87" t="str">
        <f>IF(F1457=0,"",IF(COUNTIF(F1457,"Bao"),[1]Setup!$B$4,IF(COUNTIF(F1457,"Soup Dumpling"),[1]Setup!$B$5,F1457)))</f>
        <v/>
      </c>
    </row>
    <row r="1458" spans="2:9" x14ac:dyDescent="0.3">
      <c r="B1458" s="100">
        <f t="shared" si="210"/>
        <v>0</v>
      </c>
      <c r="C1458" s="84" t="str">
        <f t="shared" si="211"/>
        <v>January</v>
      </c>
      <c r="I1458" s="87" t="str">
        <f>IF(F1458=0,"",IF(COUNTIF(F1458,"Bao"),[1]Setup!$B$4,IF(COUNTIF(F1458,"Soup Dumpling"),[1]Setup!$B$5,F1458)))</f>
        <v/>
      </c>
    </row>
    <row r="1459" spans="2:9" x14ac:dyDescent="0.3">
      <c r="B1459" s="100">
        <f t="shared" si="210"/>
        <v>0</v>
      </c>
      <c r="C1459" s="84" t="str">
        <f t="shared" si="211"/>
        <v>January</v>
      </c>
      <c r="I1459" s="87" t="str">
        <f>IF(F1459=0,"",IF(COUNTIF(F1459,"Bao"),[1]Setup!$B$4,IF(COUNTIF(F1459,"Soup Dumpling"),[1]Setup!$B$5,F1459)))</f>
        <v/>
      </c>
    </row>
    <row r="1460" spans="2:9" x14ac:dyDescent="0.3">
      <c r="B1460" s="100">
        <f t="shared" si="210"/>
        <v>0</v>
      </c>
      <c r="C1460" s="84" t="str">
        <f t="shared" si="211"/>
        <v>January</v>
      </c>
      <c r="I1460" s="87" t="str">
        <f>IF(F1460=0,"",IF(COUNTIF(F1460,"Bao"),[1]Setup!$B$4,IF(COUNTIF(F1460,"Soup Dumpling"),[1]Setup!$B$5,F1460)))</f>
        <v/>
      </c>
    </row>
    <row r="1461" spans="2:9" x14ac:dyDescent="0.3">
      <c r="B1461" s="100">
        <f t="shared" si="210"/>
        <v>0</v>
      </c>
      <c r="C1461" s="84" t="str">
        <f t="shared" si="211"/>
        <v>January</v>
      </c>
      <c r="I1461" s="87" t="str">
        <f>IF(F1461=0,"",IF(COUNTIF(F1461,"Bao"),[1]Setup!$B$4,IF(COUNTIF(F1461,"Soup Dumpling"),[1]Setup!$B$5,F1461)))</f>
        <v/>
      </c>
    </row>
    <row r="1462" spans="2:9" x14ac:dyDescent="0.3">
      <c r="B1462" s="100">
        <f t="shared" si="210"/>
        <v>0</v>
      </c>
      <c r="C1462" s="84" t="str">
        <f t="shared" si="211"/>
        <v>January</v>
      </c>
      <c r="I1462" s="87" t="str">
        <f>IF(F1462=0,"",IF(COUNTIF(F1462,"Bao"),[1]Setup!$B$4,IF(COUNTIF(F1462,"Soup Dumpling"),[1]Setup!$B$5,F1462)))</f>
        <v/>
      </c>
    </row>
    <row r="1463" spans="2:9" x14ac:dyDescent="0.3">
      <c r="B1463" s="100">
        <f t="shared" si="210"/>
        <v>0</v>
      </c>
      <c r="C1463" s="84" t="str">
        <f t="shared" si="211"/>
        <v>January</v>
      </c>
      <c r="I1463" s="87" t="str">
        <f>IF(F1463=0,"",IF(COUNTIF(F1463,"Bao"),[1]Setup!$B$4,IF(COUNTIF(F1463,"Soup Dumpling"),[1]Setup!$B$5,F1463)))</f>
        <v/>
      </c>
    </row>
    <row r="1464" spans="2:9" x14ac:dyDescent="0.3">
      <c r="B1464" s="100">
        <f t="shared" si="210"/>
        <v>0</v>
      </c>
      <c r="C1464" s="84" t="str">
        <f t="shared" si="211"/>
        <v>January</v>
      </c>
      <c r="I1464" s="87" t="str">
        <f>IF(F1464=0,"",IF(COUNTIF(F1464,"Bao"),[1]Setup!$B$4,IF(COUNTIF(F1464,"Soup Dumpling"),[1]Setup!$B$5,F1464)))</f>
        <v/>
      </c>
    </row>
    <row r="1465" spans="2:9" x14ac:dyDescent="0.3">
      <c r="B1465" s="100">
        <f t="shared" si="210"/>
        <v>0</v>
      </c>
      <c r="C1465" s="84" t="str">
        <f t="shared" si="211"/>
        <v>January</v>
      </c>
      <c r="I1465" s="87" t="str">
        <f>IF(F1465=0,"",IF(COUNTIF(F1465,"Bao"),[1]Setup!$B$4,IF(COUNTIF(F1465,"Soup Dumpling"),[1]Setup!$B$5,F1465)))</f>
        <v/>
      </c>
    </row>
    <row r="1466" spans="2:9" x14ac:dyDescent="0.3">
      <c r="B1466" s="100">
        <f t="shared" si="210"/>
        <v>0</v>
      </c>
      <c r="C1466" s="84" t="str">
        <f t="shared" si="211"/>
        <v>January</v>
      </c>
      <c r="I1466" s="87" t="str">
        <f>IF(F1466=0,"",IF(COUNTIF(F1466,"Bao"),[1]Setup!$B$4,IF(COUNTIF(F1466,"Soup Dumpling"),[1]Setup!$B$5,F1466)))</f>
        <v/>
      </c>
    </row>
    <row r="1467" spans="2:9" x14ac:dyDescent="0.3">
      <c r="B1467" s="100">
        <f t="shared" si="210"/>
        <v>0</v>
      </c>
      <c r="C1467" s="84" t="str">
        <f t="shared" si="211"/>
        <v>January</v>
      </c>
      <c r="I1467" s="87" t="str">
        <f>IF(F1467=0,"",IF(COUNTIF(F1467,"Bao"),[1]Setup!$B$4,IF(COUNTIF(F1467,"Soup Dumpling"),[1]Setup!$B$5,F1467)))</f>
        <v/>
      </c>
    </row>
    <row r="1468" spans="2:9" x14ac:dyDescent="0.3">
      <c r="B1468" s="100">
        <f t="shared" si="210"/>
        <v>0</v>
      </c>
      <c r="C1468" s="84" t="str">
        <f t="shared" si="211"/>
        <v>January</v>
      </c>
      <c r="I1468" s="87" t="str">
        <f>IF(F1468=0,"",IF(COUNTIF(F1468,"Bao"),[1]Setup!$B$4,IF(COUNTIF(F1468,"Soup Dumpling"),[1]Setup!$B$5,F1468)))</f>
        <v/>
      </c>
    </row>
    <row r="1469" spans="2:9" x14ac:dyDescent="0.3">
      <c r="B1469" s="100">
        <f t="shared" si="210"/>
        <v>0</v>
      </c>
      <c r="C1469" s="84" t="str">
        <f t="shared" si="211"/>
        <v>January</v>
      </c>
      <c r="I1469" s="87" t="str">
        <f>IF(F1469=0,"",IF(COUNTIF(F1469,"Bao"),[1]Setup!$B$4,IF(COUNTIF(F1469,"Soup Dumpling"),[1]Setup!$B$5,F1469)))</f>
        <v/>
      </c>
    </row>
    <row r="1470" spans="2:9" x14ac:dyDescent="0.3">
      <c r="B1470" s="100">
        <f t="shared" si="210"/>
        <v>0</v>
      </c>
      <c r="C1470" s="84" t="str">
        <f t="shared" si="211"/>
        <v>January</v>
      </c>
      <c r="I1470" s="87" t="str">
        <f>IF(F1470=0,"",IF(COUNTIF(F1470,"Bao"),[1]Setup!$B$4,IF(COUNTIF(F1470,"Soup Dumpling"),[1]Setup!$B$5,F1470)))</f>
        <v/>
      </c>
    </row>
    <row r="1471" spans="2:9" x14ac:dyDescent="0.3">
      <c r="B1471" s="100">
        <f t="shared" si="210"/>
        <v>0</v>
      </c>
      <c r="C1471" s="84" t="str">
        <f t="shared" si="211"/>
        <v>January</v>
      </c>
      <c r="I1471" s="87" t="str">
        <f>IF(F1471=0,"",IF(COUNTIF(F1471,"Bao"),[1]Setup!$B$4,IF(COUNTIF(F1471,"Soup Dumpling"),[1]Setup!$B$5,F1471)))</f>
        <v/>
      </c>
    </row>
    <row r="1472" spans="2:9" x14ac:dyDescent="0.3">
      <c r="B1472" s="100">
        <f t="shared" si="210"/>
        <v>0</v>
      </c>
      <c r="C1472" s="84" t="str">
        <f t="shared" si="211"/>
        <v>January</v>
      </c>
      <c r="I1472" s="87" t="str">
        <f>IF(F1472=0,"",IF(COUNTIF(F1472,"Bao"),[1]Setup!$B$4,IF(COUNTIF(F1472,"Soup Dumpling"),[1]Setup!$B$5,F1472)))</f>
        <v/>
      </c>
    </row>
    <row r="1473" spans="2:9" x14ac:dyDescent="0.3">
      <c r="B1473" s="100">
        <f t="shared" si="210"/>
        <v>0</v>
      </c>
      <c r="C1473" s="84" t="str">
        <f t="shared" si="211"/>
        <v>January</v>
      </c>
      <c r="I1473" s="87" t="str">
        <f>IF(F1473=0,"",IF(COUNTIF(F1473,"Bao"),[1]Setup!$B$4,IF(COUNTIF(F1473,"Soup Dumpling"),[1]Setup!$B$5,F1473)))</f>
        <v/>
      </c>
    </row>
    <row r="1474" spans="2:9" x14ac:dyDescent="0.3">
      <c r="B1474" s="100">
        <f t="shared" si="210"/>
        <v>0</v>
      </c>
      <c r="C1474" s="84" t="str">
        <f t="shared" si="211"/>
        <v>January</v>
      </c>
      <c r="I1474" s="87" t="str">
        <f>IF(F1474=0,"",IF(COUNTIF(F1474,"Bao"),[1]Setup!$B$4,IF(COUNTIF(F1474,"Soup Dumpling"),[1]Setup!$B$5,F1474)))</f>
        <v/>
      </c>
    </row>
    <row r="1475" spans="2:9" x14ac:dyDescent="0.3">
      <c r="B1475" s="100">
        <f t="shared" si="210"/>
        <v>0</v>
      </c>
      <c r="C1475" s="84" t="str">
        <f t="shared" si="211"/>
        <v>January</v>
      </c>
      <c r="I1475" s="87" t="str">
        <f>IF(F1475=0,"",IF(COUNTIF(F1475,"Bao"),[1]Setup!$B$4,IF(COUNTIF(F1475,"Soup Dumpling"),[1]Setup!$B$5,F1475)))</f>
        <v/>
      </c>
    </row>
    <row r="1476" spans="2:9" x14ac:dyDescent="0.3">
      <c r="B1476" s="100">
        <f t="shared" si="210"/>
        <v>0</v>
      </c>
      <c r="C1476" s="84" t="str">
        <f t="shared" si="211"/>
        <v>January</v>
      </c>
      <c r="I1476" s="87" t="str">
        <f>IF(F1476=0,"",IF(COUNTIF(F1476,"Bao"),[1]Setup!$B$4,IF(COUNTIF(F1476,"Soup Dumpling"),[1]Setup!$B$5,F1476)))</f>
        <v/>
      </c>
    </row>
    <row r="1477" spans="2:9" x14ac:dyDescent="0.3">
      <c r="B1477" s="100">
        <f t="shared" ref="B1477:B1540" si="212">+WEEKNUM(A1477)</f>
        <v>0</v>
      </c>
      <c r="C1477" s="84" t="str">
        <f t="shared" ref="C1477:C1540" si="213">+TEXT(A1477,"mmmm")</f>
        <v>January</v>
      </c>
      <c r="I1477" s="87" t="str">
        <f>IF(F1477=0,"",IF(COUNTIF(F1477,"Bao"),[1]Setup!$B$4,IF(COUNTIF(F1477,"Soup Dumpling"),[1]Setup!$B$5,F1477)))</f>
        <v/>
      </c>
    </row>
    <row r="1478" spans="2:9" x14ac:dyDescent="0.3">
      <c r="B1478" s="100">
        <f t="shared" si="212"/>
        <v>0</v>
      </c>
      <c r="C1478" s="84" t="str">
        <f t="shared" si="213"/>
        <v>January</v>
      </c>
      <c r="I1478" s="87" t="str">
        <f>IF(F1478=0,"",IF(COUNTIF(F1478,"Bao"),[1]Setup!$B$4,IF(COUNTIF(F1478,"Soup Dumpling"),[1]Setup!$B$5,F1478)))</f>
        <v/>
      </c>
    </row>
    <row r="1479" spans="2:9" x14ac:dyDescent="0.3">
      <c r="B1479" s="100">
        <f t="shared" si="212"/>
        <v>0</v>
      </c>
      <c r="C1479" s="84" t="str">
        <f t="shared" si="213"/>
        <v>January</v>
      </c>
      <c r="I1479" s="87" t="str">
        <f>IF(F1479=0,"",IF(COUNTIF(F1479,"Bao"),[1]Setup!$B$4,IF(COUNTIF(F1479,"Soup Dumpling"),[1]Setup!$B$5,F1479)))</f>
        <v/>
      </c>
    </row>
    <row r="1480" spans="2:9" x14ac:dyDescent="0.3">
      <c r="B1480" s="100">
        <f t="shared" si="212"/>
        <v>0</v>
      </c>
      <c r="C1480" s="84" t="str">
        <f t="shared" si="213"/>
        <v>January</v>
      </c>
      <c r="I1480" s="87" t="str">
        <f>IF(F1480=0,"",IF(COUNTIF(F1480,"Bao"),[1]Setup!$B$4,IF(COUNTIF(F1480,"Soup Dumpling"),[1]Setup!$B$5,F1480)))</f>
        <v/>
      </c>
    </row>
    <row r="1481" spans="2:9" x14ac:dyDescent="0.3">
      <c r="B1481" s="100">
        <f t="shared" si="212"/>
        <v>0</v>
      </c>
      <c r="C1481" s="84" t="str">
        <f t="shared" si="213"/>
        <v>January</v>
      </c>
      <c r="I1481" s="87" t="str">
        <f>IF(F1481=0,"",IF(COUNTIF(F1481,"Bao"),[1]Setup!$B$4,IF(COUNTIF(F1481,"Soup Dumpling"),[1]Setup!$B$5,F1481)))</f>
        <v/>
      </c>
    </row>
    <row r="1482" spans="2:9" x14ac:dyDescent="0.3">
      <c r="B1482" s="100">
        <f t="shared" si="212"/>
        <v>0</v>
      </c>
      <c r="C1482" s="84" t="str">
        <f t="shared" si="213"/>
        <v>January</v>
      </c>
      <c r="I1482" s="87" t="str">
        <f>IF(F1482=0,"",IF(COUNTIF(F1482,"Bao"),[1]Setup!$B$4,IF(COUNTIF(F1482,"Soup Dumpling"),[1]Setup!$B$5,F1482)))</f>
        <v/>
      </c>
    </row>
    <row r="1483" spans="2:9" x14ac:dyDescent="0.3">
      <c r="B1483" s="100">
        <f t="shared" si="212"/>
        <v>0</v>
      </c>
      <c r="C1483" s="84" t="str">
        <f t="shared" si="213"/>
        <v>January</v>
      </c>
      <c r="I1483" s="87" t="str">
        <f>IF(F1483=0,"",IF(COUNTIF(F1483,"Bao"),[1]Setup!$B$4,IF(COUNTIF(F1483,"Soup Dumpling"),[1]Setup!$B$5,F1483)))</f>
        <v/>
      </c>
    </row>
    <row r="1484" spans="2:9" x14ac:dyDescent="0.3">
      <c r="B1484" s="100">
        <f t="shared" si="212"/>
        <v>0</v>
      </c>
      <c r="C1484" s="84" t="str">
        <f t="shared" si="213"/>
        <v>January</v>
      </c>
      <c r="I1484" s="87" t="str">
        <f>IF(F1484=0,"",IF(COUNTIF(F1484,"Bao"),[1]Setup!$B$4,IF(COUNTIF(F1484,"Soup Dumpling"),[1]Setup!$B$5,F1484)))</f>
        <v/>
      </c>
    </row>
    <row r="1485" spans="2:9" x14ac:dyDescent="0.3">
      <c r="B1485" s="100">
        <f t="shared" si="212"/>
        <v>0</v>
      </c>
      <c r="C1485" s="84" t="str">
        <f t="shared" si="213"/>
        <v>January</v>
      </c>
      <c r="I1485" s="87" t="str">
        <f>IF(F1485=0,"",IF(COUNTIF(F1485,"Bao"),[1]Setup!$B$4,IF(COUNTIF(F1485,"Soup Dumpling"),[1]Setup!$B$5,F1485)))</f>
        <v/>
      </c>
    </row>
    <row r="1486" spans="2:9" x14ac:dyDescent="0.3">
      <c r="B1486" s="100">
        <f t="shared" si="212"/>
        <v>0</v>
      </c>
      <c r="C1486" s="84" t="str">
        <f t="shared" si="213"/>
        <v>January</v>
      </c>
      <c r="I1486" s="87" t="str">
        <f>IF(F1486=0,"",IF(COUNTIF(F1486,"Bao"),[1]Setup!$B$4,IF(COUNTIF(F1486,"Soup Dumpling"),[1]Setup!$B$5,F1486)))</f>
        <v/>
      </c>
    </row>
    <row r="1487" spans="2:9" x14ac:dyDescent="0.3">
      <c r="B1487" s="100">
        <f t="shared" si="212"/>
        <v>0</v>
      </c>
      <c r="C1487" s="84" t="str">
        <f t="shared" si="213"/>
        <v>January</v>
      </c>
      <c r="I1487" s="87" t="str">
        <f>IF(F1487=0,"",IF(COUNTIF(F1487,"Bao"),[1]Setup!$B$4,IF(COUNTIF(F1487,"Soup Dumpling"),[1]Setup!$B$5,F1487)))</f>
        <v/>
      </c>
    </row>
    <row r="1488" spans="2:9" x14ac:dyDescent="0.3">
      <c r="B1488" s="100">
        <f t="shared" si="212"/>
        <v>0</v>
      </c>
      <c r="C1488" s="84" t="str">
        <f t="shared" si="213"/>
        <v>January</v>
      </c>
      <c r="I1488" s="87" t="str">
        <f>IF(F1488=0,"",IF(COUNTIF(F1488,"Bao"),[1]Setup!$B$4,IF(COUNTIF(F1488,"Soup Dumpling"),[1]Setup!$B$5,F1488)))</f>
        <v/>
      </c>
    </row>
    <row r="1489" spans="2:9" x14ac:dyDescent="0.3">
      <c r="B1489" s="100">
        <f t="shared" si="212"/>
        <v>0</v>
      </c>
      <c r="C1489" s="84" t="str">
        <f t="shared" si="213"/>
        <v>January</v>
      </c>
      <c r="I1489" s="87" t="str">
        <f>IF(F1489=0,"",IF(COUNTIF(F1489,"Bao"),[1]Setup!$B$4,IF(COUNTIF(F1489,"Soup Dumpling"),[1]Setup!$B$5,F1489)))</f>
        <v/>
      </c>
    </row>
    <row r="1490" spans="2:9" x14ac:dyDescent="0.3">
      <c r="B1490" s="100">
        <f t="shared" si="212"/>
        <v>0</v>
      </c>
      <c r="C1490" s="84" t="str">
        <f t="shared" si="213"/>
        <v>January</v>
      </c>
      <c r="I1490" s="87" t="str">
        <f>IF(F1490=0,"",IF(COUNTIF(F1490,"Bao"),[1]Setup!$B$4,IF(COUNTIF(F1490,"Soup Dumpling"),[1]Setup!$B$5,F1490)))</f>
        <v/>
      </c>
    </row>
    <row r="1491" spans="2:9" x14ac:dyDescent="0.3">
      <c r="B1491" s="100">
        <f t="shared" si="212"/>
        <v>0</v>
      </c>
      <c r="C1491" s="84" t="str">
        <f t="shared" si="213"/>
        <v>January</v>
      </c>
      <c r="I1491" s="87" t="str">
        <f>IF(F1491=0,"",IF(COUNTIF(F1491,"Bao"),[1]Setup!$B$4,IF(COUNTIF(F1491,"Soup Dumpling"),[1]Setup!$B$5,F1491)))</f>
        <v/>
      </c>
    </row>
    <row r="1492" spans="2:9" x14ac:dyDescent="0.3">
      <c r="B1492" s="100">
        <f t="shared" si="212"/>
        <v>0</v>
      </c>
      <c r="C1492" s="84" t="str">
        <f t="shared" si="213"/>
        <v>January</v>
      </c>
      <c r="I1492" s="87" t="str">
        <f>IF(F1492=0,"",IF(COUNTIF(F1492,"Bao"),[1]Setup!$B$4,IF(COUNTIF(F1492,"Soup Dumpling"),[1]Setup!$B$5,F1492)))</f>
        <v/>
      </c>
    </row>
    <row r="1493" spans="2:9" x14ac:dyDescent="0.3">
      <c r="B1493" s="100">
        <f t="shared" si="212"/>
        <v>0</v>
      </c>
      <c r="C1493" s="84" t="str">
        <f t="shared" si="213"/>
        <v>January</v>
      </c>
      <c r="I1493" s="87" t="str">
        <f>IF(F1493=0,"",IF(COUNTIF(F1493,"Bao"),[1]Setup!$B$4,IF(COUNTIF(F1493,"Soup Dumpling"),[1]Setup!$B$5,F1493)))</f>
        <v/>
      </c>
    </row>
    <row r="1494" spans="2:9" x14ac:dyDescent="0.3">
      <c r="B1494" s="100">
        <f t="shared" si="212"/>
        <v>0</v>
      </c>
      <c r="C1494" s="84" t="str">
        <f t="shared" si="213"/>
        <v>January</v>
      </c>
      <c r="I1494" s="87" t="str">
        <f>IF(F1494=0,"",IF(COUNTIF(F1494,"Bao"),[1]Setup!$B$4,IF(COUNTIF(F1494,"Soup Dumpling"),[1]Setup!$B$5,F1494)))</f>
        <v/>
      </c>
    </row>
    <row r="1495" spans="2:9" x14ac:dyDescent="0.3">
      <c r="B1495" s="100">
        <f t="shared" si="212"/>
        <v>0</v>
      </c>
      <c r="C1495" s="84" t="str">
        <f t="shared" si="213"/>
        <v>January</v>
      </c>
      <c r="I1495" s="87" t="str">
        <f>IF(F1495=0,"",IF(COUNTIF(F1495,"Bao"),[1]Setup!$B$4,IF(COUNTIF(F1495,"Soup Dumpling"),[1]Setup!$B$5,F1495)))</f>
        <v/>
      </c>
    </row>
    <row r="1496" spans="2:9" x14ac:dyDescent="0.3">
      <c r="B1496" s="100">
        <f t="shared" si="212"/>
        <v>0</v>
      </c>
      <c r="C1496" s="84" t="str">
        <f t="shared" si="213"/>
        <v>January</v>
      </c>
      <c r="I1496" s="87" t="str">
        <f>IF(F1496=0,"",IF(COUNTIF(F1496,"Bao"),[1]Setup!$B$4,IF(COUNTIF(F1496,"Soup Dumpling"),[1]Setup!$B$5,F1496)))</f>
        <v/>
      </c>
    </row>
    <row r="1497" spans="2:9" x14ac:dyDescent="0.3">
      <c r="B1497" s="100">
        <f t="shared" si="212"/>
        <v>0</v>
      </c>
      <c r="C1497" s="84" t="str">
        <f t="shared" si="213"/>
        <v>January</v>
      </c>
      <c r="I1497" s="87" t="str">
        <f>IF(F1497=0,"",IF(COUNTIF(F1497,"Bao"),[1]Setup!$B$4,IF(COUNTIF(F1497,"Soup Dumpling"),[1]Setup!$B$5,F1497)))</f>
        <v/>
      </c>
    </row>
    <row r="1498" spans="2:9" x14ac:dyDescent="0.3">
      <c r="B1498" s="100">
        <f t="shared" si="212"/>
        <v>0</v>
      </c>
      <c r="C1498" s="84" t="str">
        <f t="shared" si="213"/>
        <v>January</v>
      </c>
      <c r="I1498" s="87" t="str">
        <f>IF(F1498=0,"",IF(COUNTIF(F1498,"Bao"),[1]Setup!$B$4,IF(COUNTIF(F1498,"Soup Dumpling"),[1]Setup!$B$5,F1498)))</f>
        <v/>
      </c>
    </row>
    <row r="1499" spans="2:9" x14ac:dyDescent="0.3">
      <c r="B1499" s="100">
        <f t="shared" si="212"/>
        <v>0</v>
      </c>
      <c r="C1499" s="84" t="str">
        <f t="shared" si="213"/>
        <v>January</v>
      </c>
      <c r="I1499" s="87" t="str">
        <f>IF(F1499=0,"",IF(COUNTIF(F1499,"Bao"),[1]Setup!$B$4,IF(COUNTIF(F1499,"Soup Dumpling"),[1]Setup!$B$5,F1499)))</f>
        <v/>
      </c>
    </row>
    <row r="1500" spans="2:9" x14ac:dyDescent="0.3">
      <c r="B1500" s="100">
        <f t="shared" si="212"/>
        <v>0</v>
      </c>
      <c r="C1500" s="84" t="str">
        <f t="shared" si="213"/>
        <v>January</v>
      </c>
      <c r="I1500" s="87" t="str">
        <f>IF(F1500=0,"",IF(COUNTIF(F1500,"Bao"),[1]Setup!$B$4,IF(COUNTIF(F1500,"Soup Dumpling"),[1]Setup!$B$5,F1500)))</f>
        <v/>
      </c>
    </row>
    <row r="1501" spans="2:9" x14ac:dyDescent="0.3">
      <c r="B1501" s="100">
        <f t="shared" si="212"/>
        <v>0</v>
      </c>
      <c r="C1501" s="84" t="str">
        <f t="shared" si="213"/>
        <v>January</v>
      </c>
      <c r="I1501" s="87" t="str">
        <f>IF(F1501=0,"",IF(COUNTIF(F1501,"Bao"),[1]Setup!$B$4,IF(COUNTIF(F1501,"Soup Dumpling"),[1]Setup!$B$5,F1501)))</f>
        <v/>
      </c>
    </row>
    <row r="1502" spans="2:9" x14ac:dyDescent="0.3">
      <c r="B1502" s="100">
        <f t="shared" si="212"/>
        <v>0</v>
      </c>
      <c r="C1502" s="84" t="str">
        <f t="shared" si="213"/>
        <v>January</v>
      </c>
      <c r="I1502" s="87" t="str">
        <f>IF(F1502=0,"",IF(COUNTIF(F1502,"Bao"),[1]Setup!$B$4,IF(COUNTIF(F1502,"Soup Dumpling"),[1]Setup!$B$5,F1502)))</f>
        <v/>
      </c>
    </row>
    <row r="1503" spans="2:9" x14ac:dyDescent="0.3">
      <c r="B1503" s="100">
        <f t="shared" si="212"/>
        <v>0</v>
      </c>
      <c r="C1503" s="84" t="str">
        <f t="shared" si="213"/>
        <v>January</v>
      </c>
      <c r="I1503" s="87" t="str">
        <f>IF(F1503=0,"",IF(COUNTIF(F1503,"Bao"),[1]Setup!$B$4,IF(COUNTIF(F1503,"Soup Dumpling"),[1]Setup!$B$5,F1503)))</f>
        <v/>
      </c>
    </row>
    <row r="1504" spans="2:9" x14ac:dyDescent="0.3">
      <c r="B1504" s="100">
        <f t="shared" si="212"/>
        <v>0</v>
      </c>
      <c r="C1504" s="84" t="str">
        <f t="shared" si="213"/>
        <v>January</v>
      </c>
      <c r="I1504" s="87" t="str">
        <f>IF(F1504=0,"",IF(COUNTIF(F1504,"Bao"),[1]Setup!$B$4,IF(COUNTIF(F1504,"Soup Dumpling"),[1]Setup!$B$5,F1504)))</f>
        <v/>
      </c>
    </row>
    <row r="1505" spans="2:9" x14ac:dyDescent="0.3">
      <c r="B1505" s="100">
        <f t="shared" si="212"/>
        <v>0</v>
      </c>
      <c r="C1505" s="84" t="str">
        <f t="shared" si="213"/>
        <v>January</v>
      </c>
      <c r="I1505" s="87" t="str">
        <f>IF(F1505=0,"",IF(COUNTIF(F1505,"Bao"),[1]Setup!$B$4,IF(COUNTIF(F1505,"Soup Dumpling"),[1]Setup!$B$5,F1505)))</f>
        <v/>
      </c>
    </row>
    <row r="1506" spans="2:9" x14ac:dyDescent="0.3">
      <c r="B1506" s="100">
        <f t="shared" si="212"/>
        <v>0</v>
      </c>
      <c r="C1506" s="84" t="str">
        <f t="shared" si="213"/>
        <v>January</v>
      </c>
      <c r="I1506" s="87" t="str">
        <f>IF(F1506=0,"",IF(COUNTIF(F1506,"Bao"),[1]Setup!$B$4,IF(COUNTIF(F1506,"Soup Dumpling"),[1]Setup!$B$5,F1506)))</f>
        <v/>
      </c>
    </row>
    <row r="1507" spans="2:9" x14ac:dyDescent="0.3">
      <c r="B1507" s="100">
        <f t="shared" si="212"/>
        <v>0</v>
      </c>
      <c r="C1507" s="84" t="str">
        <f t="shared" si="213"/>
        <v>January</v>
      </c>
      <c r="I1507" s="87" t="str">
        <f>IF(F1507=0,"",IF(COUNTIF(F1507,"Bao"),[1]Setup!$B$4,IF(COUNTIF(F1507,"Soup Dumpling"),[1]Setup!$B$5,F1507)))</f>
        <v/>
      </c>
    </row>
    <row r="1508" spans="2:9" x14ac:dyDescent="0.3">
      <c r="B1508" s="100">
        <f t="shared" si="212"/>
        <v>0</v>
      </c>
      <c r="C1508" s="84" t="str">
        <f t="shared" si="213"/>
        <v>January</v>
      </c>
      <c r="I1508" s="87" t="str">
        <f>IF(F1508=0,"",IF(COUNTIF(F1508,"Bao"),[1]Setup!$B$4,IF(COUNTIF(F1508,"Soup Dumpling"),[1]Setup!$B$5,F1508)))</f>
        <v/>
      </c>
    </row>
    <row r="1509" spans="2:9" x14ac:dyDescent="0.3">
      <c r="B1509" s="100">
        <f t="shared" si="212"/>
        <v>0</v>
      </c>
      <c r="C1509" s="84" t="str">
        <f t="shared" si="213"/>
        <v>January</v>
      </c>
      <c r="I1509" s="87" t="str">
        <f>IF(F1509=0,"",IF(COUNTIF(F1509,"Bao"),[1]Setup!$B$4,IF(COUNTIF(F1509,"Soup Dumpling"),[1]Setup!$B$5,F1509)))</f>
        <v/>
      </c>
    </row>
    <row r="1510" spans="2:9" x14ac:dyDescent="0.3">
      <c r="B1510" s="100">
        <f t="shared" si="212"/>
        <v>0</v>
      </c>
      <c r="C1510" s="84" t="str">
        <f t="shared" si="213"/>
        <v>January</v>
      </c>
      <c r="I1510" s="87" t="str">
        <f>IF(F1510=0,"",IF(COUNTIF(F1510,"Bao"),[1]Setup!$B$4,IF(COUNTIF(F1510,"Soup Dumpling"),[1]Setup!$B$5,F1510)))</f>
        <v/>
      </c>
    </row>
    <row r="1511" spans="2:9" x14ac:dyDescent="0.3">
      <c r="B1511" s="100">
        <f t="shared" si="212"/>
        <v>0</v>
      </c>
      <c r="C1511" s="84" t="str">
        <f t="shared" si="213"/>
        <v>January</v>
      </c>
      <c r="I1511" s="87" t="str">
        <f>IF(F1511=0,"",IF(COUNTIF(F1511,"Bao"),[1]Setup!$B$4,IF(COUNTIF(F1511,"Soup Dumpling"),[1]Setup!$B$5,F1511)))</f>
        <v/>
      </c>
    </row>
    <row r="1512" spans="2:9" x14ac:dyDescent="0.3">
      <c r="B1512" s="100">
        <f t="shared" si="212"/>
        <v>0</v>
      </c>
      <c r="C1512" s="84" t="str">
        <f t="shared" si="213"/>
        <v>January</v>
      </c>
      <c r="I1512" s="87" t="str">
        <f>IF(F1512=0,"",IF(COUNTIF(F1512,"Bao"),[1]Setup!$B$4,IF(COUNTIF(F1512,"Soup Dumpling"),[1]Setup!$B$5,F1512)))</f>
        <v/>
      </c>
    </row>
    <row r="1513" spans="2:9" x14ac:dyDescent="0.3">
      <c r="B1513" s="100">
        <f t="shared" si="212"/>
        <v>0</v>
      </c>
      <c r="C1513" s="84" t="str">
        <f t="shared" si="213"/>
        <v>January</v>
      </c>
      <c r="I1513" s="87" t="str">
        <f>IF(F1513=0,"",IF(COUNTIF(F1513,"Bao"),[1]Setup!$B$4,IF(COUNTIF(F1513,"Soup Dumpling"),[1]Setup!$B$5,F1513)))</f>
        <v/>
      </c>
    </row>
    <row r="1514" spans="2:9" x14ac:dyDescent="0.3">
      <c r="B1514" s="100">
        <f t="shared" si="212"/>
        <v>0</v>
      </c>
      <c r="C1514" s="84" t="str">
        <f t="shared" si="213"/>
        <v>January</v>
      </c>
      <c r="I1514" s="87" t="str">
        <f>IF(F1514=0,"",IF(COUNTIF(F1514,"Bao"),[1]Setup!$B$4,IF(COUNTIF(F1514,"Soup Dumpling"),[1]Setup!$B$5,F1514)))</f>
        <v/>
      </c>
    </row>
    <row r="1515" spans="2:9" x14ac:dyDescent="0.3">
      <c r="B1515" s="100">
        <f t="shared" si="212"/>
        <v>0</v>
      </c>
      <c r="C1515" s="84" t="str">
        <f t="shared" si="213"/>
        <v>January</v>
      </c>
      <c r="I1515" s="87" t="str">
        <f>IF(F1515=0,"",IF(COUNTIF(F1515,"Bao"),[1]Setup!$B$4,IF(COUNTIF(F1515,"Soup Dumpling"),[1]Setup!$B$5,F1515)))</f>
        <v/>
      </c>
    </row>
    <row r="1516" spans="2:9" x14ac:dyDescent="0.3">
      <c r="B1516" s="100">
        <f t="shared" si="212"/>
        <v>0</v>
      </c>
      <c r="C1516" s="84" t="str">
        <f t="shared" si="213"/>
        <v>January</v>
      </c>
      <c r="I1516" s="87" t="str">
        <f>IF(F1516=0,"",IF(COUNTIF(F1516,"Bao"),[1]Setup!$B$4,IF(COUNTIF(F1516,"Soup Dumpling"),[1]Setup!$B$5,F1516)))</f>
        <v/>
      </c>
    </row>
    <row r="1517" spans="2:9" x14ac:dyDescent="0.3">
      <c r="B1517" s="100">
        <f t="shared" si="212"/>
        <v>0</v>
      </c>
      <c r="C1517" s="84" t="str">
        <f t="shared" si="213"/>
        <v>January</v>
      </c>
      <c r="I1517" s="87" t="str">
        <f>IF(F1517=0,"",IF(COUNTIF(F1517,"Bao"),[1]Setup!$B$4,IF(COUNTIF(F1517,"Soup Dumpling"),[1]Setup!$B$5,F1517)))</f>
        <v/>
      </c>
    </row>
    <row r="1518" spans="2:9" x14ac:dyDescent="0.3">
      <c r="B1518" s="100">
        <f t="shared" si="212"/>
        <v>0</v>
      </c>
      <c r="C1518" s="84" t="str">
        <f t="shared" si="213"/>
        <v>January</v>
      </c>
      <c r="I1518" s="87" t="str">
        <f>IF(F1518=0,"",IF(COUNTIF(F1518,"Bao"),[1]Setup!$B$4,IF(COUNTIF(F1518,"Soup Dumpling"),[1]Setup!$B$5,F1518)))</f>
        <v/>
      </c>
    </row>
    <row r="1519" spans="2:9" x14ac:dyDescent="0.3">
      <c r="B1519" s="100">
        <f t="shared" si="212"/>
        <v>0</v>
      </c>
      <c r="C1519" s="84" t="str">
        <f t="shared" si="213"/>
        <v>January</v>
      </c>
      <c r="I1519" s="87" t="str">
        <f>IF(F1519=0,"",IF(COUNTIF(F1519,"Bao"),[1]Setup!$B$4,IF(COUNTIF(F1519,"Soup Dumpling"),[1]Setup!$B$5,F1519)))</f>
        <v/>
      </c>
    </row>
    <row r="1520" spans="2:9" x14ac:dyDescent="0.3">
      <c r="B1520" s="100">
        <f t="shared" si="212"/>
        <v>0</v>
      </c>
      <c r="C1520" s="84" t="str">
        <f t="shared" si="213"/>
        <v>January</v>
      </c>
      <c r="I1520" s="87" t="str">
        <f>IF(F1520=0,"",IF(COUNTIF(F1520,"Bao"),[1]Setup!$B$4,IF(COUNTIF(F1520,"Soup Dumpling"),[1]Setup!$B$5,F1520)))</f>
        <v/>
      </c>
    </row>
    <row r="1521" spans="2:9" x14ac:dyDescent="0.3">
      <c r="B1521" s="100">
        <f t="shared" si="212"/>
        <v>0</v>
      </c>
      <c r="C1521" s="84" t="str">
        <f t="shared" si="213"/>
        <v>January</v>
      </c>
      <c r="I1521" s="87" t="str">
        <f>IF(F1521=0,"",IF(COUNTIF(F1521,"Bao"),[1]Setup!$B$4,IF(COUNTIF(F1521,"Soup Dumpling"),[1]Setup!$B$5,F1521)))</f>
        <v/>
      </c>
    </row>
    <row r="1522" spans="2:9" x14ac:dyDescent="0.3">
      <c r="B1522" s="100">
        <f t="shared" si="212"/>
        <v>0</v>
      </c>
      <c r="C1522" s="84" t="str">
        <f t="shared" si="213"/>
        <v>January</v>
      </c>
      <c r="I1522" s="87" t="str">
        <f>IF(F1522=0,"",IF(COUNTIF(F1522,"Bao"),[1]Setup!$B$4,IF(COUNTIF(F1522,"Soup Dumpling"),[1]Setup!$B$5,F1522)))</f>
        <v/>
      </c>
    </row>
    <row r="1523" spans="2:9" x14ac:dyDescent="0.3">
      <c r="B1523" s="100">
        <f t="shared" si="212"/>
        <v>0</v>
      </c>
      <c r="C1523" s="84" t="str">
        <f t="shared" si="213"/>
        <v>January</v>
      </c>
      <c r="I1523" s="87" t="str">
        <f>IF(F1523=0,"",IF(COUNTIF(F1523,"Bao"),[1]Setup!$B$4,IF(COUNTIF(F1523,"Soup Dumpling"),[1]Setup!$B$5,F1523)))</f>
        <v/>
      </c>
    </row>
    <row r="1524" spans="2:9" x14ac:dyDescent="0.3">
      <c r="B1524" s="100">
        <f t="shared" si="212"/>
        <v>0</v>
      </c>
      <c r="C1524" s="84" t="str">
        <f t="shared" si="213"/>
        <v>January</v>
      </c>
      <c r="I1524" s="87" t="str">
        <f>IF(F1524=0,"",IF(COUNTIF(F1524,"Bao"),[1]Setup!$B$4,IF(COUNTIF(F1524,"Soup Dumpling"),[1]Setup!$B$5,F1524)))</f>
        <v/>
      </c>
    </row>
    <row r="1525" spans="2:9" x14ac:dyDescent="0.3">
      <c r="B1525" s="100">
        <f t="shared" si="212"/>
        <v>0</v>
      </c>
      <c r="C1525" s="84" t="str">
        <f t="shared" si="213"/>
        <v>January</v>
      </c>
      <c r="I1525" s="87" t="str">
        <f>IF(F1525=0,"",IF(COUNTIF(F1525,"Bao"),[1]Setup!$B$4,IF(COUNTIF(F1525,"Soup Dumpling"),[1]Setup!$B$5,F1525)))</f>
        <v/>
      </c>
    </row>
    <row r="1526" spans="2:9" x14ac:dyDescent="0.3">
      <c r="B1526" s="100">
        <f t="shared" si="212"/>
        <v>0</v>
      </c>
      <c r="C1526" s="84" t="str">
        <f t="shared" si="213"/>
        <v>January</v>
      </c>
      <c r="I1526" s="87" t="str">
        <f>IF(F1526=0,"",IF(COUNTIF(F1526,"Bao"),[1]Setup!$B$4,IF(COUNTIF(F1526,"Soup Dumpling"),[1]Setup!$B$5,F1526)))</f>
        <v/>
      </c>
    </row>
    <row r="1527" spans="2:9" x14ac:dyDescent="0.3">
      <c r="B1527" s="100">
        <f t="shared" si="212"/>
        <v>0</v>
      </c>
      <c r="C1527" s="84" t="str">
        <f t="shared" si="213"/>
        <v>January</v>
      </c>
      <c r="I1527" s="87" t="str">
        <f>IF(F1527=0,"",IF(COUNTIF(F1527,"Bao"),[1]Setup!$B$4,IF(COUNTIF(F1527,"Soup Dumpling"),[1]Setup!$B$5,F1527)))</f>
        <v/>
      </c>
    </row>
    <row r="1528" spans="2:9" x14ac:dyDescent="0.3">
      <c r="B1528" s="100">
        <f t="shared" si="212"/>
        <v>0</v>
      </c>
      <c r="C1528" s="84" t="str">
        <f t="shared" si="213"/>
        <v>January</v>
      </c>
      <c r="I1528" s="87" t="str">
        <f>IF(F1528=0,"",IF(COUNTIF(F1528,"Bao"),[1]Setup!$B$4,IF(COUNTIF(F1528,"Soup Dumpling"),[1]Setup!$B$5,F1528)))</f>
        <v/>
      </c>
    </row>
    <row r="1529" spans="2:9" x14ac:dyDescent="0.3">
      <c r="B1529" s="100">
        <f t="shared" si="212"/>
        <v>0</v>
      </c>
      <c r="C1529" s="84" t="str">
        <f t="shared" si="213"/>
        <v>January</v>
      </c>
      <c r="I1529" s="87" t="str">
        <f>IF(F1529=0,"",IF(COUNTIF(F1529,"Bao"),[1]Setup!$B$4,IF(COUNTIF(F1529,"Soup Dumpling"),[1]Setup!$B$5,F1529)))</f>
        <v/>
      </c>
    </row>
    <row r="1530" spans="2:9" x14ac:dyDescent="0.3">
      <c r="B1530" s="100">
        <f t="shared" si="212"/>
        <v>0</v>
      </c>
      <c r="C1530" s="84" t="str">
        <f t="shared" si="213"/>
        <v>January</v>
      </c>
      <c r="I1530" s="87" t="str">
        <f>IF(F1530=0,"",IF(COUNTIF(F1530,"Bao"),[1]Setup!$B$4,IF(COUNTIF(F1530,"Soup Dumpling"),[1]Setup!$B$5,F1530)))</f>
        <v/>
      </c>
    </row>
    <row r="1531" spans="2:9" x14ac:dyDescent="0.3">
      <c r="B1531" s="100">
        <f t="shared" si="212"/>
        <v>0</v>
      </c>
      <c r="C1531" s="84" t="str">
        <f t="shared" si="213"/>
        <v>January</v>
      </c>
      <c r="I1531" s="87" t="str">
        <f>IF(F1531=0,"",IF(COUNTIF(F1531,"Bao"),[1]Setup!$B$4,IF(COUNTIF(F1531,"Soup Dumpling"),[1]Setup!$B$5,F1531)))</f>
        <v/>
      </c>
    </row>
    <row r="1532" spans="2:9" x14ac:dyDescent="0.3">
      <c r="B1532" s="100">
        <f t="shared" si="212"/>
        <v>0</v>
      </c>
      <c r="C1532" s="84" t="str">
        <f t="shared" si="213"/>
        <v>January</v>
      </c>
      <c r="I1532" s="87" t="str">
        <f>IF(F1532=0,"",IF(COUNTIF(F1532,"Bao"),[1]Setup!$B$4,IF(COUNTIF(F1532,"Soup Dumpling"),[1]Setup!$B$5,F1532)))</f>
        <v/>
      </c>
    </row>
    <row r="1533" spans="2:9" x14ac:dyDescent="0.3">
      <c r="B1533" s="100">
        <f t="shared" si="212"/>
        <v>0</v>
      </c>
      <c r="C1533" s="84" t="str">
        <f t="shared" si="213"/>
        <v>January</v>
      </c>
      <c r="I1533" s="87" t="str">
        <f>IF(F1533=0,"",IF(COUNTIF(F1533,"Bao"),[1]Setup!$B$4,IF(COUNTIF(F1533,"Soup Dumpling"),[1]Setup!$B$5,F1533)))</f>
        <v/>
      </c>
    </row>
    <row r="1534" spans="2:9" x14ac:dyDescent="0.3">
      <c r="B1534" s="100">
        <f t="shared" si="212"/>
        <v>0</v>
      </c>
      <c r="C1534" s="84" t="str">
        <f t="shared" si="213"/>
        <v>January</v>
      </c>
      <c r="I1534" s="87" t="str">
        <f>IF(F1534=0,"",IF(COUNTIF(F1534,"Bao"),[1]Setup!$B$4,IF(COUNTIF(F1534,"Soup Dumpling"),[1]Setup!$B$5,F1534)))</f>
        <v/>
      </c>
    </row>
    <row r="1535" spans="2:9" x14ac:dyDescent="0.3">
      <c r="B1535" s="100">
        <f t="shared" si="212"/>
        <v>0</v>
      </c>
      <c r="C1535" s="84" t="str">
        <f t="shared" si="213"/>
        <v>January</v>
      </c>
      <c r="I1535" s="87" t="str">
        <f>IF(F1535=0,"",IF(COUNTIF(F1535,"Bao"),[1]Setup!$B$4,IF(COUNTIF(F1535,"Soup Dumpling"),[1]Setup!$B$5,F1535)))</f>
        <v/>
      </c>
    </row>
    <row r="1536" spans="2:9" x14ac:dyDescent="0.3">
      <c r="B1536" s="100">
        <f t="shared" si="212"/>
        <v>0</v>
      </c>
      <c r="C1536" s="84" t="str">
        <f t="shared" si="213"/>
        <v>January</v>
      </c>
      <c r="I1536" s="87" t="str">
        <f>IF(F1536=0,"",IF(COUNTIF(F1536,"Bao"),[1]Setup!$B$4,IF(COUNTIF(F1536,"Soup Dumpling"),[1]Setup!$B$5,F1536)))</f>
        <v/>
      </c>
    </row>
    <row r="1537" spans="2:9" x14ac:dyDescent="0.3">
      <c r="B1537" s="100">
        <f t="shared" si="212"/>
        <v>0</v>
      </c>
      <c r="C1537" s="84" t="str">
        <f t="shared" si="213"/>
        <v>January</v>
      </c>
      <c r="I1537" s="87" t="str">
        <f>IF(F1537=0,"",IF(COUNTIF(F1537,"Bao"),[1]Setup!$B$4,IF(COUNTIF(F1537,"Soup Dumpling"),[1]Setup!$B$5,F1537)))</f>
        <v/>
      </c>
    </row>
    <row r="1538" spans="2:9" x14ac:dyDescent="0.3">
      <c r="B1538" s="100">
        <f t="shared" si="212"/>
        <v>0</v>
      </c>
      <c r="C1538" s="84" t="str">
        <f t="shared" si="213"/>
        <v>January</v>
      </c>
      <c r="I1538" s="87" t="str">
        <f>IF(F1538=0,"",IF(COUNTIF(F1538,"Bao"),[1]Setup!$B$4,IF(COUNTIF(F1538,"Soup Dumpling"),[1]Setup!$B$5,F1538)))</f>
        <v/>
      </c>
    </row>
    <row r="1539" spans="2:9" x14ac:dyDescent="0.3">
      <c r="B1539" s="100">
        <f t="shared" si="212"/>
        <v>0</v>
      </c>
      <c r="C1539" s="84" t="str">
        <f t="shared" si="213"/>
        <v>January</v>
      </c>
      <c r="I1539" s="87" t="str">
        <f>IF(F1539=0,"",IF(COUNTIF(F1539,"Bao"),[1]Setup!$B$4,IF(COUNTIF(F1539,"Soup Dumpling"),[1]Setup!$B$5,F1539)))</f>
        <v/>
      </c>
    </row>
    <row r="1540" spans="2:9" x14ac:dyDescent="0.3">
      <c r="B1540" s="100">
        <f t="shared" si="212"/>
        <v>0</v>
      </c>
      <c r="C1540" s="84" t="str">
        <f t="shared" si="213"/>
        <v>January</v>
      </c>
      <c r="I1540" s="87" t="str">
        <f>IF(F1540=0,"",IF(COUNTIF(F1540,"Bao"),[1]Setup!$B$4,IF(COUNTIF(F1540,"Soup Dumpling"),[1]Setup!$B$5,F1540)))</f>
        <v/>
      </c>
    </row>
    <row r="1541" spans="2:9" x14ac:dyDescent="0.3">
      <c r="B1541" s="100">
        <f t="shared" ref="B1541:B1604" si="214">+WEEKNUM(A1541)</f>
        <v>0</v>
      </c>
      <c r="C1541" s="84" t="str">
        <f t="shared" ref="C1541:C1604" si="215">+TEXT(A1541,"mmmm")</f>
        <v>January</v>
      </c>
      <c r="I1541" s="87" t="str">
        <f>IF(F1541=0,"",IF(COUNTIF(F1541,"Bao"),[1]Setup!$B$4,IF(COUNTIF(F1541,"Soup Dumpling"),[1]Setup!$B$5,F1541)))</f>
        <v/>
      </c>
    </row>
    <row r="1542" spans="2:9" x14ac:dyDescent="0.3">
      <c r="B1542" s="100">
        <f t="shared" si="214"/>
        <v>0</v>
      </c>
      <c r="C1542" s="84" t="str">
        <f t="shared" si="215"/>
        <v>January</v>
      </c>
      <c r="I1542" s="87" t="str">
        <f>IF(F1542=0,"",IF(COUNTIF(F1542,"Bao"),[1]Setup!$B$4,IF(COUNTIF(F1542,"Soup Dumpling"),[1]Setup!$B$5,F1542)))</f>
        <v/>
      </c>
    </row>
    <row r="1543" spans="2:9" x14ac:dyDescent="0.3">
      <c r="B1543" s="100">
        <f t="shared" si="214"/>
        <v>0</v>
      </c>
      <c r="C1543" s="84" t="str">
        <f t="shared" si="215"/>
        <v>January</v>
      </c>
      <c r="I1543" s="87" t="str">
        <f>IF(F1543=0,"",IF(COUNTIF(F1543,"Bao"),[1]Setup!$B$4,IF(COUNTIF(F1543,"Soup Dumpling"),[1]Setup!$B$5,F1543)))</f>
        <v/>
      </c>
    </row>
    <row r="1544" spans="2:9" x14ac:dyDescent="0.3">
      <c r="B1544" s="100">
        <f t="shared" si="214"/>
        <v>0</v>
      </c>
      <c r="C1544" s="84" t="str">
        <f t="shared" si="215"/>
        <v>January</v>
      </c>
      <c r="I1544" s="87" t="str">
        <f>IF(F1544=0,"",IF(COUNTIF(F1544,"Bao"),[1]Setup!$B$4,IF(COUNTIF(F1544,"Soup Dumpling"),[1]Setup!$B$5,F1544)))</f>
        <v/>
      </c>
    </row>
    <row r="1545" spans="2:9" x14ac:dyDescent="0.3">
      <c r="B1545" s="100">
        <f t="shared" si="214"/>
        <v>0</v>
      </c>
      <c r="C1545" s="84" t="str">
        <f t="shared" si="215"/>
        <v>January</v>
      </c>
      <c r="I1545" s="87" t="str">
        <f>IF(F1545=0,"",IF(COUNTIF(F1545,"Bao"),[1]Setup!$B$4,IF(COUNTIF(F1545,"Soup Dumpling"),[1]Setup!$B$5,F1545)))</f>
        <v/>
      </c>
    </row>
    <row r="1546" spans="2:9" x14ac:dyDescent="0.3">
      <c r="B1546" s="100">
        <f t="shared" si="214"/>
        <v>0</v>
      </c>
      <c r="C1546" s="84" t="str">
        <f t="shared" si="215"/>
        <v>January</v>
      </c>
      <c r="I1546" s="87" t="str">
        <f>IF(F1546=0,"",IF(COUNTIF(F1546,"Bao"),[1]Setup!$B$4,IF(COUNTIF(F1546,"Soup Dumpling"),[1]Setup!$B$5,F1546)))</f>
        <v/>
      </c>
    </row>
    <row r="1547" spans="2:9" x14ac:dyDescent="0.3">
      <c r="B1547" s="100">
        <f t="shared" si="214"/>
        <v>0</v>
      </c>
      <c r="C1547" s="84" t="str">
        <f t="shared" si="215"/>
        <v>January</v>
      </c>
      <c r="I1547" s="87" t="str">
        <f>IF(F1547=0,"",IF(COUNTIF(F1547,"Bao"),[1]Setup!$B$4,IF(COUNTIF(F1547,"Soup Dumpling"),[1]Setup!$B$5,F1547)))</f>
        <v/>
      </c>
    </row>
    <row r="1548" spans="2:9" x14ac:dyDescent="0.3">
      <c r="B1548" s="100">
        <f t="shared" si="214"/>
        <v>0</v>
      </c>
      <c r="C1548" s="84" t="str">
        <f t="shared" si="215"/>
        <v>January</v>
      </c>
      <c r="I1548" s="87" t="str">
        <f>IF(F1548=0,"",IF(COUNTIF(F1548,"Bao"),[1]Setup!$B$4,IF(COUNTIF(F1548,"Soup Dumpling"),[1]Setup!$B$5,F1548)))</f>
        <v/>
      </c>
    </row>
    <row r="1549" spans="2:9" x14ac:dyDescent="0.3">
      <c r="B1549" s="100">
        <f t="shared" si="214"/>
        <v>0</v>
      </c>
      <c r="C1549" s="84" t="str">
        <f t="shared" si="215"/>
        <v>January</v>
      </c>
      <c r="I1549" s="87" t="str">
        <f>IF(F1549=0,"",IF(COUNTIF(F1549,"Bao"),[1]Setup!$B$4,IF(COUNTIF(F1549,"Soup Dumpling"),[1]Setup!$B$5,F1549)))</f>
        <v/>
      </c>
    </row>
    <row r="1550" spans="2:9" x14ac:dyDescent="0.3">
      <c r="B1550" s="100">
        <f t="shared" si="214"/>
        <v>0</v>
      </c>
      <c r="C1550" s="84" t="str">
        <f t="shared" si="215"/>
        <v>January</v>
      </c>
      <c r="I1550" s="87" t="str">
        <f>IF(F1550=0,"",IF(COUNTIF(F1550,"Bao"),[1]Setup!$B$4,IF(COUNTIF(F1550,"Soup Dumpling"),[1]Setup!$B$5,F1550)))</f>
        <v/>
      </c>
    </row>
    <row r="1551" spans="2:9" x14ac:dyDescent="0.3">
      <c r="B1551" s="100">
        <f t="shared" si="214"/>
        <v>0</v>
      </c>
      <c r="C1551" s="84" t="str">
        <f t="shared" si="215"/>
        <v>January</v>
      </c>
      <c r="I1551" s="87" t="str">
        <f>IF(F1551=0,"",IF(COUNTIF(F1551,"Bao"),[1]Setup!$B$4,IF(COUNTIF(F1551,"Soup Dumpling"),[1]Setup!$B$5,F1551)))</f>
        <v/>
      </c>
    </row>
    <row r="1552" spans="2:9" x14ac:dyDescent="0.3">
      <c r="B1552" s="100">
        <f t="shared" si="214"/>
        <v>0</v>
      </c>
      <c r="C1552" s="84" t="str">
        <f t="shared" si="215"/>
        <v>January</v>
      </c>
      <c r="I1552" s="87" t="str">
        <f>IF(F1552=0,"",IF(COUNTIF(F1552,"Bao"),[1]Setup!$B$4,IF(COUNTIF(F1552,"Soup Dumpling"),[1]Setup!$B$5,F1552)))</f>
        <v/>
      </c>
    </row>
    <row r="1553" spans="2:9" x14ac:dyDescent="0.3">
      <c r="B1553" s="100">
        <f t="shared" si="214"/>
        <v>0</v>
      </c>
      <c r="C1553" s="84" t="str">
        <f t="shared" si="215"/>
        <v>January</v>
      </c>
      <c r="I1553" s="87" t="str">
        <f>IF(F1553=0,"",IF(COUNTIF(F1553,"Bao"),[1]Setup!$B$4,IF(COUNTIF(F1553,"Soup Dumpling"),[1]Setup!$B$5,F1553)))</f>
        <v/>
      </c>
    </row>
    <row r="1554" spans="2:9" x14ac:dyDescent="0.3">
      <c r="B1554" s="100">
        <f t="shared" si="214"/>
        <v>0</v>
      </c>
      <c r="C1554" s="84" t="str">
        <f t="shared" si="215"/>
        <v>January</v>
      </c>
      <c r="I1554" s="87" t="str">
        <f>IF(F1554=0,"",IF(COUNTIF(F1554,"Bao"),[1]Setup!$B$4,IF(COUNTIF(F1554,"Soup Dumpling"),[1]Setup!$B$5,F1554)))</f>
        <v/>
      </c>
    </row>
    <row r="1555" spans="2:9" x14ac:dyDescent="0.3">
      <c r="B1555" s="100">
        <f t="shared" si="214"/>
        <v>0</v>
      </c>
      <c r="C1555" s="84" t="str">
        <f t="shared" si="215"/>
        <v>January</v>
      </c>
      <c r="I1555" s="87" t="str">
        <f>IF(F1555=0,"",IF(COUNTIF(F1555,"Bao"),[1]Setup!$B$4,IF(COUNTIF(F1555,"Soup Dumpling"),[1]Setup!$B$5,F1555)))</f>
        <v/>
      </c>
    </row>
    <row r="1556" spans="2:9" x14ac:dyDescent="0.3">
      <c r="B1556" s="100">
        <f t="shared" si="214"/>
        <v>0</v>
      </c>
      <c r="C1556" s="84" t="str">
        <f t="shared" si="215"/>
        <v>January</v>
      </c>
      <c r="I1556" s="87" t="str">
        <f>IF(F1556=0,"",IF(COUNTIF(F1556,"Bao"),[1]Setup!$B$4,IF(COUNTIF(F1556,"Soup Dumpling"),[1]Setup!$B$5,F1556)))</f>
        <v/>
      </c>
    </row>
    <row r="1557" spans="2:9" x14ac:dyDescent="0.3">
      <c r="B1557" s="100">
        <f t="shared" si="214"/>
        <v>0</v>
      </c>
      <c r="C1557" s="84" t="str">
        <f t="shared" si="215"/>
        <v>January</v>
      </c>
      <c r="I1557" s="87" t="str">
        <f>IF(F1557=0,"",IF(COUNTIF(F1557,"Bao"),[1]Setup!$B$4,IF(COUNTIF(F1557,"Soup Dumpling"),[1]Setup!$B$5,F1557)))</f>
        <v/>
      </c>
    </row>
    <row r="1558" spans="2:9" x14ac:dyDescent="0.3">
      <c r="B1558" s="100">
        <f t="shared" si="214"/>
        <v>0</v>
      </c>
      <c r="C1558" s="84" t="str">
        <f t="shared" si="215"/>
        <v>January</v>
      </c>
      <c r="I1558" s="87" t="str">
        <f>IF(F1558=0,"",IF(COUNTIF(F1558,"Bao"),[1]Setup!$B$4,IF(COUNTIF(F1558,"Soup Dumpling"),[1]Setup!$B$5,F1558)))</f>
        <v/>
      </c>
    </row>
    <row r="1559" spans="2:9" x14ac:dyDescent="0.3">
      <c r="B1559" s="100">
        <f t="shared" si="214"/>
        <v>0</v>
      </c>
      <c r="C1559" s="84" t="str">
        <f t="shared" si="215"/>
        <v>January</v>
      </c>
      <c r="I1559" s="87" t="str">
        <f>IF(F1559=0,"",IF(COUNTIF(F1559,"Bao"),[1]Setup!$B$4,IF(COUNTIF(F1559,"Soup Dumpling"),[1]Setup!$B$5,F1559)))</f>
        <v/>
      </c>
    </row>
    <row r="1560" spans="2:9" x14ac:dyDescent="0.3">
      <c r="B1560" s="100">
        <f t="shared" si="214"/>
        <v>0</v>
      </c>
      <c r="C1560" s="84" t="str">
        <f t="shared" si="215"/>
        <v>January</v>
      </c>
      <c r="I1560" s="87" t="str">
        <f>IF(F1560=0,"",IF(COUNTIF(F1560,"Bao"),[1]Setup!$B$4,IF(COUNTIF(F1560,"Soup Dumpling"),[1]Setup!$B$5,F1560)))</f>
        <v/>
      </c>
    </row>
    <row r="1561" spans="2:9" x14ac:dyDescent="0.3">
      <c r="B1561" s="100">
        <f t="shared" si="214"/>
        <v>0</v>
      </c>
      <c r="C1561" s="84" t="str">
        <f t="shared" si="215"/>
        <v>January</v>
      </c>
      <c r="I1561" s="87" t="str">
        <f>IF(F1561=0,"",IF(COUNTIF(F1561,"Bao"),[1]Setup!$B$4,IF(COUNTIF(F1561,"Soup Dumpling"),[1]Setup!$B$5,F1561)))</f>
        <v/>
      </c>
    </row>
    <row r="1562" spans="2:9" x14ac:dyDescent="0.3">
      <c r="B1562" s="100">
        <f t="shared" si="214"/>
        <v>0</v>
      </c>
      <c r="C1562" s="84" t="str">
        <f t="shared" si="215"/>
        <v>January</v>
      </c>
      <c r="I1562" s="87" t="str">
        <f>IF(F1562=0,"",IF(COUNTIF(F1562,"Bao"),[1]Setup!$B$4,IF(COUNTIF(F1562,"Soup Dumpling"),[1]Setup!$B$5,F1562)))</f>
        <v/>
      </c>
    </row>
    <row r="1563" spans="2:9" x14ac:dyDescent="0.3">
      <c r="B1563" s="100">
        <f t="shared" si="214"/>
        <v>0</v>
      </c>
      <c r="C1563" s="84" t="str">
        <f t="shared" si="215"/>
        <v>January</v>
      </c>
      <c r="I1563" s="87" t="str">
        <f>IF(F1563=0,"",IF(COUNTIF(F1563,"Bao"),[1]Setup!$B$4,IF(COUNTIF(F1563,"Soup Dumpling"),[1]Setup!$B$5,F1563)))</f>
        <v/>
      </c>
    </row>
    <row r="1564" spans="2:9" x14ac:dyDescent="0.3">
      <c r="B1564" s="100">
        <f t="shared" si="214"/>
        <v>0</v>
      </c>
      <c r="C1564" s="84" t="str">
        <f t="shared" si="215"/>
        <v>January</v>
      </c>
      <c r="I1564" s="87" t="str">
        <f>IF(F1564=0,"",IF(COUNTIF(F1564,"Bao"),[1]Setup!$B$4,IF(COUNTIF(F1564,"Soup Dumpling"),[1]Setup!$B$5,F1564)))</f>
        <v/>
      </c>
    </row>
    <row r="1565" spans="2:9" x14ac:dyDescent="0.3">
      <c r="B1565" s="100">
        <f t="shared" si="214"/>
        <v>0</v>
      </c>
      <c r="C1565" s="84" t="str">
        <f t="shared" si="215"/>
        <v>January</v>
      </c>
      <c r="I1565" s="87" t="str">
        <f>IF(F1565=0,"",IF(COUNTIF(F1565,"Bao"),[1]Setup!$B$4,IF(COUNTIF(F1565,"Soup Dumpling"),[1]Setup!$B$5,F1565)))</f>
        <v/>
      </c>
    </row>
    <row r="1566" spans="2:9" x14ac:dyDescent="0.3">
      <c r="B1566" s="100">
        <f t="shared" si="214"/>
        <v>0</v>
      </c>
      <c r="C1566" s="84" t="str">
        <f t="shared" si="215"/>
        <v>January</v>
      </c>
      <c r="I1566" s="87" t="str">
        <f>IF(F1566=0,"",IF(COUNTIF(F1566,"Bao"),[1]Setup!$B$4,IF(COUNTIF(F1566,"Soup Dumpling"),[1]Setup!$B$5,F1566)))</f>
        <v/>
      </c>
    </row>
    <row r="1567" spans="2:9" x14ac:dyDescent="0.3">
      <c r="B1567" s="100">
        <f t="shared" si="214"/>
        <v>0</v>
      </c>
      <c r="C1567" s="84" t="str">
        <f t="shared" si="215"/>
        <v>January</v>
      </c>
      <c r="I1567" s="87" t="str">
        <f>IF(F1567=0,"",IF(COUNTIF(F1567,"Bao"),[1]Setup!$B$4,IF(COUNTIF(F1567,"Soup Dumpling"),[1]Setup!$B$5,F1567)))</f>
        <v/>
      </c>
    </row>
    <row r="1568" spans="2:9" x14ac:dyDescent="0.3">
      <c r="B1568" s="100">
        <f t="shared" si="214"/>
        <v>0</v>
      </c>
      <c r="C1568" s="84" t="str">
        <f t="shared" si="215"/>
        <v>January</v>
      </c>
      <c r="I1568" s="87" t="str">
        <f>IF(F1568=0,"",IF(COUNTIF(F1568,"Bao"),[1]Setup!$B$4,IF(COUNTIF(F1568,"Soup Dumpling"),[1]Setup!$B$5,F1568)))</f>
        <v/>
      </c>
    </row>
    <row r="1569" spans="2:9" x14ac:dyDescent="0.3">
      <c r="B1569" s="100">
        <f t="shared" si="214"/>
        <v>0</v>
      </c>
      <c r="C1569" s="84" t="str">
        <f t="shared" si="215"/>
        <v>January</v>
      </c>
      <c r="I1569" s="87" t="str">
        <f>IF(F1569=0,"",IF(COUNTIF(F1569,"Bao"),[1]Setup!$B$4,IF(COUNTIF(F1569,"Soup Dumpling"),[1]Setup!$B$5,F1569)))</f>
        <v/>
      </c>
    </row>
    <row r="1570" spans="2:9" x14ac:dyDescent="0.3">
      <c r="B1570" s="100">
        <f t="shared" si="214"/>
        <v>0</v>
      </c>
      <c r="C1570" s="84" t="str">
        <f t="shared" si="215"/>
        <v>January</v>
      </c>
      <c r="I1570" s="87" t="str">
        <f>IF(F1570=0,"",IF(COUNTIF(F1570,"Bao"),[1]Setup!$B$4,IF(COUNTIF(F1570,"Soup Dumpling"),[1]Setup!$B$5,F1570)))</f>
        <v/>
      </c>
    </row>
    <row r="1571" spans="2:9" x14ac:dyDescent="0.3">
      <c r="B1571" s="100">
        <f t="shared" si="214"/>
        <v>0</v>
      </c>
      <c r="C1571" s="84" t="str">
        <f t="shared" si="215"/>
        <v>January</v>
      </c>
      <c r="I1571" s="87" t="str">
        <f>IF(F1571=0,"",IF(COUNTIF(F1571,"Bao"),[1]Setup!$B$4,IF(COUNTIF(F1571,"Soup Dumpling"),[1]Setup!$B$5,F1571)))</f>
        <v/>
      </c>
    </row>
    <row r="1572" spans="2:9" x14ac:dyDescent="0.3">
      <c r="B1572" s="100">
        <f t="shared" si="214"/>
        <v>0</v>
      </c>
      <c r="C1572" s="84" t="str">
        <f t="shared" si="215"/>
        <v>January</v>
      </c>
      <c r="I1572" s="87" t="str">
        <f>IF(F1572=0,"",IF(COUNTIF(F1572,"Bao"),[1]Setup!$B$4,IF(COUNTIF(F1572,"Soup Dumpling"),[1]Setup!$B$5,F1572)))</f>
        <v/>
      </c>
    </row>
    <row r="1573" spans="2:9" x14ac:dyDescent="0.3">
      <c r="B1573" s="100">
        <f t="shared" si="214"/>
        <v>0</v>
      </c>
      <c r="C1573" s="84" t="str">
        <f t="shared" si="215"/>
        <v>January</v>
      </c>
      <c r="I1573" s="87" t="str">
        <f>IF(F1573=0,"",IF(COUNTIF(F1573,"Bao"),[1]Setup!$B$4,IF(COUNTIF(F1573,"Soup Dumpling"),[1]Setup!$B$5,F1573)))</f>
        <v/>
      </c>
    </row>
    <row r="1574" spans="2:9" x14ac:dyDescent="0.3">
      <c r="B1574" s="100">
        <f t="shared" si="214"/>
        <v>0</v>
      </c>
      <c r="C1574" s="84" t="str">
        <f t="shared" si="215"/>
        <v>January</v>
      </c>
      <c r="I1574" s="87" t="str">
        <f>IF(F1574=0,"",IF(COUNTIF(F1574,"Bao"),[1]Setup!$B$4,IF(COUNTIF(F1574,"Soup Dumpling"),[1]Setup!$B$5,F1574)))</f>
        <v/>
      </c>
    </row>
    <row r="1575" spans="2:9" x14ac:dyDescent="0.3">
      <c r="B1575" s="100">
        <f t="shared" si="214"/>
        <v>0</v>
      </c>
      <c r="C1575" s="84" t="str">
        <f t="shared" si="215"/>
        <v>January</v>
      </c>
      <c r="I1575" s="87" t="str">
        <f>IF(F1575=0,"",IF(COUNTIF(F1575,"Bao"),[1]Setup!$B$4,IF(COUNTIF(F1575,"Soup Dumpling"),[1]Setup!$B$5,F1575)))</f>
        <v/>
      </c>
    </row>
    <row r="1576" spans="2:9" x14ac:dyDescent="0.3">
      <c r="B1576" s="100">
        <f t="shared" si="214"/>
        <v>0</v>
      </c>
      <c r="C1576" s="84" t="str">
        <f t="shared" si="215"/>
        <v>January</v>
      </c>
      <c r="I1576" s="87" t="str">
        <f>IF(F1576=0,"",IF(COUNTIF(F1576,"Bao"),[1]Setup!$B$4,IF(COUNTIF(F1576,"Soup Dumpling"),[1]Setup!$B$5,F1576)))</f>
        <v/>
      </c>
    </row>
    <row r="1577" spans="2:9" x14ac:dyDescent="0.3">
      <c r="B1577" s="100">
        <f t="shared" si="214"/>
        <v>0</v>
      </c>
      <c r="C1577" s="84" t="str">
        <f t="shared" si="215"/>
        <v>January</v>
      </c>
      <c r="I1577" s="87" t="str">
        <f>IF(F1577=0,"",IF(COUNTIF(F1577,"Bao"),[1]Setup!$B$4,IF(COUNTIF(F1577,"Soup Dumpling"),[1]Setup!$B$5,F1577)))</f>
        <v/>
      </c>
    </row>
    <row r="1578" spans="2:9" x14ac:dyDescent="0.3">
      <c r="B1578" s="100">
        <f t="shared" si="214"/>
        <v>0</v>
      </c>
      <c r="C1578" s="84" t="str">
        <f t="shared" si="215"/>
        <v>January</v>
      </c>
      <c r="I1578" s="87" t="str">
        <f>IF(F1578=0,"",IF(COUNTIF(F1578,"Bao"),[1]Setup!$B$4,IF(COUNTIF(F1578,"Soup Dumpling"),[1]Setup!$B$5,F1578)))</f>
        <v/>
      </c>
    </row>
    <row r="1579" spans="2:9" x14ac:dyDescent="0.3">
      <c r="B1579" s="100">
        <f t="shared" si="214"/>
        <v>0</v>
      </c>
      <c r="C1579" s="84" t="str">
        <f t="shared" si="215"/>
        <v>January</v>
      </c>
      <c r="I1579" s="87" t="str">
        <f>IF(F1579=0,"",IF(COUNTIF(F1579,"Bao"),[1]Setup!$B$4,IF(COUNTIF(F1579,"Soup Dumpling"),[1]Setup!$B$5,F1579)))</f>
        <v/>
      </c>
    </row>
    <row r="1580" spans="2:9" x14ac:dyDescent="0.3">
      <c r="B1580" s="100">
        <f t="shared" si="214"/>
        <v>0</v>
      </c>
      <c r="C1580" s="84" t="str">
        <f t="shared" si="215"/>
        <v>January</v>
      </c>
      <c r="I1580" s="87" t="str">
        <f>IF(F1580=0,"",IF(COUNTIF(F1580,"Bao"),[1]Setup!$B$4,IF(COUNTIF(F1580,"Soup Dumpling"),[1]Setup!$B$5,F1580)))</f>
        <v/>
      </c>
    </row>
    <row r="1581" spans="2:9" x14ac:dyDescent="0.3">
      <c r="B1581" s="100">
        <f t="shared" si="214"/>
        <v>0</v>
      </c>
      <c r="C1581" s="84" t="str">
        <f t="shared" si="215"/>
        <v>January</v>
      </c>
      <c r="I1581" s="87" t="str">
        <f>IF(F1581=0,"",IF(COUNTIF(F1581,"Bao"),[1]Setup!$B$4,IF(COUNTIF(F1581,"Soup Dumpling"),[1]Setup!$B$5,F1581)))</f>
        <v/>
      </c>
    </row>
    <row r="1582" spans="2:9" x14ac:dyDescent="0.3">
      <c r="B1582" s="100">
        <f t="shared" si="214"/>
        <v>0</v>
      </c>
      <c r="C1582" s="84" t="str">
        <f t="shared" si="215"/>
        <v>January</v>
      </c>
      <c r="I1582" s="87" t="str">
        <f>IF(F1582=0,"",IF(COUNTIF(F1582,"Bao"),[1]Setup!$B$4,IF(COUNTIF(F1582,"Soup Dumpling"),[1]Setup!$B$5,F1582)))</f>
        <v/>
      </c>
    </row>
    <row r="1583" spans="2:9" x14ac:dyDescent="0.3">
      <c r="B1583" s="100">
        <f t="shared" si="214"/>
        <v>0</v>
      </c>
      <c r="C1583" s="84" t="str">
        <f t="shared" si="215"/>
        <v>January</v>
      </c>
      <c r="I1583" s="87" t="str">
        <f>IF(F1583=0,"",IF(COUNTIF(F1583,"Bao"),[1]Setup!$B$4,IF(COUNTIF(F1583,"Soup Dumpling"),[1]Setup!$B$5,F1583)))</f>
        <v/>
      </c>
    </row>
    <row r="1584" spans="2:9" x14ac:dyDescent="0.3">
      <c r="B1584" s="100">
        <f t="shared" si="214"/>
        <v>0</v>
      </c>
      <c r="C1584" s="84" t="str">
        <f t="shared" si="215"/>
        <v>January</v>
      </c>
      <c r="I1584" s="87" t="str">
        <f>IF(F1584=0,"",IF(COUNTIF(F1584,"Bao"),[1]Setup!$B$4,IF(COUNTIF(F1584,"Soup Dumpling"),[1]Setup!$B$5,F1584)))</f>
        <v/>
      </c>
    </row>
    <row r="1585" spans="2:9" x14ac:dyDescent="0.3">
      <c r="B1585" s="100">
        <f t="shared" si="214"/>
        <v>0</v>
      </c>
      <c r="C1585" s="84" t="str">
        <f t="shared" si="215"/>
        <v>January</v>
      </c>
      <c r="I1585" s="87" t="str">
        <f>IF(F1585=0,"",IF(COUNTIF(F1585,"Bao"),[1]Setup!$B$4,IF(COUNTIF(F1585,"Soup Dumpling"),[1]Setup!$B$5,F1585)))</f>
        <v/>
      </c>
    </row>
    <row r="1586" spans="2:9" x14ac:dyDescent="0.3">
      <c r="B1586" s="100">
        <f t="shared" si="214"/>
        <v>0</v>
      </c>
      <c r="C1586" s="84" t="str">
        <f t="shared" si="215"/>
        <v>January</v>
      </c>
      <c r="I1586" s="87" t="str">
        <f>IF(F1586=0,"",IF(COUNTIF(F1586,"Bao"),[1]Setup!$B$4,IF(COUNTIF(F1586,"Soup Dumpling"),[1]Setup!$B$5,F1586)))</f>
        <v/>
      </c>
    </row>
    <row r="1587" spans="2:9" x14ac:dyDescent="0.3">
      <c r="B1587" s="100">
        <f t="shared" si="214"/>
        <v>0</v>
      </c>
      <c r="C1587" s="84" t="str">
        <f t="shared" si="215"/>
        <v>January</v>
      </c>
      <c r="I1587" s="87" t="str">
        <f>IF(F1587=0,"",IF(COUNTIF(F1587,"Bao"),[1]Setup!$B$4,IF(COUNTIF(F1587,"Soup Dumpling"),[1]Setup!$B$5,F1587)))</f>
        <v/>
      </c>
    </row>
    <row r="1588" spans="2:9" x14ac:dyDescent="0.3">
      <c r="B1588" s="100">
        <f t="shared" si="214"/>
        <v>0</v>
      </c>
      <c r="C1588" s="84" t="str">
        <f t="shared" si="215"/>
        <v>January</v>
      </c>
      <c r="I1588" s="87" t="str">
        <f>IF(F1588=0,"",IF(COUNTIF(F1588,"Bao"),[1]Setup!$B$4,IF(COUNTIF(F1588,"Soup Dumpling"),[1]Setup!$B$5,F1588)))</f>
        <v/>
      </c>
    </row>
    <row r="1589" spans="2:9" x14ac:dyDescent="0.3">
      <c r="B1589" s="100">
        <f t="shared" si="214"/>
        <v>0</v>
      </c>
      <c r="C1589" s="84" t="str">
        <f t="shared" si="215"/>
        <v>January</v>
      </c>
      <c r="I1589" s="87" t="str">
        <f>IF(F1589=0,"",IF(COUNTIF(F1589,"Bao"),[1]Setup!$B$4,IF(COUNTIF(F1589,"Soup Dumpling"),[1]Setup!$B$5,F1589)))</f>
        <v/>
      </c>
    </row>
    <row r="1590" spans="2:9" x14ac:dyDescent="0.3">
      <c r="B1590" s="100">
        <f t="shared" si="214"/>
        <v>0</v>
      </c>
      <c r="C1590" s="84" t="str">
        <f t="shared" si="215"/>
        <v>January</v>
      </c>
      <c r="I1590" s="87" t="str">
        <f>IF(F1590=0,"",IF(COUNTIF(F1590,"Bao"),[1]Setup!$B$4,IF(COUNTIF(F1590,"Soup Dumpling"),[1]Setup!$B$5,F1590)))</f>
        <v/>
      </c>
    </row>
    <row r="1591" spans="2:9" x14ac:dyDescent="0.3">
      <c r="B1591" s="100">
        <f t="shared" si="214"/>
        <v>0</v>
      </c>
      <c r="C1591" s="84" t="str">
        <f t="shared" si="215"/>
        <v>January</v>
      </c>
      <c r="I1591" s="87" t="str">
        <f>IF(F1591=0,"",IF(COUNTIF(F1591,"Bao"),[1]Setup!$B$4,IF(COUNTIF(F1591,"Soup Dumpling"),[1]Setup!$B$5,F1591)))</f>
        <v/>
      </c>
    </row>
    <row r="1592" spans="2:9" x14ac:dyDescent="0.3">
      <c r="B1592" s="100">
        <f t="shared" si="214"/>
        <v>0</v>
      </c>
      <c r="C1592" s="84" t="str">
        <f t="shared" si="215"/>
        <v>January</v>
      </c>
      <c r="I1592" s="87" t="str">
        <f>IF(F1592=0,"",IF(COUNTIF(F1592,"Bao"),[1]Setup!$B$4,IF(COUNTIF(F1592,"Soup Dumpling"),[1]Setup!$B$5,F1592)))</f>
        <v/>
      </c>
    </row>
    <row r="1593" spans="2:9" x14ac:dyDescent="0.3">
      <c r="B1593" s="100">
        <f t="shared" si="214"/>
        <v>0</v>
      </c>
      <c r="C1593" s="84" t="str">
        <f t="shared" si="215"/>
        <v>January</v>
      </c>
      <c r="I1593" s="87" t="str">
        <f>IF(F1593=0,"",IF(COUNTIF(F1593,"Bao"),[1]Setup!$B$4,IF(COUNTIF(F1593,"Soup Dumpling"),[1]Setup!$B$5,F1593)))</f>
        <v/>
      </c>
    </row>
    <row r="1594" spans="2:9" x14ac:dyDescent="0.3">
      <c r="B1594" s="100">
        <f t="shared" si="214"/>
        <v>0</v>
      </c>
      <c r="C1594" s="84" t="str">
        <f t="shared" si="215"/>
        <v>January</v>
      </c>
      <c r="I1594" s="87" t="str">
        <f>IF(F1594=0,"",IF(COUNTIF(F1594,"Bao"),[1]Setup!$B$4,IF(COUNTIF(F1594,"Soup Dumpling"),[1]Setup!$B$5,F1594)))</f>
        <v/>
      </c>
    </row>
    <row r="1595" spans="2:9" x14ac:dyDescent="0.3">
      <c r="B1595" s="100">
        <f t="shared" si="214"/>
        <v>0</v>
      </c>
      <c r="C1595" s="84" t="str">
        <f t="shared" si="215"/>
        <v>January</v>
      </c>
      <c r="I1595" s="87" t="str">
        <f>IF(F1595=0,"",IF(COUNTIF(F1595,"Bao"),[1]Setup!$B$4,IF(COUNTIF(F1595,"Soup Dumpling"),[1]Setup!$B$5,F1595)))</f>
        <v/>
      </c>
    </row>
    <row r="1596" spans="2:9" x14ac:dyDescent="0.3">
      <c r="B1596" s="100">
        <f t="shared" si="214"/>
        <v>0</v>
      </c>
      <c r="C1596" s="84" t="str">
        <f t="shared" si="215"/>
        <v>January</v>
      </c>
      <c r="I1596" s="87" t="str">
        <f>IF(F1596=0,"",IF(COUNTIF(F1596,"Bao"),[1]Setup!$B$4,IF(COUNTIF(F1596,"Soup Dumpling"),[1]Setup!$B$5,F1596)))</f>
        <v/>
      </c>
    </row>
    <row r="1597" spans="2:9" x14ac:dyDescent="0.3">
      <c r="B1597" s="100">
        <f t="shared" si="214"/>
        <v>0</v>
      </c>
      <c r="C1597" s="84" t="str">
        <f t="shared" si="215"/>
        <v>January</v>
      </c>
      <c r="I1597" s="87" t="str">
        <f>IF(F1597=0,"",IF(COUNTIF(F1597,"Bao"),[1]Setup!$B$4,IF(COUNTIF(F1597,"Soup Dumpling"),[1]Setup!$B$5,F1597)))</f>
        <v/>
      </c>
    </row>
    <row r="1598" spans="2:9" x14ac:dyDescent="0.3">
      <c r="B1598" s="100">
        <f t="shared" si="214"/>
        <v>0</v>
      </c>
      <c r="C1598" s="84" t="str">
        <f t="shared" si="215"/>
        <v>January</v>
      </c>
      <c r="I1598" s="87" t="str">
        <f>IF(F1598=0,"",IF(COUNTIF(F1598,"Bao"),[1]Setup!$B$4,IF(COUNTIF(F1598,"Soup Dumpling"),[1]Setup!$B$5,F1598)))</f>
        <v/>
      </c>
    </row>
    <row r="1599" spans="2:9" x14ac:dyDescent="0.3">
      <c r="B1599" s="100">
        <f t="shared" si="214"/>
        <v>0</v>
      </c>
      <c r="C1599" s="84" t="str">
        <f t="shared" si="215"/>
        <v>January</v>
      </c>
      <c r="I1599" s="87" t="str">
        <f>IF(F1599=0,"",IF(COUNTIF(F1599,"Bao"),[1]Setup!$B$4,IF(COUNTIF(F1599,"Soup Dumpling"),[1]Setup!$B$5,F1599)))</f>
        <v/>
      </c>
    </row>
    <row r="1600" spans="2:9" x14ac:dyDescent="0.3">
      <c r="B1600" s="100">
        <f t="shared" si="214"/>
        <v>0</v>
      </c>
      <c r="C1600" s="84" t="str">
        <f t="shared" si="215"/>
        <v>January</v>
      </c>
      <c r="I1600" s="87" t="str">
        <f>IF(F1600=0,"",IF(COUNTIF(F1600,"Bao"),[1]Setup!$B$4,IF(COUNTIF(F1600,"Soup Dumpling"),[1]Setup!$B$5,F1600)))</f>
        <v/>
      </c>
    </row>
    <row r="1601" spans="2:9" x14ac:dyDescent="0.3">
      <c r="B1601" s="100">
        <f t="shared" si="214"/>
        <v>0</v>
      </c>
      <c r="C1601" s="84" t="str">
        <f t="shared" si="215"/>
        <v>January</v>
      </c>
      <c r="I1601" s="87" t="str">
        <f>IF(F1601=0,"",IF(COUNTIF(F1601,"Bao"),[1]Setup!$B$4,IF(COUNTIF(F1601,"Soup Dumpling"),[1]Setup!$B$5,F1601)))</f>
        <v/>
      </c>
    </row>
    <row r="1602" spans="2:9" x14ac:dyDescent="0.3">
      <c r="B1602" s="100">
        <f t="shared" si="214"/>
        <v>0</v>
      </c>
      <c r="C1602" s="84" t="str">
        <f t="shared" si="215"/>
        <v>January</v>
      </c>
      <c r="I1602" s="87" t="str">
        <f>IF(F1602=0,"",IF(COUNTIF(F1602,"Bao"),[1]Setup!$B$4,IF(COUNTIF(F1602,"Soup Dumpling"),[1]Setup!$B$5,F1602)))</f>
        <v/>
      </c>
    </row>
    <row r="1603" spans="2:9" x14ac:dyDescent="0.3">
      <c r="B1603" s="100">
        <f t="shared" si="214"/>
        <v>0</v>
      </c>
      <c r="C1603" s="84" t="str">
        <f t="shared" si="215"/>
        <v>January</v>
      </c>
      <c r="I1603" s="87" t="str">
        <f>IF(F1603=0,"",IF(COUNTIF(F1603,"Bao"),[1]Setup!$B$4,IF(COUNTIF(F1603,"Soup Dumpling"),[1]Setup!$B$5,F1603)))</f>
        <v/>
      </c>
    </row>
    <row r="1604" spans="2:9" x14ac:dyDescent="0.3">
      <c r="B1604" s="100">
        <f t="shared" si="214"/>
        <v>0</v>
      </c>
      <c r="C1604" s="84" t="str">
        <f t="shared" si="215"/>
        <v>January</v>
      </c>
      <c r="I1604" s="87" t="str">
        <f>IF(F1604=0,"",IF(COUNTIF(F1604,"Bao"),[1]Setup!$B$4,IF(COUNTIF(F1604,"Soup Dumpling"),[1]Setup!$B$5,F1604)))</f>
        <v/>
      </c>
    </row>
    <row r="1605" spans="2:9" x14ac:dyDescent="0.3">
      <c r="B1605" s="100">
        <f t="shared" ref="B1605:B1668" si="216">+WEEKNUM(A1605)</f>
        <v>0</v>
      </c>
      <c r="C1605" s="84" t="str">
        <f t="shared" ref="C1605:C1668" si="217">+TEXT(A1605,"mmmm")</f>
        <v>January</v>
      </c>
      <c r="I1605" s="87" t="str">
        <f>IF(F1605=0,"",IF(COUNTIF(F1605,"Bao"),[1]Setup!$B$4,IF(COUNTIF(F1605,"Soup Dumpling"),[1]Setup!$B$5,F1605)))</f>
        <v/>
      </c>
    </row>
    <row r="1606" spans="2:9" x14ac:dyDescent="0.3">
      <c r="B1606" s="100">
        <f t="shared" si="216"/>
        <v>0</v>
      </c>
      <c r="C1606" s="84" t="str">
        <f t="shared" si="217"/>
        <v>January</v>
      </c>
      <c r="I1606" s="87" t="str">
        <f>IF(F1606=0,"",IF(COUNTIF(F1606,"Bao"),[1]Setup!$B$4,IF(COUNTIF(F1606,"Soup Dumpling"),[1]Setup!$B$5,F1606)))</f>
        <v/>
      </c>
    </row>
    <row r="1607" spans="2:9" x14ac:dyDescent="0.3">
      <c r="B1607" s="100">
        <f t="shared" si="216"/>
        <v>0</v>
      </c>
      <c r="C1607" s="84" t="str">
        <f t="shared" si="217"/>
        <v>January</v>
      </c>
      <c r="I1607" s="87" t="str">
        <f>IF(F1607=0,"",IF(COUNTIF(F1607,"Bao"),[1]Setup!$B$4,IF(COUNTIF(F1607,"Soup Dumpling"),[1]Setup!$B$5,F1607)))</f>
        <v/>
      </c>
    </row>
    <row r="1608" spans="2:9" x14ac:dyDescent="0.3">
      <c r="B1608" s="100">
        <f t="shared" si="216"/>
        <v>0</v>
      </c>
      <c r="C1608" s="84" t="str">
        <f t="shared" si="217"/>
        <v>January</v>
      </c>
      <c r="I1608" s="87" t="str">
        <f>IF(F1608=0,"",IF(COUNTIF(F1608,"Bao"),[1]Setup!$B$4,IF(COUNTIF(F1608,"Soup Dumpling"),[1]Setup!$B$5,F1608)))</f>
        <v/>
      </c>
    </row>
    <row r="1609" spans="2:9" x14ac:dyDescent="0.3">
      <c r="B1609" s="100">
        <f t="shared" si="216"/>
        <v>0</v>
      </c>
      <c r="C1609" s="84" t="str">
        <f t="shared" si="217"/>
        <v>January</v>
      </c>
      <c r="I1609" s="87" t="str">
        <f>IF(F1609=0,"",IF(COUNTIF(F1609,"Bao"),[1]Setup!$B$4,IF(COUNTIF(F1609,"Soup Dumpling"),[1]Setup!$B$5,F1609)))</f>
        <v/>
      </c>
    </row>
    <row r="1610" spans="2:9" x14ac:dyDescent="0.3">
      <c r="B1610" s="100">
        <f t="shared" si="216"/>
        <v>0</v>
      </c>
      <c r="C1610" s="84" t="str">
        <f t="shared" si="217"/>
        <v>January</v>
      </c>
      <c r="I1610" s="87" t="str">
        <f>IF(F1610=0,"",IF(COUNTIF(F1610,"Bao"),[1]Setup!$B$4,IF(COUNTIF(F1610,"Soup Dumpling"),[1]Setup!$B$5,F1610)))</f>
        <v/>
      </c>
    </row>
    <row r="1611" spans="2:9" x14ac:dyDescent="0.3">
      <c r="B1611" s="100">
        <f t="shared" si="216"/>
        <v>0</v>
      </c>
      <c r="C1611" s="84" t="str">
        <f t="shared" si="217"/>
        <v>January</v>
      </c>
      <c r="I1611" s="87" t="str">
        <f>IF(F1611=0,"",IF(COUNTIF(F1611,"Bao"),[1]Setup!$B$4,IF(COUNTIF(F1611,"Soup Dumpling"),[1]Setup!$B$5,F1611)))</f>
        <v/>
      </c>
    </row>
    <row r="1612" spans="2:9" x14ac:dyDescent="0.3">
      <c r="B1612" s="100">
        <f t="shared" si="216"/>
        <v>0</v>
      </c>
      <c r="C1612" s="84" t="str">
        <f t="shared" si="217"/>
        <v>January</v>
      </c>
      <c r="I1612" s="87" t="str">
        <f>IF(F1612=0,"",IF(COUNTIF(F1612,"Bao"),[1]Setup!$B$4,IF(COUNTIF(F1612,"Soup Dumpling"),[1]Setup!$B$5,F1612)))</f>
        <v/>
      </c>
    </row>
    <row r="1613" spans="2:9" x14ac:dyDescent="0.3">
      <c r="B1613" s="100">
        <f t="shared" si="216"/>
        <v>0</v>
      </c>
      <c r="C1613" s="84" t="str">
        <f t="shared" si="217"/>
        <v>January</v>
      </c>
      <c r="I1613" s="87" t="str">
        <f>IF(F1613=0,"",IF(COUNTIF(F1613,"Bao"),[1]Setup!$B$4,IF(COUNTIF(F1613,"Soup Dumpling"),[1]Setup!$B$5,F1613)))</f>
        <v/>
      </c>
    </row>
    <row r="1614" spans="2:9" x14ac:dyDescent="0.3">
      <c r="B1614" s="100">
        <f t="shared" si="216"/>
        <v>0</v>
      </c>
      <c r="C1614" s="84" t="str">
        <f t="shared" si="217"/>
        <v>January</v>
      </c>
      <c r="I1614" s="87" t="str">
        <f>IF(F1614=0,"",IF(COUNTIF(F1614,"Bao"),[1]Setup!$B$4,IF(COUNTIF(F1614,"Soup Dumpling"),[1]Setup!$B$5,F1614)))</f>
        <v/>
      </c>
    </row>
    <row r="1615" spans="2:9" x14ac:dyDescent="0.3">
      <c r="B1615" s="100">
        <f t="shared" si="216"/>
        <v>0</v>
      </c>
      <c r="C1615" s="84" t="str">
        <f t="shared" si="217"/>
        <v>January</v>
      </c>
      <c r="I1615" s="87" t="str">
        <f>IF(F1615=0,"",IF(COUNTIF(F1615,"Bao"),[1]Setup!$B$4,IF(COUNTIF(F1615,"Soup Dumpling"),[1]Setup!$B$5,F1615)))</f>
        <v/>
      </c>
    </row>
    <row r="1616" spans="2:9" x14ac:dyDescent="0.3">
      <c r="B1616" s="100">
        <f t="shared" si="216"/>
        <v>0</v>
      </c>
      <c r="C1616" s="84" t="str">
        <f t="shared" si="217"/>
        <v>January</v>
      </c>
      <c r="I1616" s="87" t="str">
        <f>IF(F1616=0,"",IF(COUNTIF(F1616,"Bao"),[1]Setup!$B$4,IF(COUNTIF(F1616,"Soup Dumpling"),[1]Setup!$B$5,F1616)))</f>
        <v/>
      </c>
    </row>
    <row r="1617" spans="2:9" x14ac:dyDescent="0.3">
      <c r="B1617" s="100">
        <f t="shared" si="216"/>
        <v>0</v>
      </c>
      <c r="C1617" s="84" t="str">
        <f t="shared" si="217"/>
        <v>January</v>
      </c>
      <c r="I1617" s="87" t="str">
        <f>IF(F1617=0,"",IF(COUNTIF(F1617,"Bao"),[1]Setup!$B$4,IF(COUNTIF(F1617,"Soup Dumpling"),[1]Setup!$B$5,F1617)))</f>
        <v/>
      </c>
    </row>
    <row r="1618" spans="2:9" x14ac:dyDescent="0.3">
      <c r="B1618" s="100">
        <f t="shared" si="216"/>
        <v>0</v>
      </c>
      <c r="C1618" s="84" t="str">
        <f t="shared" si="217"/>
        <v>January</v>
      </c>
      <c r="I1618" s="87" t="str">
        <f>IF(F1618=0,"",IF(COUNTIF(F1618,"Bao"),[1]Setup!$B$4,IF(COUNTIF(F1618,"Soup Dumpling"),[1]Setup!$B$5,F1618)))</f>
        <v/>
      </c>
    </row>
    <row r="1619" spans="2:9" x14ac:dyDescent="0.3">
      <c r="B1619" s="100">
        <f t="shared" si="216"/>
        <v>0</v>
      </c>
      <c r="C1619" s="84" t="str">
        <f t="shared" si="217"/>
        <v>January</v>
      </c>
      <c r="I1619" s="87" t="str">
        <f>IF(F1619=0,"",IF(COUNTIF(F1619,"Bao"),[1]Setup!$B$4,IF(COUNTIF(F1619,"Soup Dumpling"),[1]Setup!$B$5,F1619)))</f>
        <v/>
      </c>
    </row>
    <row r="1620" spans="2:9" x14ac:dyDescent="0.3">
      <c r="B1620" s="100">
        <f t="shared" si="216"/>
        <v>0</v>
      </c>
      <c r="C1620" s="84" t="str">
        <f t="shared" si="217"/>
        <v>January</v>
      </c>
      <c r="I1620" s="87" t="str">
        <f>IF(F1620=0,"",IF(COUNTIF(F1620,"Bao"),[1]Setup!$B$4,IF(COUNTIF(F1620,"Soup Dumpling"),[1]Setup!$B$5,F1620)))</f>
        <v/>
      </c>
    </row>
    <row r="1621" spans="2:9" x14ac:dyDescent="0.3">
      <c r="B1621" s="100">
        <f t="shared" si="216"/>
        <v>0</v>
      </c>
      <c r="C1621" s="84" t="str">
        <f t="shared" si="217"/>
        <v>January</v>
      </c>
      <c r="I1621" s="87" t="str">
        <f>IF(F1621=0,"",IF(COUNTIF(F1621,"Bao"),[1]Setup!$B$4,IF(COUNTIF(F1621,"Soup Dumpling"),[1]Setup!$B$5,F1621)))</f>
        <v/>
      </c>
    </row>
    <row r="1622" spans="2:9" x14ac:dyDescent="0.3">
      <c r="B1622" s="100">
        <f t="shared" si="216"/>
        <v>0</v>
      </c>
      <c r="C1622" s="84" t="str">
        <f t="shared" si="217"/>
        <v>January</v>
      </c>
      <c r="I1622" s="87" t="str">
        <f>IF(F1622=0,"",IF(COUNTIF(F1622,"Bao"),[1]Setup!$B$4,IF(COUNTIF(F1622,"Soup Dumpling"),[1]Setup!$B$5,F1622)))</f>
        <v/>
      </c>
    </row>
    <row r="1623" spans="2:9" x14ac:dyDescent="0.3">
      <c r="B1623" s="100">
        <f t="shared" si="216"/>
        <v>0</v>
      </c>
      <c r="C1623" s="84" t="str">
        <f t="shared" si="217"/>
        <v>January</v>
      </c>
      <c r="I1623" s="87" t="str">
        <f>IF(F1623=0,"",IF(COUNTIF(F1623,"Bao"),[1]Setup!$B$4,IF(COUNTIF(F1623,"Soup Dumpling"),[1]Setup!$B$5,F1623)))</f>
        <v/>
      </c>
    </row>
    <row r="1624" spans="2:9" x14ac:dyDescent="0.3">
      <c r="B1624" s="100">
        <f t="shared" si="216"/>
        <v>0</v>
      </c>
      <c r="C1624" s="84" t="str">
        <f t="shared" si="217"/>
        <v>January</v>
      </c>
      <c r="I1624" s="87" t="str">
        <f>IF(F1624=0,"",IF(COUNTIF(F1624,"Bao"),[1]Setup!$B$4,IF(COUNTIF(F1624,"Soup Dumpling"),[1]Setup!$B$5,F1624)))</f>
        <v/>
      </c>
    </row>
    <row r="1625" spans="2:9" x14ac:dyDescent="0.3">
      <c r="B1625" s="100">
        <f t="shared" si="216"/>
        <v>0</v>
      </c>
      <c r="C1625" s="84" t="str">
        <f t="shared" si="217"/>
        <v>January</v>
      </c>
      <c r="I1625" s="87" t="str">
        <f>IF(F1625=0,"",IF(COUNTIF(F1625,"Bao"),[1]Setup!$B$4,IF(COUNTIF(F1625,"Soup Dumpling"),[1]Setup!$B$5,F1625)))</f>
        <v/>
      </c>
    </row>
    <row r="1626" spans="2:9" x14ac:dyDescent="0.3">
      <c r="B1626" s="100">
        <f t="shared" si="216"/>
        <v>0</v>
      </c>
      <c r="C1626" s="84" t="str">
        <f t="shared" si="217"/>
        <v>January</v>
      </c>
      <c r="I1626" s="87" t="str">
        <f>IF(F1626=0,"",IF(COUNTIF(F1626,"Bao"),[1]Setup!$B$4,IF(COUNTIF(F1626,"Soup Dumpling"),[1]Setup!$B$5,F1626)))</f>
        <v/>
      </c>
    </row>
    <row r="1627" spans="2:9" x14ac:dyDescent="0.3">
      <c r="B1627" s="100">
        <f t="shared" si="216"/>
        <v>0</v>
      </c>
      <c r="C1627" s="84" t="str">
        <f t="shared" si="217"/>
        <v>January</v>
      </c>
      <c r="I1627" s="87" t="str">
        <f>IF(F1627=0,"",IF(COUNTIF(F1627,"Bao"),[1]Setup!$B$4,IF(COUNTIF(F1627,"Soup Dumpling"),[1]Setup!$B$5,F1627)))</f>
        <v/>
      </c>
    </row>
    <row r="1628" spans="2:9" x14ac:dyDescent="0.3">
      <c r="B1628" s="100">
        <f t="shared" si="216"/>
        <v>0</v>
      </c>
      <c r="C1628" s="84" t="str">
        <f t="shared" si="217"/>
        <v>January</v>
      </c>
      <c r="I1628" s="87" t="str">
        <f>IF(F1628=0,"",IF(COUNTIF(F1628,"Bao"),[1]Setup!$B$4,IF(COUNTIF(F1628,"Soup Dumpling"),[1]Setup!$B$5,F1628)))</f>
        <v/>
      </c>
    </row>
    <row r="1629" spans="2:9" x14ac:dyDescent="0.3">
      <c r="B1629" s="100">
        <f t="shared" si="216"/>
        <v>0</v>
      </c>
      <c r="C1629" s="84" t="str">
        <f t="shared" si="217"/>
        <v>January</v>
      </c>
      <c r="I1629" s="87" t="str">
        <f>IF(F1629=0,"",IF(COUNTIF(F1629,"Bao"),[1]Setup!$B$4,IF(COUNTIF(F1629,"Soup Dumpling"),[1]Setup!$B$5,F1629)))</f>
        <v/>
      </c>
    </row>
    <row r="1630" spans="2:9" x14ac:dyDescent="0.3">
      <c r="B1630" s="100">
        <f t="shared" si="216"/>
        <v>0</v>
      </c>
      <c r="C1630" s="84" t="str">
        <f t="shared" si="217"/>
        <v>January</v>
      </c>
      <c r="I1630" s="87" t="str">
        <f>IF(F1630=0,"",IF(COUNTIF(F1630,"Bao"),[1]Setup!$B$4,IF(COUNTIF(F1630,"Soup Dumpling"),[1]Setup!$B$5,F1630)))</f>
        <v/>
      </c>
    </row>
    <row r="1631" spans="2:9" x14ac:dyDescent="0.3">
      <c r="B1631" s="100">
        <f t="shared" si="216"/>
        <v>0</v>
      </c>
      <c r="C1631" s="84" t="str">
        <f t="shared" si="217"/>
        <v>January</v>
      </c>
      <c r="I1631" s="87" t="str">
        <f>IF(F1631=0,"",IF(COUNTIF(F1631,"Bao"),[1]Setup!$B$4,IF(COUNTIF(F1631,"Soup Dumpling"),[1]Setup!$B$5,F1631)))</f>
        <v/>
      </c>
    </row>
    <row r="1632" spans="2:9" x14ac:dyDescent="0.3">
      <c r="B1632" s="100">
        <f t="shared" si="216"/>
        <v>0</v>
      </c>
      <c r="C1632" s="84" t="str">
        <f t="shared" si="217"/>
        <v>January</v>
      </c>
      <c r="I1632" s="87" t="str">
        <f>IF(F1632=0,"",IF(COUNTIF(F1632,"Bao"),[1]Setup!$B$4,IF(COUNTIF(F1632,"Soup Dumpling"),[1]Setup!$B$5,F1632)))</f>
        <v/>
      </c>
    </row>
    <row r="1633" spans="2:9" x14ac:dyDescent="0.3">
      <c r="B1633" s="100">
        <f t="shared" si="216"/>
        <v>0</v>
      </c>
      <c r="C1633" s="84" t="str">
        <f t="shared" si="217"/>
        <v>January</v>
      </c>
      <c r="I1633" s="87" t="str">
        <f>IF(F1633=0,"",IF(COUNTIF(F1633,"Bao"),[1]Setup!$B$4,IF(COUNTIF(F1633,"Soup Dumpling"),[1]Setup!$B$5,F1633)))</f>
        <v/>
      </c>
    </row>
    <row r="1634" spans="2:9" x14ac:dyDescent="0.3">
      <c r="B1634" s="100">
        <f t="shared" si="216"/>
        <v>0</v>
      </c>
      <c r="C1634" s="84" t="str">
        <f t="shared" si="217"/>
        <v>January</v>
      </c>
      <c r="I1634" s="87" t="str">
        <f>IF(F1634=0,"",IF(COUNTIF(F1634,"Bao"),[1]Setup!$B$4,IF(COUNTIF(F1634,"Soup Dumpling"),[1]Setup!$B$5,F1634)))</f>
        <v/>
      </c>
    </row>
    <row r="1635" spans="2:9" x14ac:dyDescent="0.3">
      <c r="B1635" s="100">
        <f t="shared" si="216"/>
        <v>0</v>
      </c>
      <c r="C1635" s="84" t="str">
        <f t="shared" si="217"/>
        <v>January</v>
      </c>
      <c r="I1635" s="87" t="str">
        <f>IF(F1635=0,"",IF(COUNTIF(F1635,"Bao"),[1]Setup!$B$4,IF(COUNTIF(F1635,"Soup Dumpling"),[1]Setup!$B$5,F1635)))</f>
        <v/>
      </c>
    </row>
    <row r="1636" spans="2:9" x14ac:dyDescent="0.3">
      <c r="B1636" s="100">
        <f t="shared" si="216"/>
        <v>0</v>
      </c>
      <c r="C1636" s="84" t="str">
        <f t="shared" si="217"/>
        <v>January</v>
      </c>
      <c r="I1636" s="87" t="str">
        <f>IF(F1636=0,"",IF(COUNTIF(F1636,"Bao"),[1]Setup!$B$4,IF(COUNTIF(F1636,"Soup Dumpling"),[1]Setup!$B$5,F1636)))</f>
        <v/>
      </c>
    </row>
    <row r="1637" spans="2:9" x14ac:dyDescent="0.3">
      <c r="B1637" s="100">
        <f t="shared" si="216"/>
        <v>0</v>
      </c>
      <c r="C1637" s="84" t="str">
        <f t="shared" si="217"/>
        <v>January</v>
      </c>
      <c r="I1637" s="87" t="str">
        <f>IF(F1637=0,"",IF(COUNTIF(F1637,"Bao"),[1]Setup!$B$4,IF(COUNTIF(F1637,"Soup Dumpling"),[1]Setup!$B$5,F1637)))</f>
        <v/>
      </c>
    </row>
    <row r="1638" spans="2:9" x14ac:dyDescent="0.3">
      <c r="B1638" s="100">
        <f t="shared" si="216"/>
        <v>0</v>
      </c>
      <c r="C1638" s="84" t="str">
        <f t="shared" si="217"/>
        <v>January</v>
      </c>
      <c r="I1638" s="87" t="str">
        <f>IF(F1638=0,"",IF(COUNTIF(F1638,"Bao"),[1]Setup!$B$4,IF(COUNTIF(F1638,"Soup Dumpling"),[1]Setup!$B$5,F1638)))</f>
        <v/>
      </c>
    </row>
    <row r="1639" spans="2:9" x14ac:dyDescent="0.3">
      <c r="B1639" s="100">
        <f t="shared" si="216"/>
        <v>0</v>
      </c>
      <c r="C1639" s="84" t="str">
        <f t="shared" si="217"/>
        <v>January</v>
      </c>
      <c r="I1639" s="87" t="str">
        <f>IF(F1639=0,"",IF(COUNTIF(F1639,"Bao"),[1]Setup!$B$4,IF(COUNTIF(F1639,"Soup Dumpling"),[1]Setup!$B$5,F1639)))</f>
        <v/>
      </c>
    </row>
    <row r="1640" spans="2:9" x14ac:dyDescent="0.3">
      <c r="B1640" s="100">
        <f t="shared" si="216"/>
        <v>0</v>
      </c>
      <c r="C1640" s="84" t="str">
        <f t="shared" si="217"/>
        <v>January</v>
      </c>
      <c r="I1640" s="87" t="str">
        <f>IF(F1640=0,"",IF(COUNTIF(F1640,"Bao"),[1]Setup!$B$4,IF(COUNTIF(F1640,"Soup Dumpling"),[1]Setup!$B$5,F1640)))</f>
        <v/>
      </c>
    </row>
    <row r="1641" spans="2:9" x14ac:dyDescent="0.3">
      <c r="B1641" s="100">
        <f t="shared" si="216"/>
        <v>0</v>
      </c>
      <c r="C1641" s="84" t="str">
        <f t="shared" si="217"/>
        <v>January</v>
      </c>
      <c r="I1641" s="87" t="str">
        <f>IF(F1641=0,"",IF(COUNTIF(F1641,"Bao"),[1]Setup!$B$4,IF(COUNTIF(F1641,"Soup Dumpling"),[1]Setup!$B$5,F1641)))</f>
        <v/>
      </c>
    </row>
    <row r="1642" spans="2:9" x14ac:dyDescent="0.3">
      <c r="B1642" s="100">
        <f t="shared" si="216"/>
        <v>0</v>
      </c>
      <c r="C1642" s="84" t="str">
        <f t="shared" si="217"/>
        <v>January</v>
      </c>
      <c r="I1642" s="87" t="str">
        <f>IF(F1642=0,"",IF(COUNTIF(F1642,"Bao"),[1]Setup!$B$4,IF(COUNTIF(F1642,"Soup Dumpling"),[1]Setup!$B$5,F1642)))</f>
        <v/>
      </c>
    </row>
    <row r="1643" spans="2:9" x14ac:dyDescent="0.3">
      <c r="B1643" s="100">
        <f t="shared" si="216"/>
        <v>0</v>
      </c>
      <c r="C1643" s="84" t="str">
        <f t="shared" si="217"/>
        <v>January</v>
      </c>
      <c r="I1643" s="87" t="str">
        <f>IF(F1643=0,"",IF(COUNTIF(F1643,"Bao"),[1]Setup!$B$4,IF(COUNTIF(F1643,"Soup Dumpling"),[1]Setup!$B$5,F1643)))</f>
        <v/>
      </c>
    </row>
    <row r="1644" spans="2:9" x14ac:dyDescent="0.3">
      <c r="B1644" s="100">
        <f t="shared" si="216"/>
        <v>0</v>
      </c>
      <c r="C1644" s="84" t="str">
        <f t="shared" si="217"/>
        <v>January</v>
      </c>
      <c r="I1644" s="87" t="str">
        <f>IF(F1644=0,"",IF(COUNTIF(F1644,"Bao"),[1]Setup!$B$4,IF(COUNTIF(F1644,"Soup Dumpling"),[1]Setup!$B$5,F1644)))</f>
        <v/>
      </c>
    </row>
    <row r="1645" spans="2:9" x14ac:dyDescent="0.3">
      <c r="B1645" s="100">
        <f t="shared" si="216"/>
        <v>0</v>
      </c>
      <c r="C1645" s="84" t="str">
        <f t="shared" si="217"/>
        <v>January</v>
      </c>
      <c r="I1645" s="87" t="str">
        <f>IF(F1645=0,"",IF(COUNTIF(F1645,"Bao"),[1]Setup!$B$4,IF(COUNTIF(F1645,"Soup Dumpling"),[1]Setup!$B$5,F1645)))</f>
        <v/>
      </c>
    </row>
    <row r="1646" spans="2:9" x14ac:dyDescent="0.3">
      <c r="B1646" s="100">
        <f t="shared" si="216"/>
        <v>0</v>
      </c>
      <c r="C1646" s="84" t="str">
        <f t="shared" si="217"/>
        <v>January</v>
      </c>
      <c r="I1646" s="87" t="str">
        <f>IF(F1646=0,"",IF(COUNTIF(F1646,"Bao"),[1]Setup!$B$4,IF(COUNTIF(F1646,"Soup Dumpling"),[1]Setup!$B$5,F1646)))</f>
        <v/>
      </c>
    </row>
    <row r="1647" spans="2:9" x14ac:dyDescent="0.3">
      <c r="B1647" s="100">
        <f t="shared" si="216"/>
        <v>0</v>
      </c>
      <c r="C1647" s="84" t="str">
        <f t="shared" si="217"/>
        <v>January</v>
      </c>
      <c r="I1647" s="87" t="str">
        <f>IF(F1647=0,"",IF(COUNTIF(F1647,"Bao"),[1]Setup!$B$4,IF(COUNTIF(F1647,"Soup Dumpling"),[1]Setup!$B$5,F1647)))</f>
        <v/>
      </c>
    </row>
    <row r="1648" spans="2:9" x14ac:dyDescent="0.3">
      <c r="B1648" s="100">
        <f t="shared" si="216"/>
        <v>0</v>
      </c>
      <c r="C1648" s="84" t="str">
        <f t="shared" si="217"/>
        <v>January</v>
      </c>
      <c r="I1648" s="87" t="str">
        <f>IF(F1648=0,"",IF(COUNTIF(F1648,"Bao"),[1]Setup!$B$4,IF(COUNTIF(F1648,"Soup Dumpling"),[1]Setup!$B$5,F1648)))</f>
        <v/>
      </c>
    </row>
    <row r="1649" spans="2:9" x14ac:dyDescent="0.3">
      <c r="B1649" s="100">
        <f t="shared" si="216"/>
        <v>0</v>
      </c>
      <c r="C1649" s="84" t="str">
        <f t="shared" si="217"/>
        <v>January</v>
      </c>
      <c r="I1649" s="87" t="str">
        <f>IF(F1649=0,"",IF(COUNTIF(F1649,"Bao"),[1]Setup!$B$4,IF(COUNTIF(F1649,"Soup Dumpling"),[1]Setup!$B$5,F1649)))</f>
        <v/>
      </c>
    </row>
    <row r="1650" spans="2:9" x14ac:dyDescent="0.3">
      <c r="B1650" s="100">
        <f t="shared" si="216"/>
        <v>0</v>
      </c>
      <c r="C1650" s="84" t="str">
        <f t="shared" si="217"/>
        <v>January</v>
      </c>
      <c r="I1650" s="87" t="str">
        <f>IF(F1650=0,"",IF(COUNTIF(F1650,"Bao"),[1]Setup!$B$4,IF(COUNTIF(F1650,"Soup Dumpling"),[1]Setup!$B$5,F1650)))</f>
        <v/>
      </c>
    </row>
    <row r="1651" spans="2:9" x14ac:dyDescent="0.3">
      <c r="B1651" s="100">
        <f t="shared" si="216"/>
        <v>0</v>
      </c>
      <c r="C1651" s="84" t="str">
        <f t="shared" si="217"/>
        <v>January</v>
      </c>
      <c r="I1651" s="87" t="str">
        <f>IF(F1651=0,"",IF(COUNTIF(F1651,"Bao"),[1]Setup!$B$4,IF(COUNTIF(F1651,"Soup Dumpling"),[1]Setup!$B$5,F1651)))</f>
        <v/>
      </c>
    </row>
    <row r="1652" spans="2:9" x14ac:dyDescent="0.3">
      <c r="B1652" s="100">
        <f t="shared" si="216"/>
        <v>0</v>
      </c>
      <c r="C1652" s="84" t="str">
        <f t="shared" si="217"/>
        <v>January</v>
      </c>
      <c r="I1652" s="87" t="str">
        <f>IF(F1652=0,"",IF(COUNTIF(F1652,"Bao"),[1]Setup!$B$4,IF(COUNTIF(F1652,"Soup Dumpling"),[1]Setup!$B$5,F1652)))</f>
        <v/>
      </c>
    </row>
    <row r="1653" spans="2:9" x14ac:dyDescent="0.3">
      <c r="B1653" s="100">
        <f t="shared" si="216"/>
        <v>0</v>
      </c>
      <c r="C1653" s="84" t="str">
        <f t="shared" si="217"/>
        <v>January</v>
      </c>
      <c r="I1653" s="87" t="str">
        <f>IF(F1653=0,"",IF(COUNTIF(F1653,"Bao"),[1]Setup!$B$4,IF(COUNTIF(F1653,"Soup Dumpling"),[1]Setup!$B$5,F1653)))</f>
        <v/>
      </c>
    </row>
    <row r="1654" spans="2:9" x14ac:dyDescent="0.3">
      <c r="B1654" s="100">
        <f t="shared" si="216"/>
        <v>0</v>
      </c>
      <c r="C1654" s="84" t="str">
        <f t="shared" si="217"/>
        <v>January</v>
      </c>
      <c r="I1654" s="87" t="str">
        <f>IF(F1654=0,"",IF(COUNTIF(F1654,"Bao"),[1]Setup!$B$4,IF(COUNTIF(F1654,"Soup Dumpling"),[1]Setup!$B$5,F1654)))</f>
        <v/>
      </c>
    </row>
    <row r="1655" spans="2:9" x14ac:dyDescent="0.3">
      <c r="B1655" s="100">
        <f t="shared" si="216"/>
        <v>0</v>
      </c>
      <c r="C1655" s="84" t="str">
        <f t="shared" si="217"/>
        <v>January</v>
      </c>
      <c r="I1655" s="87" t="str">
        <f>IF(F1655=0,"",IF(COUNTIF(F1655,"Bao"),[1]Setup!$B$4,IF(COUNTIF(F1655,"Soup Dumpling"),[1]Setup!$B$5,F1655)))</f>
        <v/>
      </c>
    </row>
    <row r="1656" spans="2:9" x14ac:dyDescent="0.3">
      <c r="B1656" s="100">
        <f t="shared" si="216"/>
        <v>0</v>
      </c>
      <c r="C1656" s="84" t="str">
        <f t="shared" si="217"/>
        <v>January</v>
      </c>
      <c r="I1656" s="87" t="str">
        <f>IF(F1656=0,"",IF(COUNTIF(F1656,"Bao"),[1]Setup!$B$4,IF(COUNTIF(F1656,"Soup Dumpling"),[1]Setup!$B$5,F1656)))</f>
        <v/>
      </c>
    </row>
    <row r="1657" spans="2:9" x14ac:dyDescent="0.3">
      <c r="B1657" s="100">
        <f t="shared" si="216"/>
        <v>0</v>
      </c>
      <c r="C1657" s="84" t="str">
        <f t="shared" si="217"/>
        <v>January</v>
      </c>
      <c r="I1657" s="87" t="str">
        <f>IF(F1657=0,"",IF(COUNTIF(F1657,"Bao"),[1]Setup!$B$4,IF(COUNTIF(F1657,"Soup Dumpling"),[1]Setup!$B$5,F1657)))</f>
        <v/>
      </c>
    </row>
    <row r="1658" spans="2:9" x14ac:dyDescent="0.3">
      <c r="B1658" s="100">
        <f t="shared" si="216"/>
        <v>0</v>
      </c>
      <c r="C1658" s="84" t="str">
        <f t="shared" si="217"/>
        <v>January</v>
      </c>
      <c r="I1658" s="87" t="str">
        <f>IF(F1658=0,"",IF(COUNTIF(F1658,"Bao"),[1]Setup!$B$4,IF(COUNTIF(F1658,"Soup Dumpling"),[1]Setup!$B$5,F1658)))</f>
        <v/>
      </c>
    </row>
    <row r="1659" spans="2:9" x14ac:dyDescent="0.3">
      <c r="B1659" s="100">
        <f t="shared" si="216"/>
        <v>0</v>
      </c>
      <c r="C1659" s="84" t="str">
        <f t="shared" si="217"/>
        <v>January</v>
      </c>
      <c r="I1659" s="87" t="str">
        <f>IF(F1659=0,"",IF(COUNTIF(F1659,"Bao"),[1]Setup!$B$4,IF(COUNTIF(F1659,"Soup Dumpling"),[1]Setup!$B$5,F1659)))</f>
        <v/>
      </c>
    </row>
    <row r="1660" spans="2:9" x14ac:dyDescent="0.3">
      <c r="B1660" s="100">
        <f t="shared" si="216"/>
        <v>0</v>
      </c>
      <c r="C1660" s="84" t="str">
        <f t="shared" si="217"/>
        <v>January</v>
      </c>
      <c r="I1660" s="87" t="str">
        <f>IF(F1660=0,"",IF(COUNTIF(F1660,"Bao"),[1]Setup!$B$4,IF(COUNTIF(F1660,"Soup Dumpling"),[1]Setup!$B$5,F1660)))</f>
        <v/>
      </c>
    </row>
    <row r="1661" spans="2:9" x14ac:dyDescent="0.3">
      <c r="B1661" s="100">
        <f t="shared" si="216"/>
        <v>0</v>
      </c>
      <c r="C1661" s="84" t="str">
        <f t="shared" si="217"/>
        <v>January</v>
      </c>
      <c r="I1661" s="87" t="str">
        <f>IF(F1661=0,"",IF(COUNTIF(F1661,"Bao"),[1]Setup!$B$4,IF(COUNTIF(F1661,"Soup Dumpling"),[1]Setup!$B$5,F1661)))</f>
        <v/>
      </c>
    </row>
    <row r="1662" spans="2:9" x14ac:dyDescent="0.3">
      <c r="B1662" s="100">
        <f t="shared" si="216"/>
        <v>0</v>
      </c>
      <c r="C1662" s="84" t="str">
        <f t="shared" si="217"/>
        <v>January</v>
      </c>
      <c r="I1662" s="87" t="str">
        <f>IF(F1662=0,"",IF(COUNTIF(F1662,"Bao"),[1]Setup!$B$4,IF(COUNTIF(F1662,"Soup Dumpling"),[1]Setup!$B$5,F1662)))</f>
        <v/>
      </c>
    </row>
    <row r="1663" spans="2:9" x14ac:dyDescent="0.3">
      <c r="B1663" s="100">
        <f t="shared" si="216"/>
        <v>0</v>
      </c>
      <c r="C1663" s="84" t="str">
        <f t="shared" si="217"/>
        <v>January</v>
      </c>
      <c r="I1663" s="87" t="str">
        <f>IF(F1663=0,"",IF(COUNTIF(F1663,"Bao"),[1]Setup!$B$4,IF(COUNTIF(F1663,"Soup Dumpling"),[1]Setup!$B$5,F1663)))</f>
        <v/>
      </c>
    </row>
    <row r="1664" spans="2:9" x14ac:dyDescent="0.3">
      <c r="B1664" s="100">
        <f t="shared" si="216"/>
        <v>0</v>
      </c>
      <c r="C1664" s="84" t="str">
        <f t="shared" si="217"/>
        <v>January</v>
      </c>
      <c r="I1664" s="87" t="str">
        <f>IF(F1664=0,"",IF(COUNTIF(F1664,"Bao"),[1]Setup!$B$4,IF(COUNTIF(F1664,"Soup Dumpling"),[1]Setup!$B$5,F1664)))</f>
        <v/>
      </c>
    </row>
    <row r="1665" spans="2:9" x14ac:dyDescent="0.3">
      <c r="B1665" s="100">
        <f t="shared" si="216"/>
        <v>0</v>
      </c>
      <c r="C1665" s="84" t="str">
        <f t="shared" si="217"/>
        <v>January</v>
      </c>
      <c r="I1665" s="87" t="str">
        <f>IF(F1665=0,"",IF(COUNTIF(F1665,"Bao"),[1]Setup!$B$4,IF(COUNTIF(F1665,"Soup Dumpling"),[1]Setup!$B$5,F1665)))</f>
        <v/>
      </c>
    </row>
    <row r="1666" spans="2:9" x14ac:dyDescent="0.3">
      <c r="B1666" s="100">
        <f t="shared" si="216"/>
        <v>0</v>
      </c>
      <c r="C1666" s="84" t="str">
        <f t="shared" si="217"/>
        <v>January</v>
      </c>
      <c r="I1666" s="87" t="str">
        <f>IF(F1666=0,"",IF(COUNTIF(F1666,"Bao"),[1]Setup!$B$4,IF(COUNTIF(F1666,"Soup Dumpling"),[1]Setup!$B$5,F1666)))</f>
        <v/>
      </c>
    </row>
    <row r="1667" spans="2:9" x14ac:dyDescent="0.3">
      <c r="B1667" s="100">
        <f t="shared" si="216"/>
        <v>0</v>
      </c>
      <c r="C1667" s="84" t="str">
        <f t="shared" si="217"/>
        <v>January</v>
      </c>
      <c r="I1667" s="87" t="str">
        <f>IF(F1667=0,"",IF(COUNTIF(F1667,"Bao"),[1]Setup!$B$4,IF(COUNTIF(F1667,"Soup Dumpling"),[1]Setup!$B$5,F1667)))</f>
        <v/>
      </c>
    </row>
    <row r="1668" spans="2:9" x14ac:dyDescent="0.3">
      <c r="B1668" s="100">
        <f t="shared" si="216"/>
        <v>0</v>
      </c>
      <c r="C1668" s="84" t="str">
        <f t="shared" si="217"/>
        <v>January</v>
      </c>
      <c r="I1668" s="87" t="str">
        <f>IF(F1668=0,"",IF(COUNTIF(F1668,"Bao"),[1]Setup!$B$4,IF(COUNTIF(F1668,"Soup Dumpling"),[1]Setup!$B$5,F1668)))</f>
        <v/>
      </c>
    </row>
    <row r="1669" spans="2:9" x14ac:dyDescent="0.3">
      <c r="B1669" s="100">
        <f t="shared" ref="B1669:B1732" si="218">+WEEKNUM(A1669)</f>
        <v>0</v>
      </c>
      <c r="C1669" s="84" t="str">
        <f t="shared" ref="C1669:C1732" si="219">+TEXT(A1669,"mmmm")</f>
        <v>January</v>
      </c>
      <c r="I1669" s="87" t="str">
        <f>IF(F1669=0,"",IF(COUNTIF(F1669,"Bao"),[1]Setup!$B$4,IF(COUNTIF(F1669,"Soup Dumpling"),[1]Setup!$B$5,F1669)))</f>
        <v/>
      </c>
    </row>
    <row r="1670" spans="2:9" x14ac:dyDescent="0.3">
      <c r="B1670" s="100">
        <f t="shared" si="218"/>
        <v>0</v>
      </c>
      <c r="C1670" s="84" t="str">
        <f t="shared" si="219"/>
        <v>January</v>
      </c>
      <c r="I1670" s="87" t="str">
        <f>IF(F1670=0,"",IF(COUNTIF(F1670,"Bao"),[1]Setup!$B$4,IF(COUNTIF(F1670,"Soup Dumpling"),[1]Setup!$B$5,F1670)))</f>
        <v/>
      </c>
    </row>
    <row r="1671" spans="2:9" x14ac:dyDescent="0.3">
      <c r="B1671" s="100">
        <f t="shared" si="218"/>
        <v>0</v>
      </c>
      <c r="C1671" s="84" t="str">
        <f t="shared" si="219"/>
        <v>January</v>
      </c>
      <c r="I1671" s="87" t="str">
        <f>IF(F1671=0,"",IF(COUNTIF(F1671,"Bao"),[1]Setup!$B$4,IF(COUNTIF(F1671,"Soup Dumpling"),[1]Setup!$B$5,F1671)))</f>
        <v/>
      </c>
    </row>
    <row r="1672" spans="2:9" x14ac:dyDescent="0.3">
      <c r="B1672" s="100">
        <f t="shared" si="218"/>
        <v>0</v>
      </c>
      <c r="C1672" s="84" t="str">
        <f t="shared" si="219"/>
        <v>January</v>
      </c>
      <c r="I1672" s="87" t="str">
        <f>IF(F1672=0,"",IF(COUNTIF(F1672,"Bao"),[1]Setup!$B$4,IF(COUNTIF(F1672,"Soup Dumpling"),[1]Setup!$B$5,F1672)))</f>
        <v/>
      </c>
    </row>
    <row r="1673" spans="2:9" x14ac:dyDescent="0.3">
      <c r="B1673" s="100">
        <f t="shared" si="218"/>
        <v>0</v>
      </c>
      <c r="C1673" s="84" t="str">
        <f t="shared" si="219"/>
        <v>January</v>
      </c>
      <c r="I1673" s="87" t="str">
        <f>IF(F1673=0,"",IF(COUNTIF(F1673,"Bao"),[1]Setup!$B$4,IF(COUNTIF(F1673,"Soup Dumpling"),[1]Setup!$B$5,F1673)))</f>
        <v/>
      </c>
    </row>
    <row r="1674" spans="2:9" x14ac:dyDescent="0.3">
      <c r="B1674" s="100">
        <f t="shared" si="218"/>
        <v>0</v>
      </c>
      <c r="C1674" s="84" t="str">
        <f t="shared" si="219"/>
        <v>January</v>
      </c>
      <c r="I1674" s="87" t="str">
        <f>IF(F1674=0,"",IF(COUNTIF(F1674,"Bao"),[1]Setup!$B$4,IF(COUNTIF(F1674,"Soup Dumpling"),[1]Setup!$B$5,F1674)))</f>
        <v/>
      </c>
    </row>
    <row r="1675" spans="2:9" x14ac:dyDescent="0.3">
      <c r="B1675" s="100">
        <f t="shared" si="218"/>
        <v>0</v>
      </c>
      <c r="C1675" s="84" t="str">
        <f t="shared" si="219"/>
        <v>January</v>
      </c>
      <c r="I1675" s="87" t="str">
        <f>IF(F1675=0,"",IF(COUNTIF(F1675,"Bao"),[1]Setup!$B$4,IF(COUNTIF(F1675,"Soup Dumpling"),[1]Setup!$B$5,F1675)))</f>
        <v/>
      </c>
    </row>
    <row r="1676" spans="2:9" x14ac:dyDescent="0.3">
      <c r="B1676" s="100">
        <f t="shared" si="218"/>
        <v>0</v>
      </c>
      <c r="C1676" s="84" t="str">
        <f t="shared" si="219"/>
        <v>January</v>
      </c>
      <c r="I1676" s="87" t="str">
        <f>IF(F1676=0,"",IF(COUNTIF(F1676,"Bao"),[1]Setup!$B$4,IF(COUNTIF(F1676,"Soup Dumpling"),[1]Setup!$B$5,F1676)))</f>
        <v/>
      </c>
    </row>
    <row r="1677" spans="2:9" x14ac:dyDescent="0.3">
      <c r="B1677" s="100">
        <f t="shared" si="218"/>
        <v>0</v>
      </c>
      <c r="C1677" s="84" t="str">
        <f t="shared" si="219"/>
        <v>January</v>
      </c>
      <c r="I1677" s="87" t="str">
        <f>IF(F1677=0,"",IF(COUNTIF(F1677,"Bao"),[1]Setup!$B$4,IF(COUNTIF(F1677,"Soup Dumpling"),[1]Setup!$B$5,F1677)))</f>
        <v/>
      </c>
    </row>
    <row r="1678" spans="2:9" x14ac:dyDescent="0.3">
      <c r="B1678" s="100">
        <f t="shared" si="218"/>
        <v>0</v>
      </c>
      <c r="C1678" s="84" t="str">
        <f t="shared" si="219"/>
        <v>January</v>
      </c>
      <c r="I1678" s="87" t="str">
        <f>IF(F1678=0,"",IF(COUNTIF(F1678,"Bao"),[1]Setup!$B$4,IF(COUNTIF(F1678,"Soup Dumpling"),[1]Setup!$B$5,F1678)))</f>
        <v/>
      </c>
    </row>
    <row r="1679" spans="2:9" x14ac:dyDescent="0.3">
      <c r="B1679" s="100">
        <f t="shared" si="218"/>
        <v>0</v>
      </c>
      <c r="C1679" s="84" t="str">
        <f t="shared" si="219"/>
        <v>January</v>
      </c>
      <c r="I1679" s="87" t="str">
        <f>IF(F1679=0,"",IF(COUNTIF(F1679,"Bao"),[1]Setup!$B$4,IF(COUNTIF(F1679,"Soup Dumpling"),[1]Setup!$B$5,F1679)))</f>
        <v/>
      </c>
    </row>
    <row r="1680" spans="2:9" x14ac:dyDescent="0.3">
      <c r="B1680" s="100">
        <f t="shared" si="218"/>
        <v>0</v>
      </c>
      <c r="C1680" s="84" t="str">
        <f t="shared" si="219"/>
        <v>January</v>
      </c>
      <c r="I1680" s="87" t="str">
        <f>IF(F1680=0,"",IF(COUNTIF(F1680,"Bao"),[1]Setup!$B$4,IF(COUNTIF(F1680,"Soup Dumpling"),[1]Setup!$B$5,F1680)))</f>
        <v/>
      </c>
    </row>
    <row r="1681" spans="2:9" x14ac:dyDescent="0.3">
      <c r="B1681" s="100">
        <f t="shared" si="218"/>
        <v>0</v>
      </c>
      <c r="C1681" s="84" t="str">
        <f t="shared" si="219"/>
        <v>January</v>
      </c>
      <c r="I1681" s="87" t="str">
        <f>IF(F1681=0,"",IF(COUNTIF(F1681,"Bao"),[1]Setup!$B$4,IF(COUNTIF(F1681,"Soup Dumpling"),[1]Setup!$B$5,F1681)))</f>
        <v/>
      </c>
    </row>
    <row r="1682" spans="2:9" x14ac:dyDescent="0.3">
      <c r="B1682" s="100">
        <f t="shared" si="218"/>
        <v>0</v>
      </c>
      <c r="C1682" s="84" t="str">
        <f t="shared" si="219"/>
        <v>January</v>
      </c>
      <c r="I1682" s="87" t="str">
        <f>IF(F1682=0,"",IF(COUNTIF(F1682,"Bao"),[1]Setup!$B$4,IF(COUNTIF(F1682,"Soup Dumpling"),[1]Setup!$B$5,F1682)))</f>
        <v/>
      </c>
    </row>
    <row r="1683" spans="2:9" x14ac:dyDescent="0.3">
      <c r="B1683" s="100">
        <f t="shared" si="218"/>
        <v>0</v>
      </c>
      <c r="C1683" s="84" t="str">
        <f t="shared" si="219"/>
        <v>January</v>
      </c>
      <c r="I1683" s="87" t="str">
        <f>IF(F1683=0,"",IF(COUNTIF(F1683,"Bao"),[1]Setup!$B$4,IF(COUNTIF(F1683,"Soup Dumpling"),[1]Setup!$B$5,F1683)))</f>
        <v/>
      </c>
    </row>
    <row r="1684" spans="2:9" x14ac:dyDescent="0.3">
      <c r="B1684" s="100">
        <f t="shared" si="218"/>
        <v>0</v>
      </c>
      <c r="C1684" s="84" t="str">
        <f t="shared" si="219"/>
        <v>January</v>
      </c>
      <c r="I1684" s="87" t="str">
        <f>IF(F1684=0,"",IF(COUNTIF(F1684,"Bao"),[1]Setup!$B$4,IF(COUNTIF(F1684,"Soup Dumpling"),[1]Setup!$B$5,F1684)))</f>
        <v/>
      </c>
    </row>
    <row r="1685" spans="2:9" x14ac:dyDescent="0.3">
      <c r="B1685" s="100">
        <f t="shared" si="218"/>
        <v>0</v>
      </c>
      <c r="C1685" s="84" t="str">
        <f t="shared" si="219"/>
        <v>January</v>
      </c>
      <c r="I1685" s="87" t="str">
        <f>IF(F1685=0,"",IF(COUNTIF(F1685,"Bao"),[1]Setup!$B$4,IF(COUNTIF(F1685,"Soup Dumpling"),[1]Setup!$B$5,F1685)))</f>
        <v/>
      </c>
    </row>
    <row r="1686" spans="2:9" x14ac:dyDescent="0.3">
      <c r="B1686" s="100">
        <f t="shared" si="218"/>
        <v>0</v>
      </c>
      <c r="C1686" s="84" t="str">
        <f t="shared" si="219"/>
        <v>January</v>
      </c>
      <c r="I1686" s="87" t="str">
        <f>IF(F1686=0,"",IF(COUNTIF(F1686,"Bao"),[1]Setup!$B$4,IF(COUNTIF(F1686,"Soup Dumpling"),[1]Setup!$B$5,F1686)))</f>
        <v/>
      </c>
    </row>
    <row r="1687" spans="2:9" x14ac:dyDescent="0.3">
      <c r="B1687" s="100">
        <f t="shared" si="218"/>
        <v>0</v>
      </c>
      <c r="C1687" s="84" t="str">
        <f t="shared" si="219"/>
        <v>January</v>
      </c>
      <c r="I1687" s="87" t="str">
        <f>IF(F1687=0,"",IF(COUNTIF(F1687,"Bao"),[1]Setup!$B$4,IF(COUNTIF(F1687,"Soup Dumpling"),[1]Setup!$B$5,F1687)))</f>
        <v/>
      </c>
    </row>
    <row r="1688" spans="2:9" x14ac:dyDescent="0.3">
      <c r="B1688" s="100">
        <f t="shared" si="218"/>
        <v>0</v>
      </c>
      <c r="C1688" s="84" t="str">
        <f t="shared" si="219"/>
        <v>January</v>
      </c>
      <c r="I1688" s="87" t="str">
        <f>IF(F1688=0,"",IF(COUNTIF(F1688,"Bao"),[1]Setup!$B$4,IF(COUNTIF(F1688,"Soup Dumpling"),[1]Setup!$B$5,F1688)))</f>
        <v/>
      </c>
    </row>
    <row r="1689" spans="2:9" x14ac:dyDescent="0.3">
      <c r="B1689" s="100">
        <f t="shared" si="218"/>
        <v>0</v>
      </c>
      <c r="C1689" s="84" t="str">
        <f t="shared" si="219"/>
        <v>January</v>
      </c>
      <c r="I1689" s="87" t="str">
        <f>IF(F1689=0,"",IF(COUNTIF(F1689,"Bao"),[1]Setup!$B$4,IF(COUNTIF(F1689,"Soup Dumpling"),[1]Setup!$B$5,F1689)))</f>
        <v/>
      </c>
    </row>
    <row r="1690" spans="2:9" x14ac:dyDescent="0.3">
      <c r="B1690" s="100">
        <f t="shared" si="218"/>
        <v>0</v>
      </c>
      <c r="C1690" s="84" t="str">
        <f t="shared" si="219"/>
        <v>January</v>
      </c>
      <c r="I1690" s="87" t="str">
        <f>IF(F1690=0,"",IF(COUNTIF(F1690,"Bao"),[1]Setup!$B$4,IF(COUNTIF(F1690,"Soup Dumpling"),[1]Setup!$B$5,F1690)))</f>
        <v/>
      </c>
    </row>
    <row r="1691" spans="2:9" x14ac:dyDescent="0.3">
      <c r="B1691" s="100">
        <f t="shared" si="218"/>
        <v>0</v>
      </c>
      <c r="C1691" s="84" t="str">
        <f t="shared" si="219"/>
        <v>January</v>
      </c>
      <c r="I1691" s="87" t="str">
        <f>IF(F1691=0,"",IF(COUNTIF(F1691,"Bao"),[1]Setup!$B$4,IF(COUNTIF(F1691,"Soup Dumpling"),[1]Setup!$B$5,F1691)))</f>
        <v/>
      </c>
    </row>
    <row r="1692" spans="2:9" x14ac:dyDescent="0.3">
      <c r="B1692" s="100">
        <f t="shared" si="218"/>
        <v>0</v>
      </c>
      <c r="C1692" s="84" t="str">
        <f t="shared" si="219"/>
        <v>January</v>
      </c>
      <c r="I1692" s="87" t="str">
        <f>IF(F1692=0,"",IF(COUNTIF(F1692,"Bao"),[1]Setup!$B$4,IF(COUNTIF(F1692,"Soup Dumpling"),[1]Setup!$B$5,F1692)))</f>
        <v/>
      </c>
    </row>
    <row r="1693" spans="2:9" x14ac:dyDescent="0.3">
      <c r="B1693" s="100">
        <f t="shared" si="218"/>
        <v>0</v>
      </c>
      <c r="C1693" s="84" t="str">
        <f t="shared" si="219"/>
        <v>January</v>
      </c>
      <c r="I1693" s="87" t="str">
        <f>IF(F1693=0,"",IF(COUNTIF(F1693,"Bao"),[1]Setup!$B$4,IF(COUNTIF(F1693,"Soup Dumpling"),[1]Setup!$B$5,F1693)))</f>
        <v/>
      </c>
    </row>
    <row r="1694" spans="2:9" x14ac:dyDescent="0.3">
      <c r="B1694" s="100">
        <f t="shared" si="218"/>
        <v>0</v>
      </c>
      <c r="C1694" s="84" t="str">
        <f t="shared" si="219"/>
        <v>January</v>
      </c>
      <c r="I1694" s="87" t="str">
        <f>IF(F1694=0,"",IF(COUNTIF(F1694,"Bao"),[1]Setup!$B$4,IF(COUNTIF(F1694,"Soup Dumpling"),[1]Setup!$B$5,F1694)))</f>
        <v/>
      </c>
    </row>
    <row r="1695" spans="2:9" x14ac:dyDescent="0.3">
      <c r="B1695" s="100">
        <f t="shared" si="218"/>
        <v>0</v>
      </c>
      <c r="C1695" s="84" t="str">
        <f t="shared" si="219"/>
        <v>January</v>
      </c>
      <c r="I1695" s="87" t="str">
        <f>IF(F1695=0,"",IF(COUNTIF(F1695,"Bao"),[1]Setup!$B$4,IF(COUNTIF(F1695,"Soup Dumpling"),[1]Setup!$B$5,F1695)))</f>
        <v/>
      </c>
    </row>
    <row r="1696" spans="2:9" x14ac:dyDescent="0.3">
      <c r="B1696" s="100">
        <f t="shared" si="218"/>
        <v>0</v>
      </c>
      <c r="C1696" s="84" t="str">
        <f t="shared" si="219"/>
        <v>January</v>
      </c>
      <c r="I1696" s="87" t="str">
        <f>IF(F1696=0,"",IF(COUNTIF(F1696,"Bao"),[1]Setup!$B$4,IF(COUNTIF(F1696,"Soup Dumpling"),[1]Setup!$B$5,F1696)))</f>
        <v/>
      </c>
    </row>
    <row r="1697" spans="2:9" x14ac:dyDescent="0.3">
      <c r="B1697" s="100">
        <f t="shared" si="218"/>
        <v>0</v>
      </c>
      <c r="C1697" s="84" t="str">
        <f t="shared" si="219"/>
        <v>January</v>
      </c>
      <c r="I1697" s="87" t="str">
        <f>IF(F1697=0,"",IF(COUNTIF(F1697,"Bao"),[1]Setup!$B$4,IF(COUNTIF(F1697,"Soup Dumpling"),[1]Setup!$B$5,F1697)))</f>
        <v/>
      </c>
    </row>
    <row r="1698" spans="2:9" x14ac:dyDescent="0.3">
      <c r="B1698" s="100">
        <f t="shared" si="218"/>
        <v>0</v>
      </c>
      <c r="C1698" s="84" t="str">
        <f t="shared" si="219"/>
        <v>January</v>
      </c>
      <c r="I1698" s="87" t="str">
        <f>IF(F1698=0,"",IF(COUNTIF(F1698,"Bao"),[1]Setup!$B$4,IF(COUNTIF(F1698,"Soup Dumpling"),[1]Setup!$B$5,F1698)))</f>
        <v/>
      </c>
    </row>
    <row r="1699" spans="2:9" x14ac:dyDescent="0.3">
      <c r="B1699" s="100">
        <f t="shared" si="218"/>
        <v>0</v>
      </c>
      <c r="C1699" s="84" t="str">
        <f t="shared" si="219"/>
        <v>January</v>
      </c>
      <c r="I1699" s="87" t="str">
        <f>IF(F1699=0,"",IF(COUNTIF(F1699,"Bao"),[1]Setup!$B$4,IF(COUNTIF(F1699,"Soup Dumpling"),[1]Setup!$B$5,F1699)))</f>
        <v/>
      </c>
    </row>
    <row r="1700" spans="2:9" x14ac:dyDescent="0.3">
      <c r="B1700" s="100">
        <f t="shared" si="218"/>
        <v>0</v>
      </c>
      <c r="C1700" s="84" t="str">
        <f t="shared" si="219"/>
        <v>January</v>
      </c>
      <c r="I1700" s="87" t="str">
        <f>IF(F1700=0,"",IF(COUNTIF(F1700,"Bao"),[1]Setup!$B$4,IF(COUNTIF(F1700,"Soup Dumpling"),[1]Setup!$B$5,F1700)))</f>
        <v/>
      </c>
    </row>
    <row r="1701" spans="2:9" x14ac:dyDescent="0.3">
      <c r="B1701" s="100">
        <f t="shared" si="218"/>
        <v>0</v>
      </c>
      <c r="C1701" s="84" t="str">
        <f t="shared" si="219"/>
        <v>January</v>
      </c>
      <c r="I1701" s="87" t="str">
        <f>IF(F1701=0,"",IF(COUNTIF(F1701,"Bao"),[1]Setup!$B$4,IF(COUNTIF(F1701,"Soup Dumpling"),[1]Setup!$B$5,F1701)))</f>
        <v/>
      </c>
    </row>
    <row r="1702" spans="2:9" x14ac:dyDescent="0.3">
      <c r="B1702" s="100">
        <f t="shared" si="218"/>
        <v>0</v>
      </c>
      <c r="C1702" s="84" t="str">
        <f t="shared" si="219"/>
        <v>January</v>
      </c>
      <c r="I1702" s="87" t="str">
        <f>IF(F1702=0,"",IF(COUNTIF(F1702,"Bao"),[1]Setup!$B$4,IF(COUNTIF(F1702,"Soup Dumpling"),[1]Setup!$B$5,F1702)))</f>
        <v/>
      </c>
    </row>
    <row r="1703" spans="2:9" x14ac:dyDescent="0.3">
      <c r="B1703" s="100">
        <f t="shared" si="218"/>
        <v>0</v>
      </c>
      <c r="C1703" s="84" t="str">
        <f t="shared" si="219"/>
        <v>January</v>
      </c>
      <c r="I1703" s="87" t="str">
        <f>IF(F1703=0,"",IF(COUNTIF(F1703,"Bao"),[1]Setup!$B$4,IF(COUNTIF(F1703,"Soup Dumpling"),[1]Setup!$B$5,F1703)))</f>
        <v/>
      </c>
    </row>
    <row r="1704" spans="2:9" x14ac:dyDescent="0.3">
      <c r="B1704" s="100">
        <f t="shared" si="218"/>
        <v>0</v>
      </c>
      <c r="C1704" s="84" t="str">
        <f t="shared" si="219"/>
        <v>January</v>
      </c>
      <c r="I1704" s="87" t="str">
        <f>IF(F1704=0,"",IF(COUNTIF(F1704,"Bao"),[1]Setup!$B$4,IF(COUNTIF(F1704,"Soup Dumpling"),[1]Setup!$B$5,F1704)))</f>
        <v/>
      </c>
    </row>
    <row r="1705" spans="2:9" x14ac:dyDescent="0.3">
      <c r="B1705" s="100">
        <f t="shared" si="218"/>
        <v>0</v>
      </c>
      <c r="C1705" s="84" t="str">
        <f t="shared" si="219"/>
        <v>January</v>
      </c>
      <c r="I1705" s="87" t="str">
        <f>IF(F1705=0,"",IF(COUNTIF(F1705,"Bao"),[1]Setup!$B$4,IF(COUNTIF(F1705,"Soup Dumpling"),[1]Setup!$B$5,F1705)))</f>
        <v/>
      </c>
    </row>
    <row r="1706" spans="2:9" x14ac:dyDescent="0.3">
      <c r="B1706" s="100">
        <f t="shared" si="218"/>
        <v>0</v>
      </c>
      <c r="C1706" s="84" t="str">
        <f t="shared" si="219"/>
        <v>January</v>
      </c>
      <c r="I1706" s="87" t="str">
        <f>IF(F1706=0,"",IF(COUNTIF(F1706,"Bao"),[1]Setup!$B$4,IF(COUNTIF(F1706,"Soup Dumpling"),[1]Setup!$B$5,F1706)))</f>
        <v/>
      </c>
    </row>
    <row r="1707" spans="2:9" x14ac:dyDescent="0.3">
      <c r="B1707" s="100">
        <f t="shared" si="218"/>
        <v>0</v>
      </c>
      <c r="C1707" s="84" t="str">
        <f t="shared" si="219"/>
        <v>January</v>
      </c>
      <c r="I1707" s="87" t="str">
        <f>IF(F1707=0,"",IF(COUNTIF(F1707,"Bao"),[1]Setup!$B$4,IF(COUNTIF(F1707,"Soup Dumpling"),[1]Setup!$B$5,F1707)))</f>
        <v/>
      </c>
    </row>
    <row r="1708" spans="2:9" x14ac:dyDescent="0.3">
      <c r="B1708" s="100">
        <f t="shared" si="218"/>
        <v>0</v>
      </c>
      <c r="C1708" s="84" t="str">
        <f t="shared" si="219"/>
        <v>January</v>
      </c>
      <c r="I1708" s="87" t="str">
        <f>IF(F1708=0,"",IF(COUNTIF(F1708,"Bao"),[1]Setup!$B$4,IF(COUNTIF(F1708,"Soup Dumpling"),[1]Setup!$B$5,F1708)))</f>
        <v/>
      </c>
    </row>
    <row r="1709" spans="2:9" x14ac:dyDescent="0.3">
      <c r="B1709" s="100">
        <f t="shared" si="218"/>
        <v>0</v>
      </c>
      <c r="C1709" s="84" t="str">
        <f t="shared" si="219"/>
        <v>January</v>
      </c>
      <c r="I1709" s="87" t="str">
        <f>IF(F1709=0,"",IF(COUNTIF(F1709,"Bao"),[1]Setup!$B$4,IF(COUNTIF(F1709,"Soup Dumpling"),[1]Setup!$B$5,F1709)))</f>
        <v/>
      </c>
    </row>
    <row r="1710" spans="2:9" x14ac:dyDescent="0.3">
      <c r="B1710" s="100">
        <f t="shared" si="218"/>
        <v>0</v>
      </c>
      <c r="C1710" s="84" t="str">
        <f t="shared" si="219"/>
        <v>January</v>
      </c>
      <c r="I1710" s="87" t="str">
        <f>IF(F1710=0,"",IF(COUNTIF(F1710,"Bao"),[1]Setup!$B$4,IF(COUNTIF(F1710,"Soup Dumpling"),[1]Setup!$B$5,F1710)))</f>
        <v/>
      </c>
    </row>
    <row r="1711" spans="2:9" x14ac:dyDescent="0.3">
      <c r="B1711" s="100">
        <f t="shared" si="218"/>
        <v>0</v>
      </c>
      <c r="C1711" s="84" t="str">
        <f t="shared" si="219"/>
        <v>January</v>
      </c>
      <c r="I1711" s="87" t="str">
        <f>IF(F1711=0,"",IF(COUNTIF(F1711,"Bao"),[1]Setup!$B$4,IF(COUNTIF(F1711,"Soup Dumpling"),[1]Setup!$B$5,F1711)))</f>
        <v/>
      </c>
    </row>
    <row r="1712" spans="2:9" x14ac:dyDescent="0.3">
      <c r="B1712" s="100">
        <f t="shared" si="218"/>
        <v>0</v>
      </c>
      <c r="C1712" s="84" t="str">
        <f t="shared" si="219"/>
        <v>January</v>
      </c>
      <c r="I1712" s="87" t="str">
        <f>IF(F1712=0,"",IF(COUNTIF(F1712,"Bao"),[1]Setup!$B$4,IF(COUNTIF(F1712,"Soup Dumpling"),[1]Setup!$B$5,F1712)))</f>
        <v/>
      </c>
    </row>
    <row r="1713" spans="2:9" x14ac:dyDescent="0.3">
      <c r="B1713" s="100">
        <f t="shared" si="218"/>
        <v>0</v>
      </c>
      <c r="C1713" s="84" t="str">
        <f t="shared" si="219"/>
        <v>January</v>
      </c>
      <c r="I1713" s="87" t="str">
        <f>IF(F1713=0,"",IF(COUNTIF(F1713,"Bao"),[1]Setup!$B$4,IF(COUNTIF(F1713,"Soup Dumpling"),[1]Setup!$B$5,F1713)))</f>
        <v/>
      </c>
    </row>
    <row r="1714" spans="2:9" x14ac:dyDescent="0.3">
      <c r="B1714" s="100">
        <f t="shared" si="218"/>
        <v>0</v>
      </c>
      <c r="C1714" s="84" t="str">
        <f t="shared" si="219"/>
        <v>January</v>
      </c>
      <c r="I1714" s="87" t="str">
        <f>IF(F1714=0,"",IF(COUNTIF(F1714,"Bao"),[1]Setup!$B$4,IF(COUNTIF(F1714,"Soup Dumpling"),[1]Setup!$B$5,F1714)))</f>
        <v/>
      </c>
    </row>
    <row r="1715" spans="2:9" x14ac:dyDescent="0.3">
      <c r="B1715" s="100">
        <f t="shared" si="218"/>
        <v>0</v>
      </c>
      <c r="C1715" s="84" t="str">
        <f t="shared" si="219"/>
        <v>January</v>
      </c>
      <c r="I1715" s="87" t="str">
        <f>IF(F1715=0,"",IF(COUNTIF(F1715,"Bao"),[1]Setup!$B$4,IF(COUNTIF(F1715,"Soup Dumpling"),[1]Setup!$B$5,F1715)))</f>
        <v/>
      </c>
    </row>
    <row r="1716" spans="2:9" x14ac:dyDescent="0.3">
      <c r="B1716" s="100">
        <f t="shared" si="218"/>
        <v>0</v>
      </c>
      <c r="C1716" s="84" t="str">
        <f t="shared" si="219"/>
        <v>January</v>
      </c>
      <c r="I1716" s="87" t="str">
        <f>IF(F1716=0,"",IF(COUNTIF(F1716,"Bao"),[1]Setup!$B$4,IF(COUNTIF(F1716,"Soup Dumpling"),[1]Setup!$B$5,F1716)))</f>
        <v/>
      </c>
    </row>
    <row r="1717" spans="2:9" x14ac:dyDescent="0.3">
      <c r="B1717" s="100">
        <f t="shared" si="218"/>
        <v>0</v>
      </c>
      <c r="C1717" s="84" t="str">
        <f t="shared" si="219"/>
        <v>January</v>
      </c>
      <c r="I1717" s="87" t="str">
        <f>IF(F1717=0,"",IF(COUNTIF(F1717,"Bao"),[1]Setup!$B$4,IF(COUNTIF(F1717,"Soup Dumpling"),[1]Setup!$B$5,F1717)))</f>
        <v/>
      </c>
    </row>
    <row r="1718" spans="2:9" x14ac:dyDescent="0.3">
      <c r="B1718" s="100">
        <f t="shared" si="218"/>
        <v>0</v>
      </c>
      <c r="C1718" s="84" t="str">
        <f t="shared" si="219"/>
        <v>January</v>
      </c>
      <c r="I1718" s="87" t="str">
        <f>IF(F1718=0,"",IF(COUNTIF(F1718,"Bao"),[1]Setup!$B$4,IF(COUNTIF(F1718,"Soup Dumpling"),[1]Setup!$B$5,F1718)))</f>
        <v/>
      </c>
    </row>
    <row r="1719" spans="2:9" x14ac:dyDescent="0.3">
      <c r="B1719" s="100">
        <f t="shared" si="218"/>
        <v>0</v>
      </c>
      <c r="C1719" s="84" t="str">
        <f t="shared" si="219"/>
        <v>January</v>
      </c>
      <c r="I1719" s="87" t="str">
        <f>IF(F1719=0,"",IF(COUNTIF(F1719,"Bao"),[1]Setup!$B$4,IF(COUNTIF(F1719,"Soup Dumpling"),[1]Setup!$B$5,F1719)))</f>
        <v/>
      </c>
    </row>
    <row r="1720" spans="2:9" x14ac:dyDescent="0.3">
      <c r="B1720" s="100">
        <f t="shared" si="218"/>
        <v>0</v>
      </c>
      <c r="C1720" s="84" t="str">
        <f t="shared" si="219"/>
        <v>January</v>
      </c>
      <c r="I1720" s="87" t="str">
        <f>IF(F1720=0,"",IF(COUNTIF(F1720,"Bao"),[1]Setup!$B$4,IF(COUNTIF(F1720,"Soup Dumpling"),[1]Setup!$B$5,F1720)))</f>
        <v/>
      </c>
    </row>
    <row r="1721" spans="2:9" x14ac:dyDescent="0.3">
      <c r="B1721" s="100">
        <f t="shared" si="218"/>
        <v>0</v>
      </c>
      <c r="C1721" s="84" t="str">
        <f t="shared" si="219"/>
        <v>January</v>
      </c>
      <c r="I1721" s="87" t="str">
        <f>IF(F1721=0,"",IF(COUNTIF(F1721,"Bao"),[1]Setup!$B$4,IF(COUNTIF(F1721,"Soup Dumpling"),[1]Setup!$B$5,F1721)))</f>
        <v/>
      </c>
    </row>
    <row r="1722" spans="2:9" x14ac:dyDescent="0.3">
      <c r="B1722" s="100">
        <f t="shared" si="218"/>
        <v>0</v>
      </c>
      <c r="C1722" s="84" t="str">
        <f t="shared" si="219"/>
        <v>January</v>
      </c>
      <c r="I1722" s="87" t="str">
        <f>IF(F1722=0,"",IF(COUNTIF(F1722,"Bao"),[1]Setup!$B$4,IF(COUNTIF(F1722,"Soup Dumpling"),[1]Setup!$B$5,F1722)))</f>
        <v/>
      </c>
    </row>
    <row r="1723" spans="2:9" x14ac:dyDescent="0.3">
      <c r="B1723" s="100">
        <f t="shared" si="218"/>
        <v>0</v>
      </c>
      <c r="C1723" s="84" t="str">
        <f t="shared" si="219"/>
        <v>January</v>
      </c>
      <c r="I1723" s="87" t="str">
        <f>IF(F1723=0,"",IF(COUNTIF(F1723,"Bao"),[1]Setup!$B$4,IF(COUNTIF(F1723,"Soup Dumpling"),[1]Setup!$B$5,F1723)))</f>
        <v/>
      </c>
    </row>
    <row r="1724" spans="2:9" x14ac:dyDescent="0.3">
      <c r="B1724" s="100">
        <f t="shared" si="218"/>
        <v>0</v>
      </c>
      <c r="C1724" s="84" t="str">
        <f t="shared" si="219"/>
        <v>January</v>
      </c>
      <c r="I1724" s="87" t="str">
        <f>IF(F1724=0,"",IF(COUNTIF(F1724,"Bao"),[1]Setup!$B$4,IF(COUNTIF(F1724,"Soup Dumpling"),[1]Setup!$B$5,F1724)))</f>
        <v/>
      </c>
    </row>
    <row r="1725" spans="2:9" x14ac:dyDescent="0.3">
      <c r="B1725" s="100">
        <f t="shared" si="218"/>
        <v>0</v>
      </c>
      <c r="C1725" s="84" t="str">
        <f t="shared" si="219"/>
        <v>January</v>
      </c>
      <c r="I1725" s="87" t="str">
        <f>IF(F1725=0,"",IF(COUNTIF(F1725,"Bao"),[1]Setup!$B$4,IF(COUNTIF(F1725,"Soup Dumpling"),[1]Setup!$B$5,F1725)))</f>
        <v/>
      </c>
    </row>
    <row r="1726" spans="2:9" x14ac:dyDescent="0.3">
      <c r="B1726" s="100">
        <f t="shared" si="218"/>
        <v>0</v>
      </c>
      <c r="C1726" s="84" t="str">
        <f t="shared" si="219"/>
        <v>January</v>
      </c>
      <c r="I1726" s="87" t="str">
        <f>IF(F1726=0,"",IF(COUNTIF(F1726,"Bao"),[1]Setup!$B$4,IF(COUNTIF(F1726,"Soup Dumpling"),[1]Setup!$B$5,F1726)))</f>
        <v/>
      </c>
    </row>
    <row r="1727" spans="2:9" x14ac:dyDescent="0.3">
      <c r="B1727" s="100">
        <f t="shared" si="218"/>
        <v>0</v>
      </c>
      <c r="C1727" s="84" t="str">
        <f t="shared" si="219"/>
        <v>January</v>
      </c>
      <c r="I1727" s="87" t="str">
        <f>IF(F1727=0,"",IF(COUNTIF(F1727,"Bao"),[1]Setup!$B$4,IF(COUNTIF(F1727,"Soup Dumpling"),[1]Setup!$B$5,F1727)))</f>
        <v/>
      </c>
    </row>
    <row r="1728" spans="2:9" x14ac:dyDescent="0.3">
      <c r="B1728" s="100">
        <f t="shared" si="218"/>
        <v>0</v>
      </c>
      <c r="C1728" s="84" t="str">
        <f t="shared" si="219"/>
        <v>January</v>
      </c>
      <c r="I1728" s="87" t="str">
        <f>IF(F1728=0,"",IF(COUNTIF(F1728,"Bao"),[1]Setup!$B$4,IF(COUNTIF(F1728,"Soup Dumpling"),[1]Setup!$B$5,F1728)))</f>
        <v/>
      </c>
    </row>
    <row r="1729" spans="2:9" x14ac:dyDescent="0.3">
      <c r="B1729" s="100">
        <f t="shared" si="218"/>
        <v>0</v>
      </c>
      <c r="C1729" s="84" t="str">
        <f t="shared" si="219"/>
        <v>January</v>
      </c>
      <c r="I1729" s="87" t="str">
        <f>IF(F1729=0,"",IF(COUNTIF(F1729,"Bao"),[1]Setup!$B$4,IF(COUNTIF(F1729,"Soup Dumpling"),[1]Setup!$B$5,F1729)))</f>
        <v/>
      </c>
    </row>
    <row r="1730" spans="2:9" x14ac:dyDescent="0.3">
      <c r="B1730" s="100">
        <f t="shared" si="218"/>
        <v>0</v>
      </c>
      <c r="C1730" s="84" t="str">
        <f t="shared" si="219"/>
        <v>January</v>
      </c>
      <c r="I1730" s="87" t="str">
        <f>IF(F1730=0,"",IF(COUNTIF(F1730,"Bao"),[1]Setup!$B$4,IF(COUNTIF(F1730,"Soup Dumpling"),[1]Setup!$B$5,F1730)))</f>
        <v/>
      </c>
    </row>
    <row r="1731" spans="2:9" x14ac:dyDescent="0.3">
      <c r="B1731" s="100">
        <f t="shared" si="218"/>
        <v>0</v>
      </c>
      <c r="C1731" s="84" t="str">
        <f t="shared" si="219"/>
        <v>January</v>
      </c>
      <c r="I1731" s="87" t="str">
        <f>IF(F1731=0,"",IF(COUNTIF(F1731,"Bao"),[1]Setup!$B$4,IF(COUNTIF(F1731,"Soup Dumpling"),[1]Setup!$B$5,F1731)))</f>
        <v/>
      </c>
    </row>
    <row r="1732" spans="2:9" x14ac:dyDescent="0.3">
      <c r="B1732" s="100">
        <f t="shared" si="218"/>
        <v>0</v>
      </c>
      <c r="C1732" s="84" t="str">
        <f t="shared" si="219"/>
        <v>January</v>
      </c>
      <c r="I1732" s="87" t="str">
        <f>IF(F1732=0,"",IF(COUNTIF(F1732,"Bao"),[1]Setup!$B$4,IF(COUNTIF(F1732,"Soup Dumpling"),[1]Setup!$B$5,F1732)))</f>
        <v/>
      </c>
    </row>
    <row r="1733" spans="2:9" x14ac:dyDescent="0.3">
      <c r="B1733" s="100">
        <f t="shared" ref="B1733:B1796" si="220">+WEEKNUM(A1733)</f>
        <v>0</v>
      </c>
      <c r="C1733" s="84" t="str">
        <f t="shared" ref="C1733:C1796" si="221">+TEXT(A1733,"mmmm")</f>
        <v>January</v>
      </c>
      <c r="I1733" s="87" t="str">
        <f>IF(F1733=0,"",IF(COUNTIF(F1733,"Bao"),[1]Setup!$B$4,IF(COUNTIF(F1733,"Soup Dumpling"),[1]Setup!$B$5,F1733)))</f>
        <v/>
      </c>
    </row>
    <row r="1734" spans="2:9" x14ac:dyDescent="0.3">
      <c r="B1734" s="100">
        <f t="shared" si="220"/>
        <v>0</v>
      </c>
      <c r="C1734" s="84" t="str">
        <f t="shared" si="221"/>
        <v>January</v>
      </c>
      <c r="I1734" s="87" t="str">
        <f>IF(F1734=0,"",IF(COUNTIF(F1734,"Bao"),[1]Setup!$B$4,IF(COUNTIF(F1734,"Soup Dumpling"),[1]Setup!$B$5,F1734)))</f>
        <v/>
      </c>
    </row>
    <row r="1735" spans="2:9" x14ac:dyDescent="0.3">
      <c r="B1735" s="100">
        <f t="shared" si="220"/>
        <v>0</v>
      </c>
      <c r="C1735" s="84" t="str">
        <f t="shared" si="221"/>
        <v>January</v>
      </c>
      <c r="I1735" s="87" t="str">
        <f>IF(F1735=0,"",IF(COUNTIF(F1735,"Bao"),[1]Setup!$B$4,IF(COUNTIF(F1735,"Soup Dumpling"),[1]Setup!$B$5,F1735)))</f>
        <v/>
      </c>
    </row>
    <row r="1736" spans="2:9" x14ac:dyDescent="0.3">
      <c r="B1736" s="100">
        <f t="shared" si="220"/>
        <v>0</v>
      </c>
      <c r="C1736" s="84" t="str">
        <f t="shared" si="221"/>
        <v>January</v>
      </c>
      <c r="I1736" s="87" t="str">
        <f>IF(F1736=0,"",IF(COUNTIF(F1736,"Bao"),[1]Setup!$B$4,IF(COUNTIF(F1736,"Soup Dumpling"),[1]Setup!$B$5,F1736)))</f>
        <v/>
      </c>
    </row>
    <row r="1737" spans="2:9" x14ac:dyDescent="0.3">
      <c r="B1737" s="100">
        <f t="shared" si="220"/>
        <v>0</v>
      </c>
      <c r="C1737" s="84" t="str">
        <f t="shared" si="221"/>
        <v>January</v>
      </c>
      <c r="I1737" s="87" t="str">
        <f>IF(F1737=0,"",IF(COUNTIF(F1737,"Bao"),[1]Setup!$B$4,IF(COUNTIF(F1737,"Soup Dumpling"),[1]Setup!$B$5,F1737)))</f>
        <v/>
      </c>
    </row>
    <row r="1738" spans="2:9" x14ac:dyDescent="0.3">
      <c r="B1738" s="100">
        <f t="shared" si="220"/>
        <v>0</v>
      </c>
      <c r="C1738" s="84" t="str">
        <f t="shared" si="221"/>
        <v>January</v>
      </c>
      <c r="I1738" s="87" t="str">
        <f>IF(F1738=0,"",IF(COUNTIF(F1738,"Bao"),[1]Setup!$B$4,IF(COUNTIF(F1738,"Soup Dumpling"),[1]Setup!$B$5,F1738)))</f>
        <v/>
      </c>
    </row>
    <row r="1739" spans="2:9" x14ac:dyDescent="0.3">
      <c r="B1739" s="100">
        <f t="shared" si="220"/>
        <v>0</v>
      </c>
      <c r="C1739" s="84" t="str">
        <f t="shared" si="221"/>
        <v>January</v>
      </c>
      <c r="I1739" s="87" t="str">
        <f>IF(F1739=0,"",IF(COUNTIF(F1739,"Bao"),[1]Setup!$B$4,IF(COUNTIF(F1739,"Soup Dumpling"),[1]Setup!$B$5,F1739)))</f>
        <v/>
      </c>
    </row>
    <row r="1740" spans="2:9" x14ac:dyDescent="0.3">
      <c r="B1740" s="100">
        <f t="shared" si="220"/>
        <v>0</v>
      </c>
      <c r="C1740" s="84" t="str">
        <f t="shared" si="221"/>
        <v>January</v>
      </c>
      <c r="I1740" s="87" t="str">
        <f>IF(F1740=0,"",IF(COUNTIF(F1740,"Bao"),[1]Setup!$B$4,IF(COUNTIF(F1740,"Soup Dumpling"),[1]Setup!$B$5,F1740)))</f>
        <v/>
      </c>
    </row>
    <row r="1741" spans="2:9" x14ac:dyDescent="0.3">
      <c r="B1741" s="100">
        <f t="shared" si="220"/>
        <v>0</v>
      </c>
      <c r="C1741" s="84" t="str">
        <f t="shared" si="221"/>
        <v>January</v>
      </c>
      <c r="I1741" s="87" t="str">
        <f>IF(F1741=0,"",IF(COUNTIF(F1741,"Bao"),[1]Setup!$B$4,IF(COUNTIF(F1741,"Soup Dumpling"),[1]Setup!$B$5,F1741)))</f>
        <v/>
      </c>
    </row>
    <row r="1742" spans="2:9" x14ac:dyDescent="0.3">
      <c r="B1742" s="100">
        <f t="shared" si="220"/>
        <v>0</v>
      </c>
      <c r="C1742" s="84" t="str">
        <f t="shared" si="221"/>
        <v>January</v>
      </c>
      <c r="I1742" s="87" t="str">
        <f>IF(F1742=0,"",IF(COUNTIF(F1742,"Bao"),[1]Setup!$B$4,IF(COUNTIF(F1742,"Soup Dumpling"),[1]Setup!$B$5,F1742)))</f>
        <v/>
      </c>
    </row>
    <row r="1743" spans="2:9" x14ac:dyDescent="0.3">
      <c r="B1743" s="100">
        <f t="shared" si="220"/>
        <v>0</v>
      </c>
      <c r="C1743" s="84" t="str">
        <f t="shared" si="221"/>
        <v>January</v>
      </c>
      <c r="I1743" s="87" t="str">
        <f>IF(F1743=0,"",IF(COUNTIF(F1743,"Bao"),[1]Setup!$B$4,IF(COUNTIF(F1743,"Soup Dumpling"),[1]Setup!$B$5,F1743)))</f>
        <v/>
      </c>
    </row>
    <row r="1744" spans="2:9" x14ac:dyDescent="0.3">
      <c r="B1744" s="100">
        <f t="shared" si="220"/>
        <v>0</v>
      </c>
      <c r="C1744" s="84" t="str">
        <f t="shared" si="221"/>
        <v>January</v>
      </c>
      <c r="I1744" s="87" t="str">
        <f>IF(F1744=0,"",IF(COUNTIF(F1744,"Bao"),[1]Setup!$B$4,IF(COUNTIF(F1744,"Soup Dumpling"),[1]Setup!$B$5,F1744)))</f>
        <v/>
      </c>
    </row>
    <row r="1745" spans="2:9" x14ac:dyDescent="0.3">
      <c r="B1745" s="100">
        <f t="shared" si="220"/>
        <v>0</v>
      </c>
      <c r="C1745" s="84" t="str">
        <f t="shared" si="221"/>
        <v>January</v>
      </c>
      <c r="I1745" s="87" t="str">
        <f>IF(F1745=0,"",IF(COUNTIF(F1745,"Bao"),[1]Setup!$B$4,IF(COUNTIF(F1745,"Soup Dumpling"),[1]Setup!$B$5,F1745)))</f>
        <v/>
      </c>
    </row>
    <row r="1746" spans="2:9" x14ac:dyDescent="0.3">
      <c r="B1746" s="100">
        <f t="shared" si="220"/>
        <v>0</v>
      </c>
      <c r="C1746" s="84" t="str">
        <f t="shared" si="221"/>
        <v>January</v>
      </c>
      <c r="I1746" s="87" t="str">
        <f>IF(F1746=0,"",IF(COUNTIF(F1746,"Bao"),[1]Setup!$B$4,IF(COUNTIF(F1746,"Soup Dumpling"),[1]Setup!$B$5,F1746)))</f>
        <v/>
      </c>
    </row>
    <row r="1747" spans="2:9" x14ac:dyDescent="0.3">
      <c r="B1747" s="100">
        <f t="shared" si="220"/>
        <v>0</v>
      </c>
      <c r="C1747" s="84" t="str">
        <f t="shared" si="221"/>
        <v>January</v>
      </c>
      <c r="I1747" s="87" t="str">
        <f>IF(F1747=0,"",IF(COUNTIF(F1747,"Bao"),[1]Setup!$B$4,IF(COUNTIF(F1747,"Soup Dumpling"),[1]Setup!$B$5,F1747)))</f>
        <v/>
      </c>
    </row>
    <row r="1748" spans="2:9" x14ac:dyDescent="0.3">
      <c r="B1748" s="100">
        <f t="shared" si="220"/>
        <v>0</v>
      </c>
      <c r="C1748" s="84" t="str">
        <f t="shared" si="221"/>
        <v>January</v>
      </c>
      <c r="I1748" s="87" t="str">
        <f>IF(F1748=0,"",IF(COUNTIF(F1748,"Bao"),[1]Setup!$B$4,IF(COUNTIF(F1748,"Soup Dumpling"),[1]Setup!$B$5,F1748)))</f>
        <v/>
      </c>
    </row>
    <row r="1749" spans="2:9" x14ac:dyDescent="0.3">
      <c r="B1749" s="100">
        <f t="shared" si="220"/>
        <v>0</v>
      </c>
      <c r="C1749" s="84" t="str">
        <f t="shared" si="221"/>
        <v>January</v>
      </c>
      <c r="I1749" s="87" t="str">
        <f>IF(F1749=0,"",IF(COUNTIF(F1749,"Bao"),[1]Setup!$B$4,IF(COUNTIF(F1749,"Soup Dumpling"),[1]Setup!$B$5,F1749)))</f>
        <v/>
      </c>
    </row>
    <row r="1750" spans="2:9" x14ac:dyDescent="0.3">
      <c r="B1750" s="100">
        <f t="shared" si="220"/>
        <v>0</v>
      </c>
      <c r="C1750" s="84" t="str">
        <f t="shared" si="221"/>
        <v>January</v>
      </c>
      <c r="I1750" s="87" t="str">
        <f>IF(F1750=0,"",IF(COUNTIF(F1750,"Bao"),[1]Setup!$B$4,IF(COUNTIF(F1750,"Soup Dumpling"),[1]Setup!$B$5,F1750)))</f>
        <v/>
      </c>
    </row>
    <row r="1751" spans="2:9" x14ac:dyDescent="0.3">
      <c r="B1751" s="100">
        <f t="shared" si="220"/>
        <v>0</v>
      </c>
      <c r="C1751" s="84" t="str">
        <f t="shared" si="221"/>
        <v>January</v>
      </c>
      <c r="I1751" s="87" t="str">
        <f>IF(F1751=0,"",IF(COUNTIF(F1751,"Bao"),[1]Setup!$B$4,IF(COUNTIF(F1751,"Soup Dumpling"),[1]Setup!$B$5,F1751)))</f>
        <v/>
      </c>
    </row>
    <row r="1752" spans="2:9" x14ac:dyDescent="0.3">
      <c r="B1752" s="100">
        <f t="shared" si="220"/>
        <v>0</v>
      </c>
      <c r="C1752" s="84" t="str">
        <f t="shared" si="221"/>
        <v>January</v>
      </c>
      <c r="I1752" s="87" t="str">
        <f>IF(F1752=0,"",IF(COUNTIF(F1752,"Bao"),[1]Setup!$B$4,IF(COUNTIF(F1752,"Soup Dumpling"),[1]Setup!$B$5,F1752)))</f>
        <v/>
      </c>
    </row>
    <row r="1753" spans="2:9" x14ac:dyDescent="0.3">
      <c r="B1753" s="100">
        <f t="shared" si="220"/>
        <v>0</v>
      </c>
      <c r="C1753" s="84" t="str">
        <f t="shared" si="221"/>
        <v>January</v>
      </c>
      <c r="I1753" s="87" t="str">
        <f>IF(F1753=0,"",IF(COUNTIF(F1753,"Bao"),[1]Setup!$B$4,IF(COUNTIF(F1753,"Soup Dumpling"),[1]Setup!$B$5,F1753)))</f>
        <v/>
      </c>
    </row>
    <row r="1754" spans="2:9" x14ac:dyDescent="0.3">
      <c r="B1754" s="100">
        <f t="shared" si="220"/>
        <v>0</v>
      </c>
      <c r="C1754" s="84" t="str">
        <f t="shared" si="221"/>
        <v>January</v>
      </c>
      <c r="I1754" s="87" t="str">
        <f>IF(F1754=0,"",IF(COUNTIF(F1754,"Bao"),[1]Setup!$B$4,IF(COUNTIF(F1754,"Soup Dumpling"),[1]Setup!$B$5,F1754)))</f>
        <v/>
      </c>
    </row>
    <row r="1755" spans="2:9" x14ac:dyDescent="0.3">
      <c r="B1755" s="100">
        <f t="shared" si="220"/>
        <v>0</v>
      </c>
      <c r="C1755" s="84" t="str">
        <f t="shared" si="221"/>
        <v>January</v>
      </c>
      <c r="I1755" s="87" t="str">
        <f>IF(F1755=0,"",IF(COUNTIF(F1755,"Bao"),[1]Setup!$B$4,IF(COUNTIF(F1755,"Soup Dumpling"),[1]Setup!$B$5,F1755)))</f>
        <v/>
      </c>
    </row>
    <row r="1756" spans="2:9" x14ac:dyDescent="0.3">
      <c r="B1756" s="100">
        <f t="shared" si="220"/>
        <v>0</v>
      </c>
      <c r="C1756" s="84" t="str">
        <f t="shared" si="221"/>
        <v>January</v>
      </c>
      <c r="I1756" s="87" t="str">
        <f>IF(F1756=0,"",IF(COUNTIF(F1756,"Bao"),[1]Setup!$B$4,IF(COUNTIF(F1756,"Soup Dumpling"),[1]Setup!$B$5,F1756)))</f>
        <v/>
      </c>
    </row>
    <row r="1757" spans="2:9" x14ac:dyDescent="0.3">
      <c r="B1757" s="100">
        <f t="shared" si="220"/>
        <v>0</v>
      </c>
      <c r="C1757" s="84" t="str">
        <f t="shared" si="221"/>
        <v>January</v>
      </c>
      <c r="I1757" s="87" t="str">
        <f>IF(F1757=0,"",IF(COUNTIF(F1757,"Bao"),[1]Setup!$B$4,IF(COUNTIF(F1757,"Soup Dumpling"),[1]Setup!$B$5,F1757)))</f>
        <v/>
      </c>
    </row>
    <row r="1758" spans="2:9" x14ac:dyDescent="0.3">
      <c r="B1758" s="100">
        <f t="shared" si="220"/>
        <v>0</v>
      </c>
      <c r="C1758" s="84" t="str">
        <f t="shared" si="221"/>
        <v>January</v>
      </c>
      <c r="I1758" s="87" t="str">
        <f>IF(F1758=0,"",IF(COUNTIF(F1758,"Bao"),[1]Setup!$B$4,IF(COUNTIF(F1758,"Soup Dumpling"),[1]Setup!$B$5,F1758)))</f>
        <v/>
      </c>
    </row>
    <row r="1759" spans="2:9" x14ac:dyDescent="0.3">
      <c r="B1759" s="100">
        <f t="shared" si="220"/>
        <v>0</v>
      </c>
      <c r="C1759" s="84" t="str">
        <f t="shared" si="221"/>
        <v>January</v>
      </c>
      <c r="I1759" s="87" t="str">
        <f>IF(F1759=0,"",IF(COUNTIF(F1759,"Bao"),[1]Setup!$B$4,IF(COUNTIF(F1759,"Soup Dumpling"),[1]Setup!$B$5,F1759)))</f>
        <v/>
      </c>
    </row>
    <row r="1760" spans="2:9" x14ac:dyDescent="0.3">
      <c r="B1760" s="100">
        <f t="shared" si="220"/>
        <v>0</v>
      </c>
      <c r="C1760" s="84" t="str">
        <f t="shared" si="221"/>
        <v>January</v>
      </c>
      <c r="I1760" s="87" t="str">
        <f>IF(F1760=0,"",IF(COUNTIF(F1760,"Bao"),[1]Setup!$B$4,IF(COUNTIF(F1760,"Soup Dumpling"),[1]Setup!$B$5,F1760)))</f>
        <v/>
      </c>
    </row>
    <row r="1761" spans="2:9" x14ac:dyDescent="0.3">
      <c r="B1761" s="100">
        <f t="shared" si="220"/>
        <v>0</v>
      </c>
      <c r="C1761" s="84" t="str">
        <f t="shared" si="221"/>
        <v>January</v>
      </c>
      <c r="I1761" s="87" t="str">
        <f>IF(F1761=0,"",IF(COUNTIF(F1761,"Bao"),[1]Setup!$B$4,IF(COUNTIF(F1761,"Soup Dumpling"),[1]Setup!$B$5,F1761)))</f>
        <v/>
      </c>
    </row>
    <row r="1762" spans="2:9" x14ac:dyDescent="0.3">
      <c r="B1762" s="100">
        <f t="shared" si="220"/>
        <v>0</v>
      </c>
      <c r="C1762" s="84" t="str">
        <f t="shared" si="221"/>
        <v>January</v>
      </c>
      <c r="I1762" s="87" t="str">
        <f>IF(F1762=0,"",IF(COUNTIF(F1762,"Bao"),[1]Setup!$B$4,IF(COUNTIF(F1762,"Soup Dumpling"),[1]Setup!$B$5,F1762)))</f>
        <v/>
      </c>
    </row>
    <row r="1763" spans="2:9" x14ac:dyDescent="0.3">
      <c r="B1763" s="100">
        <f t="shared" si="220"/>
        <v>0</v>
      </c>
      <c r="C1763" s="84" t="str">
        <f t="shared" si="221"/>
        <v>January</v>
      </c>
      <c r="I1763" s="87" t="str">
        <f>IF(F1763=0,"",IF(COUNTIF(F1763,"Bao"),[1]Setup!$B$4,IF(COUNTIF(F1763,"Soup Dumpling"),[1]Setup!$B$5,F1763)))</f>
        <v/>
      </c>
    </row>
    <row r="1764" spans="2:9" x14ac:dyDescent="0.3">
      <c r="B1764" s="100">
        <f t="shared" si="220"/>
        <v>0</v>
      </c>
      <c r="C1764" s="84" t="str">
        <f t="shared" si="221"/>
        <v>January</v>
      </c>
      <c r="I1764" s="87" t="str">
        <f>IF(F1764=0,"",IF(COUNTIF(F1764,"Bao"),[1]Setup!$B$4,IF(COUNTIF(F1764,"Soup Dumpling"),[1]Setup!$B$5,F1764)))</f>
        <v/>
      </c>
    </row>
    <row r="1765" spans="2:9" x14ac:dyDescent="0.3">
      <c r="B1765" s="100">
        <f t="shared" si="220"/>
        <v>0</v>
      </c>
      <c r="C1765" s="84" t="str">
        <f t="shared" si="221"/>
        <v>January</v>
      </c>
      <c r="I1765" s="87" t="str">
        <f>IF(F1765=0,"",IF(COUNTIF(F1765,"Bao"),[1]Setup!$B$4,IF(COUNTIF(F1765,"Soup Dumpling"),[1]Setup!$B$5,F1765)))</f>
        <v/>
      </c>
    </row>
    <row r="1766" spans="2:9" x14ac:dyDescent="0.3">
      <c r="B1766" s="100">
        <f t="shared" si="220"/>
        <v>0</v>
      </c>
      <c r="C1766" s="84" t="str">
        <f t="shared" si="221"/>
        <v>January</v>
      </c>
      <c r="I1766" s="87" t="str">
        <f>IF(F1766=0,"",IF(COUNTIF(F1766,"Bao"),[1]Setup!$B$4,IF(COUNTIF(F1766,"Soup Dumpling"),[1]Setup!$B$5,F1766)))</f>
        <v/>
      </c>
    </row>
    <row r="1767" spans="2:9" x14ac:dyDescent="0.3">
      <c r="B1767" s="100">
        <f t="shared" si="220"/>
        <v>0</v>
      </c>
      <c r="C1767" s="84" t="str">
        <f t="shared" si="221"/>
        <v>January</v>
      </c>
      <c r="I1767" s="87" t="str">
        <f>IF(F1767=0,"",IF(COUNTIF(F1767,"Bao"),[1]Setup!$B$4,IF(COUNTIF(F1767,"Soup Dumpling"),[1]Setup!$B$5,F1767)))</f>
        <v/>
      </c>
    </row>
    <row r="1768" spans="2:9" x14ac:dyDescent="0.3">
      <c r="B1768" s="100">
        <f t="shared" si="220"/>
        <v>0</v>
      </c>
      <c r="C1768" s="84" t="str">
        <f t="shared" si="221"/>
        <v>January</v>
      </c>
      <c r="I1768" s="87" t="str">
        <f>IF(F1768=0,"",IF(COUNTIF(F1768,"Bao"),[1]Setup!$B$4,IF(COUNTIF(F1768,"Soup Dumpling"),[1]Setup!$B$5,F1768)))</f>
        <v/>
      </c>
    </row>
    <row r="1769" spans="2:9" x14ac:dyDescent="0.3">
      <c r="B1769" s="100">
        <f t="shared" si="220"/>
        <v>0</v>
      </c>
      <c r="C1769" s="84" t="str">
        <f t="shared" si="221"/>
        <v>January</v>
      </c>
      <c r="I1769" s="87" t="str">
        <f>IF(F1769=0,"",IF(COUNTIF(F1769,"Bao"),[1]Setup!$B$4,IF(COUNTIF(F1769,"Soup Dumpling"),[1]Setup!$B$5,F1769)))</f>
        <v/>
      </c>
    </row>
    <row r="1770" spans="2:9" x14ac:dyDescent="0.3">
      <c r="B1770" s="100">
        <f t="shared" si="220"/>
        <v>0</v>
      </c>
      <c r="C1770" s="84" t="str">
        <f t="shared" si="221"/>
        <v>January</v>
      </c>
      <c r="I1770" s="87" t="str">
        <f>IF(F1770=0,"",IF(COUNTIF(F1770,"Bao"),[1]Setup!$B$4,IF(COUNTIF(F1770,"Soup Dumpling"),[1]Setup!$B$5,F1770)))</f>
        <v/>
      </c>
    </row>
    <row r="1771" spans="2:9" x14ac:dyDescent="0.3">
      <c r="B1771" s="100">
        <f t="shared" si="220"/>
        <v>0</v>
      </c>
      <c r="C1771" s="84" t="str">
        <f t="shared" si="221"/>
        <v>January</v>
      </c>
      <c r="I1771" s="87" t="str">
        <f>IF(F1771=0,"",IF(COUNTIF(F1771,"Bao"),[1]Setup!$B$4,IF(COUNTIF(F1771,"Soup Dumpling"),[1]Setup!$B$5,F1771)))</f>
        <v/>
      </c>
    </row>
    <row r="1772" spans="2:9" x14ac:dyDescent="0.3">
      <c r="B1772" s="100">
        <f t="shared" si="220"/>
        <v>0</v>
      </c>
      <c r="C1772" s="84" t="str">
        <f t="shared" si="221"/>
        <v>January</v>
      </c>
      <c r="I1772" s="87" t="str">
        <f>IF(F1772=0,"",IF(COUNTIF(F1772,"Bao"),[1]Setup!$B$4,IF(COUNTIF(F1772,"Soup Dumpling"),[1]Setup!$B$5,F1772)))</f>
        <v/>
      </c>
    </row>
    <row r="1773" spans="2:9" x14ac:dyDescent="0.3">
      <c r="B1773" s="100">
        <f t="shared" si="220"/>
        <v>0</v>
      </c>
      <c r="C1773" s="84" t="str">
        <f t="shared" si="221"/>
        <v>January</v>
      </c>
      <c r="I1773" s="87" t="str">
        <f>IF(F1773=0,"",IF(COUNTIF(F1773,"Bao"),[1]Setup!$B$4,IF(COUNTIF(F1773,"Soup Dumpling"),[1]Setup!$B$5,F1773)))</f>
        <v/>
      </c>
    </row>
    <row r="1774" spans="2:9" x14ac:dyDescent="0.3">
      <c r="B1774" s="100">
        <f t="shared" si="220"/>
        <v>0</v>
      </c>
      <c r="C1774" s="84" t="str">
        <f t="shared" si="221"/>
        <v>January</v>
      </c>
      <c r="I1774" s="87" t="str">
        <f>IF(F1774=0,"",IF(COUNTIF(F1774,"Bao"),[1]Setup!$B$4,IF(COUNTIF(F1774,"Soup Dumpling"),[1]Setup!$B$5,F1774)))</f>
        <v/>
      </c>
    </row>
    <row r="1775" spans="2:9" x14ac:dyDescent="0.3">
      <c r="B1775" s="100">
        <f t="shared" si="220"/>
        <v>0</v>
      </c>
      <c r="C1775" s="84" t="str">
        <f t="shared" si="221"/>
        <v>January</v>
      </c>
      <c r="I1775" s="87" t="str">
        <f>IF(F1775=0,"",IF(COUNTIF(F1775,"Bao"),[1]Setup!$B$4,IF(COUNTIF(F1775,"Soup Dumpling"),[1]Setup!$B$5,F1775)))</f>
        <v/>
      </c>
    </row>
    <row r="1776" spans="2:9" x14ac:dyDescent="0.3">
      <c r="B1776" s="100">
        <f t="shared" si="220"/>
        <v>0</v>
      </c>
      <c r="C1776" s="84" t="str">
        <f t="shared" si="221"/>
        <v>January</v>
      </c>
      <c r="I1776" s="87" t="str">
        <f>IF(F1776=0,"",IF(COUNTIF(F1776,"Bao"),[1]Setup!$B$4,IF(COUNTIF(F1776,"Soup Dumpling"),[1]Setup!$B$5,F1776)))</f>
        <v/>
      </c>
    </row>
    <row r="1777" spans="2:9" x14ac:dyDescent="0.3">
      <c r="B1777" s="100">
        <f t="shared" si="220"/>
        <v>0</v>
      </c>
      <c r="C1777" s="84" t="str">
        <f t="shared" si="221"/>
        <v>January</v>
      </c>
      <c r="I1777" s="87" t="str">
        <f>IF(F1777=0,"",IF(COUNTIF(F1777,"Bao"),[1]Setup!$B$4,IF(COUNTIF(F1777,"Soup Dumpling"),[1]Setup!$B$5,F1777)))</f>
        <v/>
      </c>
    </row>
    <row r="1778" spans="2:9" x14ac:dyDescent="0.3">
      <c r="B1778" s="100">
        <f t="shared" si="220"/>
        <v>0</v>
      </c>
      <c r="C1778" s="84" t="str">
        <f t="shared" si="221"/>
        <v>January</v>
      </c>
      <c r="I1778" s="87" t="str">
        <f>IF(F1778=0,"",IF(COUNTIF(F1778,"Bao"),[1]Setup!$B$4,IF(COUNTIF(F1778,"Soup Dumpling"),[1]Setup!$B$5,F1778)))</f>
        <v/>
      </c>
    </row>
    <row r="1779" spans="2:9" x14ac:dyDescent="0.3">
      <c r="B1779" s="100">
        <f t="shared" si="220"/>
        <v>0</v>
      </c>
      <c r="C1779" s="84" t="str">
        <f t="shared" si="221"/>
        <v>January</v>
      </c>
      <c r="I1779" s="87" t="str">
        <f>IF(F1779=0,"",IF(COUNTIF(F1779,"Bao"),[1]Setup!$B$4,IF(COUNTIF(F1779,"Soup Dumpling"),[1]Setup!$B$5,F1779)))</f>
        <v/>
      </c>
    </row>
    <row r="1780" spans="2:9" x14ac:dyDescent="0.3">
      <c r="B1780" s="100">
        <f t="shared" si="220"/>
        <v>0</v>
      </c>
      <c r="C1780" s="84" t="str">
        <f t="shared" si="221"/>
        <v>January</v>
      </c>
      <c r="I1780" s="87" t="str">
        <f>IF(F1780=0,"",IF(COUNTIF(F1780,"Bao"),[1]Setup!$B$4,IF(COUNTIF(F1780,"Soup Dumpling"),[1]Setup!$B$5,F1780)))</f>
        <v/>
      </c>
    </row>
    <row r="1781" spans="2:9" x14ac:dyDescent="0.3">
      <c r="B1781" s="100">
        <f t="shared" si="220"/>
        <v>0</v>
      </c>
      <c r="C1781" s="84" t="str">
        <f t="shared" si="221"/>
        <v>January</v>
      </c>
      <c r="I1781" s="87" t="str">
        <f>IF(F1781=0,"",IF(COUNTIF(F1781,"Bao"),[1]Setup!$B$4,IF(COUNTIF(F1781,"Soup Dumpling"),[1]Setup!$B$5,F1781)))</f>
        <v/>
      </c>
    </row>
    <row r="1782" spans="2:9" x14ac:dyDescent="0.3">
      <c r="B1782" s="100">
        <f t="shared" si="220"/>
        <v>0</v>
      </c>
      <c r="C1782" s="84" t="str">
        <f t="shared" si="221"/>
        <v>January</v>
      </c>
      <c r="I1782" s="87" t="str">
        <f>IF(F1782=0,"",IF(COUNTIF(F1782,"Bao"),[1]Setup!$B$4,IF(COUNTIF(F1782,"Soup Dumpling"),[1]Setup!$B$5,F1782)))</f>
        <v/>
      </c>
    </row>
    <row r="1783" spans="2:9" x14ac:dyDescent="0.3">
      <c r="B1783" s="100">
        <f t="shared" si="220"/>
        <v>0</v>
      </c>
      <c r="C1783" s="84" t="str">
        <f t="shared" si="221"/>
        <v>January</v>
      </c>
      <c r="I1783" s="87" t="str">
        <f>IF(F1783=0,"",IF(COUNTIF(F1783,"Bao"),[1]Setup!$B$4,IF(COUNTIF(F1783,"Soup Dumpling"),[1]Setup!$B$5,F1783)))</f>
        <v/>
      </c>
    </row>
    <row r="1784" spans="2:9" x14ac:dyDescent="0.3">
      <c r="B1784" s="100">
        <f t="shared" si="220"/>
        <v>0</v>
      </c>
      <c r="C1784" s="84" t="str">
        <f t="shared" si="221"/>
        <v>January</v>
      </c>
      <c r="I1784" s="87" t="str">
        <f>IF(F1784=0,"",IF(COUNTIF(F1784,"Bao"),[1]Setup!$B$4,IF(COUNTIF(F1784,"Soup Dumpling"),[1]Setup!$B$5,F1784)))</f>
        <v/>
      </c>
    </row>
    <row r="1785" spans="2:9" x14ac:dyDescent="0.3">
      <c r="B1785" s="100">
        <f t="shared" si="220"/>
        <v>0</v>
      </c>
      <c r="C1785" s="84" t="str">
        <f t="shared" si="221"/>
        <v>January</v>
      </c>
      <c r="I1785" s="87" t="str">
        <f>IF(F1785=0,"",IF(COUNTIF(F1785,"Bao"),[1]Setup!$B$4,IF(COUNTIF(F1785,"Soup Dumpling"),[1]Setup!$B$5,F1785)))</f>
        <v/>
      </c>
    </row>
    <row r="1786" spans="2:9" x14ac:dyDescent="0.3">
      <c r="B1786" s="100">
        <f t="shared" si="220"/>
        <v>0</v>
      </c>
      <c r="C1786" s="84" t="str">
        <f t="shared" si="221"/>
        <v>January</v>
      </c>
      <c r="I1786" s="87" t="str">
        <f>IF(F1786=0,"",IF(COUNTIF(F1786,"Bao"),[1]Setup!$B$4,IF(COUNTIF(F1786,"Soup Dumpling"),[1]Setup!$B$5,F1786)))</f>
        <v/>
      </c>
    </row>
    <row r="1787" spans="2:9" x14ac:dyDescent="0.3">
      <c r="B1787" s="100">
        <f t="shared" si="220"/>
        <v>0</v>
      </c>
      <c r="C1787" s="84" t="str">
        <f t="shared" si="221"/>
        <v>January</v>
      </c>
      <c r="I1787" s="87" t="str">
        <f>IF(F1787=0,"",IF(COUNTIF(F1787,"Bao"),[1]Setup!$B$4,IF(COUNTIF(F1787,"Soup Dumpling"),[1]Setup!$B$5,F1787)))</f>
        <v/>
      </c>
    </row>
    <row r="1788" spans="2:9" x14ac:dyDescent="0.3">
      <c r="B1788" s="100">
        <f t="shared" si="220"/>
        <v>0</v>
      </c>
      <c r="C1788" s="84" t="str">
        <f t="shared" si="221"/>
        <v>January</v>
      </c>
      <c r="I1788" s="87" t="str">
        <f>IF(F1788=0,"",IF(COUNTIF(F1788,"Bao"),[1]Setup!$B$4,IF(COUNTIF(F1788,"Soup Dumpling"),[1]Setup!$B$5,F1788)))</f>
        <v/>
      </c>
    </row>
    <row r="1789" spans="2:9" x14ac:dyDescent="0.3">
      <c r="B1789" s="100">
        <f t="shared" si="220"/>
        <v>0</v>
      </c>
      <c r="C1789" s="84" t="str">
        <f t="shared" si="221"/>
        <v>January</v>
      </c>
      <c r="I1789" s="87" t="str">
        <f>IF(F1789=0,"",IF(COUNTIF(F1789,"Bao"),[1]Setup!$B$4,IF(COUNTIF(F1789,"Soup Dumpling"),[1]Setup!$B$5,F1789)))</f>
        <v/>
      </c>
    </row>
    <row r="1790" spans="2:9" x14ac:dyDescent="0.3">
      <c r="B1790" s="100">
        <f t="shared" si="220"/>
        <v>0</v>
      </c>
      <c r="C1790" s="84" t="str">
        <f t="shared" si="221"/>
        <v>January</v>
      </c>
      <c r="I1790" s="87" t="str">
        <f>IF(F1790=0,"",IF(COUNTIF(F1790,"Bao"),[1]Setup!$B$4,IF(COUNTIF(F1790,"Soup Dumpling"),[1]Setup!$B$5,F1790)))</f>
        <v/>
      </c>
    </row>
    <row r="1791" spans="2:9" x14ac:dyDescent="0.3">
      <c r="B1791" s="100">
        <f t="shared" si="220"/>
        <v>0</v>
      </c>
      <c r="C1791" s="84" t="str">
        <f t="shared" si="221"/>
        <v>January</v>
      </c>
      <c r="I1791" s="87" t="str">
        <f>IF(F1791=0,"",IF(COUNTIF(F1791,"Bao"),[1]Setup!$B$4,IF(COUNTIF(F1791,"Soup Dumpling"),[1]Setup!$B$5,F1791)))</f>
        <v/>
      </c>
    </row>
    <row r="1792" spans="2:9" x14ac:dyDescent="0.3">
      <c r="B1792" s="100">
        <f t="shared" si="220"/>
        <v>0</v>
      </c>
      <c r="C1792" s="84" t="str">
        <f t="shared" si="221"/>
        <v>January</v>
      </c>
      <c r="I1792" s="87" t="str">
        <f>IF(F1792=0,"",IF(COUNTIF(F1792,"Bao"),[1]Setup!$B$4,IF(COUNTIF(F1792,"Soup Dumpling"),[1]Setup!$B$5,F1792)))</f>
        <v/>
      </c>
    </row>
    <row r="1793" spans="2:9" x14ac:dyDescent="0.3">
      <c r="B1793" s="100">
        <f t="shared" si="220"/>
        <v>0</v>
      </c>
      <c r="C1793" s="84" t="str">
        <f t="shared" si="221"/>
        <v>January</v>
      </c>
      <c r="I1793" s="87" t="str">
        <f>IF(F1793=0,"",IF(COUNTIF(F1793,"Bao"),[1]Setup!$B$4,IF(COUNTIF(F1793,"Soup Dumpling"),[1]Setup!$B$5,F1793)))</f>
        <v/>
      </c>
    </row>
    <row r="1794" spans="2:9" x14ac:dyDescent="0.3">
      <c r="B1794" s="100">
        <f t="shared" si="220"/>
        <v>0</v>
      </c>
      <c r="C1794" s="84" t="str">
        <f t="shared" si="221"/>
        <v>January</v>
      </c>
      <c r="I1794" s="87" t="str">
        <f>IF(F1794=0,"",IF(COUNTIF(F1794,"Bao"),[1]Setup!$B$4,IF(COUNTIF(F1794,"Soup Dumpling"),[1]Setup!$B$5,F1794)))</f>
        <v/>
      </c>
    </row>
    <row r="1795" spans="2:9" x14ac:dyDescent="0.3">
      <c r="B1795" s="100">
        <f t="shared" si="220"/>
        <v>0</v>
      </c>
      <c r="C1795" s="84" t="str">
        <f t="shared" si="221"/>
        <v>January</v>
      </c>
      <c r="I1795" s="87" t="str">
        <f>IF(F1795=0,"",IF(COUNTIF(F1795,"Bao"),[1]Setup!$B$4,IF(COUNTIF(F1795,"Soup Dumpling"),[1]Setup!$B$5,F1795)))</f>
        <v/>
      </c>
    </row>
    <row r="1796" spans="2:9" x14ac:dyDescent="0.3">
      <c r="B1796" s="100">
        <f t="shared" si="220"/>
        <v>0</v>
      </c>
      <c r="C1796" s="84" t="str">
        <f t="shared" si="221"/>
        <v>January</v>
      </c>
      <c r="I1796" s="87" t="str">
        <f>IF(F1796=0,"",IF(COUNTIF(F1796,"Bao"),[1]Setup!$B$4,IF(COUNTIF(F1796,"Soup Dumpling"),[1]Setup!$B$5,F1796)))</f>
        <v/>
      </c>
    </row>
    <row r="1797" spans="2:9" x14ac:dyDescent="0.3">
      <c r="B1797" s="100">
        <f t="shared" ref="B1797:B1860" si="222">+WEEKNUM(A1797)</f>
        <v>0</v>
      </c>
      <c r="C1797" s="84" t="str">
        <f t="shared" ref="C1797:C1860" si="223">+TEXT(A1797,"mmmm")</f>
        <v>January</v>
      </c>
      <c r="I1797" s="87" t="str">
        <f>IF(F1797=0,"",IF(COUNTIF(F1797,"Bao"),[1]Setup!$B$4,IF(COUNTIF(F1797,"Soup Dumpling"),[1]Setup!$B$5,F1797)))</f>
        <v/>
      </c>
    </row>
    <row r="1798" spans="2:9" x14ac:dyDescent="0.3">
      <c r="B1798" s="100">
        <f t="shared" si="222"/>
        <v>0</v>
      </c>
      <c r="C1798" s="84" t="str">
        <f t="shared" si="223"/>
        <v>January</v>
      </c>
      <c r="I1798" s="87" t="str">
        <f>IF(F1798=0,"",IF(COUNTIF(F1798,"Bao"),[1]Setup!$B$4,IF(COUNTIF(F1798,"Soup Dumpling"),[1]Setup!$B$5,F1798)))</f>
        <v/>
      </c>
    </row>
    <row r="1799" spans="2:9" x14ac:dyDescent="0.3">
      <c r="B1799" s="100">
        <f t="shared" si="222"/>
        <v>0</v>
      </c>
      <c r="C1799" s="84" t="str">
        <f t="shared" si="223"/>
        <v>January</v>
      </c>
      <c r="I1799" s="87" t="str">
        <f>IF(F1799=0,"",IF(COUNTIF(F1799,"Bao"),[1]Setup!$B$4,IF(COUNTIF(F1799,"Soup Dumpling"),[1]Setup!$B$5,F1799)))</f>
        <v/>
      </c>
    </row>
    <row r="1800" spans="2:9" x14ac:dyDescent="0.3">
      <c r="B1800" s="100">
        <f t="shared" si="222"/>
        <v>0</v>
      </c>
      <c r="C1800" s="84" t="str">
        <f t="shared" si="223"/>
        <v>January</v>
      </c>
      <c r="I1800" s="87" t="str">
        <f>IF(F1800=0,"",IF(COUNTIF(F1800,"Bao"),[1]Setup!$B$4,IF(COUNTIF(F1800,"Soup Dumpling"),[1]Setup!$B$5,F1800)))</f>
        <v/>
      </c>
    </row>
    <row r="1801" spans="2:9" x14ac:dyDescent="0.3">
      <c r="B1801" s="100">
        <f t="shared" si="222"/>
        <v>0</v>
      </c>
      <c r="C1801" s="84" t="str">
        <f t="shared" si="223"/>
        <v>January</v>
      </c>
      <c r="I1801" s="87" t="str">
        <f>IF(F1801=0,"",IF(COUNTIF(F1801,"Bao"),[1]Setup!$B$4,IF(COUNTIF(F1801,"Soup Dumpling"),[1]Setup!$B$5,F1801)))</f>
        <v/>
      </c>
    </row>
    <row r="1802" spans="2:9" x14ac:dyDescent="0.3">
      <c r="B1802" s="100">
        <f t="shared" si="222"/>
        <v>0</v>
      </c>
      <c r="C1802" s="84" t="str">
        <f t="shared" si="223"/>
        <v>January</v>
      </c>
      <c r="I1802" s="87" t="str">
        <f>IF(F1802=0,"",IF(COUNTIF(F1802,"Bao"),[1]Setup!$B$4,IF(COUNTIF(F1802,"Soup Dumpling"),[1]Setup!$B$5,F1802)))</f>
        <v/>
      </c>
    </row>
    <row r="1803" spans="2:9" x14ac:dyDescent="0.3">
      <c r="B1803" s="100">
        <f t="shared" si="222"/>
        <v>0</v>
      </c>
      <c r="C1803" s="84" t="str">
        <f t="shared" si="223"/>
        <v>January</v>
      </c>
      <c r="I1803" s="87" t="str">
        <f>IF(F1803=0,"",IF(COUNTIF(F1803,"Bao"),[1]Setup!$B$4,IF(COUNTIF(F1803,"Soup Dumpling"),[1]Setup!$B$5,F1803)))</f>
        <v/>
      </c>
    </row>
    <row r="1804" spans="2:9" x14ac:dyDescent="0.3">
      <c r="B1804" s="100">
        <f t="shared" si="222"/>
        <v>0</v>
      </c>
      <c r="C1804" s="84" t="str">
        <f t="shared" si="223"/>
        <v>January</v>
      </c>
      <c r="I1804" s="87" t="str">
        <f>IF(F1804=0,"",IF(COUNTIF(F1804,"Bao"),[1]Setup!$B$4,IF(COUNTIF(F1804,"Soup Dumpling"),[1]Setup!$B$5,F1804)))</f>
        <v/>
      </c>
    </row>
    <row r="1805" spans="2:9" x14ac:dyDescent="0.3">
      <c r="B1805" s="100">
        <f t="shared" si="222"/>
        <v>0</v>
      </c>
      <c r="C1805" s="84" t="str">
        <f t="shared" si="223"/>
        <v>January</v>
      </c>
      <c r="I1805" s="87" t="str">
        <f>IF(F1805=0,"",IF(COUNTIF(F1805,"Bao"),[1]Setup!$B$4,IF(COUNTIF(F1805,"Soup Dumpling"),[1]Setup!$B$5,F1805)))</f>
        <v/>
      </c>
    </row>
    <row r="1806" spans="2:9" x14ac:dyDescent="0.3">
      <c r="B1806" s="100">
        <f t="shared" si="222"/>
        <v>0</v>
      </c>
      <c r="C1806" s="84" t="str">
        <f t="shared" si="223"/>
        <v>January</v>
      </c>
      <c r="I1806" s="87" t="str">
        <f>IF(F1806=0,"",IF(COUNTIF(F1806,"Bao"),[1]Setup!$B$4,IF(COUNTIF(F1806,"Soup Dumpling"),[1]Setup!$B$5,F1806)))</f>
        <v/>
      </c>
    </row>
    <row r="1807" spans="2:9" x14ac:dyDescent="0.3">
      <c r="B1807" s="100">
        <f t="shared" si="222"/>
        <v>0</v>
      </c>
      <c r="C1807" s="84" t="str">
        <f t="shared" si="223"/>
        <v>January</v>
      </c>
      <c r="I1807" s="87" t="str">
        <f>IF(F1807=0,"",IF(COUNTIF(F1807,"Bao"),[1]Setup!$B$4,IF(COUNTIF(F1807,"Soup Dumpling"),[1]Setup!$B$5,F1807)))</f>
        <v/>
      </c>
    </row>
    <row r="1808" spans="2:9" x14ac:dyDescent="0.3">
      <c r="B1808" s="100">
        <f t="shared" si="222"/>
        <v>0</v>
      </c>
      <c r="C1808" s="84" t="str">
        <f t="shared" si="223"/>
        <v>January</v>
      </c>
      <c r="I1808" s="87" t="str">
        <f>IF(F1808=0,"",IF(COUNTIF(F1808,"Bao"),[1]Setup!$B$4,IF(COUNTIF(F1808,"Soup Dumpling"),[1]Setup!$B$5,F1808)))</f>
        <v/>
      </c>
    </row>
    <row r="1809" spans="2:9" x14ac:dyDescent="0.3">
      <c r="B1809" s="100">
        <f t="shared" si="222"/>
        <v>0</v>
      </c>
      <c r="C1809" s="84" t="str">
        <f t="shared" si="223"/>
        <v>January</v>
      </c>
      <c r="I1809" s="87" t="str">
        <f>IF(F1809=0,"",IF(COUNTIF(F1809,"Bao"),[1]Setup!$B$4,IF(COUNTIF(F1809,"Soup Dumpling"),[1]Setup!$B$5,F1809)))</f>
        <v/>
      </c>
    </row>
    <row r="1810" spans="2:9" x14ac:dyDescent="0.3">
      <c r="B1810" s="100">
        <f t="shared" si="222"/>
        <v>0</v>
      </c>
      <c r="C1810" s="84" t="str">
        <f t="shared" si="223"/>
        <v>January</v>
      </c>
      <c r="I1810" s="87" t="str">
        <f>IF(F1810=0,"",IF(COUNTIF(F1810,"Bao"),[1]Setup!$B$4,IF(COUNTIF(F1810,"Soup Dumpling"),[1]Setup!$B$5,F1810)))</f>
        <v/>
      </c>
    </row>
    <row r="1811" spans="2:9" x14ac:dyDescent="0.3">
      <c r="B1811" s="100">
        <f t="shared" si="222"/>
        <v>0</v>
      </c>
      <c r="C1811" s="84" t="str">
        <f t="shared" si="223"/>
        <v>January</v>
      </c>
      <c r="I1811" s="87" t="str">
        <f>IF(F1811=0,"",IF(COUNTIF(F1811,"Bao"),[1]Setup!$B$4,IF(COUNTIF(F1811,"Soup Dumpling"),[1]Setup!$B$5,F1811)))</f>
        <v/>
      </c>
    </row>
    <row r="1812" spans="2:9" x14ac:dyDescent="0.3">
      <c r="B1812" s="100">
        <f t="shared" si="222"/>
        <v>0</v>
      </c>
      <c r="C1812" s="84" t="str">
        <f t="shared" si="223"/>
        <v>January</v>
      </c>
      <c r="I1812" s="87" t="str">
        <f>IF(F1812=0,"",IF(COUNTIF(F1812,"Bao"),[1]Setup!$B$4,IF(COUNTIF(F1812,"Soup Dumpling"),[1]Setup!$B$5,F1812)))</f>
        <v/>
      </c>
    </row>
    <row r="1813" spans="2:9" x14ac:dyDescent="0.3">
      <c r="B1813" s="100">
        <f t="shared" si="222"/>
        <v>0</v>
      </c>
      <c r="C1813" s="84" t="str">
        <f t="shared" si="223"/>
        <v>January</v>
      </c>
      <c r="I1813" s="87" t="str">
        <f>IF(F1813=0,"",IF(COUNTIF(F1813,"Bao"),[1]Setup!$B$4,IF(COUNTIF(F1813,"Soup Dumpling"),[1]Setup!$B$5,F1813)))</f>
        <v/>
      </c>
    </row>
    <row r="1814" spans="2:9" x14ac:dyDescent="0.3">
      <c r="B1814" s="100">
        <f t="shared" si="222"/>
        <v>0</v>
      </c>
      <c r="C1814" s="84" t="str">
        <f t="shared" si="223"/>
        <v>January</v>
      </c>
      <c r="I1814" s="87" t="str">
        <f>IF(F1814=0,"",IF(COUNTIF(F1814,"Bao"),[1]Setup!$B$4,IF(COUNTIF(F1814,"Soup Dumpling"),[1]Setup!$B$5,F1814)))</f>
        <v/>
      </c>
    </row>
    <row r="1815" spans="2:9" x14ac:dyDescent="0.3">
      <c r="B1815" s="100">
        <f t="shared" si="222"/>
        <v>0</v>
      </c>
      <c r="C1815" s="84" t="str">
        <f t="shared" si="223"/>
        <v>January</v>
      </c>
      <c r="I1815" s="87" t="str">
        <f>IF(F1815=0,"",IF(COUNTIF(F1815,"Bao"),[1]Setup!$B$4,IF(COUNTIF(F1815,"Soup Dumpling"),[1]Setup!$B$5,F1815)))</f>
        <v/>
      </c>
    </row>
    <row r="1816" spans="2:9" x14ac:dyDescent="0.3">
      <c r="B1816" s="100">
        <f t="shared" si="222"/>
        <v>0</v>
      </c>
      <c r="C1816" s="84" t="str">
        <f t="shared" si="223"/>
        <v>January</v>
      </c>
      <c r="I1816" s="87" t="str">
        <f>IF(F1816=0,"",IF(COUNTIF(F1816,"Bao"),[1]Setup!$B$4,IF(COUNTIF(F1816,"Soup Dumpling"),[1]Setup!$B$5,F1816)))</f>
        <v/>
      </c>
    </row>
    <row r="1817" spans="2:9" x14ac:dyDescent="0.3">
      <c r="B1817" s="100">
        <f t="shared" si="222"/>
        <v>0</v>
      </c>
      <c r="C1817" s="84" t="str">
        <f t="shared" si="223"/>
        <v>January</v>
      </c>
      <c r="I1817" s="87" t="str">
        <f>IF(F1817=0,"",IF(COUNTIF(F1817,"Bao"),[1]Setup!$B$4,IF(COUNTIF(F1817,"Soup Dumpling"),[1]Setup!$B$5,F1817)))</f>
        <v/>
      </c>
    </row>
    <row r="1818" spans="2:9" x14ac:dyDescent="0.3">
      <c r="B1818" s="100">
        <f t="shared" si="222"/>
        <v>0</v>
      </c>
      <c r="C1818" s="84" t="str">
        <f t="shared" si="223"/>
        <v>January</v>
      </c>
      <c r="I1818" s="87" t="str">
        <f>IF(F1818=0,"",IF(COUNTIF(F1818,"Bao"),[1]Setup!$B$4,IF(COUNTIF(F1818,"Soup Dumpling"),[1]Setup!$B$5,F1818)))</f>
        <v/>
      </c>
    </row>
    <row r="1819" spans="2:9" x14ac:dyDescent="0.3">
      <c r="B1819" s="100">
        <f t="shared" si="222"/>
        <v>0</v>
      </c>
      <c r="C1819" s="84" t="str">
        <f t="shared" si="223"/>
        <v>January</v>
      </c>
      <c r="I1819" s="87" t="str">
        <f>IF(F1819=0,"",IF(COUNTIF(F1819,"Bao"),[1]Setup!$B$4,IF(COUNTIF(F1819,"Soup Dumpling"),[1]Setup!$B$5,F1819)))</f>
        <v/>
      </c>
    </row>
    <row r="1820" spans="2:9" x14ac:dyDescent="0.3">
      <c r="B1820" s="100">
        <f t="shared" si="222"/>
        <v>0</v>
      </c>
      <c r="C1820" s="84" t="str">
        <f t="shared" si="223"/>
        <v>January</v>
      </c>
      <c r="I1820" s="87" t="str">
        <f>IF(F1820=0,"",IF(COUNTIF(F1820,"Bao"),[1]Setup!$B$4,IF(COUNTIF(F1820,"Soup Dumpling"),[1]Setup!$B$5,F1820)))</f>
        <v/>
      </c>
    </row>
    <row r="1821" spans="2:9" x14ac:dyDescent="0.3">
      <c r="B1821" s="100">
        <f t="shared" si="222"/>
        <v>0</v>
      </c>
      <c r="C1821" s="84" t="str">
        <f t="shared" si="223"/>
        <v>January</v>
      </c>
      <c r="I1821" s="87" t="str">
        <f>IF(F1821=0,"",IF(COUNTIF(F1821,"Bao"),[1]Setup!$B$4,IF(COUNTIF(F1821,"Soup Dumpling"),[1]Setup!$B$5,F1821)))</f>
        <v/>
      </c>
    </row>
    <row r="1822" spans="2:9" x14ac:dyDescent="0.3">
      <c r="B1822" s="100">
        <f t="shared" si="222"/>
        <v>0</v>
      </c>
      <c r="C1822" s="84" t="str">
        <f t="shared" si="223"/>
        <v>January</v>
      </c>
      <c r="I1822" s="87" t="str">
        <f>IF(F1822=0,"",IF(COUNTIF(F1822,"Bao"),[1]Setup!$B$4,IF(COUNTIF(F1822,"Soup Dumpling"),[1]Setup!$B$5,F1822)))</f>
        <v/>
      </c>
    </row>
    <row r="1823" spans="2:9" x14ac:dyDescent="0.3">
      <c r="B1823" s="100">
        <f t="shared" si="222"/>
        <v>0</v>
      </c>
      <c r="C1823" s="84" t="str">
        <f t="shared" si="223"/>
        <v>January</v>
      </c>
      <c r="I1823" s="87" t="str">
        <f>IF(F1823=0,"",IF(COUNTIF(F1823,"Bao"),[1]Setup!$B$4,IF(COUNTIF(F1823,"Soup Dumpling"),[1]Setup!$B$5,F1823)))</f>
        <v/>
      </c>
    </row>
    <row r="1824" spans="2:9" x14ac:dyDescent="0.3">
      <c r="B1824" s="100">
        <f t="shared" si="222"/>
        <v>0</v>
      </c>
      <c r="C1824" s="84" t="str">
        <f t="shared" si="223"/>
        <v>January</v>
      </c>
      <c r="I1824" s="87" t="str">
        <f>IF(F1824=0,"",IF(COUNTIF(F1824,"Bao"),[1]Setup!$B$4,IF(COUNTIF(F1824,"Soup Dumpling"),[1]Setup!$B$5,F1824)))</f>
        <v/>
      </c>
    </row>
    <row r="1825" spans="2:9" x14ac:dyDescent="0.3">
      <c r="B1825" s="100">
        <f t="shared" si="222"/>
        <v>0</v>
      </c>
      <c r="C1825" s="84" t="str">
        <f t="shared" si="223"/>
        <v>January</v>
      </c>
      <c r="I1825" s="87" t="str">
        <f>IF(F1825=0,"",IF(COUNTIF(F1825,"Bao"),[1]Setup!$B$4,IF(COUNTIF(F1825,"Soup Dumpling"),[1]Setup!$B$5,F1825)))</f>
        <v/>
      </c>
    </row>
    <row r="1826" spans="2:9" x14ac:dyDescent="0.3">
      <c r="B1826" s="100">
        <f t="shared" si="222"/>
        <v>0</v>
      </c>
      <c r="C1826" s="84" t="str">
        <f t="shared" si="223"/>
        <v>January</v>
      </c>
      <c r="I1826" s="87" t="str">
        <f>IF(F1826=0,"",IF(COUNTIF(F1826,"Bao"),[1]Setup!$B$4,IF(COUNTIF(F1826,"Soup Dumpling"),[1]Setup!$B$5,F1826)))</f>
        <v/>
      </c>
    </row>
    <row r="1827" spans="2:9" x14ac:dyDescent="0.3">
      <c r="B1827" s="100">
        <f t="shared" si="222"/>
        <v>0</v>
      </c>
      <c r="C1827" s="84" t="str">
        <f t="shared" si="223"/>
        <v>January</v>
      </c>
      <c r="I1827" s="87" t="str">
        <f>IF(F1827=0,"",IF(COUNTIF(F1827,"Bao"),[1]Setup!$B$4,IF(COUNTIF(F1827,"Soup Dumpling"),[1]Setup!$B$5,F1827)))</f>
        <v/>
      </c>
    </row>
    <row r="1828" spans="2:9" x14ac:dyDescent="0.3">
      <c r="B1828" s="100">
        <f t="shared" si="222"/>
        <v>0</v>
      </c>
      <c r="C1828" s="84" t="str">
        <f t="shared" si="223"/>
        <v>January</v>
      </c>
      <c r="I1828" s="87" t="str">
        <f>IF(F1828=0,"",IF(COUNTIF(F1828,"Bao"),[1]Setup!$B$4,IF(COUNTIF(F1828,"Soup Dumpling"),[1]Setup!$B$5,F1828)))</f>
        <v/>
      </c>
    </row>
    <row r="1829" spans="2:9" x14ac:dyDescent="0.3">
      <c r="B1829" s="100">
        <f t="shared" si="222"/>
        <v>0</v>
      </c>
      <c r="C1829" s="84" t="str">
        <f t="shared" si="223"/>
        <v>January</v>
      </c>
      <c r="I1829" s="87" t="str">
        <f>IF(F1829=0,"",IF(COUNTIF(F1829,"Bao"),[1]Setup!$B$4,IF(COUNTIF(F1829,"Soup Dumpling"),[1]Setup!$B$5,F1829)))</f>
        <v/>
      </c>
    </row>
    <row r="1830" spans="2:9" x14ac:dyDescent="0.3">
      <c r="B1830" s="100">
        <f t="shared" si="222"/>
        <v>0</v>
      </c>
      <c r="C1830" s="84" t="str">
        <f t="shared" si="223"/>
        <v>January</v>
      </c>
      <c r="I1830" s="87" t="str">
        <f>IF(F1830=0,"",IF(COUNTIF(F1830,"Bao"),[1]Setup!$B$4,IF(COUNTIF(F1830,"Soup Dumpling"),[1]Setup!$B$5,F1830)))</f>
        <v/>
      </c>
    </row>
    <row r="1831" spans="2:9" x14ac:dyDescent="0.3">
      <c r="B1831" s="100">
        <f t="shared" si="222"/>
        <v>0</v>
      </c>
      <c r="C1831" s="84" t="str">
        <f t="shared" si="223"/>
        <v>January</v>
      </c>
      <c r="I1831" s="87" t="str">
        <f>IF(F1831=0,"",IF(COUNTIF(F1831,"Bao"),[1]Setup!$B$4,IF(COUNTIF(F1831,"Soup Dumpling"),[1]Setup!$B$5,F1831)))</f>
        <v/>
      </c>
    </row>
    <row r="1832" spans="2:9" x14ac:dyDescent="0.3">
      <c r="B1832" s="100">
        <f t="shared" si="222"/>
        <v>0</v>
      </c>
      <c r="C1832" s="84" t="str">
        <f t="shared" si="223"/>
        <v>January</v>
      </c>
      <c r="I1832" s="87" t="str">
        <f>IF(F1832=0,"",IF(COUNTIF(F1832,"Bao"),[1]Setup!$B$4,IF(COUNTIF(F1832,"Soup Dumpling"),[1]Setup!$B$5,F1832)))</f>
        <v/>
      </c>
    </row>
    <row r="1833" spans="2:9" x14ac:dyDescent="0.3">
      <c r="B1833" s="100">
        <f t="shared" si="222"/>
        <v>0</v>
      </c>
      <c r="C1833" s="84" t="str">
        <f t="shared" si="223"/>
        <v>January</v>
      </c>
      <c r="I1833" s="87" t="str">
        <f>IF(F1833=0,"",IF(COUNTIF(F1833,"Bao"),[1]Setup!$B$4,IF(COUNTIF(F1833,"Soup Dumpling"),[1]Setup!$B$5,F1833)))</f>
        <v/>
      </c>
    </row>
    <row r="1834" spans="2:9" x14ac:dyDescent="0.3">
      <c r="B1834" s="100">
        <f t="shared" si="222"/>
        <v>0</v>
      </c>
      <c r="C1834" s="84" t="str">
        <f t="shared" si="223"/>
        <v>January</v>
      </c>
      <c r="I1834" s="87" t="str">
        <f>IF(F1834=0,"",IF(COUNTIF(F1834,"Bao"),[1]Setup!$B$4,IF(COUNTIF(F1834,"Soup Dumpling"),[1]Setup!$B$5,F1834)))</f>
        <v/>
      </c>
    </row>
    <row r="1835" spans="2:9" x14ac:dyDescent="0.3">
      <c r="B1835" s="100">
        <f t="shared" si="222"/>
        <v>0</v>
      </c>
      <c r="C1835" s="84" t="str">
        <f t="shared" si="223"/>
        <v>January</v>
      </c>
      <c r="I1835" s="87" t="str">
        <f>IF(F1835=0,"",IF(COUNTIF(F1835,"Bao"),[1]Setup!$B$4,IF(COUNTIF(F1835,"Soup Dumpling"),[1]Setup!$B$5,F1835)))</f>
        <v/>
      </c>
    </row>
    <row r="1836" spans="2:9" x14ac:dyDescent="0.3">
      <c r="B1836" s="100">
        <f t="shared" si="222"/>
        <v>0</v>
      </c>
      <c r="C1836" s="84" t="str">
        <f t="shared" si="223"/>
        <v>January</v>
      </c>
      <c r="I1836" s="87" t="str">
        <f>IF(F1836=0,"",IF(COUNTIF(F1836,"Bao"),[1]Setup!$B$4,IF(COUNTIF(F1836,"Soup Dumpling"),[1]Setup!$B$5,F1836)))</f>
        <v/>
      </c>
    </row>
    <row r="1837" spans="2:9" x14ac:dyDescent="0.3">
      <c r="B1837" s="100">
        <f t="shared" si="222"/>
        <v>0</v>
      </c>
      <c r="C1837" s="84" t="str">
        <f t="shared" si="223"/>
        <v>January</v>
      </c>
      <c r="I1837" s="87" t="str">
        <f>IF(F1837=0,"",IF(COUNTIF(F1837,"Bao"),[1]Setup!$B$4,IF(COUNTIF(F1837,"Soup Dumpling"),[1]Setup!$B$5,F1837)))</f>
        <v/>
      </c>
    </row>
    <row r="1838" spans="2:9" x14ac:dyDescent="0.3">
      <c r="B1838" s="100">
        <f t="shared" si="222"/>
        <v>0</v>
      </c>
      <c r="C1838" s="84" t="str">
        <f t="shared" si="223"/>
        <v>January</v>
      </c>
      <c r="I1838" s="87" t="str">
        <f>IF(F1838=0,"",IF(COUNTIF(F1838,"Bao"),[1]Setup!$B$4,IF(COUNTIF(F1838,"Soup Dumpling"),[1]Setup!$B$5,F1838)))</f>
        <v/>
      </c>
    </row>
    <row r="1839" spans="2:9" x14ac:dyDescent="0.3">
      <c r="B1839" s="100">
        <f t="shared" si="222"/>
        <v>0</v>
      </c>
      <c r="C1839" s="84" t="str">
        <f t="shared" si="223"/>
        <v>January</v>
      </c>
      <c r="I1839" s="87" t="str">
        <f>IF(F1839=0,"",IF(COUNTIF(F1839,"Bao"),[1]Setup!$B$4,IF(COUNTIF(F1839,"Soup Dumpling"),[1]Setup!$B$5,F1839)))</f>
        <v/>
      </c>
    </row>
    <row r="1840" spans="2:9" x14ac:dyDescent="0.3">
      <c r="B1840" s="100">
        <f t="shared" si="222"/>
        <v>0</v>
      </c>
      <c r="C1840" s="84" t="str">
        <f t="shared" si="223"/>
        <v>January</v>
      </c>
      <c r="I1840" s="87" t="str">
        <f>IF(F1840=0,"",IF(COUNTIF(F1840,"Bao"),[1]Setup!$B$4,IF(COUNTIF(F1840,"Soup Dumpling"),[1]Setup!$B$5,F1840)))</f>
        <v/>
      </c>
    </row>
    <row r="1841" spans="2:9" x14ac:dyDescent="0.3">
      <c r="B1841" s="100">
        <f t="shared" si="222"/>
        <v>0</v>
      </c>
      <c r="C1841" s="84" t="str">
        <f t="shared" si="223"/>
        <v>January</v>
      </c>
      <c r="I1841" s="87" t="str">
        <f>IF(F1841=0,"",IF(COUNTIF(F1841,"Bao"),[1]Setup!$B$4,IF(COUNTIF(F1841,"Soup Dumpling"),[1]Setup!$B$5,F1841)))</f>
        <v/>
      </c>
    </row>
    <row r="1842" spans="2:9" x14ac:dyDescent="0.3">
      <c r="B1842" s="100">
        <f t="shared" si="222"/>
        <v>0</v>
      </c>
      <c r="C1842" s="84" t="str">
        <f t="shared" si="223"/>
        <v>January</v>
      </c>
      <c r="I1842" s="87" t="str">
        <f>IF(F1842=0,"",IF(COUNTIF(F1842,"Bao"),[1]Setup!$B$4,IF(COUNTIF(F1842,"Soup Dumpling"),[1]Setup!$B$5,F1842)))</f>
        <v/>
      </c>
    </row>
    <row r="1843" spans="2:9" x14ac:dyDescent="0.3">
      <c r="B1843" s="100">
        <f t="shared" si="222"/>
        <v>0</v>
      </c>
      <c r="C1843" s="84" t="str">
        <f t="shared" si="223"/>
        <v>January</v>
      </c>
      <c r="I1843" s="87" t="str">
        <f>IF(F1843=0,"",IF(COUNTIF(F1843,"Bao"),[1]Setup!$B$4,IF(COUNTIF(F1843,"Soup Dumpling"),[1]Setup!$B$5,F1843)))</f>
        <v/>
      </c>
    </row>
    <row r="1844" spans="2:9" x14ac:dyDescent="0.3">
      <c r="B1844" s="100">
        <f t="shared" si="222"/>
        <v>0</v>
      </c>
      <c r="C1844" s="84" t="str">
        <f t="shared" si="223"/>
        <v>January</v>
      </c>
      <c r="I1844" s="87" t="str">
        <f>IF(F1844=0,"",IF(COUNTIF(F1844,"Bao"),[1]Setup!$B$4,IF(COUNTIF(F1844,"Soup Dumpling"),[1]Setup!$B$5,F1844)))</f>
        <v/>
      </c>
    </row>
    <row r="1845" spans="2:9" x14ac:dyDescent="0.3">
      <c r="B1845" s="100">
        <f t="shared" si="222"/>
        <v>0</v>
      </c>
      <c r="C1845" s="84" t="str">
        <f t="shared" si="223"/>
        <v>January</v>
      </c>
      <c r="I1845" s="87" t="str">
        <f>IF(F1845=0,"",IF(COUNTIF(F1845,"Bao"),[1]Setup!$B$4,IF(COUNTIF(F1845,"Soup Dumpling"),[1]Setup!$B$5,F1845)))</f>
        <v/>
      </c>
    </row>
    <row r="1846" spans="2:9" x14ac:dyDescent="0.3">
      <c r="B1846" s="100">
        <f t="shared" si="222"/>
        <v>0</v>
      </c>
      <c r="C1846" s="84" t="str">
        <f t="shared" si="223"/>
        <v>January</v>
      </c>
      <c r="I1846" s="87" t="str">
        <f>IF(F1846=0,"",IF(COUNTIF(F1846,"Bao"),[1]Setup!$B$4,IF(COUNTIF(F1846,"Soup Dumpling"),[1]Setup!$B$5,F1846)))</f>
        <v/>
      </c>
    </row>
    <row r="1847" spans="2:9" x14ac:dyDescent="0.3">
      <c r="B1847" s="100">
        <f t="shared" si="222"/>
        <v>0</v>
      </c>
      <c r="C1847" s="84" t="str">
        <f t="shared" si="223"/>
        <v>January</v>
      </c>
      <c r="I1847" s="87" t="str">
        <f>IF(F1847=0,"",IF(COUNTIF(F1847,"Bao"),[1]Setup!$B$4,IF(COUNTIF(F1847,"Soup Dumpling"),[1]Setup!$B$5,F1847)))</f>
        <v/>
      </c>
    </row>
    <row r="1848" spans="2:9" x14ac:dyDescent="0.3">
      <c r="B1848" s="100">
        <f t="shared" si="222"/>
        <v>0</v>
      </c>
      <c r="C1848" s="84" t="str">
        <f t="shared" si="223"/>
        <v>January</v>
      </c>
      <c r="I1848" s="87" t="str">
        <f>IF(F1848=0,"",IF(COUNTIF(F1848,"Bao"),[1]Setup!$B$4,IF(COUNTIF(F1848,"Soup Dumpling"),[1]Setup!$B$5,F1848)))</f>
        <v/>
      </c>
    </row>
    <row r="1849" spans="2:9" x14ac:dyDescent="0.3">
      <c r="B1849" s="100">
        <f t="shared" si="222"/>
        <v>0</v>
      </c>
      <c r="C1849" s="84" t="str">
        <f t="shared" si="223"/>
        <v>January</v>
      </c>
      <c r="I1849" s="87" t="str">
        <f>IF(F1849=0,"",IF(COUNTIF(F1849,"Bao"),[1]Setup!$B$4,IF(COUNTIF(F1849,"Soup Dumpling"),[1]Setup!$B$5,F1849)))</f>
        <v/>
      </c>
    </row>
    <row r="1850" spans="2:9" x14ac:dyDescent="0.3">
      <c r="B1850" s="100">
        <f t="shared" si="222"/>
        <v>0</v>
      </c>
      <c r="C1850" s="84" t="str">
        <f t="shared" si="223"/>
        <v>January</v>
      </c>
      <c r="I1850" s="87" t="str">
        <f>IF(F1850=0,"",IF(COUNTIF(F1850,"Bao"),[1]Setup!$B$4,IF(COUNTIF(F1850,"Soup Dumpling"),[1]Setup!$B$5,F1850)))</f>
        <v/>
      </c>
    </row>
    <row r="1851" spans="2:9" x14ac:dyDescent="0.3">
      <c r="B1851" s="100">
        <f t="shared" si="222"/>
        <v>0</v>
      </c>
      <c r="C1851" s="84" t="str">
        <f t="shared" si="223"/>
        <v>January</v>
      </c>
      <c r="I1851" s="87" t="str">
        <f>IF(F1851=0,"",IF(COUNTIF(F1851,"Bao"),[1]Setup!$B$4,IF(COUNTIF(F1851,"Soup Dumpling"),[1]Setup!$B$5,F1851)))</f>
        <v/>
      </c>
    </row>
    <row r="1852" spans="2:9" x14ac:dyDescent="0.3">
      <c r="B1852" s="100">
        <f t="shared" si="222"/>
        <v>0</v>
      </c>
      <c r="C1852" s="84" t="str">
        <f t="shared" si="223"/>
        <v>January</v>
      </c>
      <c r="I1852" s="87" t="str">
        <f>IF(F1852=0,"",IF(COUNTIF(F1852,"Bao"),[1]Setup!$B$4,IF(COUNTIF(F1852,"Soup Dumpling"),[1]Setup!$B$5,F1852)))</f>
        <v/>
      </c>
    </row>
    <row r="1853" spans="2:9" x14ac:dyDescent="0.3">
      <c r="B1853" s="100">
        <f t="shared" si="222"/>
        <v>0</v>
      </c>
      <c r="C1853" s="84" t="str">
        <f t="shared" si="223"/>
        <v>January</v>
      </c>
      <c r="I1853" s="87" t="str">
        <f>IF(F1853=0,"",IF(COUNTIF(F1853,"Bao"),[1]Setup!$B$4,IF(COUNTIF(F1853,"Soup Dumpling"),[1]Setup!$B$5,F1853)))</f>
        <v/>
      </c>
    </row>
    <row r="1854" spans="2:9" x14ac:dyDescent="0.3">
      <c r="B1854" s="100">
        <f t="shared" si="222"/>
        <v>0</v>
      </c>
      <c r="C1854" s="84" t="str">
        <f t="shared" si="223"/>
        <v>January</v>
      </c>
      <c r="I1854" s="87" t="str">
        <f>IF(F1854=0,"",IF(COUNTIF(F1854,"Bao"),[1]Setup!$B$4,IF(COUNTIF(F1854,"Soup Dumpling"),[1]Setup!$B$5,F1854)))</f>
        <v/>
      </c>
    </row>
    <row r="1855" spans="2:9" x14ac:dyDescent="0.3">
      <c r="B1855" s="100">
        <f t="shared" si="222"/>
        <v>0</v>
      </c>
      <c r="C1855" s="84" t="str">
        <f t="shared" si="223"/>
        <v>January</v>
      </c>
      <c r="I1855" s="87" t="str">
        <f>IF(F1855=0,"",IF(COUNTIF(F1855,"Bao"),[1]Setup!$B$4,IF(COUNTIF(F1855,"Soup Dumpling"),[1]Setup!$B$5,F1855)))</f>
        <v/>
      </c>
    </row>
    <row r="1856" spans="2:9" x14ac:dyDescent="0.3">
      <c r="B1856" s="100">
        <f t="shared" si="222"/>
        <v>0</v>
      </c>
      <c r="C1856" s="84" t="str">
        <f t="shared" si="223"/>
        <v>January</v>
      </c>
      <c r="I1856" s="87" t="str">
        <f>IF(F1856=0,"",IF(COUNTIF(F1856,"Bao"),[1]Setup!$B$4,IF(COUNTIF(F1856,"Soup Dumpling"),[1]Setup!$B$5,F1856)))</f>
        <v/>
      </c>
    </row>
    <row r="1857" spans="2:9" x14ac:dyDescent="0.3">
      <c r="B1857" s="100">
        <f t="shared" si="222"/>
        <v>0</v>
      </c>
      <c r="C1857" s="84" t="str">
        <f t="shared" si="223"/>
        <v>January</v>
      </c>
      <c r="I1857" s="87" t="str">
        <f>IF(F1857=0,"",IF(COUNTIF(F1857,"Bao"),[1]Setup!$B$4,IF(COUNTIF(F1857,"Soup Dumpling"),[1]Setup!$B$5,F1857)))</f>
        <v/>
      </c>
    </row>
    <row r="1858" spans="2:9" x14ac:dyDescent="0.3">
      <c r="B1858" s="100">
        <f t="shared" si="222"/>
        <v>0</v>
      </c>
      <c r="C1858" s="84" t="str">
        <f t="shared" si="223"/>
        <v>January</v>
      </c>
      <c r="I1858" s="87" t="str">
        <f>IF(F1858=0,"",IF(COUNTIF(F1858,"Bao"),[1]Setup!$B$4,IF(COUNTIF(F1858,"Soup Dumpling"),[1]Setup!$B$5,F1858)))</f>
        <v/>
      </c>
    </row>
    <row r="1859" spans="2:9" x14ac:dyDescent="0.3">
      <c r="B1859" s="100">
        <f t="shared" si="222"/>
        <v>0</v>
      </c>
      <c r="C1859" s="84" t="str">
        <f t="shared" si="223"/>
        <v>January</v>
      </c>
      <c r="I1859" s="87" t="str">
        <f>IF(F1859=0,"",IF(COUNTIF(F1859,"Bao"),[1]Setup!$B$4,IF(COUNTIF(F1859,"Soup Dumpling"),[1]Setup!$B$5,F1859)))</f>
        <v/>
      </c>
    </row>
    <row r="1860" spans="2:9" x14ac:dyDescent="0.3">
      <c r="B1860" s="100">
        <f t="shared" si="222"/>
        <v>0</v>
      </c>
      <c r="C1860" s="84" t="str">
        <f t="shared" si="223"/>
        <v>January</v>
      </c>
      <c r="I1860" s="87" t="str">
        <f>IF(F1860=0,"",IF(COUNTIF(F1860,"Bao"),[1]Setup!$B$4,IF(COUNTIF(F1860,"Soup Dumpling"),[1]Setup!$B$5,F1860)))</f>
        <v/>
      </c>
    </row>
    <row r="1861" spans="2:9" x14ac:dyDescent="0.3">
      <c r="B1861" s="100">
        <f t="shared" ref="B1861:B1924" si="224">+WEEKNUM(A1861)</f>
        <v>0</v>
      </c>
      <c r="C1861" s="84" t="str">
        <f t="shared" ref="C1861:C1924" si="225">+TEXT(A1861,"mmmm")</f>
        <v>January</v>
      </c>
      <c r="I1861" s="87" t="str">
        <f>IF(F1861=0,"",IF(COUNTIF(F1861,"Bao"),[1]Setup!$B$4,IF(COUNTIF(F1861,"Soup Dumpling"),[1]Setup!$B$5,F1861)))</f>
        <v/>
      </c>
    </row>
    <row r="1862" spans="2:9" x14ac:dyDescent="0.3">
      <c r="B1862" s="100">
        <f t="shared" si="224"/>
        <v>0</v>
      </c>
      <c r="C1862" s="84" t="str">
        <f t="shared" si="225"/>
        <v>January</v>
      </c>
      <c r="I1862" s="87" t="str">
        <f>IF(F1862=0,"",IF(COUNTIF(F1862,"Bao"),[1]Setup!$B$4,IF(COUNTIF(F1862,"Soup Dumpling"),[1]Setup!$B$5,F1862)))</f>
        <v/>
      </c>
    </row>
    <row r="1863" spans="2:9" x14ac:dyDescent="0.3">
      <c r="B1863" s="100">
        <f t="shared" si="224"/>
        <v>0</v>
      </c>
      <c r="C1863" s="84" t="str">
        <f t="shared" si="225"/>
        <v>January</v>
      </c>
      <c r="I1863" s="87" t="str">
        <f>IF(F1863=0,"",IF(COUNTIF(F1863,"Bao"),[1]Setup!$B$4,IF(COUNTIF(F1863,"Soup Dumpling"),[1]Setup!$B$5,F1863)))</f>
        <v/>
      </c>
    </row>
    <row r="1864" spans="2:9" x14ac:dyDescent="0.3">
      <c r="B1864" s="100">
        <f t="shared" si="224"/>
        <v>0</v>
      </c>
      <c r="C1864" s="84" t="str">
        <f t="shared" si="225"/>
        <v>January</v>
      </c>
      <c r="I1864" s="87" t="str">
        <f>IF(F1864=0,"",IF(COUNTIF(F1864,"Bao"),[1]Setup!$B$4,IF(COUNTIF(F1864,"Soup Dumpling"),[1]Setup!$B$5,F1864)))</f>
        <v/>
      </c>
    </row>
    <row r="1865" spans="2:9" x14ac:dyDescent="0.3">
      <c r="B1865" s="100">
        <f t="shared" si="224"/>
        <v>0</v>
      </c>
      <c r="C1865" s="84" t="str">
        <f t="shared" si="225"/>
        <v>January</v>
      </c>
      <c r="I1865" s="87" t="str">
        <f>IF(F1865=0,"",IF(COUNTIF(F1865,"Bao"),[1]Setup!$B$4,IF(COUNTIF(F1865,"Soup Dumpling"),[1]Setup!$B$5,F1865)))</f>
        <v/>
      </c>
    </row>
    <row r="1866" spans="2:9" x14ac:dyDescent="0.3">
      <c r="B1866" s="100">
        <f t="shared" si="224"/>
        <v>0</v>
      </c>
      <c r="C1866" s="84" t="str">
        <f t="shared" si="225"/>
        <v>January</v>
      </c>
      <c r="I1866" s="87" t="str">
        <f>IF(F1866=0,"",IF(COUNTIF(F1866,"Bao"),[1]Setup!$B$4,IF(COUNTIF(F1866,"Soup Dumpling"),[1]Setup!$B$5,F1866)))</f>
        <v/>
      </c>
    </row>
    <row r="1867" spans="2:9" x14ac:dyDescent="0.3">
      <c r="B1867" s="100">
        <f t="shared" si="224"/>
        <v>0</v>
      </c>
      <c r="C1867" s="84" t="str">
        <f t="shared" si="225"/>
        <v>January</v>
      </c>
      <c r="I1867" s="87" t="str">
        <f>IF(F1867=0,"",IF(COUNTIF(F1867,"Bao"),[1]Setup!$B$4,IF(COUNTIF(F1867,"Soup Dumpling"),[1]Setup!$B$5,F1867)))</f>
        <v/>
      </c>
    </row>
    <row r="1868" spans="2:9" x14ac:dyDescent="0.3">
      <c r="B1868" s="100">
        <f t="shared" si="224"/>
        <v>0</v>
      </c>
      <c r="C1868" s="84" t="str">
        <f t="shared" si="225"/>
        <v>January</v>
      </c>
      <c r="I1868" s="87" t="str">
        <f>IF(F1868=0,"",IF(COUNTIF(F1868,"Bao"),[1]Setup!$B$4,IF(COUNTIF(F1868,"Soup Dumpling"),[1]Setup!$B$5,F1868)))</f>
        <v/>
      </c>
    </row>
    <row r="1869" spans="2:9" x14ac:dyDescent="0.3">
      <c r="B1869" s="100">
        <f t="shared" si="224"/>
        <v>0</v>
      </c>
      <c r="C1869" s="84" t="str">
        <f t="shared" si="225"/>
        <v>January</v>
      </c>
      <c r="I1869" s="87" t="str">
        <f>IF(F1869=0,"",IF(COUNTIF(F1869,"Bao"),[1]Setup!$B$4,IF(COUNTIF(F1869,"Soup Dumpling"),[1]Setup!$B$5,F1869)))</f>
        <v/>
      </c>
    </row>
    <row r="1870" spans="2:9" x14ac:dyDescent="0.3">
      <c r="B1870" s="100">
        <f t="shared" si="224"/>
        <v>0</v>
      </c>
      <c r="C1870" s="84" t="str">
        <f t="shared" si="225"/>
        <v>January</v>
      </c>
      <c r="I1870" s="87" t="str">
        <f>IF(F1870=0,"",IF(COUNTIF(F1870,"Bao"),[1]Setup!$B$4,IF(COUNTIF(F1870,"Soup Dumpling"),[1]Setup!$B$5,F1870)))</f>
        <v/>
      </c>
    </row>
    <row r="1871" spans="2:9" x14ac:dyDescent="0.3">
      <c r="B1871" s="100">
        <f t="shared" si="224"/>
        <v>0</v>
      </c>
      <c r="C1871" s="84" t="str">
        <f t="shared" si="225"/>
        <v>January</v>
      </c>
      <c r="I1871" s="87" t="str">
        <f>IF(F1871=0,"",IF(COUNTIF(F1871,"Bao"),[1]Setup!$B$4,IF(COUNTIF(F1871,"Soup Dumpling"),[1]Setup!$B$5,F1871)))</f>
        <v/>
      </c>
    </row>
    <row r="1872" spans="2:9" x14ac:dyDescent="0.3">
      <c r="B1872" s="100">
        <f t="shared" si="224"/>
        <v>0</v>
      </c>
      <c r="C1872" s="84" t="str">
        <f t="shared" si="225"/>
        <v>January</v>
      </c>
      <c r="I1872" s="87" t="str">
        <f>IF(F1872=0,"",IF(COUNTIF(F1872,"Bao"),[1]Setup!$B$4,IF(COUNTIF(F1872,"Soup Dumpling"),[1]Setup!$B$5,F1872)))</f>
        <v/>
      </c>
    </row>
    <row r="1873" spans="2:9" x14ac:dyDescent="0.3">
      <c r="B1873" s="100">
        <f t="shared" si="224"/>
        <v>0</v>
      </c>
      <c r="C1873" s="84" t="str">
        <f t="shared" si="225"/>
        <v>January</v>
      </c>
      <c r="I1873" s="87" t="str">
        <f>IF(F1873=0,"",IF(COUNTIF(F1873,"Bao"),[1]Setup!$B$4,IF(COUNTIF(F1873,"Soup Dumpling"),[1]Setup!$B$5,F1873)))</f>
        <v/>
      </c>
    </row>
    <row r="1874" spans="2:9" x14ac:dyDescent="0.3">
      <c r="B1874" s="100">
        <f t="shared" si="224"/>
        <v>0</v>
      </c>
      <c r="C1874" s="84" t="str">
        <f t="shared" si="225"/>
        <v>January</v>
      </c>
      <c r="I1874" s="87" t="str">
        <f>IF(F1874=0,"",IF(COUNTIF(F1874,"Bao"),[1]Setup!$B$4,IF(COUNTIF(F1874,"Soup Dumpling"),[1]Setup!$B$5,F1874)))</f>
        <v/>
      </c>
    </row>
    <row r="1875" spans="2:9" x14ac:dyDescent="0.3">
      <c r="B1875" s="100">
        <f t="shared" si="224"/>
        <v>0</v>
      </c>
      <c r="C1875" s="84" t="str">
        <f t="shared" si="225"/>
        <v>January</v>
      </c>
      <c r="I1875" s="87" t="str">
        <f>IF(F1875=0,"",IF(COUNTIF(F1875,"Bao"),[1]Setup!$B$4,IF(COUNTIF(F1875,"Soup Dumpling"),[1]Setup!$B$5,F1875)))</f>
        <v/>
      </c>
    </row>
    <row r="1876" spans="2:9" x14ac:dyDescent="0.3">
      <c r="B1876" s="100">
        <f t="shared" si="224"/>
        <v>0</v>
      </c>
      <c r="C1876" s="84" t="str">
        <f t="shared" si="225"/>
        <v>January</v>
      </c>
      <c r="I1876" s="87" t="str">
        <f>IF(F1876=0,"",IF(COUNTIF(F1876,"Bao"),[1]Setup!$B$4,IF(COUNTIF(F1876,"Soup Dumpling"),[1]Setup!$B$5,F1876)))</f>
        <v/>
      </c>
    </row>
    <row r="1877" spans="2:9" x14ac:dyDescent="0.3">
      <c r="B1877" s="100">
        <f t="shared" si="224"/>
        <v>0</v>
      </c>
      <c r="C1877" s="84" t="str">
        <f t="shared" si="225"/>
        <v>January</v>
      </c>
      <c r="I1877" s="87" t="str">
        <f>IF(F1877=0,"",IF(COUNTIF(F1877,"Bao"),[1]Setup!$B$4,IF(COUNTIF(F1877,"Soup Dumpling"),[1]Setup!$B$5,F1877)))</f>
        <v/>
      </c>
    </row>
    <row r="1878" spans="2:9" x14ac:dyDescent="0.3">
      <c r="B1878" s="100">
        <f t="shared" si="224"/>
        <v>0</v>
      </c>
      <c r="C1878" s="84" t="str">
        <f t="shared" si="225"/>
        <v>January</v>
      </c>
      <c r="I1878" s="87" t="str">
        <f>IF(F1878=0,"",IF(COUNTIF(F1878,"Bao"),[1]Setup!$B$4,IF(COUNTIF(F1878,"Soup Dumpling"),[1]Setup!$B$5,F1878)))</f>
        <v/>
      </c>
    </row>
    <row r="1879" spans="2:9" x14ac:dyDescent="0.3">
      <c r="B1879" s="100">
        <f t="shared" si="224"/>
        <v>0</v>
      </c>
      <c r="C1879" s="84" t="str">
        <f t="shared" si="225"/>
        <v>January</v>
      </c>
      <c r="I1879" s="87" t="str">
        <f>IF(F1879=0,"",IF(COUNTIF(F1879,"Bao"),[1]Setup!$B$4,IF(COUNTIF(F1879,"Soup Dumpling"),[1]Setup!$B$5,F1879)))</f>
        <v/>
      </c>
    </row>
    <row r="1880" spans="2:9" x14ac:dyDescent="0.3">
      <c r="B1880" s="100">
        <f t="shared" si="224"/>
        <v>0</v>
      </c>
      <c r="C1880" s="84" t="str">
        <f t="shared" si="225"/>
        <v>January</v>
      </c>
      <c r="I1880" s="87" t="str">
        <f>IF(F1880=0,"",IF(COUNTIF(F1880,"Bao"),[1]Setup!$B$4,IF(COUNTIF(F1880,"Soup Dumpling"),[1]Setup!$B$5,F1880)))</f>
        <v/>
      </c>
    </row>
    <row r="1881" spans="2:9" x14ac:dyDescent="0.3">
      <c r="B1881" s="100">
        <f t="shared" si="224"/>
        <v>0</v>
      </c>
      <c r="C1881" s="84" t="str">
        <f t="shared" si="225"/>
        <v>January</v>
      </c>
      <c r="I1881" s="87" t="str">
        <f>IF(F1881=0,"",IF(COUNTIF(F1881,"Bao"),[1]Setup!$B$4,IF(COUNTIF(F1881,"Soup Dumpling"),[1]Setup!$B$5,F1881)))</f>
        <v/>
      </c>
    </row>
    <row r="1882" spans="2:9" x14ac:dyDescent="0.3">
      <c r="B1882" s="100">
        <f t="shared" si="224"/>
        <v>0</v>
      </c>
      <c r="C1882" s="84" t="str">
        <f t="shared" si="225"/>
        <v>January</v>
      </c>
      <c r="I1882" s="87" t="str">
        <f>IF(F1882=0,"",IF(COUNTIF(F1882,"Bao"),[1]Setup!$B$4,IF(COUNTIF(F1882,"Soup Dumpling"),[1]Setup!$B$5,F1882)))</f>
        <v/>
      </c>
    </row>
    <row r="1883" spans="2:9" x14ac:dyDescent="0.3">
      <c r="B1883" s="100">
        <f t="shared" si="224"/>
        <v>0</v>
      </c>
      <c r="C1883" s="84" t="str">
        <f t="shared" si="225"/>
        <v>January</v>
      </c>
      <c r="I1883" s="87" t="str">
        <f>IF(F1883=0,"",IF(COUNTIF(F1883,"Bao"),[1]Setup!$B$4,IF(COUNTIF(F1883,"Soup Dumpling"),[1]Setup!$B$5,F1883)))</f>
        <v/>
      </c>
    </row>
    <row r="1884" spans="2:9" x14ac:dyDescent="0.3">
      <c r="B1884" s="100">
        <f t="shared" si="224"/>
        <v>0</v>
      </c>
      <c r="C1884" s="84" t="str">
        <f t="shared" si="225"/>
        <v>January</v>
      </c>
      <c r="I1884" s="87" t="str">
        <f>IF(F1884=0,"",IF(COUNTIF(F1884,"Bao"),[1]Setup!$B$4,IF(COUNTIF(F1884,"Soup Dumpling"),[1]Setup!$B$5,F1884)))</f>
        <v/>
      </c>
    </row>
    <row r="1885" spans="2:9" x14ac:dyDescent="0.3">
      <c r="B1885" s="100">
        <f t="shared" si="224"/>
        <v>0</v>
      </c>
      <c r="C1885" s="84" t="str">
        <f t="shared" si="225"/>
        <v>January</v>
      </c>
      <c r="I1885" s="87" t="str">
        <f>IF(F1885=0,"",IF(COUNTIF(F1885,"Bao"),[1]Setup!$B$4,IF(COUNTIF(F1885,"Soup Dumpling"),[1]Setup!$B$5,F1885)))</f>
        <v/>
      </c>
    </row>
    <row r="1886" spans="2:9" x14ac:dyDescent="0.3">
      <c r="B1886" s="100">
        <f t="shared" si="224"/>
        <v>0</v>
      </c>
      <c r="C1886" s="84" t="str">
        <f t="shared" si="225"/>
        <v>January</v>
      </c>
      <c r="I1886" s="87" t="str">
        <f>IF(F1886=0,"",IF(COUNTIF(F1886,"Bao"),[1]Setup!$B$4,IF(COUNTIF(F1886,"Soup Dumpling"),[1]Setup!$B$5,F1886)))</f>
        <v/>
      </c>
    </row>
    <row r="1887" spans="2:9" x14ac:dyDescent="0.3">
      <c r="B1887" s="100">
        <f t="shared" si="224"/>
        <v>0</v>
      </c>
      <c r="C1887" s="84" t="str">
        <f t="shared" si="225"/>
        <v>January</v>
      </c>
      <c r="I1887" s="87" t="str">
        <f>IF(F1887=0,"",IF(COUNTIF(F1887,"Bao"),[1]Setup!$B$4,IF(COUNTIF(F1887,"Soup Dumpling"),[1]Setup!$B$5,F1887)))</f>
        <v/>
      </c>
    </row>
    <row r="1888" spans="2:9" x14ac:dyDescent="0.3">
      <c r="B1888" s="100">
        <f t="shared" si="224"/>
        <v>0</v>
      </c>
      <c r="C1888" s="84" t="str">
        <f t="shared" si="225"/>
        <v>January</v>
      </c>
      <c r="I1888" s="87" t="str">
        <f>IF(F1888=0,"",IF(COUNTIF(F1888,"Bao"),[1]Setup!$B$4,IF(COUNTIF(F1888,"Soup Dumpling"),[1]Setup!$B$5,F1888)))</f>
        <v/>
      </c>
    </row>
    <row r="1889" spans="2:9" x14ac:dyDescent="0.3">
      <c r="B1889" s="100">
        <f t="shared" si="224"/>
        <v>0</v>
      </c>
      <c r="C1889" s="84" t="str">
        <f t="shared" si="225"/>
        <v>January</v>
      </c>
      <c r="I1889" s="87" t="str">
        <f>IF(F1889=0,"",IF(COUNTIF(F1889,"Bao"),[1]Setup!$B$4,IF(COUNTIF(F1889,"Soup Dumpling"),[1]Setup!$B$5,F1889)))</f>
        <v/>
      </c>
    </row>
    <row r="1890" spans="2:9" x14ac:dyDescent="0.3">
      <c r="B1890" s="100">
        <f t="shared" si="224"/>
        <v>0</v>
      </c>
      <c r="C1890" s="84" t="str">
        <f t="shared" si="225"/>
        <v>January</v>
      </c>
      <c r="I1890" s="87" t="str">
        <f>IF(F1890=0,"",IF(COUNTIF(F1890,"Bao"),[1]Setup!$B$4,IF(COUNTIF(F1890,"Soup Dumpling"),[1]Setup!$B$5,F1890)))</f>
        <v/>
      </c>
    </row>
    <row r="1891" spans="2:9" x14ac:dyDescent="0.3">
      <c r="B1891" s="100">
        <f t="shared" si="224"/>
        <v>0</v>
      </c>
      <c r="C1891" s="84" t="str">
        <f t="shared" si="225"/>
        <v>January</v>
      </c>
      <c r="I1891" s="87" t="str">
        <f>IF(F1891=0,"",IF(COUNTIF(F1891,"Bao"),[1]Setup!$B$4,IF(COUNTIF(F1891,"Soup Dumpling"),[1]Setup!$B$5,F1891)))</f>
        <v/>
      </c>
    </row>
    <row r="1892" spans="2:9" x14ac:dyDescent="0.3">
      <c r="B1892" s="100">
        <f t="shared" si="224"/>
        <v>0</v>
      </c>
      <c r="C1892" s="84" t="str">
        <f t="shared" si="225"/>
        <v>January</v>
      </c>
      <c r="I1892" s="87" t="str">
        <f>IF(F1892=0,"",IF(COUNTIF(F1892,"Bao"),[1]Setup!$B$4,IF(COUNTIF(F1892,"Soup Dumpling"),[1]Setup!$B$5,F1892)))</f>
        <v/>
      </c>
    </row>
    <row r="1893" spans="2:9" x14ac:dyDescent="0.3">
      <c r="B1893" s="100">
        <f t="shared" si="224"/>
        <v>0</v>
      </c>
      <c r="C1893" s="84" t="str">
        <f t="shared" si="225"/>
        <v>January</v>
      </c>
      <c r="I1893" s="87" t="str">
        <f>IF(F1893=0,"",IF(COUNTIF(F1893,"Bao"),[1]Setup!$B$4,IF(COUNTIF(F1893,"Soup Dumpling"),[1]Setup!$B$5,F1893)))</f>
        <v/>
      </c>
    </row>
    <row r="1894" spans="2:9" x14ac:dyDescent="0.3">
      <c r="B1894" s="100">
        <f t="shared" si="224"/>
        <v>0</v>
      </c>
      <c r="C1894" s="84" t="str">
        <f t="shared" si="225"/>
        <v>January</v>
      </c>
      <c r="I1894" s="87" t="str">
        <f>IF(F1894=0,"",IF(COUNTIF(F1894,"Bao"),[1]Setup!$B$4,IF(COUNTIF(F1894,"Soup Dumpling"),[1]Setup!$B$5,F1894)))</f>
        <v/>
      </c>
    </row>
    <row r="1895" spans="2:9" x14ac:dyDescent="0.3">
      <c r="B1895" s="100">
        <f t="shared" si="224"/>
        <v>0</v>
      </c>
      <c r="C1895" s="84" t="str">
        <f t="shared" si="225"/>
        <v>January</v>
      </c>
      <c r="I1895" s="87" t="str">
        <f>IF(F1895=0,"",IF(COUNTIF(F1895,"Bao"),[1]Setup!$B$4,IF(COUNTIF(F1895,"Soup Dumpling"),[1]Setup!$B$5,F1895)))</f>
        <v/>
      </c>
    </row>
    <row r="1896" spans="2:9" x14ac:dyDescent="0.3">
      <c r="B1896" s="100">
        <f t="shared" si="224"/>
        <v>0</v>
      </c>
      <c r="C1896" s="84" t="str">
        <f t="shared" si="225"/>
        <v>January</v>
      </c>
      <c r="I1896" s="87" t="str">
        <f>IF(F1896=0,"",IF(COUNTIF(F1896,"Bao"),[1]Setup!$B$4,IF(COUNTIF(F1896,"Soup Dumpling"),[1]Setup!$B$5,F1896)))</f>
        <v/>
      </c>
    </row>
    <row r="1897" spans="2:9" x14ac:dyDescent="0.3">
      <c r="B1897" s="100">
        <f t="shared" si="224"/>
        <v>0</v>
      </c>
      <c r="C1897" s="84" t="str">
        <f t="shared" si="225"/>
        <v>January</v>
      </c>
      <c r="I1897" s="87" t="str">
        <f>IF(F1897=0,"",IF(COUNTIF(F1897,"Bao"),[1]Setup!$B$4,IF(COUNTIF(F1897,"Soup Dumpling"),[1]Setup!$B$5,F1897)))</f>
        <v/>
      </c>
    </row>
    <row r="1898" spans="2:9" x14ac:dyDescent="0.3">
      <c r="B1898" s="100">
        <f t="shared" si="224"/>
        <v>0</v>
      </c>
      <c r="C1898" s="84" t="str">
        <f t="shared" si="225"/>
        <v>January</v>
      </c>
      <c r="I1898" s="87" t="str">
        <f>IF(F1898=0,"",IF(COUNTIF(F1898,"Bao"),[1]Setup!$B$4,IF(COUNTIF(F1898,"Soup Dumpling"),[1]Setup!$B$5,F1898)))</f>
        <v/>
      </c>
    </row>
    <row r="1899" spans="2:9" x14ac:dyDescent="0.3">
      <c r="B1899" s="100">
        <f t="shared" si="224"/>
        <v>0</v>
      </c>
      <c r="C1899" s="84" t="str">
        <f t="shared" si="225"/>
        <v>January</v>
      </c>
      <c r="I1899" s="87" t="str">
        <f>IF(F1899=0,"",IF(COUNTIF(F1899,"Bao"),[1]Setup!$B$4,IF(COUNTIF(F1899,"Soup Dumpling"),[1]Setup!$B$5,F1899)))</f>
        <v/>
      </c>
    </row>
    <row r="1900" spans="2:9" x14ac:dyDescent="0.3">
      <c r="B1900" s="100">
        <f t="shared" si="224"/>
        <v>0</v>
      </c>
      <c r="C1900" s="84" t="str">
        <f t="shared" si="225"/>
        <v>January</v>
      </c>
      <c r="I1900" s="87" t="str">
        <f>IF(F1900=0,"",IF(COUNTIF(F1900,"Bao"),[1]Setup!$B$4,IF(COUNTIF(F1900,"Soup Dumpling"),[1]Setup!$B$5,F1900)))</f>
        <v/>
      </c>
    </row>
    <row r="1901" spans="2:9" x14ac:dyDescent="0.3">
      <c r="B1901" s="100">
        <f t="shared" si="224"/>
        <v>0</v>
      </c>
      <c r="C1901" s="84" t="str">
        <f t="shared" si="225"/>
        <v>January</v>
      </c>
      <c r="I1901" s="87" t="str">
        <f>IF(F1901=0,"",IF(COUNTIF(F1901,"Bao"),[1]Setup!$B$4,IF(COUNTIF(F1901,"Soup Dumpling"),[1]Setup!$B$5,F1901)))</f>
        <v/>
      </c>
    </row>
    <row r="1902" spans="2:9" x14ac:dyDescent="0.3">
      <c r="B1902" s="100">
        <f t="shared" si="224"/>
        <v>0</v>
      </c>
      <c r="C1902" s="84" t="str">
        <f t="shared" si="225"/>
        <v>January</v>
      </c>
      <c r="I1902" s="87" t="str">
        <f>IF(F1902=0,"",IF(COUNTIF(F1902,"Bao"),[1]Setup!$B$4,IF(COUNTIF(F1902,"Soup Dumpling"),[1]Setup!$B$5,F1902)))</f>
        <v/>
      </c>
    </row>
    <row r="1903" spans="2:9" x14ac:dyDescent="0.3">
      <c r="B1903" s="100">
        <f t="shared" si="224"/>
        <v>0</v>
      </c>
      <c r="C1903" s="84" t="str">
        <f t="shared" si="225"/>
        <v>January</v>
      </c>
      <c r="I1903" s="87" t="str">
        <f>IF(F1903=0,"",IF(COUNTIF(F1903,"Bao"),[1]Setup!$B$4,IF(COUNTIF(F1903,"Soup Dumpling"),[1]Setup!$B$5,F1903)))</f>
        <v/>
      </c>
    </row>
    <row r="1904" spans="2:9" x14ac:dyDescent="0.3">
      <c r="B1904" s="100">
        <f t="shared" si="224"/>
        <v>0</v>
      </c>
      <c r="C1904" s="84" t="str">
        <f t="shared" si="225"/>
        <v>January</v>
      </c>
      <c r="I1904" s="87" t="str">
        <f>IF(F1904=0,"",IF(COUNTIF(F1904,"Bao"),[1]Setup!$B$4,IF(COUNTIF(F1904,"Soup Dumpling"),[1]Setup!$B$5,F1904)))</f>
        <v/>
      </c>
    </row>
    <row r="1905" spans="2:9" x14ac:dyDescent="0.3">
      <c r="B1905" s="100">
        <f t="shared" si="224"/>
        <v>0</v>
      </c>
      <c r="C1905" s="84" t="str">
        <f t="shared" si="225"/>
        <v>January</v>
      </c>
      <c r="I1905" s="87" t="str">
        <f>IF(F1905=0,"",IF(COUNTIF(F1905,"Bao"),[1]Setup!$B$4,IF(COUNTIF(F1905,"Soup Dumpling"),[1]Setup!$B$5,F1905)))</f>
        <v/>
      </c>
    </row>
    <row r="1906" spans="2:9" x14ac:dyDescent="0.3">
      <c r="B1906" s="100">
        <f t="shared" si="224"/>
        <v>0</v>
      </c>
      <c r="C1906" s="84" t="str">
        <f t="shared" si="225"/>
        <v>January</v>
      </c>
      <c r="I1906" s="87" t="str">
        <f>IF(F1906=0,"",IF(COUNTIF(F1906,"Bao"),[1]Setup!$B$4,IF(COUNTIF(F1906,"Soup Dumpling"),[1]Setup!$B$5,F1906)))</f>
        <v/>
      </c>
    </row>
    <row r="1907" spans="2:9" x14ac:dyDescent="0.3">
      <c r="B1907" s="100">
        <f t="shared" si="224"/>
        <v>0</v>
      </c>
      <c r="C1907" s="84" t="str">
        <f t="shared" si="225"/>
        <v>January</v>
      </c>
      <c r="I1907" s="87" t="str">
        <f>IF(F1907=0,"",IF(COUNTIF(F1907,"Bao"),[1]Setup!$B$4,IF(COUNTIF(F1907,"Soup Dumpling"),[1]Setup!$B$5,F1907)))</f>
        <v/>
      </c>
    </row>
    <row r="1908" spans="2:9" x14ac:dyDescent="0.3">
      <c r="B1908" s="100">
        <f t="shared" si="224"/>
        <v>0</v>
      </c>
      <c r="C1908" s="84" t="str">
        <f t="shared" si="225"/>
        <v>January</v>
      </c>
      <c r="I1908" s="87" t="str">
        <f>IF(F1908=0,"",IF(COUNTIF(F1908,"Bao"),[1]Setup!$B$4,IF(COUNTIF(F1908,"Soup Dumpling"),[1]Setup!$B$5,F1908)))</f>
        <v/>
      </c>
    </row>
    <row r="1909" spans="2:9" x14ac:dyDescent="0.3">
      <c r="B1909" s="100">
        <f t="shared" si="224"/>
        <v>0</v>
      </c>
      <c r="C1909" s="84" t="str">
        <f t="shared" si="225"/>
        <v>January</v>
      </c>
      <c r="I1909" s="87" t="str">
        <f>IF(F1909=0,"",IF(COUNTIF(F1909,"Bao"),[1]Setup!$B$4,IF(COUNTIF(F1909,"Soup Dumpling"),[1]Setup!$B$5,F1909)))</f>
        <v/>
      </c>
    </row>
    <row r="1910" spans="2:9" x14ac:dyDescent="0.3">
      <c r="B1910" s="100">
        <f t="shared" si="224"/>
        <v>0</v>
      </c>
      <c r="C1910" s="84" t="str">
        <f t="shared" si="225"/>
        <v>January</v>
      </c>
      <c r="I1910" s="87" t="str">
        <f>IF(F1910=0,"",IF(COUNTIF(F1910,"Bao"),[1]Setup!$B$4,IF(COUNTIF(F1910,"Soup Dumpling"),[1]Setup!$B$5,F1910)))</f>
        <v/>
      </c>
    </row>
    <row r="1911" spans="2:9" x14ac:dyDescent="0.3">
      <c r="B1911" s="100">
        <f t="shared" si="224"/>
        <v>0</v>
      </c>
      <c r="C1911" s="84" t="str">
        <f t="shared" si="225"/>
        <v>January</v>
      </c>
      <c r="I1911" s="87" t="str">
        <f>IF(F1911=0,"",IF(COUNTIF(F1911,"Bao"),[1]Setup!$B$4,IF(COUNTIF(F1911,"Soup Dumpling"),[1]Setup!$B$5,F1911)))</f>
        <v/>
      </c>
    </row>
    <row r="1912" spans="2:9" x14ac:dyDescent="0.3">
      <c r="B1912" s="100">
        <f t="shared" si="224"/>
        <v>0</v>
      </c>
      <c r="C1912" s="84" t="str">
        <f t="shared" si="225"/>
        <v>January</v>
      </c>
      <c r="I1912" s="87" t="str">
        <f>IF(F1912=0,"",IF(COUNTIF(F1912,"Bao"),[1]Setup!$B$4,IF(COUNTIF(F1912,"Soup Dumpling"),[1]Setup!$B$5,F1912)))</f>
        <v/>
      </c>
    </row>
    <row r="1913" spans="2:9" x14ac:dyDescent="0.3">
      <c r="B1913" s="100">
        <f t="shared" si="224"/>
        <v>0</v>
      </c>
      <c r="C1913" s="84" t="str">
        <f t="shared" si="225"/>
        <v>January</v>
      </c>
      <c r="I1913" s="87" t="str">
        <f>IF(F1913=0,"",IF(COUNTIF(F1913,"Bao"),[1]Setup!$B$4,IF(COUNTIF(F1913,"Soup Dumpling"),[1]Setup!$B$5,F1913)))</f>
        <v/>
      </c>
    </row>
    <row r="1914" spans="2:9" x14ac:dyDescent="0.3">
      <c r="B1914" s="100">
        <f t="shared" si="224"/>
        <v>0</v>
      </c>
      <c r="C1914" s="84" t="str">
        <f t="shared" si="225"/>
        <v>January</v>
      </c>
      <c r="I1914" s="87" t="str">
        <f>IF(F1914=0,"",IF(COUNTIF(F1914,"Bao"),[1]Setup!$B$4,IF(COUNTIF(F1914,"Soup Dumpling"),[1]Setup!$B$5,F1914)))</f>
        <v/>
      </c>
    </row>
    <row r="1915" spans="2:9" x14ac:dyDescent="0.3">
      <c r="B1915" s="100">
        <f t="shared" si="224"/>
        <v>0</v>
      </c>
      <c r="C1915" s="84" t="str">
        <f t="shared" si="225"/>
        <v>January</v>
      </c>
      <c r="I1915" s="87" t="str">
        <f>IF(F1915=0,"",IF(COUNTIF(F1915,"Bao"),[1]Setup!$B$4,IF(COUNTIF(F1915,"Soup Dumpling"),[1]Setup!$B$5,F1915)))</f>
        <v/>
      </c>
    </row>
    <row r="1916" spans="2:9" x14ac:dyDescent="0.3">
      <c r="B1916" s="100">
        <f t="shared" si="224"/>
        <v>0</v>
      </c>
      <c r="C1916" s="84" t="str">
        <f t="shared" si="225"/>
        <v>January</v>
      </c>
      <c r="I1916" s="87" t="str">
        <f>IF(F1916=0,"",IF(COUNTIF(F1916,"Bao"),[1]Setup!$B$4,IF(COUNTIF(F1916,"Soup Dumpling"),[1]Setup!$B$5,F1916)))</f>
        <v/>
      </c>
    </row>
    <row r="1917" spans="2:9" x14ac:dyDescent="0.3">
      <c r="B1917" s="100">
        <f t="shared" si="224"/>
        <v>0</v>
      </c>
      <c r="C1917" s="84" t="str">
        <f t="shared" si="225"/>
        <v>January</v>
      </c>
      <c r="I1917" s="87" t="str">
        <f>IF(F1917=0,"",IF(COUNTIF(F1917,"Bao"),[1]Setup!$B$4,IF(COUNTIF(F1917,"Soup Dumpling"),[1]Setup!$B$5,F1917)))</f>
        <v/>
      </c>
    </row>
    <row r="1918" spans="2:9" x14ac:dyDescent="0.3">
      <c r="B1918" s="100">
        <f t="shared" si="224"/>
        <v>0</v>
      </c>
      <c r="C1918" s="84" t="str">
        <f t="shared" si="225"/>
        <v>January</v>
      </c>
      <c r="I1918" s="87" t="str">
        <f>IF(F1918=0,"",IF(COUNTIF(F1918,"Bao"),[1]Setup!$B$4,IF(COUNTIF(F1918,"Soup Dumpling"),[1]Setup!$B$5,F1918)))</f>
        <v/>
      </c>
    </row>
    <row r="1919" spans="2:9" x14ac:dyDescent="0.3">
      <c r="B1919" s="100">
        <f t="shared" si="224"/>
        <v>0</v>
      </c>
      <c r="C1919" s="84" t="str">
        <f t="shared" si="225"/>
        <v>January</v>
      </c>
      <c r="I1919" s="87" t="str">
        <f>IF(F1919=0,"",IF(COUNTIF(F1919,"Bao"),[1]Setup!$B$4,IF(COUNTIF(F1919,"Soup Dumpling"),[1]Setup!$B$5,F1919)))</f>
        <v/>
      </c>
    </row>
    <row r="1920" spans="2:9" x14ac:dyDescent="0.3">
      <c r="B1920" s="100">
        <f t="shared" si="224"/>
        <v>0</v>
      </c>
      <c r="C1920" s="84" t="str">
        <f t="shared" si="225"/>
        <v>January</v>
      </c>
      <c r="I1920" s="87" t="str">
        <f>IF(F1920=0,"",IF(COUNTIF(F1920,"Bao"),[1]Setup!$B$4,IF(COUNTIF(F1920,"Soup Dumpling"),[1]Setup!$B$5,F1920)))</f>
        <v/>
      </c>
    </row>
    <row r="1921" spans="2:9" x14ac:dyDescent="0.3">
      <c r="B1921" s="100">
        <f t="shared" si="224"/>
        <v>0</v>
      </c>
      <c r="C1921" s="84" t="str">
        <f t="shared" si="225"/>
        <v>January</v>
      </c>
      <c r="I1921" s="87" t="str">
        <f>IF(F1921=0,"",IF(COUNTIF(F1921,"Bao"),[1]Setup!$B$4,IF(COUNTIF(F1921,"Soup Dumpling"),[1]Setup!$B$5,F1921)))</f>
        <v/>
      </c>
    </row>
    <row r="1922" spans="2:9" x14ac:dyDescent="0.3">
      <c r="B1922" s="100">
        <f t="shared" si="224"/>
        <v>0</v>
      </c>
      <c r="C1922" s="84" t="str">
        <f t="shared" si="225"/>
        <v>January</v>
      </c>
      <c r="I1922" s="87" t="str">
        <f>IF(F1922=0,"",IF(COUNTIF(F1922,"Bao"),[1]Setup!$B$4,IF(COUNTIF(F1922,"Soup Dumpling"),[1]Setup!$B$5,F1922)))</f>
        <v/>
      </c>
    </row>
    <row r="1923" spans="2:9" x14ac:dyDescent="0.3">
      <c r="B1923" s="100">
        <f t="shared" si="224"/>
        <v>0</v>
      </c>
      <c r="C1923" s="84" t="str">
        <f t="shared" si="225"/>
        <v>January</v>
      </c>
      <c r="I1923" s="87" t="str">
        <f>IF(F1923=0,"",IF(COUNTIF(F1923,"Bao"),[1]Setup!$B$4,IF(COUNTIF(F1923,"Soup Dumpling"),[1]Setup!$B$5,F1923)))</f>
        <v/>
      </c>
    </row>
    <row r="1924" spans="2:9" x14ac:dyDescent="0.3">
      <c r="B1924" s="100">
        <f t="shared" si="224"/>
        <v>0</v>
      </c>
      <c r="C1924" s="84" t="str">
        <f t="shared" si="225"/>
        <v>January</v>
      </c>
      <c r="I1924" s="87" t="str">
        <f>IF(F1924=0,"",IF(COUNTIF(F1924,"Bao"),[1]Setup!$B$4,IF(COUNTIF(F1924,"Soup Dumpling"),[1]Setup!$B$5,F1924)))</f>
        <v/>
      </c>
    </row>
    <row r="1925" spans="2:9" x14ac:dyDescent="0.3">
      <c r="B1925" s="100">
        <f t="shared" ref="B1925:B1988" si="226">+WEEKNUM(A1925)</f>
        <v>0</v>
      </c>
      <c r="C1925" s="84" t="str">
        <f t="shared" ref="C1925:C1988" si="227">+TEXT(A1925,"mmmm")</f>
        <v>January</v>
      </c>
      <c r="I1925" s="87" t="str">
        <f>IF(F1925=0,"",IF(COUNTIF(F1925,"Bao"),[1]Setup!$B$4,IF(COUNTIF(F1925,"Soup Dumpling"),[1]Setup!$B$5,F1925)))</f>
        <v/>
      </c>
    </row>
    <row r="1926" spans="2:9" x14ac:dyDescent="0.3">
      <c r="B1926" s="100">
        <f t="shared" si="226"/>
        <v>0</v>
      </c>
      <c r="C1926" s="84" t="str">
        <f t="shared" si="227"/>
        <v>January</v>
      </c>
      <c r="I1926" s="87" t="str">
        <f>IF(F1926=0,"",IF(COUNTIF(F1926,"Bao"),[1]Setup!$B$4,IF(COUNTIF(F1926,"Soup Dumpling"),[1]Setup!$B$5,F1926)))</f>
        <v/>
      </c>
    </row>
    <row r="1927" spans="2:9" x14ac:dyDescent="0.3">
      <c r="B1927" s="100">
        <f t="shared" si="226"/>
        <v>0</v>
      </c>
      <c r="C1927" s="84" t="str">
        <f t="shared" si="227"/>
        <v>January</v>
      </c>
      <c r="I1927" s="87" t="str">
        <f>IF(F1927=0,"",IF(COUNTIF(F1927,"Bao"),[1]Setup!$B$4,IF(COUNTIF(F1927,"Soup Dumpling"),[1]Setup!$B$5,F1927)))</f>
        <v/>
      </c>
    </row>
    <row r="1928" spans="2:9" x14ac:dyDescent="0.3">
      <c r="B1928" s="100">
        <f t="shared" si="226"/>
        <v>0</v>
      </c>
      <c r="C1928" s="84" t="str">
        <f t="shared" si="227"/>
        <v>January</v>
      </c>
      <c r="I1928" s="87" t="str">
        <f>IF(F1928=0,"",IF(COUNTIF(F1928,"Bao"),[1]Setup!$B$4,IF(COUNTIF(F1928,"Soup Dumpling"),[1]Setup!$B$5,F1928)))</f>
        <v/>
      </c>
    </row>
    <row r="1929" spans="2:9" x14ac:dyDescent="0.3">
      <c r="B1929" s="100">
        <f t="shared" si="226"/>
        <v>0</v>
      </c>
      <c r="C1929" s="84" t="str">
        <f t="shared" si="227"/>
        <v>January</v>
      </c>
      <c r="I1929" s="87" t="str">
        <f>IF(F1929=0,"",IF(COUNTIF(F1929,"Bao"),[1]Setup!$B$4,IF(COUNTIF(F1929,"Soup Dumpling"),[1]Setup!$B$5,F1929)))</f>
        <v/>
      </c>
    </row>
    <row r="1930" spans="2:9" x14ac:dyDescent="0.3">
      <c r="B1930" s="100">
        <f t="shared" si="226"/>
        <v>0</v>
      </c>
      <c r="C1930" s="84" t="str">
        <f t="shared" si="227"/>
        <v>January</v>
      </c>
      <c r="I1930" s="87" t="str">
        <f>IF(F1930=0,"",IF(COUNTIF(F1930,"Bao"),[1]Setup!$B$4,IF(COUNTIF(F1930,"Soup Dumpling"),[1]Setup!$B$5,F1930)))</f>
        <v/>
      </c>
    </row>
    <row r="1931" spans="2:9" x14ac:dyDescent="0.3">
      <c r="B1931" s="100">
        <f t="shared" si="226"/>
        <v>0</v>
      </c>
      <c r="C1931" s="84" t="str">
        <f t="shared" si="227"/>
        <v>January</v>
      </c>
      <c r="I1931" s="87" t="str">
        <f>IF(F1931=0,"",IF(COUNTIF(F1931,"Bao"),[1]Setup!$B$4,IF(COUNTIF(F1931,"Soup Dumpling"),[1]Setup!$B$5,F1931)))</f>
        <v/>
      </c>
    </row>
    <row r="1932" spans="2:9" x14ac:dyDescent="0.3">
      <c r="B1932" s="100">
        <f t="shared" si="226"/>
        <v>0</v>
      </c>
      <c r="C1932" s="84" t="str">
        <f t="shared" si="227"/>
        <v>January</v>
      </c>
      <c r="I1932" s="87" t="str">
        <f>IF(F1932=0,"",IF(COUNTIF(F1932,"Bao"),[1]Setup!$B$4,IF(COUNTIF(F1932,"Soup Dumpling"),[1]Setup!$B$5,F1932)))</f>
        <v/>
      </c>
    </row>
    <row r="1933" spans="2:9" x14ac:dyDescent="0.3">
      <c r="B1933" s="100">
        <f t="shared" si="226"/>
        <v>0</v>
      </c>
      <c r="C1933" s="84" t="str">
        <f t="shared" si="227"/>
        <v>January</v>
      </c>
      <c r="I1933" s="87" t="str">
        <f>IF(F1933=0,"",IF(COUNTIF(F1933,"Bao"),[1]Setup!$B$4,IF(COUNTIF(F1933,"Soup Dumpling"),[1]Setup!$B$5,F1933)))</f>
        <v/>
      </c>
    </row>
    <row r="1934" spans="2:9" x14ac:dyDescent="0.3">
      <c r="B1934" s="100">
        <f t="shared" si="226"/>
        <v>0</v>
      </c>
      <c r="C1934" s="84" t="str">
        <f t="shared" si="227"/>
        <v>January</v>
      </c>
      <c r="I1934" s="87" t="str">
        <f>IF(F1934=0,"",IF(COUNTIF(F1934,"Bao"),[1]Setup!$B$4,IF(COUNTIF(F1934,"Soup Dumpling"),[1]Setup!$B$5,F1934)))</f>
        <v/>
      </c>
    </row>
    <row r="1935" spans="2:9" x14ac:dyDescent="0.3">
      <c r="B1935" s="100">
        <f t="shared" si="226"/>
        <v>0</v>
      </c>
      <c r="C1935" s="84" t="str">
        <f t="shared" si="227"/>
        <v>January</v>
      </c>
      <c r="I1935" s="87" t="str">
        <f>IF(F1935=0,"",IF(COUNTIF(F1935,"Bao"),[1]Setup!$B$4,IF(COUNTIF(F1935,"Soup Dumpling"),[1]Setup!$B$5,F1935)))</f>
        <v/>
      </c>
    </row>
    <row r="1936" spans="2:9" x14ac:dyDescent="0.3">
      <c r="B1936" s="100">
        <f t="shared" si="226"/>
        <v>0</v>
      </c>
      <c r="C1936" s="84" t="str">
        <f t="shared" si="227"/>
        <v>January</v>
      </c>
      <c r="I1936" s="87" t="str">
        <f>IF(F1936=0,"",IF(COUNTIF(F1936,"Bao"),[1]Setup!$B$4,IF(COUNTIF(F1936,"Soup Dumpling"),[1]Setup!$B$5,F1936)))</f>
        <v/>
      </c>
    </row>
    <row r="1937" spans="2:9" x14ac:dyDescent="0.3">
      <c r="B1937" s="100">
        <f t="shared" si="226"/>
        <v>0</v>
      </c>
      <c r="C1937" s="84" t="str">
        <f t="shared" si="227"/>
        <v>January</v>
      </c>
      <c r="I1937" s="87" t="str">
        <f>IF(F1937=0,"",IF(COUNTIF(F1937,"Bao"),[1]Setup!$B$4,IF(COUNTIF(F1937,"Soup Dumpling"),[1]Setup!$B$5,F1937)))</f>
        <v/>
      </c>
    </row>
    <row r="1938" spans="2:9" x14ac:dyDescent="0.3">
      <c r="B1938" s="100">
        <f t="shared" si="226"/>
        <v>0</v>
      </c>
      <c r="C1938" s="84" t="str">
        <f t="shared" si="227"/>
        <v>January</v>
      </c>
      <c r="I1938" s="87" t="str">
        <f>IF(F1938=0,"",IF(COUNTIF(F1938,"Bao"),[1]Setup!$B$4,IF(COUNTIF(F1938,"Soup Dumpling"),[1]Setup!$B$5,F1938)))</f>
        <v/>
      </c>
    </row>
    <row r="1939" spans="2:9" x14ac:dyDescent="0.3">
      <c r="B1939" s="100">
        <f t="shared" si="226"/>
        <v>0</v>
      </c>
      <c r="C1939" s="84" t="str">
        <f t="shared" si="227"/>
        <v>January</v>
      </c>
      <c r="I1939" s="87" t="str">
        <f>IF(F1939=0,"",IF(COUNTIF(F1939,"Bao"),[1]Setup!$B$4,IF(COUNTIF(F1939,"Soup Dumpling"),[1]Setup!$B$5,F1939)))</f>
        <v/>
      </c>
    </row>
    <row r="1940" spans="2:9" x14ac:dyDescent="0.3">
      <c r="B1940" s="100">
        <f t="shared" si="226"/>
        <v>0</v>
      </c>
      <c r="C1940" s="84" t="str">
        <f t="shared" si="227"/>
        <v>January</v>
      </c>
      <c r="I1940" s="87" t="str">
        <f>IF(F1940=0,"",IF(COUNTIF(F1940,"Bao"),[1]Setup!$B$4,IF(COUNTIF(F1940,"Soup Dumpling"),[1]Setup!$B$5,F1940)))</f>
        <v/>
      </c>
    </row>
    <row r="1941" spans="2:9" x14ac:dyDescent="0.3">
      <c r="B1941" s="100">
        <f t="shared" si="226"/>
        <v>0</v>
      </c>
      <c r="C1941" s="84" t="str">
        <f t="shared" si="227"/>
        <v>January</v>
      </c>
      <c r="I1941" s="87" t="str">
        <f>IF(F1941=0,"",IF(COUNTIF(F1941,"Bao"),[1]Setup!$B$4,IF(COUNTIF(F1941,"Soup Dumpling"),[1]Setup!$B$5,F1941)))</f>
        <v/>
      </c>
    </row>
    <row r="1942" spans="2:9" x14ac:dyDescent="0.3">
      <c r="B1942" s="100">
        <f t="shared" si="226"/>
        <v>0</v>
      </c>
      <c r="C1942" s="84" t="str">
        <f t="shared" si="227"/>
        <v>January</v>
      </c>
      <c r="I1942" s="87" t="str">
        <f>IF(F1942=0,"",IF(COUNTIF(F1942,"Bao"),[1]Setup!$B$4,IF(COUNTIF(F1942,"Soup Dumpling"),[1]Setup!$B$5,F1942)))</f>
        <v/>
      </c>
    </row>
    <row r="1943" spans="2:9" x14ac:dyDescent="0.3">
      <c r="B1943" s="100">
        <f t="shared" si="226"/>
        <v>0</v>
      </c>
      <c r="C1943" s="84" t="str">
        <f t="shared" si="227"/>
        <v>January</v>
      </c>
      <c r="I1943" s="87" t="str">
        <f>IF(F1943=0,"",IF(COUNTIF(F1943,"Bao"),[1]Setup!$B$4,IF(COUNTIF(F1943,"Soup Dumpling"),[1]Setup!$B$5,F1943)))</f>
        <v/>
      </c>
    </row>
    <row r="1944" spans="2:9" x14ac:dyDescent="0.3">
      <c r="B1944" s="100">
        <f t="shared" si="226"/>
        <v>0</v>
      </c>
      <c r="C1944" s="84" t="str">
        <f t="shared" si="227"/>
        <v>January</v>
      </c>
      <c r="I1944" s="87" t="str">
        <f>IF(F1944=0,"",IF(COUNTIF(F1944,"Bao"),[1]Setup!$B$4,IF(COUNTIF(F1944,"Soup Dumpling"),[1]Setup!$B$5,F1944)))</f>
        <v/>
      </c>
    </row>
    <row r="1945" spans="2:9" x14ac:dyDescent="0.3">
      <c r="B1945" s="100">
        <f t="shared" si="226"/>
        <v>0</v>
      </c>
      <c r="C1945" s="84" t="str">
        <f t="shared" si="227"/>
        <v>January</v>
      </c>
      <c r="I1945" s="87" t="str">
        <f>IF(F1945=0,"",IF(COUNTIF(F1945,"Bao"),[1]Setup!$B$4,IF(COUNTIF(F1945,"Soup Dumpling"),[1]Setup!$B$5,F1945)))</f>
        <v/>
      </c>
    </row>
    <row r="1946" spans="2:9" x14ac:dyDescent="0.3">
      <c r="B1946" s="100">
        <f t="shared" si="226"/>
        <v>0</v>
      </c>
      <c r="C1946" s="84" t="str">
        <f t="shared" si="227"/>
        <v>January</v>
      </c>
      <c r="I1946" s="87" t="str">
        <f>IF(F1946=0,"",IF(COUNTIF(F1946,"Bao"),[1]Setup!$B$4,IF(COUNTIF(F1946,"Soup Dumpling"),[1]Setup!$B$5,F1946)))</f>
        <v/>
      </c>
    </row>
    <row r="1947" spans="2:9" x14ac:dyDescent="0.3">
      <c r="B1947" s="100">
        <f t="shared" si="226"/>
        <v>0</v>
      </c>
      <c r="C1947" s="84" t="str">
        <f t="shared" si="227"/>
        <v>January</v>
      </c>
      <c r="I1947" s="87" t="str">
        <f>IF(F1947=0,"",IF(COUNTIF(F1947,"Bao"),[1]Setup!$B$4,IF(COUNTIF(F1947,"Soup Dumpling"),[1]Setup!$B$5,F1947)))</f>
        <v/>
      </c>
    </row>
    <row r="1948" spans="2:9" x14ac:dyDescent="0.3">
      <c r="B1948" s="100">
        <f t="shared" si="226"/>
        <v>0</v>
      </c>
      <c r="C1948" s="84" t="str">
        <f t="shared" si="227"/>
        <v>January</v>
      </c>
      <c r="I1948" s="87" t="str">
        <f>IF(F1948=0,"",IF(COUNTIF(F1948,"Bao"),[1]Setup!$B$4,IF(COUNTIF(F1948,"Soup Dumpling"),[1]Setup!$B$5,F1948)))</f>
        <v/>
      </c>
    </row>
    <row r="1949" spans="2:9" x14ac:dyDescent="0.3">
      <c r="B1949" s="100">
        <f t="shared" si="226"/>
        <v>0</v>
      </c>
      <c r="C1949" s="84" t="str">
        <f t="shared" si="227"/>
        <v>January</v>
      </c>
      <c r="I1949" s="87" t="str">
        <f>IF(F1949=0,"",IF(COUNTIF(F1949,"Bao"),[1]Setup!$B$4,IF(COUNTIF(F1949,"Soup Dumpling"),[1]Setup!$B$5,F1949)))</f>
        <v/>
      </c>
    </row>
    <row r="1950" spans="2:9" x14ac:dyDescent="0.3">
      <c r="B1950" s="100">
        <f t="shared" si="226"/>
        <v>0</v>
      </c>
      <c r="C1950" s="84" t="str">
        <f t="shared" si="227"/>
        <v>January</v>
      </c>
      <c r="I1950" s="87" t="str">
        <f>IF(F1950=0,"",IF(COUNTIF(F1950,"Bao"),[1]Setup!$B$4,IF(COUNTIF(F1950,"Soup Dumpling"),[1]Setup!$B$5,F1950)))</f>
        <v/>
      </c>
    </row>
    <row r="1951" spans="2:9" x14ac:dyDescent="0.3">
      <c r="B1951" s="100">
        <f t="shared" si="226"/>
        <v>0</v>
      </c>
      <c r="C1951" s="84" t="str">
        <f t="shared" si="227"/>
        <v>January</v>
      </c>
      <c r="I1951" s="87" t="str">
        <f>IF(F1951=0,"",IF(COUNTIF(F1951,"Bao"),[1]Setup!$B$4,IF(COUNTIF(F1951,"Soup Dumpling"),[1]Setup!$B$5,F1951)))</f>
        <v/>
      </c>
    </row>
    <row r="1952" spans="2:9" x14ac:dyDescent="0.3">
      <c r="B1952" s="100">
        <f t="shared" si="226"/>
        <v>0</v>
      </c>
      <c r="C1952" s="84" t="str">
        <f t="shared" si="227"/>
        <v>January</v>
      </c>
      <c r="I1952" s="87" t="str">
        <f>IF(F1952=0,"",IF(COUNTIF(F1952,"Bao"),[1]Setup!$B$4,IF(COUNTIF(F1952,"Soup Dumpling"),[1]Setup!$B$5,F1952)))</f>
        <v/>
      </c>
    </row>
    <row r="1953" spans="2:9" x14ac:dyDescent="0.3">
      <c r="B1953" s="100">
        <f t="shared" si="226"/>
        <v>0</v>
      </c>
      <c r="C1953" s="84" t="str">
        <f t="shared" si="227"/>
        <v>January</v>
      </c>
      <c r="I1953" s="87" t="str">
        <f>IF(F1953=0,"",IF(COUNTIF(F1953,"Bao"),[1]Setup!$B$4,IF(COUNTIF(F1953,"Soup Dumpling"),[1]Setup!$B$5,F1953)))</f>
        <v/>
      </c>
    </row>
    <row r="1954" spans="2:9" x14ac:dyDescent="0.3">
      <c r="B1954" s="100">
        <f t="shared" si="226"/>
        <v>0</v>
      </c>
      <c r="C1954" s="84" t="str">
        <f t="shared" si="227"/>
        <v>January</v>
      </c>
      <c r="I1954" s="87" t="str">
        <f>IF(F1954=0,"",IF(COUNTIF(F1954,"Bao"),[1]Setup!$B$4,IF(COUNTIF(F1954,"Soup Dumpling"),[1]Setup!$B$5,F1954)))</f>
        <v/>
      </c>
    </row>
    <row r="1955" spans="2:9" x14ac:dyDescent="0.3">
      <c r="B1955" s="100">
        <f t="shared" si="226"/>
        <v>0</v>
      </c>
      <c r="C1955" s="84" t="str">
        <f t="shared" si="227"/>
        <v>January</v>
      </c>
      <c r="I1955" s="87" t="str">
        <f>IF(F1955=0,"",IF(COUNTIF(F1955,"Bao"),[1]Setup!$B$4,IF(COUNTIF(F1955,"Soup Dumpling"),[1]Setup!$B$5,F1955)))</f>
        <v/>
      </c>
    </row>
    <row r="1956" spans="2:9" x14ac:dyDescent="0.3">
      <c r="B1956" s="100">
        <f t="shared" si="226"/>
        <v>0</v>
      </c>
      <c r="C1956" s="84" t="str">
        <f t="shared" si="227"/>
        <v>January</v>
      </c>
      <c r="I1956" s="87" t="str">
        <f>IF(F1956=0,"",IF(COUNTIF(F1956,"Bao"),[1]Setup!$B$4,IF(COUNTIF(F1956,"Soup Dumpling"),[1]Setup!$B$5,F1956)))</f>
        <v/>
      </c>
    </row>
    <row r="1957" spans="2:9" x14ac:dyDescent="0.3">
      <c r="B1957" s="100">
        <f t="shared" si="226"/>
        <v>0</v>
      </c>
      <c r="C1957" s="84" t="str">
        <f t="shared" si="227"/>
        <v>January</v>
      </c>
      <c r="I1957" s="87" t="str">
        <f>IF(F1957=0,"",IF(COUNTIF(F1957,"Bao"),[1]Setup!$B$4,IF(COUNTIF(F1957,"Soup Dumpling"),[1]Setup!$B$5,F1957)))</f>
        <v/>
      </c>
    </row>
    <row r="1958" spans="2:9" x14ac:dyDescent="0.3">
      <c r="B1958" s="100">
        <f t="shared" si="226"/>
        <v>0</v>
      </c>
      <c r="C1958" s="84" t="str">
        <f t="shared" si="227"/>
        <v>January</v>
      </c>
      <c r="I1958" s="87" t="str">
        <f>IF(F1958=0,"",IF(COUNTIF(F1958,"Bao"),[1]Setup!$B$4,IF(COUNTIF(F1958,"Soup Dumpling"),[1]Setup!$B$5,F1958)))</f>
        <v/>
      </c>
    </row>
    <row r="1959" spans="2:9" x14ac:dyDescent="0.3">
      <c r="B1959" s="100">
        <f t="shared" si="226"/>
        <v>0</v>
      </c>
      <c r="C1959" s="84" t="str">
        <f t="shared" si="227"/>
        <v>January</v>
      </c>
      <c r="I1959" s="87" t="str">
        <f>IF(F1959=0,"",IF(COUNTIF(F1959,"Bao"),[1]Setup!$B$4,IF(COUNTIF(F1959,"Soup Dumpling"),[1]Setup!$B$5,F1959)))</f>
        <v/>
      </c>
    </row>
    <row r="1960" spans="2:9" x14ac:dyDescent="0.3">
      <c r="B1960" s="100">
        <f t="shared" si="226"/>
        <v>0</v>
      </c>
      <c r="C1960" s="84" t="str">
        <f t="shared" si="227"/>
        <v>January</v>
      </c>
      <c r="I1960" s="87" t="str">
        <f>IF(F1960=0,"",IF(COUNTIF(F1960,"Bao"),[1]Setup!$B$4,IF(COUNTIF(F1960,"Soup Dumpling"),[1]Setup!$B$5,F1960)))</f>
        <v/>
      </c>
    </row>
    <row r="1961" spans="2:9" x14ac:dyDescent="0.3">
      <c r="B1961" s="100">
        <f t="shared" si="226"/>
        <v>0</v>
      </c>
      <c r="C1961" s="84" t="str">
        <f t="shared" si="227"/>
        <v>January</v>
      </c>
      <c r="I1961" s="87" t="str">
        <f>IF(F1961=0,"",IF(COUNTIF(F1961,"Bao"),[1]Setup!$B$4,IF(COUNTIF(F1961,"Soup Dumpling"),[1]Setup!$B$5,F1961)))</f>
        <v/>
      </c>
    </row>
    <row r="1962" spans="2:9" x14ac:dyDescent="0.3">
      <c r="B1962" s="100">
        <f t="shared" si="226"/>
        <v>0</v>
      </c>
      <c r="C1962" s="84" t="str">
        <f t="shared" si="227"/>
        <v>January</v>
      </c>
      <c r="I1962" s="87" t="str">
        <f>IF(F1962=0,"",IF(COUNTIF(F1962,"Bao"),[1]Setup!$B$4,IF(COUNTIF(F1962,"Soup Dumpling"),[1]Setup!$B$5,F1962)))</f>
        <v/>
      </c>
    </row>
    <row r="1963" spans="2:9" x14ac:dyDescent="0.3">
      <c r="B1963" s="100">
        <f t="shared" si="226"/>
        <v>0</v>
      </c>
      <c r="C1963" s="84" t="str">
        <f t="shared" si="227"/>
        <v>January</v>
      </c>
      <c r="I1963" s="87" t="str">
        <f>IF(F1963=0,"",IF(COUNTIF(F1963,"Bao"),[1]Setup!$B$4,IF(COUNTIF(F1963,"Soup Dumpling"),[1]Setup!$B$5,F1963)))</f>
        <v/>
      </c>
    </row>
    <row r="1964" spans="2:9" x14ac:dyDescent="0.3">
      <c r="B1964" s="100">
        <f t="shared" si="226"/>
        <v>0</v>
      </c>
      <c r="C1964" s="84" t="str">
        <f t="shared" si="227"/>
        <v>January</v>
      </c>
      <c r="I1964" s="87" t="str">
        <f>IF(F1964=0,"",IF(COUNTIF(F1964,"Bao"),[1]Setup!$B$4,IF(COUNTIF(F1964,"Soup Dumpling"),[1]Setup!$B$5,F1964)))</f>
        <v/>
      </c>
    </row>
    <row r="1965" spans="2:9" x14ac:dyDescent="0.3">
      <c r="B1965" s="100">
        <f t="shared" si="226"/>
        <v>0</v>
      </c>
      <c r="C1965" s="84" t="str">
        <f t="shared" si="227"/>
        <v>January</v>
      </c>
      <c r="I1965" s="87" t="str">
        <f>IF(F1965=0,"",IF(COUNTIF(F1965,"Bao"),[1]Setup!$B$4,IF(COUNTIF(F1965,"Soup Dumpling"),[1]Setup!$B$5,F1965)))</f>
        <v/>
      </c>
    </row>
    <row r="1966" spans="2:9" x14ac:dyDescent="0.3">
      <c r="B1966" s="100">
        <f t="shared" si="226"/>
        <v>0</v>
      </c>
      <c r="C1966" s="84" t="str">
        <f t="shared" si="227"/>
        <v>January</v>
      </c>
      <c r="I1966" s="87" t="str">
        <f>IF(F1966=0,"",IF(COUNTIF(F1966,"Bao"),[1]Setup!$B$4,IF(COUNTIF(F1966,"Soup Dumpling"),[1]Setup!$B$5,F1966)))</f>
        <v/>
      </c>
    </row>
    <row r="1967" spans="2:9" x14ac:dyDescent="0.3">
      <c r="B1967" s="100">
        <f t="shared" si="226"/>
        <v>0</v>
      </c>
      <c r="C1967" s="84" t="str">
        <f t="shared" si="227"/>
        <v>January</v>
      </c>
      <c r="I1967" s="87" t="str">
        <f>IF(F1967=0,"",IF(COUNTIF(F1967,"Bao"),[1]Setup!$B$4,IF(COUNTIF(F1967,"Soup Dumpling"),[1]Setup!$B$5,F1967)))</f>
        <v/>
      </c>
    </row>
    <row r="1968" spans="2:9" x14ac:dyDescent="0.3">
      <c r="B1968" s="100">
        <f t="shared" si="226"/>
        <v>0</v>
      </c>
      <c r="C1968" s="84" t="str">
        <f t="shared" si="227"/>
        <v>January</v>
      </c>
      <c r="I1968" s="87" t="str">
        <f>IF(F1968=0,"",IF(COUNTIF(F1968,"Bao"),[1]Setup!$B$4,IF(COUNTIF(F1968,"Soup Dumpling"),[1]Setup!$B$5,F1968)))</f>
        <v/>
      </c>
    </row>
    <row r="1969" spans="2:9" x14ac:dyDescent="0.3">
      <c r="B1969" s="100">
        <f t="shared" si="226"/>
        <v>0</v>
      </c>
      <c r="C1969" s="84" t="str">
        <f t="shared" si="227"/>
        <v>January</v>
      </c>
      <c r="I1969" s="87" t="str">
        <f>IF(F1969=0,"",IF(COUNTIF(F1969,"Bao"),[1]Setup!$B$4,IF(COUNTIF(F1969,"Soup Dumpling"),[1]Setup!$B$5,F1969)))</f>
        <v/>
      </c>
    </row>
    <row r="1970" spans="2:9" x14ac:dyDescent="0.3">
      <c r="B1970" s="100">
        <f t="shared" si="226"/>
        <v>0</v>
      </c>
      <c r="C1970" s="84" t="str">
        <f t="shared" si="227"/>
        <v>January</v>
      </c>
      <c r="I1970" s="87" t="str">
        <f>IF(F1970=0,"",IF(COUNTIF(F1970,"Bao"),[1]Setup!$B$4,IF(COUNTIF(F1970,"Soup Dumpling"),[1]Setup!$B$5,F1970)))</f>
        <v/>
      </c>
    </row>
    <row r="1971" spans="2:9" x14ac:dyDescent="0.3">
      <c r="B1971" s="100">
        <f t="shared" si="226"/>
        <v>0</v>
      </c>
      <c r="C1971" s="84" t="str">
        <f t="shared" si="227"/>
        <v>January</v>
      </c>
      <c r="I1971" s="87" t="str">
        <f>IF(F1971=0,"",IF(COUNTIF(F1971,"Bao"),[1]Setup!$B$4,IF(COUNTIF(F1971,"Soup Dumpling"),[1]Setup!$B$5,F1971)))</f>
        <v/>
      </c>
    </row>
    <row r="1972" spans="2:9" x14ac:dyDescent="0.3">
      <c r="B1972" s="100">
        <f t="shared" si="226"/>
        <v>0</v>
      </c>
      <c r="C1972" s="84" t="str">
        <f t="shared" si="227"/>
        <v>January</v>
      </c>
      <c r="I1972" s="87" t="str">
        <f>IF(F1972=0,"",IF(COUNTIF(F1972,"Bao"),[1]Setup!$B$4,IF(COUNTIF(F1972,"Soup Dumpling"),[1]Setup!$B$5,F1972)))</f>
        <v/>
      </c>
    </row>
    <row r="1973" spans="2:9" x14ac:dyDescent="0.3">
      <c r="B1973" s="100">
        <f t="shared" si="226"/>
        <v>0</v>
      </c>
      <c r="C1973" s="84" t="str">
        <f t="shared" si="227"/>
        <v>January</v>
      </c>
      <c r="I1973" s="87" t="str">
        <f>IF(F1973=0,"",IF(COUNTIF(F1973,"Bao"),[1]Setup!$B$4,IF(COUNTIF(F1973,"Soup Dumpling"),[1]Setup!$B$5,F1973)))</f>
        <v/>
      </c>
    </row>
    <row r="1974" spans="2:9" x14ac:dyDescent="0.3">
      <c r="B1974" s="100">
        <f t="shared" si="226"/>
        <v>0</v>
      </c>
      <c r="C1974" s="84" t="str">
        <f t="shared" si="227"/>
        <v>January</v>
      </c>
      <c r="I1974" s="87" t="str">
        <f>IF(F1974=0,"",IF(COUNTIF(F1974,"Bao"),[1]Setup!$B$4,IF(COUNTIF(F1974,"Soup Dumpling"),[1]Setup!$B$5,F1974)))</f>
        <v/>
      </c>
    </row>
    <row r="1975" spans="2:9" x14ac:dyDescent="0.3">
      <c r="B1975" s="100">
        <f t="shared" si="226"/>
        <v>0</v>
      </c>
      <c r="C1975" s="84" t="str">
        <f t="shared" si="227"/>
        <v>January</v>
      </c>
      <c r="I1975" s="87" t="str">
        <f>IF(F1975=0,"",IF(COUNTIF(F1975,"Bao"),[1]Setup!$B$4,IF(COUNTIF(F1975,"Soup Dumpling"),[1]Setup!$B$5,F1975)))</f>
        <v/>
      </c>
    </row>
    <row r="1976" spans="2:9" x14ac:dyDescent="0.3">
      <c r="B1976" s="100">
        <f t="shared" si="226"/>
        <v>0</v>
      </c>
      <c r="C1976" s="84" t="str">
        <f t="shared" si="227"/>
        <v>January</v>
      </c>
      <c r="I1976" s="87" t="str">
        <f>IF(F1976=0,"",IF(COUNTIF(F1976,"Bao"),[1]Setup!$B$4,IF(COUNTIF(F1976,"Soup Dumpling"),[1]Setup!$B$5,F1976)))</f>
        <v/>
      </c>
    </row>
    <row r="1977" spans="2:9" x14ac:dyDescent="0.3">
      <c r="B1977" s="100">
        <f t="shared" si="226"/>
        <v>0</v>
      </c>
      <c r="C1977" s="84" t="str">
        <f t="shared" si="227"/>
        <v>January</v>
      </c>
      <c r="I1977" s="87" t="str">
        <f>IF(F1977=0,"",IF(COUNTIF(F1977,"Bao"),[1]Setup!$B$4,IF(COUNTIF(F1977,"Soup Dumpling"),[1]Setup!$B$5,F1977)))</f>
        <v/>
      </c>
    </row>
    <row r="1978" spans="2:9" x14ac:dyDescent="0.3">
      <c r="B1978" s="100">
        <f t="shared" si="226"/>
        <v>0</v>
      </c>
      <c r="C1978" s="84" t="str">
        <f t="shared" si="227"/>
        <v>January</v>
      </c>
      <c r="I1978" s="87" t="str">
        <f>IF(F1978=0,"",IF(COUNTIF(F1978,"Bao"),[1]Setup!$B$4,IF(COUNTIF(F1978,"Soup Dumpling"),[1]Setup!$B$5,F1978)))</f>
        <v/>
      </c>
    </row>
    <row r="1979" spans="2:9" x14ac:dyDescent="0.3">
      <c r="B1979" s="100">
        <f t="shared" si="226"/>
        <v>0</v>
      </c>
      <c r="C1979" s="84" t="str">
        <f t="shared" si="227"/>
        <v>January</v>
      </c>
      <c r="I1979" s="87" t="str">
        <f>IF(F1979=0,"",IF(COUNTIF(F1979,"Bao"),[1]Setup!$B$4,IF(COUNTIF(F1979,"Soup Dumpling"),[1]Setup!$B$5,F1979)))</f>
        <v/>
      </c>
    </row>
    <row r="1980" spans="2:9" x14ac:dyDescent="0.3">
      <c r="B1980" s="100">
        <f t="shared" si="226"/>
        <v>0</v>
      </c>
      <c r="C1980" s="84" t="str">
        <f t="shared" si="227"/>
        <v>January</v>
      </c>
      <c r="I1980" s="87" t="str">
        <f>IF(F1980=0,"",IF(COUNTIF(F1980,"Bao"),[1]Setup!$B$4,IF(COUNTIF(F1980,"Soup Dumpling"),[1]Setup!$B$5,F1980)))</f>
        <v/>
      </c>
    </row>
    <row r="1981" spans="2:9" x14ac:dyDescent="0.3">
      <c r="B1981" s="100">
        <f t="shared" si="226"/>
        <v>0</v>
      </c>
      <c r="C1981" s="84" t="str">
        <f t="shared" si="227"/>
        <v>January</v>
      </c>
      <c r="I1981" s="87" t="str">
        <f>IF(F1981=0,"",IF(COUNTIF(F1981,"Bao"),[1]Setup!$B$4,IF(COUNTIF(F1981,"Soup Dumpling"),[1]Setup!$B$5,F1981)))</f>
        <v/>
      </c>
    </row>
    <row r="1982" spans="2:9" x14ac:dyDescent="0.3">
      <c r="B1982" s="100">
        <f t="shared" si="226"/>
        <v>0</v>
      </c>
      <c r="C1982" s="84" t="str">
        <f t="shared" si="227"/>
        <v>January</v>
      </c>
      <c r="I1982" s="87" t="str">
        <f>IF(F1982=0,"",IF(COUNTIF(F1982,"Bao"),[1]Setup!$B$4,IF(COUNTIF(F1982,"Soup Dumpling"),[1]Setup!$B$5,F1982)))</f>
        <v/>
      </c>
    </row>
    <row r="1983" spans="2:9" x14ac:dyDescent="0.3">
      <c r="B1983" s="100">
        <f t="shared" si="226"/>
        <v>0</v>
      </c>
      <c r="C1983" s="84" t="str">
        <f t="shared" si="227"/>
        <v>January</v>
      </c>
      <c r="I1983" s="87" t="str">
        <f>IF(F1983=0,"",IF(COUNTIF(F1983,"Bao"),[1]Setup!$B$4,IF(COUNTIF(F1983,"Soup Dumpling"),[1]Setup!$B$5,F1983)))</f>
        <v/>
      </c>
    </row>
    <row r="1984" spans="2:9" x14ac:dyDescent="0.3">
      <c r="B1984" s="100">
        <f t="shared" si="226"/>
        <v>0</v>
      </c>
      <c r="C1984" s="84" t="str">
        <f t="shared" si="227"/>
        <v>January</v>
      </c>
      <c r="I1984" s="87" t="str">
        <f>IF(F1984=0,"",IF(COUNTIF(F1984,"Bao"),[1]Setup!$B$4,IF(COUNTIF(F1984,"Soup Dumpling"),[1]Setup!$B$5,F1984)))</f>
        <v/>
      </c>
    </row>
    <row r="1985" spans="2:9" x14ac:dyDescent="0.3">
      <c r="B1985" s="100">
        <f t="shared" si="226"/>
        <v>0</v>
      </c>
      <c r="C1985" s="84" t="str">
        <f t="shared" si="227"/>
        <v>January</v>
      </c>
      <c r="I1985" s="87" t="str">
        <f>IF(F1985=0,"",IF(COUNTIF(F1985,"Bao"),[1]Setup!$B$4,IF(COUNTIF(F1985,"Soup Dumpling"),[1]Setup!$B$5,F1985)))</f>
        <v/>
      </c>
    </row>
    <row r="1986" spans="2:9" x14ac:dyDescent="0.3">
      <c r="B1986" s="100">
        <f t="shared" si="226"/>
        <v>0</v>
      </c>
      <c r="C1986" s="84" t="str">
        <f t="shared" si="227"/>
        <v>January</v>
      </c>
      <c r="I1986" s="87" t="str">
        <f>IF(F1986=0,"",IF(COUNTIF(F1986,"Bao"),[1]Setup!$B$4,IF(COUNTIF(F1986,"Soup Dumpling"),[1]Setup!$B$5,F1986)))</f>
        <v/>
      </c>
    </row>
    <row r="1987" spans="2:9" x14ac:dyDescent="0.3">
      <c r="B1987" s="100">
        <f t="shared" si="226"/>
        <v>0</v>
      </c>
      <c r="C1987" s="84" t="str">
        <f t="shared" si="227"/>
        <v>January</v>
      </c>
      <c r="I1987" s="87" t="str">
        <f>IF(F1987=0,"",IF(COUNTIF(F1987,"Bao"),[1]Setup!$B$4,IF(COUNTIF(F1987,"Soup Dumpling"),[1]Setup!$B$5,F1987)))</f>
        <v/>
      </c>
    </row>
    <row r="1988" spans="2:9" x14ac:dyDescent="0.3">
      <c r="B1988" s="100">
        <f t="shared" si="226"/>
        <v>0</v>
      </c>
      <c r="C1988" s="84" t="str">
        <f t="shared" si="227"/>
        <v>January</v>
      </c>
      <c r="I1988" s="87" t="str">
        <f>IF(F1988=0,"",IF(COUNTIF(F1988,"Bao"),[1]Setup!$B$4,IF(COUNTIF(F1988,"Soup Dumpling"),[1]Setup!$B$5,F1988)))</f>
        <v/>
      </c>
    </row>
    <row r="1989" spans="2:9" x14ac:dyDescent="0.3">
      <c r="B1989" s="100">
        <f t="shared" ref="B1989:B2052" si="228">+WEEKNUM(A1989)</f>
        <v>0</v>
      </c>
      <c r="C1989" s="84" t="str">
        <f t="shared" ref="C1989:C2052" si="229">+TEXT(A1989,"mmmm")</f>
        <v>January</v>
      </c>
      <c r="I1989" s="87" t="str">
        <f>IF(F1989=0,"",IF(COUNTIF(F1989,"Bao"),[1]Setup!$B$4,IF(COUNTIF(F1989,"Soup Dumpling"),[1]Setup!$B$5,F1989)))</f>
        <v/>
      </c>
    </row>
    <row r="1990" spans="2:9" x14ac:dyDescent="0.3">
      <c r="B1990" s="100">
        <f t="shared" si="228"/>
        <v>0</v>
      </c>
      <c r="C1990" s="84" t="str">
        <f t="shared" si="229"/>
        <v>January</v>
      </c>
      <c r="I1990" s="87" t="str">
        <f>IF(F1990=0,"",IF(COUNTIF(F1990,"Bao"),[1]Setup!$B$4,IF(COUNTIF(F1990,"Soup Dumpling"),[1]Setup!$B$5,F1990)))</f>
        <v/>
      </c>
    </row>
    <row r="1991" spans="2:9" x14ac:dyDescent="0.3">
      <c r="B1991" s="100">
        <f t="shared" si="228"/>
        <v>0</v>
      </c>
      <c r="C1991" s="84" t="str">
        <f t="shared" si="229"/>
        <v>January</v>
      </c>
      <c r="I1991" s="87" t="str">
        <f>IF(F1991=0,"",IF(COUNTIF(F1991,"Bao"),[1]Setup!$B$4,IF(COUNTIF(F1991,"Soup Dumpling"),[1]Setup!$B$5,F1991)))</f>
        <v/>
      </c>
    </row>
    <row r="1992" spans="2:9" x14ac:dyDescent="0.3">
      <c r="B1992" s="100">
        <f t="shared" si="228"/>
        <v>0</v>
      </c>
      <c r="C1992" s="84" t="str">
        <f t="shared" si="229"/>
        <v>January</v>
      </c>
      <c r="I1992" s="87" t="str">
        <f>IF(F1992=0,"",IF(COUNTIF(F1992,"Bao"),[1]Setup!$B$4,IF(COUNTIF(F1992,"Soup Dumpling"),[1]Setup!$B$5,F1992)))</f>
        <v/>
      </c>
    </row>
    <row r="1993" spans="2:9" x14ac:dyDescent="0.3">
      <c r="B1993" s="100">
        <f t="shared" si="228"/>
        <v>0</v>
      </c>
      <c r="C1993" s="84" t="str">
        <f t="shared" si="229"/>
        <v>January</v>
      </c>
      <c r="I1993" s="87" t="str">
        <f>IF(F1993=0,"",IF(COUNTIF(F1993,"Bao"),[1]Setup!$B$4,IF(COUNTIF(F1993,"Soup Dumpling"),[1]Setup!$B$5,F1993)))</f>
        <v/>
      </c>
    </row>
    <row r="1994" spans="2:9" x14ac:dyDescent="0.3">
      <c r="B1994" s="100">
        <f t="shared" si="228"/>
        <v>0</v>
      </c>
      <c r="C1994" s="84" t="str">
        <f t="shared" si="229"/>
        <v>January</v>
      </c>
      <c r="I1994" s="87" t="str">
        <f>IF(F1994=0,"",IF(COUNTIF(F1994,"Bao"),[1]Setup!$B$4,IF(COUNTIF(F1994,"Soup Dumpling"),[1]Setup!$B$5,F1994)))</f>
        <v/>
      </c>
    </row>
    <row r="1995" spans="2:9" x14ac:dyDescent="0.3">
      <c r="B1995" s="100">
        <f t="shared" si="228"/>
        <v>0</v>
      </c>
      <c r="C1995" s="84" t="str">
        <f t="shared" si="229"/>
        <v>January</v>
      </c>
      <c r="I1995" s="87" t="str">
        <f>IF(F1995=0,"",IF(COUNTIF(F1995,"Bao"),[1]Setup!$B$4,IF(COUNTIF(F1995,"Soup Dumpling"),[1]Setup!$B$5,F1995)))</f>
        <v/>
      </c>
    </row>
    <row r="1996" spans="2:9" x14ac:dyDescent="0.3">
      <c r="B1996" s="100">
        <f t="shared" si="228"/>
        <v>0</v>
      </c>
      <c r="C1996" s="84" t="str">
        <f t="shared" si="229"/>
        <v>January</v>
      </c>
      <c r="I1996" s="87" t="str">
        <f>IF(F1996=0,"",IF(COUNTIF(F1996,"Bao"),[1]Setup!$B$4,IF(COUNTIF(F1996,"Soup Dumpling"),[1]Setup!$B$5,F1996)))</f>
        <v/>
      </c>
    </row>
    <row r="1997" spans="2:9" x14ac:dyDescent="0.3">
      <c r="B1997" s="100">
        <f t="shared" si="228"/>
        <v>0</v>
      </c>
      <c r="C1997" s="84" t="str">
        <f t="shared" si="229"/>
        <v>January</v>
      </c>
      <c r="I1997" s="87" t="str">
        <f>IF(F1997=0,"",IF(COUNTIF(F1997,"Bao"),[1]Setup!$B$4,IF(COUNTIF(F1997,"Soup Dumpling"),[1]Setup!$B$5,F1997)))</f>
        <v/>
      </c>
    </row>
    <row r="1998" spans="2:9" x14ac:dyDescent="0.3">
      <c r="B1998" s="100">
        <f t="shared" si="228"/>
        <v>0</v>
      </c>
      <c r="C1998" s="84" t="str">
        <f t="shared" si="229"/>
        <v>January</v>
      </c>
      <c r="I1998" s="87" t="str">
        <f>IF(F1998=0,"",IF(COUNTIF(F1998,"Bao"),[1]Setup!$B$4,IF(COUNTIF(F1998,"Soup Dumpling"),[1]Setup!$B$5,F1998)))</f>
        <v/>
      </c>
    </row>
    <row r="1999" spans="2:9" x14ac:dyDescent="0.3">
      <c r="B1999" s="100">
        <f t="shared" si="228"/>
        <v>0</v>
      </c>
      <c r="C1999" s="84" t="str">
        <f t="shared" si="229"/>
        <v>January</v>
      </c>
      <c r="I1999" s="87" t="str">
        <f>IF(F1999=0,"",IF(COUNTIF(F1999,"Bao"),[1]Setup!$B$4,IF(COUNTIF(F1999,"Soup Dumpling"),[1]Setup!$B$5,F1999)))</f>
        <v/>
      </c>
    </row>
    <row r="2000" spans="2:9" x14ac:dyDescent="0.3">
      <c r="B2000" s="100">
        <f t="shared" si="228"/>
        <v>0</v>
      </c>
      <c r="C2000" s="84" t="str">
        <f t="shared" si="229"/>
        <v>January</v>
      </c>
      <c r="I2000" s="87" t="str">
        <f>IF(F2000=0,"",IF(COUNTIF(F2000,"Bao"),[1]Setup!$B$4,IF(COUNTIF(F2000,"Soup Dumpling"),[1]Setup!$B$5,F2000)))</f>
        <v/>
      </c>
    </row>
    <row r="2001" spans="2:9" x14ac:dyDescent="0.3">
      <c r="B2001" s="100">
        <f t="shared" si="228"/>
        <v>0</v>
      </c>
      <c r="C2001" s="84" t="str">
        <f t="shared" si="229"/>
        <v>January</v>
      </c>
      <c r="I2001" s="87" t="str">
        <f>IF(F2001=0,"",IF(COUNTIF(F2001,"Bao"),[1]Setup!$B$4,IF(COUNTIF(F2001,"Soup Dumpling"),[1]Setup!$B$5,F2001)))</f>
        <v/>
      </c>
    </row>
    <row r="2002" spans="2:9" x14ac:dyDescent="0.3">
      <c r="B2002" s="100">
        <f t="shared" si="228"/>
        <v>0</v>
      </c>
      <c r="C2002" s="84" t="str">
        <f t="shared" si="229"/>
        <v>January</v>
      </c>
      <c r="I2002" s="87" t="str">
        <f>IF(F2002=0,"",IF(COUNTIF(F2002,"Bao"),[1]Setup!$B$4,IF(COUNTIF(F2002,"Soup Dumpling"),[1]Setup!$B$5,F2002)))</f>
        <v/>
      </c>
    </row>
    <row r="2003" spans="2:9" x14ac:dyDescent="0.3">
      <c r="B2003" s="100">
        <f t="shared" si="228"/>
        <v>0</v>
      </c>
      <c r="C2003" s="84" t="str">
        <f t="shared" si="229"/>
        <v>January</v>
      </c>
      <c r="I2003" s="87" t="str">
        <f>IF(F2003=0,"",IF(COUNTIF(F2003,"Bao"),[1]Setup!$B$4,IF(COUNTIF(F2003,"Soup Dumpling"),[1]Setup!$B$5,F2003)))</f>
        <v/>
      </c>
    </row>
    <row r="2004" spans="2:9" x14ac:dyDescent="0.3">
      <c r="B2004" s="100">
        <f t="shared" si="228"/>
        <v>0</v>
      </c>
      <c r="C2004" s="84" t="str">
        <f t="shared" si="229"/>
        <v>January</v>
      </c>
      <c r="I2004" s="87" t="str">
        <f>IF(F2004=0,"",IF(COUNTIF(F2004,"Bao"),[1]Setup!$B$4,IF(COUNTIF(F2004,"Soup Dumpling"),[1]Setup!$B$5,F2004)))</f>
        <v/>
      </c>
    </row>
    <row r="2005" spans="2:9" x14ac:dyDescent="0.3">
      <c r="B2005" s="100">
        <f t="shared" si="228"/>
        <v>0</v>
      </c>
      <c r="C2005" s="84" t="str">
        <f t="shared" si="229"/>
        <v>January</v>
      </c>
      <c r="I2005" s="87" t="str">
        <f>IF(F2005=0,"",IF(COUNTIF(F2005,"Bao"),[1]Setup!$B$4,IF(COUNTIF(F2005,"Soup Dumpling"),[1]Setup!$B$5,F2005)))</f>
        <v/>
      </c>
    </row>
    <row r="2006" spans="2:9" x14ac:dyDescent="0.3">
      <c r="B2006" s="100">
        <f t="shared" si="228"/>
        <v>0</v>
      </c>
      <c r="C2006" s="84" t="str">
        <f t="shared" si="229"/>
        <v>January</v>
      </c>
      <c r="I2006" s="87" t="str">
        <f>IF(F2006=0,"",IF(COUNTIF(F2006,"Bao"),[1]Setup!$B$4,IF(COUNTIF(F2006,"Soup Dumpling"),[1]Setup!$B$5,F2006)))</f>
        <v/>
      </c>
    </row>
    <row r="2007" spans="2:9" x14ac:dyDescent="0.3">
      <c r="B2007" s="100">
        <f t="shared" si="228"/>
        <v>0</v>
      </c>
      <c r="C2007" s="84" t="str">
        <f t="shared" si="229"/>
        <v>January</v>
      </c>
      <c r="I2007" s="87" t="str">
        <f>IF(F2007=0,"",IF(COUNTIF(F2007,"Bao"),[1]Setup!$B$4,IF(COUNTIF(F2007,"Soup Dumpling"),[1]Setup!$B$5,F2007)))</f>
        <v/>
      </c>
    </row>
    <row r="2008" spans="2:9" x14ac:dyDescent="0.3">
      <c r="B2008" s="100">
        <f t="shared" si="228"/>
        <v>0</v>
      </c>
      <c r="C2008" s="84" t="str">
        <f t="shared" si="229"/>
        <v>January</v>
      </c>
      <c r="I2008" s="87" t="str">
        <f>IF(F2008=0,"",IF(COUNTIF(F2008,"Bao"),[1]Setup!$B$4,IF(COUNTIF(F2008,"Soup Dumpling"),[1]Setup!$B$5,F2008)))</f>
        <v/>
      </c>
    </row>
    <row r="2009" spans="2:9" x14ac:dyDescent="0.3">
      <c r="B2009" s="100">
        <f t="shared" si="228"/>
        <v>0</v>
      </c>
      <c r="C2009" s="84" t="str">
        <f t="shared" si="229"/>
        <v>January</v>
      </c>
      <c r="I2009" s="87" t="str">
        <f>IF(F2009=0,"",IF(COUNTIF(F2009,"Bao"),[1]Setup!$B$4,IF(COUNTIF(F2009,"Soup Dumpling"),[1]Setup!$B$5,F2009)))</f>
        <v/>
      </c>
    </row>
    <row r="2010" spans="2:9" x14ac:dyDescent="0.3">
      <c r="B2010" s="100">
        <f t="shared" si="228"/>
        <v>0</v>
      </c>
      <c r="C2010" s="84" t="str">
        <f t="shared" si="229"/>
        <v>January</v>
      </c>
      <c r="I2010" s="87" t="str">
        <f>IF(F2010=0,"",IF(COUNTIF(F2010,"Bao"),[1]Setup!$B$4,IF(COUNTIF(F2010,"Soup Dumpling"),[1]Setup!$B$5,F2010)))</f>
        <v/>
      </c>
    </row>
    <row r="2011" spans="2:9" x14ac:dyDescent="0.3">
      <c r="B2011" s="100">
        <f t="shared" si="228"/>
        <v>0</v>
      </c>
      <c r="C2011" s="84" t="str">
        <f t="shared" si="229"/>
        <v>January</v>
      </c>
      <c r="I2011" s="87" t="str">
        <f>IF(F2011=0,"",IF(COUNTIF(F2011,"Bao"),[1]Setup!$B$4,IF(COUNTIF(F2011,"Soup Dumpling"),[1]Setup!$B$5,F2011)))</f>
        <v/>
      </c>
    </row>
    <row r="2012" spans="2:9" x14ac:dyDescent="0.3">
      <c r="B2012" s="100">
        <f t="shared" si="228"/>
        <v>0</v>
      </c>
      <c r="C2012" s="84" t="str">
        <f t="shared" si="229"/>
        <v>January</v>
      </c>
      <c r="I2012" s="87" t="str">
        <f>IF(F2012=0,"",IF(COUNTIF(F2012,"Bao"),[1]Setup!$B$4,IF(COUNTIF(F2012,"Soup Dumpling"),[1]Setup!$B$5,F2012)))</f>
        <v/>
      </c>
    </row>
    <row r="2013" spans="2:9" x14ac:dyDescent="0.3">
      <c r="B2013" s="100">
        <f t="shared" si="228"/>
        <v>0</v>
      </c>
      <c r="C2013" s="84" t="str">
        <f t="shared" si="229"/>
        <v>January</v>
      </c>
      <c r="I2013" s="87" t="str">
        <f>IF(F2013=0,"",IF(COUNTIF(F2013,"Bao"),[1]Setup!$B$4,IF(COUNTIF(F2013,"Soup Dumpling"),[1]Setup!$B$5,F2013)))</f>
        <v/>
      </c>
    </row>
    <row r="2014" spans="2:9" x14ac:dyDescent="0.3">
      <c r="B2014" s="100">
        <f t="shared" si="228"/>
        <v>0</v>
      </c>
      <c r="C2014" s="84" t="str">
        <f t="shared" si="229"/>
        <v>January</v>
      </c>
      <c r="I2014" s="87" t="str">
        <f>IF(F2014=0,"",IF(COUNTIF(F2014,"Bao"),[1]Setup!$B$4,IF(COUNTIF(F2014,"Soup Dumpling"),[1]Setup!$B$5,F2014)))</f>
        <v/>
      </c>
    </row>
    <row r="2015" spans="2:9" x14ac:dyDescent="0.3">
      <c r="B2015" s="100">
        <f t="shared" si="228"/>
        <v>0</v>
      </c>
      <c r="C2015" s="84" t="str">
        <f t="shared" si="229"/>
        <v>January</v>
      </c>
      <c r="I2015" s="87" t="str">
        <f>IF(F2015=0,"",IF(COUNTIF(F2015,"Bao"),[1]Setup!$B$4,IF(COUNTIF(F2015,"Soup Dumpling"),[1]Setup!$B$5,F2015)))</f>
        <v/>
      </c>
    </row>
    <row r="2016" spans="2:9" x14ac:dyDescent="0.3">
      <c r="B2016" s="100">
        <f t="shared" si="228"/>
        <v>0</v>
      </c>
      <c r="C2016" s="84" t="str">
        <f t="shared" si="229"/>
        <v>January</v>
      </c>
      <c r="I2016" s="87" t="str">
        <f>IF(F2016=0,"",IF(COUNTIF(F2016,"Bao"),[1]Setup!$B$4,IF(COUNTIF(F2016,"Soup Dumpling"),[1]Setup!$B$5,F2016)))</f>
        <v/>
      </c>
    </row>
    <row r="2017" spans="2:9" x14ac:dyDescent="0.3">
      <c r="B2017" s="100">
        <f t="shared" si="228"/>
        <v>0</v>
      </c>
      <c r="C2017" s="84" t="str">
        <f t="shared" si="229"/>
        <v>January</v>
      </c>
      <c r="I2017" s="87" t="str">
        <f>IF(F2017=0,"",IF(COUNTIF(F2017,"Bao"),[1]Setup!$B$4,IF(COUNTIF(F2017,"Soup Dumpling"),[1]Setup!$B$5,F2017)))</f>
        <v/>
      </c>
    </row>
    <row r="2018" spans="2:9" x14ac:dyDescent="0.3">
      <c r="B2018" s="100">
        <f t="shared" si="228"/>
        <v>0</v>
      </c>
      <c r="C2018" s="84" t="str">
        <f t="shared" si="229"/>
        <v>January</v>
      </c>
      <c r="I2018" s="87" t="str">
        <f>IF(F2018=0,"",IF(COUNTIF(F2018,"Bao"),[1]Setup!$B$4,IF(COUNTIF(F2018,"Soup Dumpling"),[1]Setup!$B$5,F2018)))</f>
        <v/>
      </c>
    </row>
    <row r="2019" spans="2:9" x14ac:dyDescent="0.3">
      <c r="B2019" s="100">
        <f t="shared" si="228"/>
        <v>0</v>
      </c>
      <c r="C2019" s="84" t="str">
        <f t="shared" si="229"/>
        <v>January</v>
      </c>
      <c r="I2019" s="87" t="str">
        <f>IF(F2019=0,"",IF(COUNTIF(F2019,"Bao"),[1]Setup!$B$4,IF(COUNTIF(F2019,"Soup Dumpling"),[1]Setup!$B$5,F2019)))</f>
        <v/>
      </c>
    </row>
    <row r="2020" spans="2:9" x14ac:dyDescent="0.3">
      <c r="B2020" s="100">
        <f t="shared" si="228"/>
        <v>0</v>
      </c>
      <c r="C2020" s="84" t="str">
        <f t="shared" si="229"/>
        <v>January</v>
      </c>
      <c r="I2020" s="87" t="str">
        <f>IF(F2020=0,"",IF(COUNTIF(F2020,"Bao"),[1]Setup!$B$4,IF(COUNTIF(F2020,"Soup Dumpling"),[1]Setup!$B$5,F2020)))</f>
        <v/>
      </c>
    </row>
    <row r="2021" spans="2:9" x14ac:dyDescent="0.3">
      <c r="B2021" s="100">
        <f t="shared" si="228"/>
        <v>0</v>
      </c>
      <c r="C2021" s="84" t="str">
        <f t="shared" si="229"/>
        <v>January</v>
      </c>
      <c r="I2021" s="87" t="str">
        <f>IF(F2021=0,"",IF(COUNTIF(F2021,"Bao"),[1]Setup!$B$4,IF(COUNTIF(F2021,"Soup Dumpling"),[1]Setup!$B$5,F2021)))</f>
        <v/>
      </c>
    </row>
    <row r="2022" spans="2:9" x14ac:dyDescent="0.3">
      <c r="B2022" s="100">
        <f t="shared" si="228"/>
        <v>0</v>
      </c>
      <c r="C2022" s="84" t="str">
        <f t="shared" si="229"/>
        <v>January</v>
      </c>
      <c r="I2022" s="87" t="str">
        <f>IF(F2022=0,"",IF(COUNTIF(F2022,"Bao"),[1]Setup!$B$4,IF(COUNTIF(F2022,"Soup Dumpling"),[1]Setup!$B$5,F2022)))</f>
        <v/>
      </c>
    </row>
    <row r="2023" spans="2:9" x14ac:dyDescent="0.3">
      <c r="B2023" s="100">
        <f t="shared" si="228"/>
        <v>0</v>
      </c>
      <c r="C2023" s="84" t="str">
        <f t="shared" si="229"/>
        <v>January</v>
      </c>
      <c r="I2023" s="87" t="str">
        <f>IF(F2023=0,"",IF(COUNTIF(F2023,"Bao"),[1]Setup!$B$4,IF(COUNTIF(F2023,"Soup Dumpling"),[1]Setup!$B$5,F2023)))</f>
        <v/>
      </c>
    </row>
    <row r="2024" spans="2:9" x14ac:dyDescent="0.3">
      <c r="B2024" s="100">
        <f t="shared" si="228"/>
        <v>0</v>
      </c>
      <c r="C2024" s="84" t="str">
        <f t="shared" si="229"/>
        <v>January</v>
      </c>
      <c r="I2024" s="87" t="str">
        <f>IF(F2024=0,"",IF(COUNTIF(F2024,"Bao"),[1]Setup!$B$4,IF(COUNTIF(F2024,"Soup Dumpling"),[1]Setup!$B$5,F2024)))</f>
        <v/>
      </c>
    </row>
    <row r="2025" spans="2:9" x14ac:dyDescent="0.3">
      <c r="B2025" s="100">
        <f t="shared" si="228"/>
        <v>0</v>
      </c>
      <c r="C2025" s="84" t="str">
        <f t="shared" si="229"/>
        <v>January</v>
      </c>
      <c r="I2025" s="87" t="str">
        <f>IF(F2025=0,"",IF(COUNTIF(F2025,"Bao"),[1]Setup!$B$4,IF(COUNTIF(F2025,"Soup Dumpling"),[1]Setup!$B$5,F2025)))</f>
        <v/>
      </c>
    </row>
    <row r="2026" spans="2:9" x14ac:dyDescent="0.3">
      <c r="B2026" s="100">
        <f t="shared" si="228"/>
        <v>0</v>
      </c>
      <c r="C2026" s="84" t="str">
        <f t="shared" si="229"/>
        <v>January</v>
      </c>
      <c r="I2026" s="87" t="str">
        <f>IF(F2026=0,"",IF(COUNTIF(F2026,"Bao"),[1]Setup!$B$4,IF(COUNTIF(F2026,"Soup Dumpling"),[1]Setup!$B$5,F2026)))</f>
        <v/>
      </c>
    </row>
    <row r="2027" spans="2:9" x14ac:dyDescent="0.3">
      <c r="B2027" s="100">
        <f t="shared" si="228"/>
        <v>0</v>
      </c>
      <c r="C2027" s="84" t="str">
        <f t="shared" si="229"/>
        <v>January</v>
      </c>
      <c r="I2027" s="87" t="str">
        <f>IF(F2027=0,"",IF(COUNTIF(F2027,"Bao"),[1]Setup!$B$4,IF(COUNTIF(F2027,"Soup Dumpling"),[1]Setup!$B$5,F2027)))</f>
        <v/>
      </c>
    </row>
    <row r="2028" spans="2:9" x14ac:dyDescent="0.3">
      <c r="B2028" s="100">
        <f t="shared" si="228"/>
        <v>0</v>
      </c>
      <c r="C2028" s="84" t="str">
        <f t="shared" si="229"/>
        <v>January</v>
      </c>
      <c r="I2028" s="87" t="str">
        <f>IF(F2028=0,"",IF(COUNTIF(F2028,"Bao"),[1]Setup!$B$4,IF(COUNTIF(F2028,"Soup Dumpling"),[1]Setup!$B$5,F2028)))</f>
        <v/>
      </c>
    </row>
    <row r="2029" spans="2:9" x14ac:dyDescent="0.3">
      <c r="B2029" s="100">
        <f t="shared" si="228"/>
        <v>0</v>
      </c>
      <c r="C2029" s="84" t="str">
        <f t="shared" si="229"/>
        <v>January</v>
      </c>
      <c r="I2029" s="87" t="str">
        <f>IF(F2029=0,"",IF(COUNTIF(F2029,"Bao"),[1]Setup!$B$4,IF(COUNTIF(F2029,"Soup Dumpling"),[1]Setup!$B$5,F2029)))</f>
        <v/>
      </c>
    </row>
    <row r="2030" spans="2:9" x14ac:dyDescent="0.3">
      <c r="B2030" s="100">
        <f t="shared" si="228"/>
        <v>0</v>
      </c>
      <c r="C2030" s="84" t="str">
        <f t="shared" si="229"/>
        <v>January</v>
      </c>
      <c r="I2030" s="87" t="str">
        <f>IF(F2030=0,"",IF(COUNTIF(F2030,"Bao"),[1]Setup!$B$4,IF(COUNTIF(F2030,"Soup Dumpling"),[1]Setup!$B$5,F2030)))</f>
        <v/>
      </c>
    </row>
    <row r="2031" spans="2:9" x14ac:dyDescent="0.3">
      <c r="B2031" s="100">
        <f t="shared" si="228"/>
        <v>0</v>
      </c>
      <c r="C2031" s="84" t="str">
        <f t="shared" si="229"/>
        <v>January</v>
      </c>
      <c r="I2031" s="87" t="str">
        <f>IF(F2031=0,"",IF(COUNTIF(F2031,"Bao"),[1]Setup!$B$4,IF(COUNTIF(F2031,"Soup Dumpling"),[1]Setup!$B$5,F2031)))</f>
        <v/>
      </c>
    </row>
    <row r="2032" spans="2:9" x14ac:dyDescent="0.3">
      <c r="B2032" s="100">
        <f t="shared" si="228"/>
        <v>0</v>
      </c>
      <c r="C2032" s="84" t="str">
        <f t="shared" si="229"/>
        <v>January</v>
      </c>
      <c r="I2032" s="87" t="str">
        <f>IF(F2032=0,"",IF(COUNTIF(F2032,"Bao"),[1]Setup!$B$4,IF(COUNTIF(F2032,"Soup Dumpling"),[1]Setup!$B$5,F2032)))</f>
        <v/>
      </c>
    </row>
    <row r="2033" spans="2:9" x14ac:dyDescent="0.3">
      <c r="B2033" s="100">
        <f t="shared" si="228"/>
        <v>0</v>
      </c>
      <c r="C2033" s="84" t="str">
        <f t="shared" si="229"/>
        <v>January</v>
      </c>
      <c r="I2033" s="87" t="str">
        <f>IF(F2033=0,"",IF(COUNTIF(F2033,"Bao"),[1]Setup!$B$4,IF(COUNTIF(F2033,"Soup Dumpling"),[1]Setup!$B$5,F2033)))</f>
        <v/>
      </c>
    </row>
    <row r="2034" spans="2:9" x14ac:dyDescent="0.3">
      <c r="B2034" s="100">
        <f t="shared" si="228"/>
        <v>0</v>
      </c>
      <c r="C2034" s="84" t="str">
        <f t="shared" si="229"/>
        <v>January</v>
      </c>
      <c r="I2034" s="87" t="str">
        <f>IF(F2034=0,"",IF(COUNTIF(F2034,"Bao"),[1]Setup!$B$4,IF(COUNTIF(F2034,"Soup Dumpling"),[1]Setup!$B$5,F2034)))</f>
        <v/>
      </c>
    </row>
    <row r="2035" spans="2:9" x14ac:dyDescent="0.3">
      <c r="B2035" s="100">
        <f t="shared" si="228"/>
        <v>0</v>
      </c>
      <c r="C2035" s="84" t="str">
        <f t="shared" si="229"/>
        <v>January</v>
      </c>
      <c r="I2035" s="87" t="str">
        <f>IF(F2035=0,"",IF(COUNTIF(F2035,"Bao"),[1]Setup!$B$4,IF(COUNTIF(F2035,"Soup Dumpling"),[1]Setup!$B$5,F2035)))</f>
        <v/>
      </c>
    </row>
    <row r="2036" spans="2:9" x14ac:dyDescent="0.3">
      <c r="B2036" s="100">
        <f t="shared" si="228"/>
        <v>0</v>
      </c>
      <c r="C2036" s="84" t="str">
        <f t="shared" si="229"/>
        <v>January</v>
      </c>
      <c r="I2036" s="87" t="str">
        <f>IF(F2036=0,"",IF(COUNTIF(F2036,"Bao"),[1]Setup!$B$4,IF(COUNTIF(F2036,"Soup Dumpling"),[1]Setup!$B$5,F2036)))</f>
        <v/>
      </c>
    </row>
    <row r="2037" spans="2:9" x14ac:dyDescent="0.3">
      <c r="B2037" s="100">
        <f t="shared" si="228"/>
        <v>0</v>
      </c>
      <c r="C2037" s="84" t="str">
        <f t="shared" si="229"/>
        <v>January</v>
      </c>
      <c r="I2037" s="87" t="str">
        <f>IF(F2037=0,"",IF(COUNTIF(F2037,"Bao"),[1]Setup!$B$4,IF(COUNTIF(F2037,"Soup Dumpling"),[1]Setup!$B$5,F2037)))</f>
        <v/>
      </c>
    </row>
    <row r="2038" spans="2:9" x14ac:dyDescent="0.3">
      <c r="B2038" s="100">
        <f t="shared" si="228"/>
        <v>0</v>
      </c>
      <c r="C2038" s="84" t="str">
        <f t="shared" si="229"/>
        <v>January</v>
      </c>
      <c r="I2038" s="87" t="str">
        <f>IF(F2038=0,"",IF(COUNTIF(F2038,"Bao"),[1]Setup!$B$4,IF(COUNTIF(F2038,"Soup Dumpling"),[1]Setup!$B$5,F2038)))</f>
        <v/>
      </c>
    </row>
    <row r="2039" spans="2:9" x14ac:dyDescent="0.3">
      <c r="B2039" s="100">
        <f t="shared" si="228"/>
        <v>0</v>
      </c>
      <c r="C2039" s="84" t="str">
        <f t="shared" si="229"/>
        <v>January</v>
      </c>
      <c r="I2039" s="87" t="str">
        <f>IF(F2039=0,"",IF(COUNTIF(F2039,"Bao"),[1]Setup!$B$4,IF(COUNTIF(F2039,"Soup Dumpling"),[1]Setup!$B$5,F2039)))</f>
        <v/>
      </c>
    </row>
    <row r="2040" spans="2:9" x14ac:dyDescent="0.3">
      <c r="B2040" s="100">
        <f t="shared" si="228"/>
        <v>0</v>
      </c>
      <c r="C2040" s="84" t="str">
        <f t="shared" si="229"/>
        <v>January</v>
      </c>
      <c r="I2040" s="87" t="str">
        <f>IF(F2040=0,"",IF(COUNTIF(F2040,"Bao"),[1]Setup!$B$4,IF(COUNTIF(F2040,"Soup Dumpling"),[1]Setup!$B$5,F2040)))</f>
        <v/>
      </c>
    </row>
    <row r="2041" spans="2:9" x14ac:dyDescent="0.3">
      <c r="B2041" s="100">
        <f t="shared" si="228"/>
        <v>0</v>
      </c>
      <c r="C2041" s="84" t="str">
        <f t="shared" si="229"/>
        <v>January</v>
      </c>
      <c r="I2041" s="87" t="str">
        <f>IF(F2041=0,"",IF(COUNTIF(F2041,"Bao"),[1]Setup!$B$4,IF(COUNTIF(F2041,"Soup Dumpling"),[1]Setup!$B$5,F2041)))</f>
        <v/>
      </c>
    </row>
    <row r="2042" spans="2:9" x14ac:dyDescent="0.3">
      <c r="B2042" s="100">
        <f t="shared" si="228"/>
        <v>0</v>
      </c>
      <c r="C2042" s="84" t="str">
        <f t="shared" si="229"/>
        <v>January</v>
      </c>
      <c r="I2042" s="87" t="str">
        <f>IF(F2042=0,"",IF(COUNTIF(F2042,"Bao"),[1]Setup!$B$4,IF(COUNTIF(F2042,"Soup Dumpling"),[1]Setup!$B$5,F2042)))</f>
        <v/>
      </c>
    </row>
    <row r="2043" spans="2:9" x14ac:dyDescent="0.3">
      <c r="B2043" s="100">
        <f t="shared" si="228"/>
        <v>0</v>
      </c>
      <c r="C2043" s="84" t="str">
        <f t="shared" si="229"/>
        <v>January</v>
      </c>
      <c r="I2043" s="87" t="str">
        <f>IF(F2043=0,"",IF(COUNTIF(F2043,"Bao"),[1]Setup!$B$4,IF(COUNTIF(F2043,"Soup Dumpling"),[1]Setup!$B$5,F2043)))</f>
        <v/>
      </c>
    </row>
    <row r="2044" spans="2:9" x14ac:dyDescent="0.3">
      <c r="B2044" s="100">
        <f t="shared" si="228"/>
        <v>0</v>
      </c>
      <c r="C2044" s="84" t="str">
        <f t="shared" si="229"/>
        <v>January</v>
      </c>
      <c r="I2044" s="87" t="str">
        <f>IF(F2044=0,"",IF(COUNTIF(F2044,"Bao"),[1]Setup!$B$4,IF(COUNTIF(F2044,"Soup Dumpling"),[1]Setup!$B$5,F2044)))</f>
        <v/>
      </c>
    </row>
    <row r="2045" spans="2:9" x14ac:dyDescent="0.3">
      <c r="B2045" s="100">
        <f t="shared" si="228"/>
        <v>0</v>
      </c>
      <c r="C2045" s="84" t="str">
        <f t="shared" si="229"/>
        <v>January</v>
      </c>
      <c r="I2045" s="87" t="str">
        <f>IF(F2045=0,"",IF(COUNTIF(F2045,"Bao"),[1]Setup!$B$4,IF(COUNTIF(F2045,"Soup Dumpling"),[1]Setup!$B$5,F2045)))</f>
        <v/>
      </c>
    </row>
    <row r="2046" spans="2:9" x14ac:dyDescent="0.3">
      <c r="B2046" s="100">
        <f t="shared" si="228"/>
        <v>0</v>
      </c>
      <c r="C2046" s="84" t="str">
        <f t="shared" si="229"/>
        <v>January</v>
      </c>
      <c r="I2046" s="87" t="str">
        <f>IF(F2046=0,"",IF(COUNTIF(F2046,"Bao"),[1]Setup!$B$4,IF(COUNTIF(F2046,"Soup Dumpling"),[1]Setup!$B$5,F2046)))</f>
        <v/>
      </c>
    </row>
    <row r="2047" spans="2:9" x14ac:dyDescent="0.3">
      <c r="B2047" s="100">
        <f t="shared" si="228"/>
        <v>0</v>
      </c>
      <c r="C2047" s="84" t="str">
        <f t="shared" si="229"/>
        <v>January</v>
      </c>
      <c r="I2047" s="87" t="str">
        <f>IF(F2047=0,"",IF(COUNTIF(F2047,"Bao"),[1]Setup!$B$4,IF(COUNTIF(F2047,"Soup Dumpling"),[1]Setup!$B$5,F2047)))</f>
        <v/>
      </c>
    </row>
    <row r="2048" spans="2:9" x14ac:dyDescent="0.3">
      <c r="B2048" s="100">
        <f t="shared" si="228"/>
        <v>0</v>
      </c>
      <c r="C2048" s="84" t="str">
        <f t="shared" si="229"/>
        <v>January</v>
      </c>
      <c r="I2048" s="87" t="str">
        <f>IF(F2048=0,"",IF(COUNTIF(F2048,"Bao"),[1]Setup!$B$4,IF(COUNTIF(F2048,"Soup Dumpling"),[1]Setup!$B$5,F2048)))</f>
        <v/>
      </c>
    </row>
    <row r="2049" spans="2:9" x14ac:dyDescent="0.3">
      <c r="B2049" s="100">
        <f t="shared" si="228"/>
        <v>0</v>
      </c>
      <c r="C2049" s="84" t="str">
        <f t="shared" si="229"/>
        <v>January</v>
      </c>
      <c r="I2049" s="87" t="str">
        <f>IF(F2049=0,"",IF(COUNTIF(F2049,"Bao"),[1]Setup!$B$4,IF(COUNTIF(F2049,"Soup Dumpling"),[1]Setup!$B$5,F2049)))</f>
        <v/>
      </c>
    </row>
    <row r="2050" spans="2:9" x14ac:dyDescent="0.3">
      <c r="B2050" s="100">
        <f t="shared" si="228"/>
        <v>0</v>
      </c>
      <c r="C2050" s="84" t="str">
        <f t="shared" si="229"/>
        <v>January</v>
      </c>
      <c r="I2050" s="87" t="str">
        <f>IF(F2050=0,"",IF(COUNTIF(F2050,"Bao"),[1]Setup!$B$4,IF(COUNTIF(F2050,"Soup Dumpling"),[1]Setup!$B$5,F2050)))</f>
        <v/>
      </c>
    </row>
    <row r="2051" spans="2:9" x14ac:dyDescent="0.3">
      <c r="B2051" s="100">
        <f t="shared" si="228"/>
        <v>0</v>
      </c>
      <c r="C2051" s="84" t="str">
        <f t="shared" si="229"/>
        <v>January</v>
      </c>
      <c r="I2051" s="87" t="str">
        <f>IF(F2051=0,"",IF(COUNTIF(F2051,"Bao"),[1]Setup!$B$4,IF(COUNTIF(F2051,"Soup Dumpling"),[1]Setup!$B$5,F2051)))</f>
        <v/>
      </c>
    </row>
    <row r="2052" spans="2:9" x14ac:dyDescent="0.3">
      <c r="B2052" s="100">
        <f t="shared" si="228"/>
        <v>0</v>
      </c>
      <c r="C2052" s="84" t="str">
        <f t="shared" si="229"/>
        <v>January</v>
      </c>
      <c r="I2052" s="87" t="str">
        <f>IF(F2052=0,"",IF(COUNTIF(F2052,"Bao"),[1]Setup!$B$4,IF(COUNTIF(F2052,"Soup Dumpling"),[1]Setup!$B$5,F2052)))</f>
        <v/>
      </c>
    </row>
    <row r="2053" spans="2:9" x14ac:dyDescent="0.3">
      <c r="B2053" s="100">
        <f t="shared" ref="B2053:B2116" si="230">+WEEKNUM(A2053)</f>
        <v>0</v>
      </c>
      <c r="C2053" s="84" t="str">
        <f t="shared" ref="C2053:C2116" si="231">+TEXT(A2053,"mmmm")</f>
        <v>January</v>
      </c>
      <c r="I2053" s="87" t="str">
        <f>IF(F2053=0,"",IF(COUNTIF(F2053,"Bao"),[1]Setup!$B$4,IF(COUNTIF(F2053,"Soup Dumpling"),[1]Setup!$B$5,F2053)))</f>
        <v/>
      </c>
    </row>
    <row r="2054" spans="2:9" x14ac:dyDescent="0.3">
      <c r="B2054" s="100">
        <f t="shared" si="230"/>
        <v>0</v>
      </c>
      <c r="C2054" s="84" t="str">
        <f t="shared" si="231"/>
        <v>January</v>
      </c>
      <c r="I2054" s="87" t="str">
        <f>IF(F2054=0,"",IF(COUNTIF(F2054,"Bao"),[1]Setup!$B$4,IF(COUNTIF(F2054,"Soup Dumpling"),[1]Setup!$B$5,F2054)))</f>
        <v/>
      </c>
    </row>
    <row r="2055" spans="2:9" x14ac:dyDescent="0.3">
      <c r="B2055" s="100">
        <f t="shared" si="230"/>
        <v>0</v>
      </c>
      <c r="C2055" s="84" t="str">
        <f t="shared" si="231"/>
        <v>January</v>
      </c>
      <c r="I2055" s="87" t="str">
        <f>IF(F2055=0,"",IF(COUNTIF(F2055,"Bao"),[1]Setup!$B$4,IF(COUNTIF(F2055,"Soup Dumpling"),[1]Setup!$B$5,F2055)))</f>
        <v/>
      </c>
    </row>
    <row r="2056" spans="2:9" x14ac:dyDescent="0.3">
      <c r="B2056" s="100">
        <f t="shared" si="230"/>
        <v>0</v>
      </c>
      <c r="C2056" s="84" t="str">
        <f t="shared" si="231"/>
        <v>January</v>
      </c>
      <c r="I2056" s="87" t="str">
        <f>IF(F2056=0,"",IF(COUNTIF(F2056,"Bao"),[1]Setup!$B$4,IF(COUNTIF(F2056,"Soup Dumpling"),[1]Setup!$B$5,F2056)))</f>
        <v/>
      </c>
    </row>
    <row r="2057" spans="2:9" x14ac:dyDescent="0.3">
      <c r="B2057" s="100">
        <f t="shared" si="230"/>
        <v>0</v>
      </c>
      <c r="C2057" s="84" t="str">
        <f t="shared" si="231"/>
        <v>January</v>
      </c>
      <c r="I2057" s="87" t="str">
        <f>IF(F2057=0,"",IF(COUNTIF(F2057,"Bao"),[1]Setup!$B$4,IF(COUNTIF(F2057,"Soup Dumpling"),[1]Setup!$B$5,F2057)))</f>
        <v/>
      </c>
    </row>
    <row r="2058" spans="2:9" x14ac:dyDescent="0.3">
      <c r="B2058" s="100">
        <f t="shared" si="230"/>
        <v>0</v>
      </c>
      <c r="C2058" s="84" t="str">
        <f t="shared" si="231"/>
        <v>January</v>
      </c>
      <c r="I2058" s="87" t="str">
        <f>IF(F2058=0,"",IF(COUNTIF(F2058,"Bao"),[1]Setup!$B$4,IF(COUNTIF(F2058,"Soup Dumpling"),[1]Setup!$B$5,F2058)))</f>
        <v/>
      </c>
    </row>
    <row r="2059" spans="2:9" x14ac:dyDescent="0.3">
      <c r="B2059" s="100">
        <f t="shared" si="230"/>
        <v>0</v>
      </c>
      <c r="C2059" s="84" t="str">
        <f t="shared" si="231"/>
        <v>January</v>
      </c>
      <c r="I2059" s="87" t="str">
        <f>IF(F2059=0,"",IF(COUNTIF(F2059,"Bao"),[1]Setup!$B$4,IF(COUNTIF(F2059,"Soup Dumpling"),[1]Setup!$B$5,F2059)))</f>
        <v/>
      </c>
    </row>
    <row r="2060" spans="2:9" x14ac:dyDescent="0.3">
      <c r="B2060" s="100">
        <f t="shared" si="230"/>
        <v>0</v>
      </c>
      <c r="C2060" s="84" t="str">
        <f t="shared" si="231"/>
        <v>January</v>
      </c>
      <c r="I2060" s="87" t="str">
        <f>IF(F2060=0,"",IF(COUNTIF(F2060,"Bao"),[1]Setup!$B$4,IF(COUNTIF(F2060,"Soup Dumpling"),[1]Setup!$B$5,F2060)))</f>
        <v/>
      </c>
    </row>
    <row r="2061" spans="2:9" x14ac:dyDescent="0.3">
      <c r="B2061" s="100">
        <f t="shared" si="230"/>
        <v>0</v>
      </c>
      <c r="C2061" s="84" t="str">
        <f t="shared" si="231"/>
        <v>January</v>
      </c>
      <c r="I2061" s="87" t="str">
        <f>IF(F2061=0,"",IF(COUNTIF(F2061,"Bao"),[1]Setup!$B$4,IF(COUNTIF(F2061,"Soup Dumpling"),[1]Setup!$B$5,F2061)))</f>
        <v/>
      </c>
    </row>
    <row r="2062" spans="2:9" x14ac:dyDescent="0.3">
      <c r="B2062" s="100">
        <f t="shared" si="230"/>
        <v>0</v>
      </c>
      <c r="C2062" s="84" t="str">
        <f t="shared" si="231"/>
        <v>January</v>
      </c>
      <c r="I2062" s="87" t="str">
        <f>IF(F2062=0,"",IF(COUNTIF(F2062,"Bao"),[1]Setup!$B$4,IF(COUNTIF(F2062,"Soup Dumpling"),[1]Setup!$B$5,F2062)))</f>
        <v/>
      </c>
    </row>
    <row r="2063" spans="2:9" x14ac:dyDescent="0.3">
      <c r="B2063" s="100">
        <f t="shared" si="230"/>
        <v>0</v>
      </c>
      <c r="C2063" s="84" t="str">
        <f t="shared" si="231"/>
        <v>January</v>
      </c>
      <c r="I2063" s="87" t="str">
        <f>IF(F2063=0,"",IF(COUNTIF(F2063,"Bao"),[1]Setup!$B$4,IF(COUNTIF(F2063,"Soup Dumpling"),[1]Setup!$B$5,F2063)))</f>
        <v/>
      </c>
    </row>
    <row r="2064" spans="2:9" x14ac:dyDescent="0.3">
      <c r="B2064" s="100">
        <f t="shared" si="230"/>
        <v>0</v>
      </c>
      <c r="C2064" s="84" t="str">
        <f t="shared" si="231"/>
        <v>January</v>
      </c>
      <c r="I2064" s="87" t="str">
        <f>IF(F2064=0,"",IF(COUNTIF(F2064,"Bao"),[1]Setup!$B$4,IF(COUNTIF(F2064,"Soup Dumpling"),[1]Setup!$B$5,F2064)))</f>
        <v/>
      </c>
    </row>
    <row r="2065" spans="2:9" x14ac:dyDescent="0.3">
      <c r="B2065" s="100">
        <f t="shared" si="230"/>
        <v>0</v>
      </c>
      <c r="C2065" s="84" t="str">
        <f t="shared" si="231"/>
        <v>January</v>
      </c>
      <c r="I2065" s="87" t="str">
        <f>IF(F2065=0,"",IF(COUNTIF(F2065,"Bao"),[1]Setup!$B$4,IF(COUNTIF(F2065,"Soup Dumpling"),[1]Setup!$B$5,F2065)))</f>
        <v/>
      </c>
    </row>
    <row r="2066" spans="2:9" x14ac:dyDescent="0.3">
      <c r="B2066" s="100">
        <f t="shared" si="230"/>
        <v>0</v>
      </c>
      <c r="C2066" s="84" t="str">
        <f t="shared" si="231"/>
        <v>January</v>
      </c>
      <c r="I2066" s="87" t="str">
        <f>IF(F2066=0,"",IF(COUNTIF(F2066,"Bao"),[1]Setup!$B$4,IF(COUNTIF(F2066,"Soup Dumpling"),[1]Setup!$B$5,F2066)))</f>
        <v/>
      </c>
    </row>
    <row r="2067" spans="2:9" x14ac:dyDescent="0.3">
      <c r="B2067" s="100">
        <f t="shared" si="230"/>
        <v>0</v>
      </c>
      <c r="C2067" s="84" t="str">
        <f t="shared" si="231"/>
        <v>January</v>
      </c>
      <c r="I2067" s="87" t="str">
        <f>IF(F2067=0,"",IF(COUNTIF(F2067,"Bao"),[1]Setup!$B$4,IF(COUNTIF(F2067,"Soup Dumpling"),[1]Setup!$B$5,F2067)))</f>
        <v/>
      </c>
    </row>
    <row r="2068" spans="2:9" x14ac:dyDescent="0.3">
      <c r="B2068" s="100">
        <f t="shared" si="230"/>
        <v>0</v>
      </c>
      <c r="C2068" s="84" t="str">
        <f t="shared" si="231"/>
        <v>January</v>
      </c>
      <c r="I2068" s="87" t="str">
        <f>IF(F2068=0,"",IF(COUNTIF(F2068,"Bao"),[1]Setup!$B$4,IF(COUNTIF(F2068,"Soup Dumpling"),[1]Setup!$B$5,F2068)))</f>
        <v/>
      </c>
    </row>
    <row r="2069" spans="2:9" x14ac:dyDescent="0.3">
      <c r="B2069" s="100">
        <f t="shared" si="230"/>
        <v>0</v>
      </c>
      <c r="C2069" s="84" t="str">
        <f t="shared" si="231"/>
        <v>January</v>
      </c>
      <c r="I2069" s="87" t="str">
        <f>IF(F2069=0,"",IF(COUNTIF(F2069,"Bao"),[1]Setup!$B$4,IF(COUNTIF(F2069,"Soup Dumpling"),[1]Setup!$B$5,F2069)))</f>
        <v/>
      </c>
    </row>
    <row r="2070" spans="2:9" x14ac:dyDescent="0.3">
      <c r="B2070" s="100">
        <f t="shared" si="230"/>
        <v>0</v>
      </c>
      <c r="C2070" s="84" t="str">
        <f t="shared" si="231"/>
        <v>January</v>
      </c>
      <c r="I2070" s="87" t="str">
        <f>IF(F2070=0,"",IF(COUNTIF(F2070,"Bao"),[1]Setup!$B$4,IF(COUNTIF(F2070,"Soup Dumpling"),[1]Setup!$B$5,F2070)))</f>
        <v/>
      </c>
    </row>
    <row r="2071" spans="2:9" x14ac:dyDescent="0.3">
      <c r="B2071" s="100">
        <f t="shared" si="230"/>
        <v>0</v>
      </c>
      <c r="C2071" s="84" t="str">
        <f t="shared" si="231"/>
        <v>January</v>
      </c>
      <c r="I2071" s="87" t="str">
        <f>IF(F2071=0,"",IF(COUNTIF(F2071,"Bao"),[1]Setup!$B$4,IF(COUNTIF(F2071,"Soup Dumpling"),[1]Setup!$B$5,F2071)))</f>
        <v/>
      </c>
    </row>
    <row r="2072" spans="2:9" x14ac:dyDescent="0.3">
      <c r="B2072" s="100">
        <f t="shared" si="230"/>
        <v>0</v>
      </c>
      <c r="C2072" s="84" t="str">
        <f t="shared" si="231"/>
        <v>January</v>
      </c>
      <c r="I2072" s="87" t="str">
        <f>IF(F2072=0,"",IF(COUNTIF(F2072,"Bao"),[1]Setup!$B$4,IF(COUNTIF(F2072,"Soup Dumpling"),[1]Setup!$B$5,F2072)))</f>
        <v/>
      </c>
    </row>
    <row r="2073" spans="2:9" x14ac:dyDescent="0.3">
      <c r="B2073" s="100">
        <f t="shared" si="230"/>
        <v>0</v>
      </c>
      <c r="C2073" s="84" t="str">
        <f t="shared" si="231"/>
        <v>January</v>
      </c>
      <c r="I2073" s="87" t="str">
        <f>IF(F2073=0,"",IF(COUNTIF(F2073,"Bao"),[1]Setup!$B$4,IF(COUNTIF(F2073,"Soup Dumpling"),[1]Setup!$B$5,F2073)))</f>
        <v/>
      </c>
    </row>
    <row r="2074" spans="2:9" x14ac:dyDescent="0.3">
      <c r="B2074" s="100">
        <f t="shared" si="230"/>
        <v>0</v>
      </c>
      <c r="C2074" s="84" t="str">
        <f t="shared" si="231"/>
        <v>January</v>
      </c>
      <c r="I2074" s="87" t="str">
        <f>IF(F2074=0,"",IF(COUNTIF(F2074,"Bao"),[1]Setup!$B$4,IF(COUNTIF(F2074,"Soup Dumpling"),[1]Setup!$B$5,F2074)))</f>
        <v/>
      </c>
    </row>
    <row r="2075" spans="2:9" x14ac:dyDescent="0.3">
      <c r="B2075" s="100">
        <f t="shared" si="230"/>
        <v>0</v>
      </c>
      <c r="C2075" s="84" t="str">
        <f t="shared" si="231"/>
        <v>January</v>
      </c>
      <c r="I2075" s="87" t="str">
        <f>IF(F2075=0,"",IF(COUNTIF(F2075,"Bao"),[1]Setup!$B$4,IF(COUNTIF(F2075,"Soup Dumpling"),[1]Setup!$B$5,F2075)))</f>
        <v/>
      </c>
    </row>
    <row r="2076" spans="2:9" x14ac:dyDescent="0.3">
      <c r="B2076" s="100">
        <f t="shared" si="230"/>
        <v>0</v>
      </c>
      <c r="C2076" s="84" t="str">
        <f t="shared" si="231"/>
        <v>January</v>
      </c>
      <c r="I2076" s="87" t="str">
        <f>IF(F2076=0,"",IF(COUNTIF(F2076,"Bao"),[1]Setup!$B$4,IF(COUNTIF(F2076,"Soup Dumpling"),[1]Setup!$B$5,F2076)))</f>
        <v/>
      </c>
    </row>
    <row r="2077" spans="2:9" x14ac:dyDescent="0.3">
      <c r="B2077" s="100">
        <f t="shared" si="230"/>
        <v>0</v>
      </c>
      <c r="C2077" s="84" t="str">
        <f t="shared" si="231"/>
        <v>January</v>
      </c>
      <c r="I2077" s="87" t="str">
        <f>IF(F2077=0,"",IF(COUNTIF(F2077,"Bao"),[1]Setup!$B$4,IF(COUNTIF(F2077,"Soup Dumpling"),[1]Setup!$B$5,F2077)))</f>
        <v/>
      </c>
    </row>
    <row r="2078" spans="2:9" x14ac:dyDescent="0.3">
      <c r="B2078" s="100">
        <f t="shared" si="230"/>
        <v>0</v>
      </c>
      <c r="C2078" s="84" t="str">
        <f t="shared" si="231"/>
        <v>January</v>
      </c>
      <c r="I2078" s="87" t="str">
        <f>IF(F2078=0,"",IF(COUNTIF(F2078,"Bao"),[1]Setup!$B$4,IF(COUNTIF(F2078,"Soup Dumpling"),[1]Setup!$B$5,F2078)))</f>
        <v/>
      </c>
    </row>
    <row r="2079" spans="2:9" x14ac:dyDescent="0.3">
      <c r="B2079" s="100">
        <f t="shared" si="230"/>
        <v>0</v>
      </c>
      <c r="C2079" s="84" t="str">
        <f t="shared" si="231"/>
        <v>January</v>
      </c>
      <c r="I2079" s="87" t="str">
        <f>IF(F2079=0,"",IF(COUNTIF(F2079,"Bao"),[1]Setup!$B$4,IF(COUNTIF(F2079,"Soup Dumpling"),[1]Setup!$B$5,F2079)))</f>
        <v/>
      </c>
    </row>
    <row r="2080" spans="2:9" x14ac:dyDescent="0.3">
      <c r="B2080" s="100">
        <f t="shared" si="230"/>
        <v>0</v>
      </c>
      <c r="C2080" s="84" t="str">
        <f t="shared" si="231"/>
        <v>January</v>
      </c>
      <c r="I2080" s="87" t="str">
        <f>IF(F2080=0,"",IF(COUNTIF(F2080,"Bao"),[1]Setup!$B$4,IF(COUNTIF(F2080,"Soup Dumpling"),[1]Setup!$B$5,F2080)))</f>
        <v/>
      </c>
    </row>
    <row r="2081" spans="2:9" x14ac:dyDescent="0.3">
      <c r="B2081" s="100">
        <f t="shared" si="230"/>
        <v>0</v>
      </c>
      <c r="C2081" s="84" t="str">
        <f t="shared" si="231"/>
        <v>January</v>
      </c>
      <c r="I2081" s="87" t="str">
        <f>IF(F2081=0,"",IF(COUNTIF(F2081,"Bao"),[1]Setup!$B$4,IF(COUNTIF(F2081,"Soup Dumpling"),[1]Setup!$B$5,F2081)))</f>
        <v/>
      </c>
    </row>
    <row r="2082" spans="2:9" x14ac:dyDescent="0.3">
      <c r="B2082" s="100">
        <f t="shared" si="230"/>
        <v>0</v>
      </c>
      <c r="C2082" s="84" t="str">
        <f t="shared" si="231"/>
        <v>January</v>
      </c>
      <c r="I2082" s="87" t="str">
        <f>IF(F2082=0,"",IF(COUNTIF(F2082,"Bao"),[1]Setup!$B$4,IF(COUNTIF(F2082,"Soup Dumpling"),[1]Setup!$B$5,F2082)))</f>
        <v/>
      </c>
    </row>
    <row r="2083" spans="2:9" x14ac:dyDescent="0.3">
      <c r="B2083" s="100">
        <f t="shared" si="230"/>
        <v>0</v>
      </c>
      <c r="C2083" s="84" t="str">
        <f t="shared" si="231"/>
        <v>January</v>
      </c>
      <c r="I2083" s="87" t="str">
        <f>IF(F2083=0,"",IF(COUNTIF(F2083,"Bao"),[1]Setup!$B$4,IF(COUNTIF(F2083,"Soup Dumpling"),[1]Setup!$B$5,F2083)))</f>
        <v/>
      </c>
    </row>
    <row r="2084" spans="2:9" x14ac:dyDescent="0.3">
      <c r="B2084" s="100">
        <f t="shared" si="230"/>
        <v>0</v>
      </c>
      <c r="C2084" s="84" t="str">
        <f t="shared" si="231"/>
        <v>January</v>
      </c>
      <c r="I2084" s="87" t="str">
        <f>IF(F2084=0,"",IF(COUNTIF(F2084,"Bao"),[1]Setup!$B$4,IF(COUNTIF(F2084,"Soup Dumpling"),[1]Setup!$B$5,F2084)))</f>
        <v/>
      </c>
    </row>
    <row r="2085" spans="2:9" x14ac:dyDescent="0.3">
      <c r="B2085" s="100">
        <f t="shared" si="230"/>
        <v>0</v>
      </c>
      <c r="C2085" s="84" t="str">
        <f t="shared" si="231"/>
        <v>January</v>
      </c>
      <c r="I2085" s="87" t="str">
        <f>IF(F2085=0,"",IF(COUNTIF(F2085,"Bao"),[1]Setup!$B$4,IF(COUNTIF(F2085,"Soup Dumpling"),[1]Setup!$B$5,F2085)))</f>
        <v/>
      </c>
    </row>
    <row r="2086" spans="2:9" x14ac:dyDescent="0.3">
      <c r="B2086" s="100">
        <f t="shared" si="230"/>
        <v>0</v>
      </c>
      <c r="C2086" s="84" t="str">
        <f t="shared" si="231"/>
        <v>January</v>
      </c>
      <c r="I2086" s="87" t="str">
        <f>IF(F2086=0,"",IF(COUNTIF(F2086,"Bao"),[1]Setup!$B$4,IF(COUNTIF(F2086,"Soup Dumpling"),[1]Setup!$B$5,F2086)))</f>
        <v/>
      </c>
    </row>
    <row r="2087" spans="2:9" x14ac:dyDescent="0.3">
      <c r="B2087" s="100">
        <f t="shared" si="230"/>
        <v>0</v>
      </c>
      <c r="C2087" s="84" t="str">
        <f t="shared" si="231"/>
        <v>January</v>
      </c>
      <c r="I2087" s="87" t="str">
        <f>IF(F2087=0,"",IF(COUNTIF(F2087,"Bao"),[1]Setup!$B$4,IF(COUNTIF(F2087,"Soup Dumpling"),[1]Setup!$B$5,F2087)))</f>
        <v/>
      </c>
    </row>
    <row r="2088" spans="2:9" x14ac:dyDescent="0.3">
      <c r="B2088" s="100">
        <f t="shared" si="230"/>
        <v>0</v>
      </c>
      <c r="C2088" s="84" t="str">
        <f t="shared" si="231"/>
        <v>January</v>
      </c>
      <c r="I2088" s="87" t="str">
        <f>IF(F2088=0,"",IF(COUNTIF(F2088,"Bao"),[1]Setup!$B$4,IF(COUNTIF(F2088,"Soup Dumpling"),[1]Setup!$B$5,F2088)))</f>
        <v/>
      </c>
    </row>
    <row r="2089" spans="2:9" x14ac:dyDescent="0.3">
      <c r="B2089" s="100">
        <f t="shared" si="230"/>
        <v>0</v>
      </c>
      <c r="C2089" s="84" t="str">
        <f t="shared" si="231"/>
        <v>January</v>
      </c>
      <c r="I2089" s="87" t="str">
        <f>IF(F2089=0,"",IF(COUNTIF(F2089,"Bao"),[1]Setup!$B$4,IF(COUNTIF(F2089,"Soup Dumpling"),[1]Setup!$B$5,F2089)))</f>
        <v/>
      </c>
    </row>
    <row r="2090" spans="2:9" x14ac:dyDescent="0.3">
      <c r="B2090" s="100">
        <f t="shared" si="230"/>
        <v>0</v>
      </c>
      <c r="C2090" s="84" t="str">
        <f t="shared" si="231"/>
        <v>January</v>
      </c>
      <c r="I2090" s="87" t="str">
        <f>IF(F2090=0,"",IF(COUNTIF(F2090,"Bao"),[1]Setup!$B$4,IF(COUNTIF(F2090,"Soup Dumpling"),[1]Setup!$B$5,F2090)))</f>
        <v/>
      </c>
    </row>
    <row r="2091" spans="2:9" x14ac:dyDescent="0.3">
      <c r="B2091" s="100">
        <f t="shared" si="230"/>
        <v>0</v>
      </c>
      <c r="C2091" s="84" t="str">
        <f t="shared" si="231"/>
        <v>January</v>
      </c>
      <c r="I2091" s="87" t="str">
        <f>IF(F2091=0,"",IF(COUNTIF(F2091,"Bao"),[1]Setup!$B$4,IF(COUNTIF(F2091,"Soup Dumpling"),[1]Setup!$B$5,F2091)))</f>
        <v/>
      </c>
    </row>
    <row r="2092" spans="2:9" x14ac:dyDescent="0.3">
      <c r="B2092" s="100">
        <f t="shared" si="230"/>
        <v>0</v>
      </c>
      <c r="C2092" s="84" t="str">
        <f t="shared" si="231"/>
        <v>January</v>
      </c>
      <c r="I2092" s="87" t="str">
        <f>IF(F2092=0,"",IF(COUNTIF(F2092,"Bao"),[1]Setup!$B$4,IF(COUNTIF(F2092,"Soup Dumpling"),[1]Setup!$B$5,F2092)))</f>
        <v/>
      </c>
    </row>
    <row r="2093" spans="2:9" x14ac:dyDescent="0.3">
      <c r="B2093" s="100">
        <f t="shared" si="230"/>
        <v>0</v>
      </c>
      <c r="C2093" s="84" t="str">
        <f t="shared" si="231"/>
        <v>January</v>
      </c>
      <c r="I2093" s="87" t="str">
        <f>IF(F2093=0,"",IF(COUNTIF(F2093,"Bao"),[1]Setup!$B$4,IF(COUNTIF(F2093,"Soup Dumpling"),[1]Setup!$B$5,F2093)))</f>
        <v/>
      </c>
    </row>
    <row r="2094" spans="2:9" x14ac:dyDescent="0.3">
      <c r="B2094" s="100">
        <f t="shared" si="230"/>
        <v>0</v>
      </c>
      <c r="C2094" s="84" t="str">
        <f t="shared" si="231"/>
        <v>January</v>
      </c>
      <c r="I2094" s="87" t="str">
        <f>IF(F2094=0,"",IF(COUNTIF(F2094,"Bao"),[1]Setup!$B$4,IF(COUNTIF(F2094,"Soup Dumpling"),[1]Setup!$B$5,F2094)))</f>
        <v/>
      </c>
    </row>
    <row r="2095" spans="2:9" x14ac:dyDescent="0.3">
      <c r="B2095" s="100">
        <f t="shared" si="230"/>
        <v>0</v>
      </c>
      <c r="C2095" s="84" t="str">
        <f t="shared" si="231"/>
        <v>January</v>
      </c>
      <c r="I2095" s="87" t="str">
        <f>IF(F2095=0,"",IF(COUNTIF(F2095,"Bao"),[1]Setup!$B$4,IF(COUNTIF(F2095,"Soup Dumpling"),[1]Setup!$B$5,F2095)))</f>
        <v/>
      </c>
    </row>
    <row r="2096" spans="2:9" x14ac:dyDescent="0.3">
      <c r="B2096" s="100">
        <f t="shared" si="230"/>
        <v>0</v>
      </c>
      <c r="C2096" s="84" t="str">
        <f t="shared" si="231"/>
        <v>January</v>
      </c>
      <c r="I2096" s="87" t="str">
        <f>IF(F2096=0,"",IF(COUNTIF(F2096,"Bao"),[1]Setup!$B$4,IF(COUNTIF(F2096,"Soup Dumpling"),[1]Setup!$B$5,F2096)))</f>
        <v/>
      </c>
    </row>
    <row r="2097" spans="2:9" x14ac:dyDescent="0.3">
      <c r="B2097" s="100">
        <f t="shared" si="230"/>
        <v>0</v>
      </c>
      <c r="C2097" s="84" t="str">
        <f t="shared" si="231"/>
        <v>January</v>
      </c>
      <c r="I2097" s="87" t="str">
        <f>IF(F2097=0,"",IF(COUNTIF(F2097,"Bao"),[1]Setup!$B$4,IF(COUNTIF(F2097,"Soup Dumpling"),[1]Setup!$B$5,F2097)))</f>
        <v/>
      </c>
    </row>
    <row r="2098" spans="2:9" x14ac:dyDescent="0.3">
      <c r="B2098" s="100">
        <f t="shared" si="230"/>
        <v>0</v>
      </c>
      <c r="C2098" s="84" t="str">
        <f t="shared" si="231"/>
        <v>January</v>
      </c>
      <c r="I2098" s="87" t="str">
        <f>IF(F2098=0,"",IF(COUNTIF(F2098,"Bao"),[1]Setup!$B$4,IF(COUNTIF(F2098,"Soup Dumpling"),[1]Setup!$B$5,F2098)))</f>
        <v/>
      </c>
    </row>
    <row r="2099" spans="2:9" x14ac:dyDescent="0.3">
      <c r="B2099" s="100">
        <f t="shared" si="230"/>
        <v>0</v>
      </c>
      <c r="C2099" s="84" t="str">
        <f t="shared" si="231"/>
        <v>January</v>
      </c>
      <c r="I2099" s="87" t="str">
        <f>IF(F2099=0,"",IF(COUNTIF(F2099,"Bao"),[1]Setup!$B$4,IF(COUNTIF(F2099,"Soup Dumpling"),[1]Setup!$B$5,F2099)))</f>
        <v/>
      </c>
    </row>
    <row r="2100" spans="2:9" x14ac:dyDescent="0.3">
      <c r="B2100" s="100">
        <f t="shared" si="230"/>
        <v>0</v>
      </c>
      <c r="C2100" s="84" t="str">
        <f t="shared" si="231"/>
        <v>January</v>
      </c>
      <c r="I2100" s="87" t="str">
        <f>IF(F2100=0,"",IF(COUNTIF(F2100,"Bao"),[1]Setup!$B$4,IF(COUNTIF(F2100,"Soup Dumpling"),[1]Setup!$B$5,F2100)))</f>
        <v/>
      </c>
    </row>
    <row r="2101" spans="2:9" x14ac:dyDescent="0.3">
      <c r="B2101" s="100">
        <f t="shared" si="230"/>
        <v>0</v>
      </c>
      <c r="C2101" s="84" t="str">
        <f t="shared" si="231"/>
        <v>January</v>
      </c>
      <c r="I2101" s="87" t="str">
        <f>IF(F2101=0,"",IF(COUNTIF(F2101,"Bao"),[1]Setup!$B$4,IF(COUNTIF(F2101,"Soup Dumpling"),[1]Setup!$B$5,F2101)))</f>
        <v/>
      </c>
    </row>
    <row r="2102" spans="2:9" x14ac:dyDescent="0.3">
      <c r="B2102" s="100">
        <f t="shared" si="230"/>
        <v>0</v>
      </c>
      <c r="C2102" s="84" t="str">
        <f t="shared" si="231"/>
        <v>January</v>
      </c>
      <c r="I2102" s="87" t="str">
        <f>IF(F2102=0,"",IF(COUNTIF(F2102,"Bao"),[1]Setup!$B$4,IF(COUNTIF(F2102,"Soup Dumpling"),[1]Setup!$B$5,F2102)))</f>
        <v/>
      </c>
    </row>
    <row r="2103" spans="2:9" x14ac:dyDescent="0.3">
      <c r="B2103" s="100">
        <f t="shared" si="230"/>
        <v>0</v>
      </c>
      <c r="C2103" s="84" t="str">
        <f t="shared" si="231"/>
        <v>January</v>
      </c>
      <c r="I2103" s="87" t="str">
        <f>IF(F2103=0,"",IF(COUNTIF(F2103,"Bao"),[1]Setup!$B$4,IF(COUNTIF(F2103,"Soup Dumpling"),[1]Setup!$B$5,F2103)))</f>
        <v/>
      </c>
    </row>
    <row r="2104" spans="2:9" x14ac:dyDescent="0.3">
      <c r="B2104" s="100">
        <f t="shared" si="230"/>
        <v>0</v>
      </c>
      <c r="C2104" s="84" t="str">
        <f t="shared" si="231"/>
        <v>January</v>
      </c>
      <c r="I2104" s="87" t="str">
        <f>IF(F2104=0,"",IF(COUNTIF(F2104,"Bao"),[1]Setup!$B$4,IF(COUNTIF(F2104,"Soup Dumpling"),[1]Setup!$B$5,F2104)))</f>
        <v/>
      </c>
    </row>
    <row r="2105" spans="2:9" x14ac:dyDescent="0.3">
      <c r="B2105" s="100">
        <f t="shared" si="230"/>
        <v>0</v>
      </c>
      <c r="C2105" s="84" t="str">
        <f t="shared" si="231"/>
        <v>January</v>
      </c>
      <c r="I2105" s="87" t="str">
        <f>IF(F2105=0,"",IF(COUNTIF(F2105,"Bao"),[1]Setup!$B$4,IF(COUNTIF(F2105,"Soup Dumpling"),[1]Setup!$B$5,F2105)))</f>
        <v/>
      </c>
    </row>
    <row r="2106" spans="2:9" x14ac:dyDescent="0.3">
      <c r="B2106" s="100">
        <f t="shared" si="230"/>
        <v>0</v>
      </c>
      <c r="C2106" s="84" t="str">
        <f t="shared" si="231"/>
        <v>January</v>
      </c>
      <c r="I2106" s="87" t="str">
        <f>IF(F2106=0,"",IF(COUNTIF(F2106,"Bao"),[1]Setup!$B$4,IF(COUNTIF(F2106,"Soup Dumpling"),[1]Setup!$B$5,F2106)))</f>
        <v/>
      </c>
    </row>
    <row r="2107" spans="2:9" x14ac:dyDescent="0.3">
      <c r="B2107" s="100">
        <f t="shared" si="230"/>
        <v>0</v>
      </c>
      <c r="C2107" s="84" t="str">
        <f t="shared" si="231"/>
        <v>January</v>
      </c>
      <c r="I2107" s="87" t="str">
        <f>IF(F2107=0,"",IF(COUNTIF(F2107,"Bao"),[1]Setup!$B$4,IF(COUNTIF(F2107,"Soup Dumpling"),[1]Setup!$B$5,F2107)))</f>
        <v/>
      </c>
    </row>
    <row r="2108" spans="2:9" x14ac:dyDescent="0.3">
      <c r="B2108" s="100">
        <f t="shared" si="230"/>
        <v>0</v>
      </c>
      <c r="C2108" s="84" t="str">
        <f t="shared" si="231"/>
        <v>January</v>
      </c>
      <c r="I2108" s="87" t="str">
        <f>IF(F2108=0,"",IF(COUNTIF(F2108,"Bao"),[1]Setup!$B$4,IF(COUNTIF(F2108,"Soup Dumpling"),[1]Setup!$B$5,F2108)))</f>
        <v/>
      </c>
    </row>
    <row r="2109" spans="2:9" x14ac:dyDescent="0.3">
      <c r="B2109" s="100">
        <f t="shared" si="230"/>
        <v>0</v>
      </c>
      <c r="C2109" s="84" t="str">
        <f t="shared" si="231"/>
        <v>January</v>
      </c>
      <c r="I2109" s="87" t="str">
        <f>IF(F2109=0,"",IF(COUNTIF(F2109,"Bao"),[1]Setup!$B$4,IF(COUNTIF(F2109,"Soup Dumpling"),[1]Setup!$B$5,F2109)))</f>
        <v/>
      </c>
    </row>
    <row r="2110" spans="2:9" x14ac:dyDescent="0.3">
      <c r="B2110" s="100">
        <f t="shared" si="230"/>
        <v>0</v>
      </c>
      <c r="C2110" s="84" t="str">
        <f t="shared" si="231"/>
        <v>January</v>
      </c>
      <c r="I2110" s="87" t="str">
        <f>IF(F2110=0,"",IF(COUNTIF(F2110,"Bao"),[1]Setup!$B$4,IF(COUNTIF(F2110,"Soup Dumpling"),[1]Setup!$B$5,F2110)))</f>
        <v/>
      </c>
    </row>
    <row r="2111" spans="2:9" x14ac:dyDescent="0.3">
      <c r="B2111" s="100">
        <f t="shared" si="230"/>
        <v>0</v>
      </c>
      <c r="C2111" s="84" t="str">
        <f t="shared" si="231"/>
        <v>January</v>
      </c>
      <c r="I2111" s="87" t="str">
        <f>IF(F2111=0,"",IF(COUNTIF(F2111,"Bao"),[1]Setup!$B$4,IF(COUNTIF(F2111,"Soup Dumpling"),[1]Setup!$B$5,F2111)))</f>
        <v/>
      </c>
    </row>
    <row r="2112" spans="2:9" x14ac:dyDescent="0.3">
      <c r="B2112" s="100">
        <f t="shared" si="230"/>
        <v>0</v>
      </c>
      <c r="C2112" s="84" t="str">
        <f t="shared" si="231"/>
        <v>January</v>
      </c>
      <c r="I2112" s="87" t="str">
        <f>IF(F2112=0,"",IF(COUNTIF(F2112,"Bao"),[1]Setup!$B$4,IF(COUNTIF(F2112,"Soup Dumpling"),[1]Setup!$B$5,F2112)))</f>
        <v/>
      </c>
    </row>
    <row r="2113" spans="2:9" x14ac:dyDescent="0.3">
      <c r="B2113" s="100">
        <f t="shared" si="230"/>
        <v>0</v>
      </c>
      <c r="C2113" s="84" t="str">
        <f t="shared" si="231"/>
        <v>January</v>
      </c>
      <c r="I2113" s="87" t="str">
        <f>IF(F2113=0,"",IF(COUNTIF(F2113,"Bao"),[1]Setup!$B$4,IF(COUNTIF(F2113,"Soup Dumpling"),[1]Setup!$B$5,F2113)))</f>
        <v/>
      </c>
    </row>
    <row r="2114" spans="2:9" x14ac:dyDescent="0.3">
      <c r="B2114" s="100">
        <f t="shared" si="230"/>
        <v>0</v>
      </c>
      <c r="C2114" s="84" t="str">
        <f t="shared" si="231"/>
        <v>January</v>
      </c>
      <c r="I2114" s="87" t="str">
        <f>IF(F2114=0,"",IF(COUNTIF(F2114,"Bao"),[1]Setup!$B$4,IF(COUNTIF(F2114,"Soup Dumpling"),[1]Setup!$B$5,F2114)))</f>
        <v/>
      </c>
    </row>
    <row r="2115" spans="2:9" x14ac:dyDescent="0.3">
      <c r="B2115" s="100">
        <f t="shared" si="230"/>
        <v>0</v>
      </c>
      <c r="C2115" s="84" t="str">
        <f t="shared" si="231"/>
        <v>January</v>
      </c>
      <c r="I2115" s="87" t="str">
        <f>IF(F2115=0,"",IF(COUNTIF(F2115,"Bao"),[1]Setup!$B$4,IF(COUNTIF(F2115,"Soup Dumpling"),[1]Setup!$B$5,F2115)))</f>
        <v/>
      </c>
    </row>
    <row r="2116" spans="2:9" x14ac:dyDescent="0.3">
      <c r="B2116" s="100">
        <f t="shared" si="230"/>
        <v>0</v>
      </c>
      <c r="C2116" s="84" t="str">
        <f t="shared" si="231"/>
        <v>January</v>
      </c>
      <c r="I2116" s="87" t="str">
        <f>IF(F2116=0,"",IF(COUNTIF(F2116,"Bao"),[1]Setup!$B$4,IF(COUNTIF(F2116,"Soup Dumpling"),[1]Setup!$B$5,F2116)))</f>
        <v/>
      </c>
    </row>
    <row r="2117" spans="2:9" x14ac:dyDescent="0.3">
      <c r="B2117" s="100">
        <f t="shared" ref="B2117:B2180" si="232">+WEEKNUM(A2117)</f>
        <v>0</v>
      </c>
      <c r="C2117" s="84" t="str">
        <f t="shared" ref="C2117:C2180" si="233">+TEXT(A2117,"mmmm")</f>
        <v>January</v>
      </c>
      <c r="I2117" s="87" t="str">
        <f>IF(F2117=0,"",IF(COUNTIF(F2117,"Bao"),[1]Setup!$B$4,IF(COUNTIF(F2117,"Soup Dumpling"),[1]Setup!$B$5,F2117)))</f>
        <v/>
      </c>
    </row>
    <row r="2118" spans="2:9" x14ac:dyDescent="0.3">
      <c r="B2118" s="100">
        <f t="shared" si="232"/>
        <v>0</v>
      </c>
      <c r="C2118" s="84" t="str">
        <f t="shared" si="233"/>
        <v>January</v>
      </c>
      <c r="I2118" s="87" t="str">
        <f>IF(F2118=0,"",IF(COUNTIF(F2118,"Bao"),[1]Setup!$B$4,IF(COUNTIF(F2118,"Soup Dumpling"),[1]Setup!$B$5,F2118)))</f>
        <v/>
      </c>
    </row>
    <row r="2119" spans="2:9" x14ac:dyDescent="0.3">
      <c r="B2119" s="100">
        <f t="shared" si="232"/>
        <v>0</v>
      </c>
      <c r="C2119" s="84" t="str">
        <f t="shared" si="233"/>
        <v>January</v>
      </c>
      <c r="I2119" s="87" t="str">
        <f>IF(F2119=0,"",IF(COUNTIF(F2119,"Bao"),[1]Setup!$B$4,IF(COUNTIF(F2119,"Soup Dumpling"),[1]Setup!$B$5,F2119)))</f>
        <v/>
      </c>
    </row>
    <row r="2120" spans="2:9" x14ac:dyDescent="0.3">
      <c r="B2120" s="100">
        <f t="shared" si="232"/>
        <v>0</v>
      </c>
      <c r="C2120" s="84" t="str">
        <f t="shared" si="233"/>
        <v>January</v>
      </c>
      <c r="I2120" s="87" t="str">
        <f>IF(F2120=0,"",IF(COUNTIF(F2120,"Bao"),[1]Setup!$B$4,IF(COUNTIF(F2120,"Soup Dumpling"),[1]Setup!$B$5,F2120)))</f>
        <v/>
      </c>
    </row>
    <row r="2121" spans="2:9" x14ac:dyDescent="0.3">
      <c r="B2121" s="100">
        <f t="shared" si="232"/>
        <v>0</v>
      </c>
      <c r="C2121" s="84" t="str">
        <f t="shared" si="233"/>
        <v>January</v>
      </c>
      <c r="I2121" s="87" t="str">
        <f>IF(F2121=0,"",IF(COUNTIF(F2121,"Bao"),[1]Setup!$B$4,IF(COUNTIF(F2121,"Soup Dumpling"),[1]Setup!$B$5,F2121)))</f>
        <v/>
      </c>
    </row>
    <row r="2122" spans="2:9" x14ac:dyDescent="0.3">
      <c r="B2122" s="100">
        <f t="shared" si="232"/>
        <v>0</v>
      </c>
      <c r="C2122" s="84" t="str">
        <f t="shared" si="233"/>
        <v>January</v>
      </c>
      <c r="I2122" s="87" t="str">
        <f>IF(F2122=0,"",IF(COUNTIF(F2122,"Bao"),[1]Setup!$B$4,IF(COUNTIF(F2122,"Soup Dumpling"),[1]Setup!$B$5,F2122)))</f>
        <v/>
      </c>
    </row>
    <row r="2123" spans="2:9" x14ac:dyDescent="0.3">
      <c r="B2123" s="100">
        <f t="shared" si="232"/>
        <v>0</v>
      </c>
      <c r="C2123" s="84" t="str">
        <f t="shared" si="233"/>
        <v>January</v>
      </c>
      <c r="I2123" s="87" t="str">
        <f>IF(F2123=0,"",IF(COUNTIF(F2123,"Bao"),[1]Setup!$B$4,IF(COUNTIF(F2123,"Soup Dumpling"),[1]Setup!$B$5,F2123)))</f>
        <v/>
      </c>
    </row>
    <row r="2124" spans="2:9" x14ac:dyDescent="0.3">
      <c r="B2124" s="100">
        <f t="shared" si="232"/>
        <v>0</v>
      </c>
      <c r="C2124" s="84" t="str">
        <f t="shared" si="233"/>
        <v>January</v>
      </c>
      <c r="I2124" s="87" t="str">
        <f>IF(F2124=0,"",IF(COUNTIF(F2124,"Bao"),[1]Setup!$B$4,IF(COUNTIF(F2124,"Soup Dumpling"),[1]Setup!$B$5,F2124)))</f>
        <v/>
      </c>
    </row>
    <row r="2125" spans="2:9" x14ac:dyDescent="0.3">
      <c r="B2125" s="100">
        <f t="shared" si="232"/>
        <v>0</v>
      </c>
      <c r="C2125" s="84" t="str">
        <f t="shared" si="233"/>
        <v>January</v>
      </c>
      <c r="I2125" s="87" t="str">
        <f>IF(F2125=0,"",IF(COUNTIF(F2125,"Bao"),[1]Setup!$B$4,IF(COUNTIF(F2125,"Soup Dumpling"),[1]Setup!$B$5,F2125)))</f>
        <v/>
      </c>
    </row>
    <row r="2126" spans="2:9" x14ac:dyDescent="0.3">
      <c r="B2126" s="100">
        <f t="shared" si="232"/>
        <v>0</v>
      </c>
      <c r="C2126" s="84" t="str">
        <f t="shared" si="233"/>
        <v>January</v>
      </c>
      <c r="I2126" s="87" t="str">
        <f>IF(F2126=0,"",IF(COUNTIF(F2126,"Bao"),[1]Setup!$B$4,IF(COUNTIF(F2126,"Soup Dumpling"),[1]Setup!$B$5,F2126)))</f>
        <v/>
      </c>
    </row>
    <row r="2127" spans="2:9" x14ac:dyDescent="0.3">
      <c r="B2127" s="100">
        <f t="shared" si="232"/>
        <v>0</v>
      </c>
      <c r="C2127" s="84" t="str">
        <f t="shared" si="233"/>
        <v>January</v>
      </c>
      <c r="I2127" s="87" t="str">
        <f>IF(F2127=0,"",IF(COUNTIF(F2127,"Bao"),[1]Setup!$B$4,IF(COUNTIF(F2127,"Soup Dumpling"),[1]Setup!$B$5,F2127)))</f>
        <v/>
      </c>
    </row>
    <row r="2128" spans="2:9" x14ac:dyDescent="0.3">
      <c r="B2128" s="100">
        <f t="shared" si="232"/>
        <v>0</v>
      </c>
      <c r="C2128" s="84" t="str">
        <f t="shared" si="233"/>
        <v>January</v>
      </c>
      <c r="I2128" s="87" t="str">
        <f>IF(F2128=0,"",IF(COUNTIF(F2128,"Bao"),[1]Setup!$B$4,IF(COUNTIF(F2128,"Soup Dumpling"),[1]Setup!$B$5,F2128)))</f>
        <v/>
      </c>
    </row>
    <row r="2129" spans="2:9" x14ac:dyDescent="0.3">
      <c r="B2129" s="100">
        <f t="shared" si="232"/>
        <v>0</v>
      </c>
      <c r="C2129" s="84" t="str">
        <f t="shared" si="233"/>
        <v>January</v>
      </c>
      <c r="I2129" s="87" t="str">
        <f>IF(F2129=0,"",IF(COUNTIF(F2129,"Bao"),[1]Setup!$B$4,IF(COUNTIF(F2129,"Soup Dumpling"),[1]Setup!$B$5,F2129)))</f>
        <v/>
      </c>
    </row>
    <row r="2130" spans="2:9" x14ac:dyDescent="0.3">
      <c r="B2130" s="100">
        <f t="shared" si="232"/>
        <v>0</v>
      </c>
      <c r="C2130" s="84" t="str">
        <f t="shared" si="233"/>
        <v>January</v>
      </c>
      <c r="I2130" s="87" t="str">
        <f>IF(F2130=0,"",IF(COUNTIF(F2130,"Bao"),[1]Setup!$B$4,IF(COUNTIF(F2130,"Soup Dumpling"),[1]Setup!$B$5,F2130)))</f>
        <v/>
      </c>
    </row>
    <row r="2131" spans="2:9" x14ac:dyDescent="0.3">
      <c r="B2131" s="100">
        <f t="shared" si="232"/>
        <v>0</v>
      </c>
      <c r="C2131" s="84" t="str">
        <f t="shared" si="233"/>
        <v>January</v>
      </c>
      <c r="I2131" s="87" t="str">
        <f>IF(F2131=0,"",IF(COUNTIF(F2131,"Bao"),[1]Setup!$B$4,IF(COUNTIF(F2131,"Soup Dumpling"),[1]Setup!$B$5,F2131)))</f>
        <v/>
      </c>
    </row>
    <row r="2132" spans="2:9" x14ac:dyDescent="0.3">
      <c r="B2132" s="100">
        <f t="shared" si="232"/>
        <v>0</v>
      </c>
      <c r="C2132" s="84" t="str">
        <f t="shared" si="233"/>
        <v>January</v>
      </c>
      <c r="I2132" s="87" t="str">
        <f>IF(F2132=0,"",IF(COUNTIF(F2132,"Bao"),[1]Setup!$B$4,IF(COUNTIF(F2132,"Soup Dumpling"),[1]Setup!$B$5,F2132)))</f>
        <v/>
      </c>
    </row>
    <row r="2133" spans="2:9" x14ac:dyDescent="0.3">
      <c r="B2133" s="100">
        <f t="shared" si="232"/>
        <v>0</v>
      </c>
      <c r="C2133" s="84" t="str">
        <f t="shared" si="233"/>
        <v>January</v>
      </c>
      <c r="I2133" s="87" t="str">
        <f>IF(F2133=0,"",IF(COUNTIF(F2133,"Bao"),[1]Setup!$B$4,IF(COUNTIF(F2133,"Soup Dumpling"),[1]Setup!$B$5,F2133)))</f>
        <v/>
      </c>
    </row>
    <row r="2134" spans="2:9" x14ac:dyDescent="0.3">
      <c r="B2134" s="100">
        <f t="shared" si="232"/>
        <v>0</v>
      </c>
      <c r="C2134" s="84" t="str">
        <f t="shared" si="233"/>
        <v>January</v>
      </c>
      <c r="I2134" s="87" t="str">
        <f>IF(F2134=0,"",IF(COUNTIF(F2134,"Bao"),[1]Setup!$B$4,IF(COUNTIF(F2134,"Soup Dumpling"),[1]Setup!$B$5,F2134)))</f>
        <v/>
      </c>
    </row>
    <row r="2135" spans="2:9" x14ac:dyDescent="0.3">
      <c r="B2135" s="100">
        <f t="shared" si="232"/>
        <v>0</v>
      </c>
      <c r="C2135" s="84" t="str">
        <f t="shared" si="233"/>
        <v>January</v>
      </c>
      <c r="I2135" s="87" t="str">
        <f>IF(F2135=0,"",IF(COUNTIF(F2135,"Bao"),[1]Setup!$B$4,IF(COUNTIF(F2135,"Soup Dumpling"),[1]Setup!$B$5,F2135)))</f>
        <v/>
      </c>
    </row>
    <row r="2136" spans="2:9" x14ac:dyDescent="0.3">
      <c r="B2136" s="100">
        <f t="shared" si="232"/>
        <v>0</v>
      </c>
      <c r="C2136" s="84" t="str">
        <f t="shared" si="233"/>
        <v>January</v>
      </c>
      <c r="I2136" s="87" t="str">
        <f>IF(F2136=0,"",IF(COUNTIF(F2136,"Bao"),[1]Setup!$B$4,IF(COUNTIF(F2136,"Soup Dumpling"),[1]Setup!$B$5,F2136)))</f>
        <v/>
      </c>
    </row>
    <row r="2137" spans="2:9" x14ac:dyDescent="0.3">
      <c r="B2137" s="100">
        <f t="shared" si="232"/>
        <v>0</v>
      </c>
      <c r="C2137" s="84" t="str">
        <f t="shared" si="233"/>
        <v>January</v>
      </c>
      <c r="I2137" s="87" t="str">
        <f>IF(F2137=0,"",IF(COUNTIF(F2137,"Bao"),[1]Setup!$B$4,IF(COUNTIF(F2137,"Soup Dumpling"),[1]Setup!$B$5,F2137)))</f>
        <v/>
      </c>
    </row>
    <row r="2138" spans="2:9" x14ac:dyDescent="0.3">
      <c r="B2138" s="100">
        <f t="shared" si="232"/>
        <v>0</v>
      </c>
      <c r="C2138" s="84" t="str">
        <f t="shared" si="233"/>
        <v>January</v>
      </c>
      <c r="I2138" s="87" t="str">
        <f>IF(F2138=0,"",IF(COUNTIF(F2138,"Bao"),[1]Setup!$B$4,IF(COUNTIF(F2138,"Soup Dumpling"),[1]Setup!$B$5,F2138)))</f>
        <v/>
      </c>
    </row>
    <row r="2139" spans="2:9" x14ac:dyDescent="0.3">
      <c r="B2139" s="100">
        <f t="shared" si="232"/>
        <v>0</v>
      </c>
      <c r="C2139" s="84" t="str">
        <f t="shared" si="233"/>
        <v>January</v>
      </c>
      <c r="I2139" s="87" t="str">
        <f>IF(F2139=0,"",IF(COUNTIF(F2139,"Bao"),[1]Setup!$B$4,IF(COUNTIF(F2139,"Soup Dumpling"),[1]Setup!$B$5,F2139)))</f>
        <v/>
      </c>
    </row>
    <row r="2140" spans="2:9" x14ac:dyDescent="0.3">
      <c r="B2140" s="100">
        <f t="shared" si="232"/>
        <v>0</v>
      </c>
      <c r="C2140" s="84" t="str">
        <f t="shared" si="233"/>
        <v>January</v>
      </c>
      <c r="I2140" s="87" t="str">
        <f>IF(F2140=0,"",IF(COUNTIF(F2140,"Bao"),[1]Setup!$B$4,IF(COUNTIF(F2140,"Soup Dumpling"),[1]Setup!$B$5,F2140)))</f>
        <v/>
      </c>
    </row>
    <row r="2141" spans="2:9" x14ac:dyDescent="0.3">
      <c r="B2141" s="100">
        <f t="shared" si="232"/>
        <v>0</v>
      </c>
      <c r="C2141" s="84" t="str">
        <f t="shared" si="233"/>
        <v>January</v>
      </c>
      <c r="I2141" s="87" t="str">
        <f>IF(F2141=0,"",IF(COUNTIF(F2141,"Bao"),[1]Setup!$B$4,IF(COUNTIF(F2141,"Soup Dumpling"),[1]Setup!$B$5,F2141)))</f>
        <v/>
      </c>
    </row>
    <row r="2142" spans="2:9" x14ac:dyDescent="0.3">
      <c r="B2142" s="100">
        <f t="shared" si="232"/>
        <v>0</v>
      </c>
      <c r="C2142" s="84" t="str">
        <f t="shared" si="233"/>
        <v>January</v>
      </c>
      <c r="I2142" s="87" t="str">
        <f>IF(F2142=0,"",IF(COUNTIF(F2142,"Bao"),[1]Setup!$B$4,IF(COUNTIF(F2142,"Soup Dumpling"),[1]Setup!$B$5,F2142)))</f>
        <v/>
      </c>
    </row>
    <row r="2143" spans="2:9" x14ac:dyDescent="0.3">
      <c r="B2143" s="100">
        <f t="shared" si="232"/>
        <v>0</v>
      </c>
      <c r="C2143" s="84" t="str">
        <f t="shared" si="233"/>
        <v>January</v>
      </c>
      <c r="I2143" s="87" t="str">
        <f>IF(F2143=0,"",IF(COUNTIF(F2143,"Bao"),[1]Setup!$B$4,IF(COUNTIF(F2143,"Soup Dumpling"),[1]Setup!$B$5,F2143)))</f>
        <v/>
      </c>
    </row>
    <row r="2144" spans="2:9" x14ac:dyDescent="0.3">
      <c r="B2144" s="100">
        <f t="shared" si="232"/>
        <v>0</v>
      </c>
      <c r="C2144" s="84" t="str">
        <f t="shared" si="233"/>
        <v>January</v>
      </c>
      <c r="I2144" s="87" t="str">
        <f>IF(F2144=0,"",IF(COUNTIF(F2144,"Bao"),[1]Setup!$B$4,IF(COUNTIF(F2144,"Soup Dumpling"),[1]Setup!$B$5,F2144)))</f>
        <v/>
      </c>
    </row>
    <row r="2145" spans="2:9" x14ac:dyDescent="0.3">
      <c r="B2145" s="100">
        <f t="shared" si="232"/>
        <v>0</v>
      </c>
      <c r="C2145" s="84" t="str">
        <f t="shared" si="233"/>
        <v>January</v>
      </c>
      <c r="I2145" s="87" t="str">
        <f>IF(F2145=0,"",IF(COUNTIF(F2145,"Bao"),[1]Setup!$B$4,IF(COUNTIF(F2145,"Soup Dumpling"),[1]Setup!$B$5,F2145)))</f>
        <v/>
      </c>
    </row>
    <row r="2146" spans="2:9" x14ac:dyDescent="0.3">
      <c r="B2146" s="100">
        <f t="shared" si="232"/>
        <v>0</v>
      </c>
      <c r="C2146" s="84" t="str">
        <f t="shared" si="233"/>
        <v>January</v>
      </c>
      <c r="I2146" s="87" t="str">
        <f>IF(F2146=0,"",IF(COUNTIF(F2146,"Bao"),[1]Setup!$B$4,IF(COUNTIF(F2146,"Soup Dumpling"),[1]Setup!$B$5,F2146)))</f>
        <v/>
      </c>
    </row>
    <row r="2147" spans="2:9" x14ac:dyDescent="0.3">
      <c r="B2147" s="100">
        <f t="shared" si="232"/>
        <v>0</v>
      </c>
      <c r="C2147" s="84" t="str">
        <f t="shared" si="233"/>
        <v>January</v>
      </c>
      <c r="I2147" s="87" t="str">
        <f>IF(F2147=0,"",IF(COUNTIF(F2147,"Bao"),[1]Setup!$B$4,IF(COUNTIF(F2147,"Soup Dumpling"),[1]Setup!$B$5,F2147)))</f>
        <v/>
      </c>
    </row>
    <row r="2148" spans="2:9" x14ac:dyDescent="0.3">
      <c r="B2148" s="100">
        <f t="shared" si="232"/>
        <v>0</v>
      </c>
      <c r="C2148" s="84" t="str">
        <f t="shared" si="233"/>
        <v>January</v>
      </c>
      <c r="I2148" s="87" t="str">
        <f>IF(F2148=0,"",IF(COUNTIF(F2148,"Bao"),[1]Setup!$B$4,IF(COUNTIF(F2148,"Soup Dumpling"),[1]Setup!$B$5,F2148)))</f>
        <v/>
      </c>
    </row>
    <row r="2149" spans="2:9" x14ac:dyDescent="0.3">
      <c r="B2149" s="100">
        <f t="shared" si="232"/>
        <v>0</v>
      </c>
      <c r="C2149" s="84" t="str">
        <f t="shared" si="233"/>
        <v>January</v>
      </c>
      <c r="I2149" s="87" t="str">
        <f>IF(F2149=0,"",IF(COUNTIF(F2149,"Bao"),[1]Setup!$B$4,IF(COUNTIF(F2149,"Soup Dumpling"),[1]Setup!$B$5,F2149)))</f>
        <v/>
      </c>
    </row>
    <row r="2150" spans="2:9" x14ac:dyDescent="0.3">
      <c r="B2150" s="100">
        <f t="shared" si="232"/>
        <v>0</v>
      </c>
      <c r="C2150" s="84" t="str">
        <f t="shared" si="233"/>
        <v>January</v>
      </c>
      <c r="I2150" s="87" t="str">
        <f>IF(F2150=0,"",IF(COUNTIF(F2150,"Bao"),[1]Setup!$B$4,IF(COUNTIF(F2150,"Soup Dumpling"),[1]Setup!$B$5,F2150)))</f>
        <v/>
      </c>
    </row>
    <row r="2151" spans="2:9" x14ac:dyDescent="0.3">
      <c r="B2151" s="100">
        <f t="shared" si="232"/>
        <v>0</v>
      </c>
      <c r="C2151" s="84" t="str">
        <f t="shared" si="233"/>
        <v>January</v>
      </c>
      <c r="I2151" s="87" t="str">
        <f>IF(F2151=0,"",IF(COUNTIF(F2151,"Bao"),[1]Setup!$B$4,IF(COUNTIF(F2151,"Soup Dumpling"),[1]Setup!$B$5,F2151)))</f>
        <v/>
      </c>
    </row>
    <row r="2152" spans="2:9" x14ac:dyDescent="0.3">
      <c r="B2152" s="100">
        <f t="shared" si="232"/>
        <v>0</v>
      </c>
      <c r="C2152" s="84" t="str">
        <f t="shared" si="233"/>
        <v>January</v>
      </c>
      <c r="I2152" s="87" t="str">
        <f>IF(F2152=0,"",IF(COUNTIF(F2152,"Bao"),[1]Setup!$B$4,IF(COUNTIF(F2152,"Soup Dumpling"),[1]Setup!$B$5,F2152)))</f>
        <v/>
      </c>
    </row>
    <row r="2153" spans="2:9" x14ac:dyDescent="0.3">
      <c r="B2153" s="100">
        <f t="shared" si="232"/>
        <v>0</v>
      </c>
      <c r="C2153" s="84" t="str">
        <f t="shared" si="233"/>
        <v>January</v>
      </c>
      <c r="I2153" s="87" t="str">
        <f>IF(F2153=0,"",IF(COUNTIF(F2153,"Bao"),[1]Setup!$B$4,IF(COUNTIF(F2153,"Soup Dumpling"),[1]Setup!$B$5,F2153)))</f>
        <v/>
      </c>
    </row>
    <row r="2154" spans="2:9" x14ac:dyDescent="0.3">
      <c r="B2154" s="100">
        <f t="shared" si="232"/>
        <v>0</v>
      </c>
      <c r="C2154" s="84" t="str">
        <f t="shared" si="233"/>
        <v>January</v>
      </c>
      <c r="I2154" s="87" t="str">
        <f>IF(F2154=0,"",IF(COUNTIF(F2154,"Bao"),[1]Setup!$B$4,IF(COUNTIF(F2154,"Soup Dumpling"),[1]Setup!$B$5,F2154)))</f>
        <v/>
      </c>
    </row>
    <row r="2155" spans="2:9" x14ac:dyDescent="0.3">
      <c r="B2155" s="100">
        <f t="shared" si="232"/>
        <v>0</v>
      </c>
      <c r="C2155" s="84" t="str">
        <f t="shared" si="233"/>
        <v>January</v>
      </c>
      <c r="I2155" s="87" t="str">
        <f>IF(F2155=0,"",IF(COUNTIF(F2155,"Bao"),[1]Setup!$B$4,IF(COUNTIF(F2155,"Soup Dumpling"),[1]Setup!$B$5,F2155)))</f>
        <v/>
      </c>
    </row>
    <row r="2156" spans="2:9" x14ac:dyDescent="0.3">
      <c r="B2156" s="100">
        <f t="shared" si="232"/>
        <v>0</v>
      </c>
      <c r="C2156" s="84" t="str">
        <f t="shared" si="233"/>
        <v>January</v>
      </c>
      <c r="I2156" s="87" t="str">
        <f>IF(F2156=0,"",IF(COUNTIF(F2156,"Bao"),[1]Setup!$B$4,IF(COUNTIF(F2156,"Soup Dumpling"),[1]Setup!$B$5,F2156)))</f>
        <v/>
      </c>
    </row>
    <row r="2157" spans="2:9" x14ac:dyDescent="0.3">
      <c r="B2157" s="100">
        <f t="shared" si="232"/>
        <v>0</v>
      </c>
      <c r="C2157" s="84" t="str">
        <f t="shared" si="233"/>
        <v>January</v>
      </c>
      <c r="I2157" s="87" t="str">
        <f>IF(F2157=0,"",IF(COUNTIF(F2157,"Bao"),[1]Setup!$B$4,IF(COUNTIF(F2157,"Soup Dumpling"),[1]Setup!$B$5,F2157)))</f>
        <v/>
      </c>
    </row>
    <row r="2158" spans="2:9" x14ac:dyDescent="0.3">
      <c r="B2158" s="100">
        <f t="shared" si="232"/>
        <v>0</v>
      </c>
      <c r="C2158" s="84" t="str">
        <f t="shared" si="233"/>
        <v>January</v>
      </c>
      <c r="I2158" s="87" t="str">
        <f>IF(F2158=0,"",IF(COUNTIF(F2158,"Bao"),[1]Setup!$B$4,IF(COUNTIF(F2158,"Soup Dumpling"),[1]Setup!$B$5,F2158)))</f>
        <v/>
      </c>
    </row>
    <row r="2159" spans="2:9" x14ac:dyDescent="0.3">
      <c r="B2159" s="100">
        <f t="shared" si="232"/>
        <v>0</v>
      </c>
      <c r="C2159" s="84" t="str">
        <f t="shared" si="233"/>
        <v>January</v>
      </c>
      <c r="I2159" s="87" t="str">
        <f>IF(F2159=0,"",IF(COUNTIF(F2159,"Bao"),[1]Setup!$B$4,IF(COUNTIF(F2159,"Soup Dumpling"),[1]Setup!$B$5,F2159)))</f>
        <v/>
      </c>
    </row>
    <row r="2160" spans="2:9" x14ac:dyDescent="0.3">
      <c r="B2160" s="100">
        <f t="shared" si="232"/>
        <v>0</v>
      </c>
      <c r="C2160" s="84" t="str">
        <f t="shared" si="233"/>
        <v>January</v>
      </c>
      <c r="I2160" s="87" t="str">
        <f>IF(F2160=0,"",IF(COUNTIF(F2160,"Bao"),[1]Setup!$B$4,IF(COUNTIF(F2160,"Soup Dumpling"),[1]Setup!$B$5,F2160)))</f>
        <v/>
      </c>
    </row>
    <row r="2161" spans="2:9" x14ac:dyDescent="0.3">
      <c r="B2161" s="100">
        <f t="shared" si="232"/>
        <v>0</v>
      </c>
      <c r="C2161" s="84" t="str">
        <f t="shared" si="233"/>
        <v>January</v>
      </c>
      <c r="I2161" s="87" t="str">
        <f>IF(F2161=0,"",IF(COUNTIF(F2161,"Bao"),[1]Setup!$B$4,IF(COUNTIF(F2161,"Soup Dumpling"),[1]Setup!$B$5,F2161)))</f>
        <v/>
      </c>
    </row>
    <row r="2162" spans="2:9" x14ac:dyDescent="0.3">
      <c r="B2162" s="100">
        <f t="shared" si="232"/>
        <v>0</v>
      </c>
      <c r="C2162" s="84" t="str">
        <f t="shared" si="233"/>
        <v>January</v>
      </c>
      <c r="I2162" s="87" t="str">
        <f>IF(F2162=0,"",IF(COUNTIF(F2162,"Bao"),[1]Setup!$B$4,IF(COUNTIF(F2162,"Soup Dumpling"),[1]Setup!$B$5,F2162)))</f>
        <v/>
      </c>
    </row>
    <row r="2163" spans="2:9" x14ac:dyDescent="0.3">
      <c r="B2163" s="100">
        <f t="shared" si="232"/>
        <v>0</v>
      </c>
      <c r="C2163" s="84" t="str">
        <f t="shared" si="233"/>
        <v>January</v>
      </c>
      <c r="I2163" s="87" t="str">
        <f>IF(F2163=0,"",IF(COUNTIF(F2163,"Bao"),[1]Setup!$B$4,IF(COUNTIF(F2163,"Soup Dumpling"),[1]Setup!$B$5,F2163)))</f>
        <v/>
      </c>
    </row>
    <row r="2164" spans="2:9" x14ac:dyDescent="0.3">
      <c r="B2164" s="100">
        <f t="shared" si="232"/>
        <v>0</v>
      </c>
      <c r="C2164" s="84" t="str">
        <f t="shared" si="233"/>
        <v>January</v>
      </c>
      <c r="I2164" s="87" t="str">
        <f>IF(F2164=0,"",IF(COUNTIF(F2164,"Bao"),[1]Setup!$B$4,IF(COUNTIF(F2164,"Soup Dumpling"),[1]Setup!$B$5,F2164)))</f>
        <v/>
      </c>
    </row>
    <row r="2165" spans="2:9" x14ac:dyDescent="0.3">
      <c r="B2165" s="100">
        <f t="shared" si="232"/>
        <v>0</v>
      </c>
      <c r="C2165" s="84" t="str">
        <f t="shared" si="233"/>
        <v>January</v>
      </c>
      <c r="I2165" s="87" t="str">
        <f>IF(F2165=0,"",IF(COUNTIF(F2165,"Bao"),[1]Setup!$B$4,IF(COUNTIF(F2165,"Soup Dumpling"),[1]Setup!$B$5,F2165)))</f>
        <v/>
      </c>
    </row>
    <row r="2166" spans="2:9" x14ac:dyDescent="0.3">
      <c r="B2166" s="100">
        <f t="shared" si="232"/>
        <v>0</v>
      </c>
      <c r="C2166" s="84" t="str">
        <f t="shared" si="233"/>
        <v>January</v>
      </c>
      <c r="I2166" s="87" t="str">
        <f>IF(F2166=0,"",IF(COUNTIF(F2166,"Bao"),[1]Setup!$B$4,IF(COUNTIF(F2166,"Soup Dumpling"),[1]Setup!$B$5,F2166)))</f>
        <v/>
      </c>
    </row>
    <row r="2167" spans="2:9" x14ac:dyDescent="0.3">
      <c r="B2167" s="100">
        <f t="shared" si="232"/>
        <v>0</v>
      </c>
      <c r="C2167" s="84" t="str">
        <f t="shared" si="233"/>
        <v>January</v>
      </c>
      <c r="I2167" s="87" t="str">
        <f>IF(F2167=0,"",IF(COUNTIF(F2167,"Bao"),[1]Setup!$B$4,IF(COUNTIF(F2167,"Soup Dumpling"),[1]Setup!$B$5,F2167)))</f>
        <v/>
      </c>
    </row>
    <row r="2168" spans="2:9" x14ac:dyDescent="0.3">
      <c r="B2168" s="100">
        <f t="shared" si="232"/>
        <v>0</v>
      </c>
      <c r="C2168" s="84" t="str">
        <f t="shared" si="233"/>
        <v>January</v>
      </c>
      <c r="I2168" s="87" t="str">
        <f>IF(F2168=0,"",IF(COUNTIF(F2168,"Bao"),[1]Setup!$B$4,IF(COUNTIF(F2168,"Soup Dumpling"),[1]Setup!$B$5,F2168)))</f>
        <v/>
      </c>
    </row>
    <row r="2169" spans="2:9" x14ac:dyDescent="0.3">
      <c r="B2169" s="100">
        <f t="shared" si="232"/>
        <v>0</v>
      </c>
      <c r="C2169" s="84" t="str">
        <f t="shared" si="233"/>
        <v>January</v>
      </c>
      <c r="I2169" s="87" t="str">
        <f>IF(F2169=0,"",IF(COUNTIF(F2169,"Bao"),[1]Setup!$B$4,IF(COUNTIF(F2169,"Soup Dumpling"),[1]Setup!$B$5,F2169)))</f>
        <v/>
      </c>
    </row>
    <row r="2170" spans="2:9" x14ac:dyDescent="0.3">
      <c r="B2170" s="100">
        <f t="shared" si="232"/>
        <v>0</v>
      </c>
      <c r="C2170" s="84" t="str">
        <f t="shared" si="233"/>
        <v>January</v>
      </c>
      <c r="I2170" s="87" t="str">
        <f>IF(F2170=0,"",IF(COUNTIF(F2170,"Bao"),[1]Setup!$B$4,IF(COUNTIF(F2170,"Soup Dumpling"),[1]Setup!$B$5,F2170)))</f>
        <v/>
      </c>
    </row>
    <row r="2171" spans="2:9" x14ac:dyDescent="0.3">
      <c r="B2171" s="100">
        <f t="shared" si="232"/>
        <v>0</v>
      </c>
      <c r="C2171" s="84" t="str">
        <f t="shared" si="233"/>
        <v>January</v>
      </c>
      <c r="I2171" s="87" t="str">
        <f>IF(F2171=0,"",IF(COUNTIF(F2171,"Bao"),[1]Setup!$B$4,IF(COUNTIF(F2171,"Soup Dumpling"),[1]Setup!$B$5,F2171)))</f>
        <v/>
      </c>
    </row>
    <row r="2172" spans="2:9" x14ac:dyDescent="0.3">
      <c r="B2172" s="100">
        <f t="shared" si="232"/>
        <v>0</v>
      </c>
      <c r="C2172" s="84" t="str">
        <f t="shared" si="233"/>
        <v>January</v>
      </c>
      <c r="I2172" s="87" t="str">
        <f>IF(F2172=0,"",IF(COUNTIF(F2172,"Bao"),[1]Setup!$B$4,IF(COUNTIF(F2172,"Soup Dumpling"),[1]Setup!$B$5,F2172)))</f>
        <v/>
      </c>
    </row>
    <row r="2173" spans="2:9" x14ac:dyDescent="0.3">
      <c r="B2173" s="100">
        <f t="shared" si="232"/>
        <v>0</v>
      </c>
      <c r="C2173" s="84" t="str">
        <f t="shared" si="233"/>
        <v>January</v>
      </c>
      <c r="I2173" s="87" t="str">
        <f>IF(F2173=0,"",IF(COUNTIF(F2173,"Bao"),[1]Setup!$B$4,IF(COUNTIF(F2173,"Soup Dumpling"),[1]Setup!$B$5,F2173)))</f>
        <v/>
      </c>
    </row>
    <row r="2174" spans="2:9" x14ac:dyDescent="0.3">
      <c r="B2174" s="100">
        <f t="shared" si="232"/>
        <v>0</v>
      </c>
      <c r="C2174" s="84" t="str">
        <f t="shared" si="233"/>
        <v>January</v>
      </c>
      <c r="I2174" s="87" t="str">
        <f>IF(F2174=0,"",IF(COUNTIF(F2174,"Bao"),[1]Setup!$B$4,IF(COUNTIF(F2174,"Soup Dumpling"),[1]Setup!$B$5,F2174)))</f>
        <v/>
      </c>
    </row>
    <row r="2175" spans="2:9" x14ac:dyDescent="0.3">
      <c r="B2175" s="100">
        <f t="shared" si="232"/>
        <v>0</v>
      </c>
      <c r="C2175" s="84" t="str">
        <f t="shared" si="233"/>
        <v>January</v>
      </c>
      <c r="I2175" s="87" t="str">
        <f>IF(F2175=0,"",IF(COUNTIF(F2175,"Bao"),[1]Setup!$B$4,IF(COUNTIF(F2175,"Soup Dumpling"),[1]Setup!$B$5,F2175)))</f>
        <v/>
      </c>
    </row>
    <row r="2176" spans="2:9" x14ac:dyDescent="0.3">
      <c r="B2176" s="100">
        <f t="shared" si="232"/>
        <v>0</v>
      </c>
      <c r="C2176" s="84" t="str">
        <f t="shared" si="233"/>
        <v>January</v>
      </c>
      <c r="I2176" s="87" t="str">
        <f>IF(F2176=0,"",IF(COUNTIF(F2176,"Bao"),[1]Setup!$B$4,IF(COUNTIF(F2176,"Soup Dumpling"),[1]Setup!$B$5,F2176)))</f>
        <v/>
      </c>
    </row>
    <row r="2177" spans="2:9" x14ac:dyDescent="0.3">
      <c r="B2177" s="100">
        <f t="shared" si="232"/>
        <v>0</v>
      </c>
      <c r="C2177" s="84" t="str">
        <f t="shared" si="233"/>
        <v>January</v>
      </c>
      <c r="I2177" s="87" t="str">
        <f>IF(F2177=0,"",IF(COUNTIF(F2177,"Bao"),[1]Setup!$B$4,IF(COUNTIF(F2177,"Soup Dumpling"),[1]Setup!$B$5,F2177)))</f>
        <v/>
      </c>
    </row>
    <row r="2178" spans="2:9" x14ac:dyDescent="0.3">
      <c r="B2178" s="100">
        <f t="shared" si="232"/>
        <v>0</v>
      </c>
      <c r="C2178" s="84" t="str">
        <f t="shared" si="233"/>
        <v>January</v>
      </c>
      <c r="I2178" s="87" t="str">
        <f>IF(F2178=0,"",IF(COUNTIF(F2178,"Bao"),[1]Setup!$B$4,IF(COUNTIF(F2178,"Soup Dumpling"),[1]Setup!$B$5,F2178)))</f>
        <v/>
      </c>
    </row>
    <row r="2179" spans="2:9" x14ac:dyDescent="0.3">
      <c r="B2179" s="100">
        <f t="shared" si="232"/>
        <v>0</v>
      </c>
      <c r="C2179" s="84" t="str">
        <f t="shared" si="233"/>
        <v>January</v>
      </c>
      <c r="I2179" s="87" t="str">
        <f>IF(F2179=0,"",IF(COUNTIF(F2179,"Bao"),[1]Setup!$B$4,IF(COUNTIF(F2179,"Soup Dumpling"),[1]Setup!$B$5,F2179)))</f>
        <v/>
      </c>
    </row>
    <row r="2180" spans="2:9" x14ac:dyDescent="0.3">
      <c r="B2180" s="100">
        <f t="shared" si="232"/>
        <v>0</v>
      </c>
      <c r="C2180" s="84" t="str">
        <f t="shared" si="233"/>
        <v>January</v>
      </c>
      <c r="I2180" s="87" t="str">
        <f>IF(F2180=0,"",IF(COUNTIF(F2180,"Bao"),[1]Setup!$B$4,IF(COUNTIF(F2180,"Soup Dumpling"),[1]Setup!$B$5,F2180)))</f>
        <v/>
      </c>
    </row>
    <row r="2181" spans="2:9" x14ac:dyDescent="0.3">
      <c r="B2181" s="100">
        <f t="shared" ref="B2181:B2244" si="234">+WEEKNUM(A2181)</f>
        <v>0</v>
      </c>
      <c r="C2181" s="84" t="str">
        <f t="shared" ref="C2181:C2244" si="235">+TEXT(A2181,"mmmm")</f>
        <v>January</v>
      </c>
      <c r="I2181" s="87" t="str">
        <f>IF(F2181=0,"",IF(COUNTIF(F2181,"Bao"),[1]Setup!$B$4,IF(COUNTIF(F2181,"Soup Dumpling"),[1]Setup!$B$5,F2181)))</f>
        <v/>
      </c>
    </row>
    <row r="2182" spans="2:9" x14ac:dyDescent="0.3">
      <c r="B2182" s="100">
        <f t="shared" si="234"/>
        <v>0</v>
      </c>
      <c r="C2182" s="84" t="str">
        <f t="shared" si="235"/>
        <v>January</v>
      </c>
      <c r="I2182" s="87" t="str">
        <f>IF(F2182=0,"",IF(COUNTIF(F2182,"Bao"),[1]Setup!$B$4,IF(COUNTIF(F2182,"Soup Dumpling"),[1]Setup!$B$5,F2182)))</f>
        <v/>
      </c>
    </row>
    <row r="2183" spans="2:9" x14ac:dyDescent="0.3">
      <c r="B2183" s="100">
        <f t="shared" si="234"/>
        <v>0</v>
      </c>
      <c r="C2183" s="84" t="str">
        <f t="shared" si="235"/>
        <v>January</v>
      </c>
      <c r="I2183" s="87" t="str">
        <f>IF(F2183=0,"",IF(COUNTIF(F2183,"Bao"),[1]Setup!$B$4,IF(COUNTIF(F2183,"Soup Dumpling"),[1]Setup!$B$5,F2183)))</f>
        <v/>
      </c>
    </row>
    <row r="2184" spans="2:9" x14ac:dyDescent="0.3">
      <c r="B2184" s="100">
        <f t="shared" si="234"/>
        <v>0</v>
      </c>
      <c r="C2184" s="84" t="str">
        <f t="shared" si="235"/>
        <v>January</v>
      </c>
      <c r="I2184" s="87" t="str">
        <f>IF(F2184=0,"",IF(COUNTIF(F2184,"Bao"),[1]Setup!$B$4,IF(COUNTIF(F2184,"Soup Dumpling"),[1]Setup!$B$5,F2184)))</f>
        <v/>
      </c>
    </row>
    <row r="2185" spans="2:9" x14ac:dyDescent="0.3">
      <c r="B2185" s="100">
        <f t="shared" si="234"/>
        <v>0</v>
      </c>
      <c r="C2185" s="84" t="str">
        <f t="shared" si="235"/>
        <v>January</v>
      </c>
      <c r="I2185" s="87" t="str">
        <f>IF(F2185=0,"",IF(COUNTIF(F2185,"Bao"),[1]Setup!$B$4,IF(COUNTIF(F2185,"Soup Dumpling"),[1]Setup!$B$5,F2185)))</f>
        <v/>
      </c>
    </row>
    <row r="2186" spans="2:9" x14ac:dyDescent="0.3">
      <c r="B2186" s="100">
        <f t="shared" si="234"/>
        <v>0</v>
      </c>
      <c r="C2186" s="84" t="str">
        <f t="shared" si="235"/>
        <v>January</v>
      </c>
      <c r="I2186" s="87" t="str">
        <f>IF(F2186=0,"",IF(COUNTIF(F2186,"Bao"),[1]Setup!$B$4,IF(COUNTIF(F2186,"Soup Dumpling"),[1]Setup!$B$5,F2186)))</f>
        <v/>
      </c>
    </row>
    <row r="2187" spans="2:9" x14ac:dyDescent="0.3">
      <c r="B2187" s="100">
        <f t="shared" si="234"/>
        <v>0</v>
      </c>
      <c r="C2187" s="84" t="str">
        <f t="shared" si="235"/>
        <v>January</v>
      </c>
      <c r="I2187" s="87" t="str">
        <f>IF(F2187=0,"",IF(COUNTIF(F2187,"Bao"),[1]Setup!$B$4,IF(COUNTIF(F2187,"Soup Dumpling"),[1]Setup!$B$5,F2187)))</f>
        <v/>
      </c>
    </row>
    <row r="2188" spans="2:9" x14ac:dyDescent="0.3">
      <c r="B2188" s="100">
        <f t="shared" si="234"/>
        <v>0</v>
      </c>
      <c r="C2188" s="84" t="str">
        <f t="shared" si="235"/>
        <v>January</v>
      </c>
      <c r="I2188" s="87" t="str">
        <f>IF(F2188=0,"",IF(COUNTIF(F2188,"Bao"),[1]Setup!$B$4,IF(COUNTIF(F2188,"Soup Dumpling"),[1]Setup!$B$5,F2188)))</f>
        <v/>
      </c>
    </row>
    <row r="2189" spans="2:9" x14ac:dyDescent="0.3">
      <c r="B2189" s="100">
        <f t="shared" si="234"/>
        <v>0</v>
      </c>
      <c r="C2189" s="84" t="str">
        <f t="shared" si="235"/>
        <v>January</v>
      </c>
      <c r="I2189" s="87" t="str">
        <f>IF(F2189=0,"",IF(COUNTIF(F2189,"Bao"),[1]Setup!$B$4,IF(COUNTIF(F2189,"Soup Dumpling"),[1]Setup!$B$5,F2189)))</f>
        <v/>
      </c>
    </row>
    <row r="2190" spans="2:9" x14ac:dyDescent="0.3">
      <c r="B2190" s="100">
        <f t="shared" si="234"/>
        <v>0</v>
      </c>
      <c r="C2190" s="84" t="str">
        <f t="shared" si="235"/>
        <v>January</v>
      </c>
      <c r="I2190" s="87" t="str">
        <f>IF(F2190=0,"",IF(COUNTIF(F2190,"Bao"),[1]Setup!$B$4,IF(COUNTIF(F2190,"Soup Dumpling"),[1]Setup!$B$5,F2190)))</f>
        <v/>
      </c>
    </row>
    <row r="2191" spans="2:9" x14ac:dyDescent="0.3">
      <c r="B2191" s="100">
        <f t="shared" si="234"/>
        <v>0</v>
      </c>
      <c r="C2191" s="84" t="str">
        <f t="shared" si="235"/>
        <v>January</v>
      </c>
      <c r="I2191" s="87" t="str">
        <f>IF(F2191=0,"",IF(COUNTIF(F2191,"Bao"),[1]Setup!$B$4,IF(COUNTIF(F2191,"Soup Dumpling"),[1]Setup!$B$5,F2191)))</f>
        <v/>
      </c>
    </row>
    <row r="2192" spans="2:9" x14ac:dyDescent="0.3">
      <c r="B2192" s="100">
        <f t="shared" si="234"/>
        <v>0</v>
      </c>
      <c r="C2192" s="84" t="str">
        <f t="shared" si="235"/>
        <v>January</v>
      </c>
      <c r="I2192" s="87" t="str">
        <f>IF(F2192=0,"",IF(COUNTIF(F2192,"Bao"),[1]Setup!$B$4,IF(COUNTIF(F2192,"Soup Dumpling"),[1]Setup!$B$5,F2192)))</f>
        <v/>
      </c>
    </row>
    <row r="2193" spans="2:9" x14ac:dyDescent="0.3">
      <c r="B2193" s="100">
        <f t="shared" si="234"/>
        <v>0</v>
      </c>
      <c r="C2193" s="84" t="str">
        <f t="shared" si="235"/>
        <v>January</v>
      </c>
      <c r="I2193" s="87" t="str">
        <f>IF(F2193=0,"",IF(COUNTIF(F2193,"Bao"),[1]Setup!$B$4,IF(COUNTIF(F2193,"Soup Dumpling"),[1]Setup!$B$5,F2193)))</f>
        <v/>
      </c>
    </row>
    <row r="2194" spans="2:9" x14ac:dyDescent="0.3">
      <c r="B2194" s="100">
        <f t="shared" si="234"/>
        <v>0</v>
      </c>
      <c r="C2194" s="84" t="str">
        <f t="shared" si="235"/>
        <v>January</v>
      </c>
      <c r="I2194" s="87" t="str">
        <f>IF(F2194=0,"",IF(COUNTIF(F2194,"Bao"),[1]Setup!$B$4,IF(COUNTIF(F2194,"Soup Dumpling"),[1]Setup!$B$5,F2194)))</f>
        <v/>
      </c>
    </row>
    <row r="2195" spans="2:9" x14ac:dyDescent="0.3">
      <c r="B2195" s="100">
        <f t="shared" si="234"/>
        <v>0</v>
      </c>
      <c r="C2195" s="84" t="str">
        <f t="shared" si="235"/>
        <v>January</v>
      </c>
      <c r="I2195" s="87" t="str">
        <f>IF(F2195=0,"",IF(COUNTIF(F2195,"Bao"),[1]Setup!$B$4,IF(COUNTIF(F2195,"Soup Dumpling"),[1]Setup!$B$5,F2195)))</f>
        <v/>
      </c>
    </row>
    <row r="2196" spans="2:9" x14ac:dyDescent="0.3">
      <c r="B2196" s="100">
        <f t="shared" si="234"/>
        <v>0</v>
      </c>
      <c r="C2196" s="84" t="str">
        <f t="shared" si="235"/>
        <v>January</v>
      </c>
      <c r="I2196" s="87" t="str">
        <f>IF(F2196=0,"",IF(COUNTIF(F2196,"Bao"),[1]Setup!$B$4,IF(COUNTIF(F2196,"Soup Dumpling"),[1]Setup!$B$5,F2196)))</f>
        <v/>
      </c>
    </row>
    <row r="2197" spans="2:9" x14ac:dyDescent="0.3">
      <c r="B2197" s="100">
        <f t="shared" si="234"/>
        <v>0</v>
      </c>
      <c r="C2197" s="84" t="str">
        <f t="shared" si="235"/>
        <v>January</v>
      </c>
      <c r="I2197" s="87" t="str">
        <f>IF(F2197=0,"",IF(COUNTIF(F2197,"Bao"),[1]Setup!$B$4,IF(COUNTIF(F2197,"Soup Dumpling"),[1]Setup!$B$5,F2197)))</f>
        <v/>
      </c>
    </row>
    <row r="2198" spans="2:9" x14ac:dyDescent="0.3">
      <c r="B2198" s="100">
        <f t="shared" si="234"/>
        <v>0</v>
      </c>
      <c r="C2198" s="84" t="str">
        <f t="shared" si="235"/>
        <v>January</v>
      </c>
      <c r="I2198" s="87" t="str">
        <f>IF(F2198=0,"",IF(COUNTIF(F2198,"Bao"),[1]Setup!$B$4,IF(COUNTIF(F2198,"Soup Dumpling"),[1]Setup!$B$5,F2198)))</f>
        <v/>
      </c>
    </row>
    <row r="2199" spans="2:9" x14ac:dyDescent="0.3">
      <c r="B2199" s="100">
        <f t="shared" si="234"/>
        <v>0</v>
      </c>
      <c r="C2199" s="84" t="str">
        <f t="shared" si="235"/>
        <v>January</v>
      </c>
      <c r="I2199" s="87" t="str">
        <f>IF(F2199=0,"",IF(COUNTIF(F2199,"Bao"),[1]Setup!$B$4,IF(COUNTIF(F2199,"Soup Dumpling"),[1]Setup!$B$5,F2199)))</f>
        <v/>
      </c>
    </row>
    <row r="2200" spans="2:9" x14ac:dyDescent="0.3">
      <c r="B2200" s="100">
        <f t="shared" si="234"/>
        <v>0</v>
      </c>
      <c r="C2200" s="84" t="str">
        <f t="shared" si="235"/>
        <v>January</v>
      </c>
      <c r="I2200" s="87" t="str">
        <f>IF(F2200=0,"",IF(COUNTIF(F2200,"Bao"),[1]Setup!$B$4,IF(COUNTIF(F2200,"Soup Dumpling"),[1]Setup!$B$5,F2200)))</f>
        <v/>
      </c>
    </row>
    <row r="2201" spans="2:9" x14ac:dyDescent="0.3">
      <c r="B2201" s="100">
        <f t="shared" si="234"/>
        <v>0</v>
      </c>
      <c r="C2201" s="84" t="str">
        <f t="shared" si="235"/>
        <v>January</v>
      </c>
      <c r="I2201" s="87" t="str">
        <f>IF(F2201=0,"",IF(COUNTIF(F2201,"Bao"),[1]Setup!$B$4,IF(COUNTIF(F2201,"Soup Dumpling"),[1]Setup!$B$5,F2201)))</f>
        <v/>
      </c>
    </row>
    <row r="2202" spans="2:9" x14ac:dyDescent="0.3">
      <c r="B2202" s="100">
        <f t="shared" si="234"/>
        <v>0</v>
      </c>
      <c r="C2202" s="84" t="str">
        <f t="shared" si="235"/>
        <v>January</v>
      </c>
      <c r="I2202" s="87" t="str">
        <f>IF(F2202=0,"",IF(COUNTIF(F2202,"Bao"),[1]Setup!$B$4,IF(COUNTIF(F2202,"Soup Dumpling"),[1]Setup!$B$5,F2202)))</f>
        <v/>
      </c>
    </row>
    <row r="2203" spans="2:9" x14ac:dyDescent="0.3">
      <c r="B2203" s="100">
        <f t="shared" si="234"/>
        <v>0</v>
      </c>
      <c r="C2203" s="84" t="str">
        <f t="shared" si="235"/>
        <v>January</v>
      </c>
      <c r="I2203" s="87" t="str">
        <f>IF(F2203=0,"",IF(COUNTIF(F2203,"Bao"),[1]Setup!$B$4,IF(COUNTIF(F2203,"Soup Dumpling"),[1]Setup!$B$5,F2203)))</f>
        <v/>
      </c>
    </row>
    <row r="2204" spans="2:9" x14ac:dyDescent="0.3">
      <c r="B2204" s="100">
        <f t="shared" si="234"/>
        <v>0</v>
      </c>
      <c r="C2204" s="84" t="str">
        <f t="shared" si="235"/>
        <v>January</v>
      </c>
      <c r="I2204" s="87" t="str">
        <f>IF(F2204=0,"",IF(COUNTIF(F2204,"Bao"),[1]Setup!$B$4,IF(COUNTIF(F2204,"Soup Dumpling"),[1]Setup!$B$5,F2204)))</f>
        <v/>
      </c>
    </row>
    <row r="2205" spans="2:9" x14ac:dyDescent="0.3">
      <c r="B2205" s="100">
        <f t="shared" si="234"/>
        <v>0</v>
      </c>
      <c r="C2205" s="84" t="str">
        <f t="shared" si="235"/>
        <v>January</v>
      </c>
      <c r="I2205" s="87" t="str">
        <f>IF(F2205=0,"",IF(COUNTIF(F2205,"Bao"),[1]Setup!$B$4,IF(COUNTIF(F2205,"Soup Dumpling"),[1]Setup!$B$5,F2205)))</f>
        <v/>
      </c>
    </row>
    <row r="2206" spans="2:9" x14ac:dyDescent="0.3">
      <c r="B2206" s="100">
        <f t="shared" si="234"/>
        <v>0</v>
      </c>
      <c r="C2206" s="84" t="str">
        <f t="shared" si="235"/>
        <v>January</v>
      </c>
      <c r="I2206" s="87" t="str">
        <f>IF(F2206=0,"",IF(COUNTIF(F2206,"Bao"),[1]Setup!$B$4,IF(COUNTIF(F2206,"Soup Dumpling"),[1]Setup!$B$5,F2206)))</f>
        <v/>
      </c>
    </row>
    <row r="2207" spans="2:9" x14ac:dyDescent="0.3">
      <c r="B2207" s="100">
        <f t="shared" si="234"/>
        <v>0</v>
      </c>
      <c r="C2207" s="84" t="str">
        <f t="shared" si="235"/>
        <v>January</v>
      </c>
      <c r="I2207" s="87" t="str">
        <f>IF(F2207=0,"",IF(COUNTIF(F2207,"Bao"),[1]Setup!$B$4,IF(COUNTIF(F2207,"Soup Dumpling"),[1]Setup!$B$5,F2207)))</f>
        <v/>
      </c>
    </row>
    <row r="2208" spans="2:9" x14ac:dyDescent="0.3">
      <c r="B2208" s="100">
        <f t="shared" si="234"/>
        <v>0</v>
      </c>
      <c r="C2208" s="84" t="str">
        <f t="shared" si="235"/>
        <v>January</v>
      </c>
      <c r="I2208" s="87" t="str">
        <f>IF(F2208=0,"",IF(COUNTIF(F2208,"Bao"),[1]Setup!$B$4,IF(COUNTIF(F2208,"Soup Dumpling"),[1]Setup!$B$5,F2208)))</f>
        <v/>
      </c>
    </row>
    <row r="2209" spans="2:9" x14ac:dyDescent="0.3">
      <c r="B2209" s="100">
        <f t="shared" si="234"/>
        <v>0</v>
      </c>
      <c r="C2209" s="84" t="str">
        <f t="shared" si="235"/>
        <v>January</v>
      </c>
      <c r="I2209" s="87" t="str">
        <f>IF(F2209=0,"",IF(COUNTIF(F2209,"Bao"),[1]Setup!$B$4,IF(COUNTIF(F2209,"Soup Dumpling"),[1]Setup!$B$5,F2209)))</f>
        <v/>
      </c>
    </row>
    <row r="2210" spans="2:9" x14ac:dyDescent="0.3">
      <c r="B2210" s="100">
        <f t="shared" si="234"/>
        <v>0</v>
      </c>
      <c r="C2210" s="84" t="str">
        <f t="shared" si="235"/>
        <v>January</v>
      </c>
      <c r="I2210" s="87" t="str">
        <f>IF(F2210=0,"",IF(COUNTIF(F2210,"Bao"),[1]Setup!$B$4,IF(COUNTIF(F2210,"Soup Dumpling"),[1]Setup!$B$5,F2210)))</f>
        <v/>
      </c>
    </row>
    <row r="2211" spans="2:9" x14ac:dyDescent="0.3">
      <c r="B2211" s="100">
        <f t="shared" si="234"/>
        <v>0</v>
      </c>
      <c r="C2211" s="84" t="str">
        <f t="shared" si="235"/>
        <v>January</v>
      </c>
      <c r="I2211" s="87" t="str">
        <f>IF(F2211=0,"",IF(COUNTIF(F2211,"Bao"),[1]Setup!$B$4,IF(COUNTIF(F2211,"Soup Dumpling"),[1]Setup!$B$5,F2211)))</f>
        <v/>
      </c>
    </row>
    <row r="2212" spans="2:9" x14ac:dyDescent="0.3">
      <c r="B2212" s="100">
        <f t="shared" si="234"/>
        <v>0</v>
      </c>
      <c r="C2212" s="84" t="str">
        <f t="shared" si="235"/>
        <v>January</v>
      </c>
      <c r="I2212" s="87" t="str">
        <f>IF(F2212=0,"",IF(COUNTIF(F2212,"Bao"),[1]Setup!$B$4,IF(COUNTIF(F2212,"Soup Dumpling"),[1]Setup!$B$5,F2212)))</f>
        <v/>
      </c>
    </row>
    <row r="2213" spans="2:9" x14ac:dyDescent="0.3">
      <c r="B2213" s="100">
        <f t="shared" si="234"/>
        <v>0</v>
      </c>
      <c r="C2213" s="84" t="str">
        <f t="shared" si="235"/>
        <v>January</v>
      </c>
      <c r="I2213" s="87" t="str">
        <f>IF(F2213=0,"",IF(COUNTIF(F2213,"Bao"),[1]Setup!$B$4,IF(COUNTIF(F2213,"Soup Dumpling"),[1]Setup!$B$5,F2213)))</f>
        <v/>
      </c>
    </row>
    <row r="2214" spans="2:9" x14ac:dyDescent="0.3">
      <c r="B2214" s="100">
        <f t="shared" si="234"/>
        <v>0</v>
      </c>
      <c r="C2214" s="84" t="str">
        <f t="shared" si="235"/>
        <v>January</v>
      </c>
      <c r="I2214" s="87" t="str">
        <f>IF(F2214=0,"",IF(COUNTIF(F2214,"Bao"),[1]Setup!$B$4,IF(COUNTIF(F2214,"Soup Dumpling"),[1]Setup!$B$5,F2214)))</f>
        <v/>
      </c>
    </row>
    <row r="2215" spans="2:9" x14ac:dyDescent="0.3">
      <c r="B2215" s="100">
        <f t="shared" si="234"/>
        <v>0</v>
      </c>
      <c r="C2215" s="84" t="str">
        <f t="shared" si="235"/>
        <v>January</v>
      </c>
      <c r="I2215" s="87" t="str">
        <f>IF(F2215=0,"",IF(COUNTIF(F2215,"Bao"),[1]Setup!$B$4,IF(COUNTIF(F2215,"Soup Dumpling"),[1]Setup!$B$5,F2215)))</f>
        <v/>
      </c>
    </row>
    <row r="2216" spans="2:9" x14ac:dyDescent="0.3">
      <c r="B2216" s="100">
        <f t="shared" si="234"/>
        <v>0</v>
      </c>
      <c r="C2216" s="84" t="str">
        <f t="shared" si="235"/>
        <v>January</v>
      </c>
      <c r="I2216" s="87" t="str">
        <f>IF(F2216=0,"",IF(COUNTIF(F2216,"Bao"),[1]Setup!$B$4,IF(COUNTIF(F2216,"Soup Dumpling"),[1]Setup!$B$5,F2216)))</f>
        <v/>
      </c>
    </row>
    <row r="2217" spans="2:9" x14ac:dyDescent="0.3">
      <c r="B2217" s="100">
        <f t="shared" si="234"/>
        <v>0</v>
      </c>
      <c r="C2217" s="84" t="str">
        <f t="shared" si="235"/>
        <v>January</v>
      </c>
      <c r="I2217" s="87" t="str">
        <f>IF(F2217=0,"",IF(COUNTIF(F2217,"Bao"),[1]Setup!$B$4,IF(COUNTIF(F2217,"Soup Dumpling"),[1]Setup!$B$5,F2217)))</f>
        <v/>
      </c>
    </row>
    <row r="2218" spans="2:9" x14ac:dyDescent="0.3">
      <c r="B2218" s="100">
        <f t="shared" si="234"/>
        <v>0</v>
      </c>
      <c r="C2218" s="84" t="str">
        <f t="shared" si="235"/>
        <v>January</v>
      </c>
      <c r="I2218" s="87" t="str">
        <f>IF(F2218=0,"",IF(COUNTIF(F2218,"Bao"),[1]Setup!$B$4,IF(COUNTIF(F2218,"Soup Dumpling"),[1]Setup!$B$5,F2218)))</f>
        <v/>
      </c>
    </row>
    <row r="2219" spans="2:9" x14ac:dyDescent="0.3">
      <c r="B2219" s="100">
        <f t="shared" si="234"/>
        <v>0</v>
      </c>
      <c r="C2219" s="84" t="str">
        <f t="shared" si="235"/>
        <v>January</v>
      </c>
      <c r="I2219" s="87" t="str">
        <f>IF(F2219=0,"",IF(COUNTIF(F2219,"Bao"),[1]Setup!$B$4,IF(COUNTIF(F2219,"Soup Dumpling"),[1]Setup!$B$5,F2219)))</f>
        <v/>
      </c>
    </row>
    <row r="2220" spans="2:9" x14ac:dyDescent="0.3">
      <c r="B2220" s="100">
        <f t="shared" si="234"/>
        <v>0</v>
      </c>
      <c r="C2220" s="84" t="str">
        <f t="shared" si="235"/>
        <v>January</v>
      </c>
      <c r="I2220" s="87" t="str">
        <f>IF(F2220=0,"",IF(COUNTIF(F2220,"Bao"),[1]Setup!$B$4,IF(COUNTIF(F2220,"Soup Dumpling"),[1]Setup!$B$5,F2220)))</f>
        <v/>
      </c>
    </row>
    <row r="2221" spans="2:9" x14ac:dyDescent="0.3">
      <c r="B2221" s="100">
        <f t="shared" si="234"/>
        <v>0</v>
      </c>
      <c r="C2221" s="84" t="str">
        <f t="shared" si="235"/>
        <v>January</v>
      </c>
      <c r="I2221" s="87" t="str">
        <f>IF(F2221=0,"",IF(COUNTIF(F2221,"Bao"),[1]Setup!$B$4,IF(COUNTIF(F2221,"Soup Dumpling"),[1]Setup!$B$5,F2221)))</f>
        <v/>
      </c>
    </row>
    <row r="2222" spans="2:9" x14ac:dyDescent="0.3">
      <c r="B2222" s="100">
        <f t="shared" si="234"/>
        <v>0</v>
      </c>
      <c r="C2222" s="84" t="str">
        <f t="shared" si="235"/>
        <v>January</v>
      </c>
      <c r="I2222" s="87" t="str">
        <f>IF(F2222=0,"",IF(COUNTIF(F2222,"Bao"),[1]Setup!$B$4,IF(COUNTIF(F2222,"Soup Dumpling"),[1]Setup!$B$5,F2222)))</f>
        <v/>
      </c>
    </row>
    <row r="2223" spans="2:9" x14ac:dyDescent="0.3">
      <c r="B2223" s="100">
        <f t="shared" si="234"/>
        <v>0</v>
      </c>
      <c r="C2223" s="84" t="str">
        <f t="shared" si="235"/>
        <v>January</v>
      </c>
      <c r="I2223" s="87" t="str">
        <f>IF(F2223=0,"",IF(COUNTIF(F2223,"Bao"),[1]Setup!$B$4,IF(COUNTIF(F2223,"Soup Dumpling"),[1]Setup!$B$5,F2223)))</f>
        <v/>
      </c>
    </row>
    <row r="2224" spans="2:9" x14ac:dyDescent="0.3">
      <c r="B2224" s="100">
        <f t="shared" si="234"/>
        <v>0</v>
      </c>
      <c r="C2224" s="84" t="str">
        <f t="shared" si="235"/>
        <v>January</v>
      </c>
      <c r="I2224" s="87" t="str">
        <f>IF(F2224=0,"",IF(COUNTIF(F2224,"Bao"),[1]Setup!$B$4,IF(COUNTIF(F2224,"Soup Dumpling"),[1]Setup!$B$5,F2224)))</f>
        <v/>
      </c>
    </row>
    <row r="2225" spans="2:9" x14ac:dyDescent="0.3">
      <c r="B2225" s="100">
        <f t="shared" si="234"/>
        <v>0</v>
      </c>
      <c r="C2225" s="84" t="str">
        <f t="shared" si="235"/>
        <v>January</v>
      </c>
      <c r="I2225" s="87" t="str">
        <f>IF(F2225=0,"",IF(COUNTIF(F2225,"Bao"),[1]Setup!$B$4,IF(COUNTIF(F2225,"Soup Dumpling"),[1]Setup!$B$5,F2225)))</f>
        <v/>
      </c>
    </row>
    <row r="2226" spans="2:9" x14ac:dyDescent="0.3">
      <c r="B2226" s="100">
        <f t="shared" si="234"/>
        <v>0</v>
      </c>
      <c r="C2226" s="84" t="str">
        <f t="shared" si="235"/>
        <v>January</v>
      </c>
      <c r="I2226" s="87" t="str">
        <f>IF(F2226=0,"",IF(COUNTIF(F2226,"Bao"),[1]Setup!$B$4,IF(COUNTIF(F2226,"Soup Dumpling"),[1]Setup!$B$5,F2226)))</f>
        <v/>
      </c>
    </row>
    <row r="2227" spans="2:9" x14ac:dyDescent="0.3">
      <c r="B2227" s="100">
        <f t="shared" si="234"/>
        <v>0</v>
      </c>
      <c r="C2227" s="84" t="str">
        <f t="shared" si="235"/>
        <v>January</v>
      </c>
      <c r="I2227" s="87" t="str">
        <f>IF(F2227=0,"",IF(COUNTIF(F2227,"Bao"),[1]Setup!$B$4,IF(COUNTIF(F2227,"Soup Dumpling"),[1]Setup!$B$5,F2227)))</f>
        <v/>
      </c>
    </row>
    <row r="2228" spans="2:9" x14ac:dyDescent="0.3">
      <c r="B2228" s="100">
        <f t="shared" si="234"/>
        <v>0</v>
      </c>
      <c r="C2228" s="84" t="str">
        <f t="shared" si="235"/>
        <v>January</v>
      </c>
      <c r="I2228" s="87" t="str">
        <f>IF(F2228=0,"",IF(COUNTIF(F2228,"Bao"),[1]Setup!$B$4,IF(COUNTIF(F2228,"Soup Dumpling"),[1]Setup!$B$5,F2228)))</f>
        <v/>
      </c>
    </row>
    <row r="2229" spans="2:9" x14ac:dyDescent="0.3">
      <c r="B2229" s="100">
        <f t="shared" si="234"/>
        <v>0</v>
      </c>
      <c r="C2229" s="84" t="str">
        <f t="shared" si="235"/>
        <v>January</v>
      </c>
      <c r="I2229" s="87" t="str">
        <f>IF(F2229=0,"",IF(COUNTIF(F2229,"Bao"),[1]Setup!$B$4,IF(COUNTIF(F2229,"Soup Dumpling"),[1]Setup!$B$5,F2229)))</f>
        <v/>
      </c>
    </row>
    <row r="2230" spans="2:9" x14ac:dyDescent="0.3">
      <c r="B2230" s="100">
        <f t="shared" si="234"/>
        <v>0</v>
      </c>
      <c r="C2230" s="84" t="str">
        <f t="shared" si="235"/>
        <v>January</v>
      </c>
      <c r="I2230" s="87" t="str">
        <f>IF(F2230=0,"",IF(COUNTIF(F2230,"Bao"),[1]Setup!$B$4,IF(COUNTIF(F2230,"Soup Dumpling"),[1]Setup!$B$5,F2230)))</f>
        <v/>
      </c>
    </row>
    <row r="2231" spans="2:9" x14ac:dyDescent="0.3">
      <c r="B2231" s="100">
        <f t="shared" si="234"/>
        <v>0</v>
      </c>
      <c r="C2231" s="84" t="str">
        <f t="shared" si="235"/>
        <v>January</v>
      </c>
      <c r="I2231" s="87" t="str">
        <f>IF(F2231=0,"",IF(COUNTIF(F2231,"Bao"),[1]Setup!$B$4,IF(COUNTIF(F2231,"Soup Dumpling"),[1]Setup!$B$5,F2231)))</f>
        <v/>
      </c>
    </row>
    <row r="2232" spans="2:9" x14ac:dyDescent="0.3">
      <c r="B2232" s="100">
        <f t="shared" si="234"/>
        <v>0</v>
      </c>
      <c r="C2232" s="84" t="str">
        <f t="shared" si="235"/>
        <v>January</v>
      </c>
      <c r="I2232" s="87" t="str">
        <f>IF(F2232=0,"",IF(COUNTIF(F2232,"Bao"),[1]Setup!$B$4,IF(COUNTIF(F2232,"Soup Dumpling"),[1]Setup!$B$5,F2232)))</f>
        <v/>
      </c>
    </row>
    <row r="2233" spans="2:9" x14ac:dyDescent="0.3">
      <c r="B2233" s="100">
        <f t="shared" si="234"/>
        <v>0</v>
      </c>
      <c r="C2233" s="84" t="str">
        <f t="shared" si="235"/>
        <v>January</v>
      </c>
      <c r="I2233" s="87" t="str">
        <f>IF(F2233=0,"",IF(COUNTIF(F2233,"Bao"),[1]Setup!$B$4,IF(COUNTIF(F2233,"Soup Dumpling"),[1]Setup!$B$5,F2233)))</f>
        <v/>
      </c>
    </row>
    <row r="2234" spans="2:9" x14ac:dyDescent="0.3">
      <c r="B2234" s="100">
        <f t="shared" si="234"/>
        <v>0</v>
      </c>
      <c r="C2234" s="84" t="str">
        <f t="shared" si="235"/>
        <v>January</v>
      </c>
      <c r="I2234" s="87" t="str">
        <f>IF(F2234=0,"",IF(COUNTIF(F2234,"Bao"),[1]Setup!$B$4,IF(COUNTIF(F2234,"Soup Dumpling"),[1]Setup!$B$5,F2234)))</f>
        <v/>
      </c>
    </row>
    <row r="2235" spans="2:9" x14ac:dyDescent="0.3">
      <c r="B2235" s="100">
        <f t="shared" si="234"/>
        <v>0</v>
      </c>
      <c r="C2235" s="84" t="str">
        <f t="shared" si="235"/>
        <v>January</v>
      </c>
      <c r="I2235" s="87" t="str">
        <f>IF(F2235=0,"",IF(COUNTIF(F2235,"Bao"),[1]Setup!$B$4,IF(COUNTIF(F2235,"Soup Dumpling"),[1]Setup!$B$5,F2235)))</f>
        <v/>
      </c>
    </row>
    <row r="2236" spans="2:9" x14ac:dyDescent="0.3">
      <c r="B2236" s="100">
        <f t="shared" si="234"/>
        <v>0</v>
      </c>
      <c r="C2236" s="84" t="str">
        <f t="shared" si="235"/>
        <v>January</v>
      </c>
      <c r="I2236" s="87" t="str">
        <f>IF(F2236=0,"",IF(COUNTIF(F2236,"Bao"),[1]Setup!$B$4,IF(COUNTIF(F2236,"Soup Dumpling"),[1]Setup!$B$5,F2236)))</f>
        <v/>
      </c>
    </row>
    <row r="2237" spans="2:9" x14ac:dyDescent="0.3">
      <c r="B2237" s="100">
        <f t="shared" si="234"/>
        <v>0</v>
      </c>
      <c r="C2237" s="84" t="str">
        <f t="shared" si="235"/>
        <v>January</v>
      </c>
      <c r="I2237" s="87" t="str">
        <f>IF(F2237=0,"",IF(COUNTIF(F2237,"Bao"),[1]Setup!$B$4,IF(COUNTIF(F2237,"Soup Dumpling"),[1]Setup!$B$5,F2237)))</f>
        <v/>
      </c>
    </row>
    <row r="2238" spans="2:9" x14ac:dyDescent="0.3">
      <c r="B2238" s="100">
        <f t="shared" si="234"/>
        <v>0</v>
      </c>
      <c r="C2238" s="84" t="str">
        <f t="shared" si="235"/>
        <v>January</v>
      </c>
      <c r="I2238" s="87" t="str">
        <f>IF(F2238=0,"",IF(COUNTIF(F2238,"Bao"),[1]Setup!$B$4,IF(COUNTIF(F2238,"Soup Dumpling"),[1]Setup!$B$5,F2238)))</f>
        <v/>
      </c>
    </row>
    <row r="2239" spans="2:9" x14ac:dyDescent="0.3">
      <c r="B2239" s="100">
        <f t="shared" si="234"/>
        <v>0</v>
      </c>
      <c r="C2239" s="84" t="str">
        <f t="shared" si="235"/>
        <v>January</v>
      </c>
      <c r="I2239" s="87" t="str">
        <f>IF(F2239=0,"",IF(COUNTIF(F2239,"Bao"),[1]Setup!$B$4,IF(COUNTIF(F2239,"Soup Dumpling"),[1]Setup!$B$5,F2239)))</f>
        <v/>
      </c>
    </row>
    <row r="2240" spans="2:9" x14ac:dyDescent="0.3">
      <c r="B2240" s="100">
        <f t="shared" si="234"/>
        <v>0</v>
      </c>
      <c r="C2240" s="84" t="str">
        <f t="shared" si="235"/>
        <v>January</v>
      </c>
      <c r="I2240" s="87" t="str">
        <f>IF(F2240=0,"",IF(COUNTIF(F2240,"Bao"),[1]Setup!$B$4,IF(COUNTIF(F2240,"Soup Dumpling"),[1]Setup!$B$5,F2240)))</f>
        <v/>
      </c>
    </row>
    <row r="2241" spans="2:9" x14ac:dyDescent="0.3">
      <c r="B2241" s="100">
        <f t="shared" si="234"/>
        <v>0</v>
      </c>
      <c r="C2241" s="84" t="str">
        <f t="shared" si="235"/>
        <v>January</v>
      </c>
      <c r="I2241" s="87" t="str">
        <f>IF(F2241=0,"",IF(COUNTIF(F2241,"Bao"),[1]Setup!$B$4,IF(COUNTIF(F2241,"Soup Dumpling"),[1]Setup!$B$5,F2241)))</f>
        <v/>
      </c>
    </row>
    <row r="2242" spans="2:9" x14ac:dyDescent="0.3">
      <c r="B2242" s="100">
        <f t="shared" si="234"/>
        <v>0</v>
      </c>
      <c r="C2242" s="84" t="str">
        <f t="shared" si="235"/>
        <v>January</v>
      </c>
      <c r="I2242" s="87" t="str">
        <f>IF(F2242=0,"",IF(COUNTIF(F2242,"Bao"),[1]Setup!$B$4,IF(COUNTIF(F2242,"Soup Dumpling"),[1]Setup!$B$5,F2242)))</f>
        <v/>
      </c>
    </row>
    <row r="2243" spans="2:9" x14ac:dyDescent="0.3">
      <c r="B2243" s="100">
        <f t="shared" si="234"/>
        <v>0</v>
      </c>
      <c r="C2243" s="84" t="str">
        <f t="shared" si="235"/>
        <v>January</v>
      </c>
      <c r="I2243" s="87" t="str">
        <f>IF(F2243=0,"",IF(COUNTIF(F2243,"Bao"),[1]Setup!$B$4,IF(COUNTIF(F2243,"Soup Dumpling"),[1]Setup!$B$5,F2243)))</f>
        <v/>
      </c>
    </row>
    <row r="2244" spans="2:9" x14ac:dyDescent="0.3">
      <c r="B2244" s="100">
        <f t="shared" si="234"/>
        <v>0</v>
      </c>
      <c r="C2244" s="84" t="str">
        <f t="shared" si="235"/>
        <v>January</v>
      </c>
      <c r="I2244" s="87" t="str">
        <f>IF(F2244=0,"",IF(COUNTIF(F2244,"Bao"),[1]Setup!$B$4,IF(COUNTIF(F2244,"Soup Dumpling"),[1]Setup!$B$5,F2244)))</f>
        <v/>
      </c>
    </row>
    <row r="2245" spans="2:9" x14ac:dyDescent="0.3">
      <c r="B2245" s="100">
        <f t="shared" ref="B2245:B2308" si="236">+WEEKNUM(A2245)</f>
        <v>0</v>
      </c>
      <c r="C2245" s="84" t="str">
        <f t="shared" ref="C2245:C2308" si="237">+TEXT(A2245,"mmmm")</f>
        <v>January</v>
      </c>
      <c r="I2245" s="87" t="str">
        <f>IF(F2245=0,"",IF(COUNTIF(F2245,"Bao"),[1]Setup!$B$4,IF(COUNTIF(F2245,"Soup Dumpling"),[1]Setup!$B$5,F2245)))</f>
        <v/>
      </c>
    </row>
    <row r="2246" spans="2:9" x14ac:dyDescent="0.3">
      <c r="B2246" s="100">
        <f t="shared" si="236"/>
        <v>0</v>
      </c>
      <c r="C2246" s="84" t="str">
        <f t="shared" si="237"/>
        <v>January</v>
      </c>
      <c r="I2246" s="87" t="str">
        <f>IF(F2246=0,"",IF(COUNTIF(F2246,"Bao"),[1]Setup!$B$4,IF(COUNTIF(F2246,"Soup Dumpling"),[1]Setup!$B$5,F2246)))</f>
        <v/>
      </c>
    </row>
    <row r="2247" spans="2:9" x14ac:dyDescent="0.3">
      <c r="B2247" s="100">
        <f t="shared" si="236"/>
        <v>0</v>
      </c>
      <c r="C2247" s="84" t="str">
        <f t="shared" si="237"/>
        <v>January</v>
      </c>
      <c r="I2247" s="87" t="str">
        <f>IF(F2247=0,"",IF(COUNTIF(F2247,"Bao"),[1]Setup!$B$4,IF(COUNTIF(F2247,"Soup Dumpling"),[1]Setup!$B$5,F2247)))</f>
        <v/>
      </c>
    </row>
    <row r="2248" spans="2:9" x14ac:dyDescent="0.3">
      <c r="B2248" s="100">
        <f t="shared" si="236"/>
        <v>0</v>
      </c>
      <c r="C2248" s="84" t="str">
        <f t="shared" si="237"/>
        <v>January</v>
      </c>
      <c r="I2248" s="87" t="str">
        <f>IF(F2248=0,"",IF(COUNTIF(F2248,"Bao"),[1]Setup!$B$4,IF(COUNTIF(F2248,"Soup Dumpling"),[1]Setup!$B$5,F2248)))</f>
        <v/>
      </c>
    </row>
    <row r="2249" spans="2:9" x14ac:dyDescent="0.3">
      <c r="B2249" s="100">
        <f t="shared" si="236"/>
        <v>0</v>
      </c>
      <c r="C2249" s="84" t="str">
        <f t="shared" si="237"/>
        <v>January</v>
      </c>
      <c r="I2249" s="87" t="str">
        <f>IF(F2249=0,"",IF(COUNTIF(F2249,"Bao"),[1]Setup!$B$4,IF(COUNTIF(F2249,"Soup Dumpling"),[1]Setup!$B$5,F2249)))</f>
        <v/>
      </c>
    </row>
    <row r="2250" spans="2:9" x14ac:dyDescent="0.3">
      <c r="B2250" s="100">
        <f t="shared" si="236"/>
        <v>0</v>
      </c>
      <c r="C2250" s="84" t="str">
        <f t="shared" si="237"/>
        <v>January</v>
      </c>
      <c r="I2250" s="87" t="str">
        <f>IF(F2250=0,"",IF(COUNTIF(F2250,"Bao"),[1]Setup!$B$4,IF(COUNTIF(F2250,"Soup Dumpling"),[1]Setup!$B$5,F2250)))</f>
        <v/>
      </c>
    </row>
    <row r="2251" spans="2:9" x14ac:dyDescent="0.3">
      <c r="B2251" s="100">
        <f t="shared" si="236"/>
        <v>0</v>
      </c>
      <c r="C2251" s="84" t="str">
        <f t="shared" si="237"/>
        <v>January</v>
      </c>
      <c r="I2251" s="87" t="str">
        <f>IF(F2251=0,"",IF(COUNTIF(F2251,"Bao"),[1]Setup!$B$4,IF(COUNTIF(F2251,"Soup Dumpling"),[1]Setup!$B$5,F2251)))</f>
        <v/>
      </c>
    </row>
    <row r="2252" spans="2:9" x14ac:dyDescent="0.3">
      <c r="B2252" s="100">
        <f t="shared" si="236"/>
        <v>0</v>
      </c>
      <c r="C2252" s="84" t="str">
        <f t="shared" si="237"/>
        <v>January</v>
      </c>
      <c r="I2252" s="87" t="str">
        <f>IF(F2252=0,"",IF(COUNTIF(F2252,"Bao"),[1]Setup!$B$4,IF(COUNTIF(F2252,"Soup Dumpling"),[1]Setup!$B$5,F2252)))</f>
        <v/>
      </c>
    </row>
    <row r="2253" spans="2:9" x14ac:dyDescent="0.3">
      <c r="B2253" s="100">
        <f t="shared" si="236"/>
        <v>0</v>
      </c>
      <c r="C2253" s="84" t="str">
        <f t="shared" si="237"/>
        <v>January</v>
      </c>
      <c r="I2253" s="87" t="str">
        <f>IF(F2253=0,"",IF(COUNTIF(F2253,"Bao"),[1]Setup!$B$4,IF(COUNTIF(F2253,"Soup Dumpling"),[1]Setup!$B$5,F2253)))</f>
        <v/>
      </c>
    </row>
    <row r="2254" spans="2:9" x14ac:dyDescent="0.3">
      <c r="B2254" s="100">
        <f t="shared" si="236"/>
        <v>0</v>
      </c>
      <c r="C2254" s="84" t="str">
        <f t="shared" si="237"/>
        <v>January</v>
      </c>
      <c r="I2254" s="87" t="str">
        <f>IF(F2254=0,"",IF(COUNTIF(F2254,"Bao"),[1]Setup!$B$4,IF(COUNTIF(F2254,"Soup Dumpling"),[1]Setup!$B$5,F2254)))</f>
        <v/>
      </c>
    </row>
    <row r="2255" spans="2:9" x14ac:dyDescent="0.3">
      <c r="B2255" s="100">
        <f t="shared" si="236"/>
        <v>0</v>
      </c>
      <c r="C2255" s="84" t="str">
        <f t="shared" si="237"/>
        <v>January</v>
      </c>
      <c r="I2255" s="87" t="str">
        <f>IF(F2255=0,"",IF(COUNTIF(F2255,"Bao"),[1]Setup!$B$4,IF(COUNTIF(F2255,"Soup Dumpling"),[1]Setup!$B$5,F2255)))</f>
        <v/>
      </c>
    </row>
    <row r="2256" spans="2:9" x14ac:dyDescent="0.3">
      <c r="B2256" s="100">
        <f t="shared" si="236"/>
        <v>0</v>
      </c>
      <c r="C2256" s="84" t="str">
        <f t="shared" si="237"/>
        <v>January</v>
      </c>
      <c r="I2256" s="87" t="str">
        <f>IF(F2256=0,"",IF(COUNTIF(F2256,"Bao"),[1]Setup!$B$4,IF(COUNTIF(F2256,"Soup Dumpling"),[1]Setup!$B$5,F2256)))</f>
        <v/>
      </c>
    </row>
    <row r="2257" spans="2:9" x14ac:dyDescent="0.3">
      <c r="B2257" s="100">
        <f t="shared" si="236"/>
        <v>0</v>
      </c>
      <c r="C2257" s="84" t="str">
        <f t="shared" si="237"/>
        <v>January</v>
      </c>
      <c r="I2257" s="87" t="str">
        <f>IF(F2257=0,"",IF(COUNTIF(F2257,"Bao"),[1]Setup!$B$4,IF(COUNTIF(F2257,"Soup Dumpling"),[1]Setup!$B$5,F2257)))</f>
        <v/>
      </c>
    </row>
    <row r="2258" spans="2:9" x14ac:dyDescent="0.3">
      <c r="B2258" s="100">
        <f t="shared" si="236"/>
        <v>0</v>
      </c>
      <c r="C2258" s="84" t="str">
        <f t="shared" si="237"/>
        <v>January</v>
      </c>
      <c r="I2258" s="87" t="str">
        <f>IF(F2258=0,"",IF(COUNTIF(F2258,"Bao"),[1]Setup!$B$4,IF(COUNTIF(F2258,"Soup Dumpling"),[1]Setup!$B$5,F2258)))</f>
        <v/>
      </c>
    </row>
    <row r="2259" spans="2:9" x14ac:dyDescent="0.3">
      <c r="B2259" s="100">
        <f t="shared" si="236"/>
        <v>0</v>
      </c>
      <c r="C2259" s="84" t="str">
        <f t="shared" si="237"/>
        <v>January</v>
      </c>
      <c r="I2259" s="87" t="str">
        <f>IF(F2259=0,"",IF(COUNTIF(F2259,"Bao"),[1]Setup!$B$4,IF(COUNTIF(F2259,"Soup Dumpling"),[1]Setup!$B$5,F2259)))</f>
        <v/>
      </c>
    </row>
    <row r="2260" spans="2:9" x14ac:dyDescent="0.3">
      <c r="B2260" s="100">
        <f t="shared" si="236"/>
        <v>0</v>
      </c>
      <c r="C2260" s="84" t="str">
        <f t="shared" si="237"/>
        <v>January</v>
      </c>
      <c r="I2260" s="87" t="str">
        <f>IF(F2260=0,"",IF(COUNTIF(F2260,"Bao"),[1]Setup!$B$4,IF(COUNTIF(F2260,"Soup Dumpling"),[1]Setup!$B$5,F2260)))</f>
        <v/>
      </c>
    </row>
    <row r="2261" spans="2:9" x14ac:dyDescent="0.3">
      <c r="B2261" s="100">
        <f t="shared" si="236"/>
        <v>0</v>
      </c>
      <c r="C2261" s="84" t="str">
        <f t="shared" si="237"/>
        <v>January</v>
      </c>
      <c r="I2261" s="87" t="str">
        <f>IF(F2261=0,"",IF(COUNTIF(F2261,"Bao"),[1]Setup!$B$4,IF(COUNTIF(F2261,"Soup Dumpling"),[1]Setup!$B$5,F2261)))</f>
        <v/>
      </c>
    </row>
    <row r="2262" spans="2:9" x14ac:dyDescent="0.3">
      <c r="B2262" s="100">
        <f t="shared" si="236"/>
        <v>0</v>
      </c>
      <c r="C2262" s="84" t="str">
        <f t="shared" si="237"/>
        <v>January</v>
      </c>
      <c r="I2262" s="87" t="str">
        <f>IF(F2262=0,"",IF(COUNTIF(F2262,"Bao"),[1]Setup!$B$4,IF(COUNTIF(F2262,"Soup Dumpling"),[1]Setup!$B$5,F2262)))</f>
        <v/>
      </c>
    </row>
    <row r="2263" spans="2:9" x14ac:dyDescent="0.3">
      <c r="B2263" s="100">
        <f t="shared" si="236"/>
        <v>0</v>
      </c>
      <c r="C2263" s="84" t="str">
        <f t="shared" si="237"/>
        <v>January</v>
      </c>
      <c r="I2263" s="87" t="str">
        <f>IF(F2263=0,"",IF(COUNTIF(F2263,"Bao"),[1]Setup!$B$4,IF(COUNTIF(F2263,"Soup Dumpling"),[1]Setup!$B$5,F2263)))</f>
        <v/>
      </c>
    </row>
    <row r="2264" spans="2:9" x14ac:dyDescent="0.3">
      <c r="B2264" s="100">
        <f t="shared" si="236"/>
        <v>0</v>
      </c>
      <c r="C2264" s="84" t="str">
        <f t="shared" si="237"/>
        <v>January</v>
      </c>
      <c r="I2264" s="87" t="str">
        <f>IF(F2264=0,"",IF(COUNTIF(F2264,"Bao"),[1]Setup!$B$4,IF(COUNTIF(F2264,"Soup Dumpling"),[1]Setup!$B$5,F2264)))</f>
        <v/>
      </c>
    </row>
    <row r="2265" spans="2:9" x14ac:dyDescent="0.3">
      <c r="B2265" s="100">
        <f t="shared" si="236"/>
        <v>0</v>
      </c>
      <c r="C2265" s="84" t="str">
        <f t="shared" si="237"/>
        <v>January</v>
      </c>
      <c r="I2265" s="87" t="str">
        <f>IF(F2265=0,"",IF(COUNTIF(F2265,"Bao"),[1]Setup!$B$4,IF(COUNTIF(F2265,"Soup Dumpling"),[1]Setup!$B$5,F2265)))</f>
        <v/>
      </c>
    </row>
    <row r="2266" spans="2:9" x14ac:dyDescent="0.3">
      <c r="B2266" s="100">
        <f t="shared" si="236"/>
        <v>0</v>
      </c>
      <c r="C2266" s="84" t="str">
        <f t="shared" si="237"/>
        <v>January</v>
      </c>
      <c r="I2266" s="87" t="str">
        <f>IF(F2266=0,"",IF(COUNTIF(F2266,"Bao"),[1]Setup!$B$4,IF(COUNTIF(F2266,"Soup Dumpling"),[1]Setup!$B$5,F2266)))</f>
        <v/>
      </c>
    </row>
    <row r="2267" spans="2:9" x14ac:dyDescent="0.3">
      <c r="B2267" s="100">
        <f t="shared" si="236"/>
        <v>0</v>
      </c>
      <c r="C2267" s="84" t="str">
        <f t="shared" si="237"/>
        <v>January</v>
      </c>
      <c r="I2267" s="87" t="str">
        <f>IF(F2267=0,"",IF(COUNTIF(F2267,"Bao"),[1]Setup!$B$4,IF(COUNTIF(F2267,"Soup Dumpling"),[1]Setup!$B$5,F2267)))</f>
        <v/>
      </c>
    </row>
    <row r="2268" spans="2:9" x14ac:dyDescent="0.3">
      <c r="B2268" s="100">
        <f t="shared" si="236"/>
        <v>0</v>
      </c>
      <c r="C2268" s="84" t="str">
        <f t="shared" si="237"/>
        <v>January</v>
      </c>
      <c r="I2268" s="87" t="str">
        <f>IF(F2268=0,"",IF(COUNTIF(F2268,"Bao"),[1]Setup!$B$4,IF(COUNTIF(F2268,"Soup Dumpling"),[1]Setup!$B$5,F2268)))</f>
        <v/>
      </c>
    </row>
    <row r="2269" spans="2:9" x14ac:dyDescent="0.3">
      <c r="B2269" s="100">
        <f t="shared" si="236"/>
        <v>0</v>
      </c>
      <c r="C2269" s="84" t="str">
        <f t="shared" si="237"/>
        <v>January</v>
      </c>
      <c r="I2269" s="87" t="str">
        <f>IF(F2269=0,"",IF(COUNTIF(F2269,"Bao"),[1]Setup!$B$4,IF(COUNTIF(F2269,"Soup Dumpling"),[1]Setup!$B$5,F2269)))</f>
        <v/>
      </c>
    </row>
    <row r="2270" spans="2:9" x14ac:dyDescent="0.3">
      <c r="B2270" s="100">
        <f t="shared" si="236"/>
        <v>0</v>
      </c>
      <c r="C2270" s="84" t="str">
        <f t="shared" si="237"/>
        <v>January</v>
      </c>
      <c r="I2270" s="87" t="str">
        <f>IF(F2270=0,"",IF(COUNTIF(F2270,"Bao"),[1]Setup!$B$4,IF(COUNTIF(F2270,"Soup Dumpling"),[1]Setup!$B$5,F2270)))</f>
        <v/>
      </c>
    </row>
    <row r="2271" spans="2:9" x14ac:dyDescent="0.3">
      <c r="B2271" s="100">
        <f t="shared" si="236"/>
        <v>0</v>
      </c>
      <c r="C2271" s="84" t="str">
        <f t="shared" si="237"/>
        <v>January</v>
      </c>
      <c r="I2271" s="87" t="str">
        <f>IF(F2271=0,"",IF(COUNTIF(F2271,"Bao"),[1]Setup!$B$4,IF(COUNTIF(F2271,"Soup Dumpling"),[1]Setup!$B$5,F2271)))</f>
        <v/>
      </c>
    </row>
    <row r="2272" spans="2:9" x14ac:dyDescent="0.3">
      <c r="B2272" s="100">
        <f t="shared" si="236"/>
        <v>0</v>
      </c>
      <c r="C2272" s="84" t="str">
        <f t="shared" si="237"/>
        <v>January</v>
      </c>
      <c r="I2272" s="87" t="str">
        <f>IF(F2272=0,"",IF(COUNTIF(F2272,"Bao"),[1]Setup!$B$4,IF(COUNTIF(F2272,"Soup Dumpling"),[1]Setup!$B$5,F2272)))</f>
        <v/>
      </c>
    </row>
    <row r="2273" spans="2:9" x14ac:dyDescent="0.3">
      <c r="B2273" s="100">
        <f t="shared" si="236"/>
        <v>0</v>
      </c>
      <c r="C2273" s="84" t="str">
        <f t="shared" si="237"/>
        <v>January</v>
      </c>
      <c r="I2273" s="87" t="str">
        <f>IF(F2273=0,"",IF(COUNTIF(F2273,"Bao"),[1]Setup!$B$4,IF(COUNTIF(F2273,"Soup Dumpling"),[1]Setup!$B$5,F2273)))</f>
        <v/>
      </c>
    </row>
    <row r="2274" spans="2:9" x14ac:dyDescent="0.3">
      <c r="B2274" s="100">
        <f t="shared" si="236"/>
        <v>0</v>
      </c>
      <c r="C2274" s="84" t="str">
        <f t="shared" si="237"/>
        <v>January</v>
      </c>
      <c r="I2274" s="87" t="str">
        <f>IF(F2274=0,"",IF(COUNTIF(F2274,"Bao"),[1]Setup!$B$4,IF(COUNTIF(F2274,"Soup Dumpling"),[1]Setup!$B$5,F2274)))</f>
        <v/>
      </c>
    </row>
    <row r="2275" spans="2:9" x14ac:dyDescent="0.3">
      <c r="B2275" s="100">
        <f t="shared" si="236"/>
        <v>0</v>
      </c>
      <c r="C2275" s="84" t="str">
        <f t="shared" si="237"/>
        <v>January</v>
      </c>
      <c r="I2275" s="87" t="str">
        <f>IF(F2275=0,"",IF(COUNTIF(F2275,"Bao"),[1]Setup!$B$4,IF(COUNTIF(F2275,"Soup Dumpling"),[1]Setup!$B$5,F2275)))</f>
        <v/>
      </c>
    </row>
    <row r="2276" spans="2:9" x14ac:dyDescent="0.3">
      <c r="B2276" s="100">
        <f t="shared" si="236"/>
        <v>0</v>
      </c>
      <c r="C2276" s="84" t="str">
        <f t="shared" si="237"/>
        <v>January</v>
      </c>
      <c r="I2276" s="87" t="str">
        <f>IF(F2276=0,"",IF(COUNTIF(F2276,"Bao"),[1]Setup!$B$4,IF(COUNTIF(F2276,"Soup Dumpling"),[1]Setup!$B$5,F2276)))</f>
        <v/>
      </c>
    </row>
    <row r="2277" spans="2:9" x14ac:dyDescent="0.3">
      <c r="B2277" s="100">
        <f t="shared" si="236"/>
        <v>0</v>
      </c>
      <c r="C2277" s="84" t="str">
        <f t="shared" si="237"/>
        <v>January</v>
      </c>
      <c r="I2277" s="87" t="str">
        <f>IF(F2277=0,"",IF(COUNTIF(F2277,"Bao"),[1]Setup!$B$4,IF(COUNTIF(F2277,"Soup Dumpling"),[1]Setup!$B$5,F2277)))</f>
        <v/>
      </c>
    </row>
    <row r="2278" spans="2:9" x14ac:dyDescent="0.3">
      <c r="B2278" s="100">
        <f t="shared" si="236"/>
        <v>0</v>
      </c>
      <c r="C2278" s="84" t="str">
        <f t="shared" si="237"/>
        <v>January</v>
      </c>
      <c r="I2278" s="87" t="str">
        <f>IF(F2278=0,"",IF(COUNTIF(F2278,"Bao"),[1]Setup!$B$4,IF(COUNTIF(F2278,"Soup Dumpling"),[1]Setup!$B$5,F2278)))</f>
        <v/>
      </c>
    </row>
    <row r="2279" spans="2:9" x14ac:dyDescent="0.3">
      <c r="B2279" s="100">
        <f t="shared" si="236"/>
        <v>0</v>
      </c>
      <c r="C2279" s="84" t="str">
        <f t="shared" si="237"/>
        <v>January</v>
      </c>
      <c r="I2279" s="87" t="str">
        <f>IF(F2279=0,"",IF(COUNTIF(F2279,"Bao"),[1]Setup!$B$4,IF(COUNTIF(F2279,"Soup Dumpling"),[1]Setup!$B$5,F2279)))</f>
        <v/>
      </c>
    </row>
    <row r="2280" spans="2:9" x14ac:dyDescent="0.3">
      <c r="B2280" s="100">
        <f t="shared" si="236"/>
        <v>0</v>
      </c>
      <c r="C2280" s="84" t="str">
        <f t="shared" si="237"/>
        <v>January</v>
      </c>
      <c r="I2280" s="87" t="str">
        <f>IF(F2280=0,"",IF(COUNTIF(F2280,"Bao"),[1]Setup!$B$4,IF(COUNTIF(F2280,"Soup Dumpling"),[1]Setup!$B$5,F2280)))</f>
        <v/>
      </c>
    </row>
    <row r="2281" spans="2:9" x14ac:dyDescent="0.3">
      <c r="B2281" s="100">
        <f t="shared" si="236"/>
        <v>0</v>
      </c>
      <c r="C2281" s="84" t="str">
        <f t="shared" si="237"/>
        <v>January</v>
      </c>
      <c r="I2281" s="87" t="str">
        <f>IF(F2281=0,"",IF(COUNTIF(F2281,"Bao"),[1]Setup!$B$4,IF(COUNTIF(F2281,"Soup Dumpling"),[1]Setup!$B$5,F2281)))</f>
        <v/>
      </c>
    </row>
    <row r="2282" spans="2:9" x14ac:dyDescent="0.3">
      <c r="B2282" s="100">
        <f t="shared" si="236"/>
        <v>0</v>
      </c>
      <c r="C2282" s="84" t="str">
        <f t="shared" si="237"/>
        <v>January</v>
      </c>
      <c r="I2282" s="87" t="str">
        <f>IF(F2282=0,"",IF(COUNTIF(F2282,"Bao"),[1]Setup!$B$4,IF(COUNTIF(F2282,"Soup Dumpling"),[1]Setup!$B$5,F2282)))</f>
        <v/>
      </c>
    </row>
    <row r="2283" spans="2:9" x14ac:dyDescent="0.3">
      <c r="B2283" s="100">
        <f t="shared" si="236"/>
        <v>0</v>
      </c>
      <c r="C2283" s="84" t="str">
        <f t="shared" si="237"/>
        <v>January</v>
      </c>
      <c r="I2283" s="87" t="str">
        <f>IF(F2283=0,"",IF(COUNTIF(F2283,"Bao"),[1]Setup!$B$4,IF(COUNTIF(F2283,"Soup Dumpling"),[1]Setup!$B$5,F2283)))</f>
        <v/>
      </c>
    </row>
    <row r="2284" spans="2:9" x14ac:dyDescent="0.3">
      <c r="B2284" s="100">
        <f t="shared" si="236"/>
        <v>0</v>
      </c>
      <c r="C2284" s="84" t="str">
        <f t="shared" si="237"/>
        <v>January</v>
      </c>
      <c r="I2284" s="87" t="str">
        <f>IF(F2284=0,"",IF(COUNTIF(F2284,"Bao"),[1]Setup!$B$4,IF(COUNTIF(F2284,"Soup Dumpling"),[1]Setup!$B$5,F2284)))</f>
        <v/>
      </c>
    </row>
    <row r="2285" spans="2:9" x14ac:dyDescent="0.3">
      <c r="B2285" s="100">
        <f t="shared" si="236"/>
        <v>0</v>
      </c>
      <c r="C2285" s="84" t="str">
        <f t="shared" si="237"/>
        <v>January</v>
      </c>
      <c r="I2285" s="87" t="str">
        <f>IF(F2285=0,"",IF(COUNTIF(F2285,"Bao"),[1]Setup!$B$4,IF(COUNTIF(F2285,"Soup Dumpling"),[1]Setup!$B$5,F2285)))</f>
        <v/>
      </c>
    </row>
    <row r="2286" spans="2:9" x14ac:dyDescent="0.3">
      <c r="B2286" s="100">
        <f t="shared" si="236"/>
        <v>0</v>
      </c>
      <c r="C2286" s="84" t="str">
        <f t="shared" si="237"/>
        <v>January</v>
      </c>
      <c r="I2286" s="87" t="str">
        <f>IF(F2286=0,"",IF(COUNTIF(F2286,"Bao"),[1]Setup!$B$4,IF(COUNTIF(F2286,"Soup Dumpling"),[1]Setup!$B$5,F2286)))</f>
        <v/>
      </c>
    </row>
    <row r="2287" spans="2:9" x14ac:dyDescent="0.3">
      <c r="B2287" s="100">
        <f t="shared" si="236"/>
        <v>0</v>
      </c>
      <c r="C2287" s="84" t="str">
        <f t="shared" si="237"/>
        <v>January</v>
      </c>
      <c r="I2287" s="87" t="str">
        <f>IF(F2287=0,"",IF(COUNTIF(F2287,"Bao"),[1]Setup!$B$4,IF(COUNTIF(F2287,"Soup Dumpling"),[1]Setup!$B$5,F2287)))</f>
        <v/>
      </c>
    </row>
    <row r="2288" spans="2:9" x14ac:dyDescent="0.3">
      <c r="B2288" s="100">
        <f t="shared" si="236"/>
        <v>0</v>
      </c>
      <c r="C2288" s="84" t="str">
        <f t="shared" si="237"/>
        <v>January</v>
      </c>
      <c r="I2288" s="87" t="str">
        <f>IF(F2288=0,"",IF(COUNTIF(F2288,"Bao"),[1]Setup!$B$4,IF(COUNTIF(F2288,"Soup Dumpling"),[1]Setup!$B$5,F2288)))</f>
        <v/>
      </c>
    </row>
    <row r="2289" spans="2:9" x14ac:dyDescent="0.3">
      <c r="B2289" s="100">
        <f t="shared" si="236"/>
        <v>0</v>
      </c>
      <c r="C2289" s="84" t="str">
        <f t="shared" si="237"/>
        <v>January</v>
      </c>
      <c r="I2289" s="87" t="str">
        <f>IF(F2289=0,"",IF(COUNTIF(F2289,"Bao"),[1]Setup!$B$4,IF(COUNTIF(F2289,"Soup Dumpling"),[1]Setup!$B$5,F2289)))</f>
        <v/>
      </c>
    </row>
    <row r="2290" spans="2:9" x14ac:dyDescent="0.3">
      <c r="B2290" s="100">
        <f t="shared" si="236"/>
        <v>0</v>
      </c>
      <c r="C2290" s="84" t="str">
        <f t="shared" si="237"/>
        <v>January</v>
      </c>
      <c r="I2290" s="87" t="str">
        <f>IF(F2290=0,"",IF(COUNTIF(F2290,"Bao"),[1]Setup!$B$4,IF(COUNTIF(F2290,"Soup Dumpling"),[1]Setup!$B$5,F2290)))</f>
        <v/>
      </c>
    </row>
    <row r="2291" spans="2:9" x14ac:dyDescent="0.3">
      <c r="B2291" s="100">
        <f t="shared" si="236"/>
        <v>0</v>
      </c>
      <c r="C2291" s="84" t="str">
        <f t="shared" si="237"/>
        <v>January</v>
      </c>
      <c r="I2291" s="87" t="str">
        <f>IF(F2291=0,"",IF(COUNTIF(F2291,"Bao"),[1]Setup!$B$4,IF(COUNTIF(F2291,"Soup Dumpling"),[1]Setup!$B$5,F2291)))</f>
        <v/>
      </c>
    </row>
    <row r="2292" spans="2:9" x14ac:dyDescent="0.3">
      <c r="B2292" s="100">
        <f t="shared" si="236"/>
        <v>0</v>
      </c>
      <c r="C2292" s="84" t="str">
        <f t="shared" si="237"/>
        <v>January</v>
      </c>
      <c r="I2292" s="87" t="str">
        <f>IF(F2292=0,"",IF(COUNTIF(F2292,"Bao"),[1]Setup!$B$4,IF(COUNTIF(F2292,"Soup Dumpling"),[1]Setup!$B$5,F2292)))</f>
        <v/>
      </c>
    </row>
    <row r="2293" spans="2:9" x14ac:dyDescent="0.3">
      <c r="B2293" s="100">
        <f t="shared" si="236"/>
        <v>0</v>
      </c>
      <c r="C2293" s="84" t="str">
        <f t="shared" si="237"/>
        <v>January</v>
      </c>
      <c r="I2293" s="87" t="str">
        <f>IF(F2293=0,"",IF(COUNTIF(F2293,"Bao"),[1]Setup!$B$4,IF(COUNTIF(F2293,"Soup Dumpling"),[1]Setup!$B$5,F2293)))</f>
        <v/>
      </c>
    </row>
    <row r="2294" spans="2:9" x14ac:dyDescent="0.3">
      <c r="B2294" s="100">
        <f t="shared" si="236"/>
        <v>0</v>
      </c>
      <c r="C2294" s="84" t="str">
        <f t="shared" si="237"/>
        <v>January</v>
      </c>
      <c r="I2294" s="87" t="str">
        <f>IF(F2294=0,"",IF(COUNTIF(F2294,"Bao"),[1]Setup!$B$4,IF(COUNTIF(F2294,"Soup Dumpling"),[1]Setup!$B$5,F2294)))</f>
        <v/>
      </c>
    </row>
    <row r="2295" spans="2:9" x14ac:dyDescent="0.3">
      <c r="B2295" s="100">
        <f t="shared" si="236"/>
        <v>0</v>
      </c>
      <c r="C2295" s="84" t="str">
        <f t="shared" si="237"/>
        <v>January</v>
      </c>
      <c r="I2295" s="87" t="str">
        <f>IF(F2295=0,"",IF(COUNTIF(F2295,"Bao"),[1]Setup!$B$4,IF(COUNTIF(F2295,"Soup Dumpling"),[1]Setup!$B$5,F2295)))</f>
        <v/>
      </c>
    </row>
    <row r="2296" spans="2:9" x14ac:dyDescent="0.3">
      <c r="B2296" s="100">
        <f t="shared" si="236"/>
        <v>0</v>
      </c>
      <c r="C2296" s="84" t="str">
        <f t="shared" si="237"/>
        <v>January</v>
      </c>
      <c r="I2296" s="87" t="str">
        <f>IF(F2296=0,"",IF(COUNTIF(F2296,"Bao"),[1]Setup!$B$4,IF(COUNTIF(F2296,"Soup Dumpling"),[1]Setup!$B$5,F2296)))</f>
        <v/>
      </c>
    </row>
    <row r="2297" spans="2:9" x14ac:dyDescent="0.3">
      <c r="B2297" s="100">
        <f t="shared" si="236"/>
        <v>0</v>
      </c>
      <c r="C2297" s="84" t="str">
        <f t="shared" si="237"/>
        <v>January</v>
      </c>
      <c r="I2297" s="87" t="str">
        <f>IF(F2297=0,"",IF(COUNTIF(F2297,"Bao"),[1]Setup!$B$4,IF(COUNTIF(F2297,"Soup Dumpling"),[1]Setup!$B$5,F2297)))</f>
        <v/>
      </c>
    </row>
    <row r="2298" spans="2:9" x14ac:dyDescent="0.3">
      <c r="B2298" s="100">
        <f t="shared" si="236"/>
        <v>0</v>
      </c>
      <c r="C2298" s="84" t="str">
        <f t="shared" si="237"/>
        <v>January</v>
      </c>
      <c r="I2298" s="87" t="str">
        <f>IF(F2298=0,"",IF(COUNTIF(F2298,"Bao"),[1]Setup!$B$4,IF(COUNTIF(F2298,"Soup Dumpling"),[1]Setup!$B$5,F2298)))</f>
        <v/>
      </c>
    </row>
    <row r="2299" spans="2:9" x14ac:dyDescent="0.3">
      <c r="B2299" s="100">
        <f t="shared" si="236"/>
        <v>0</v>
      </c>
      <c r="C2299" s="84" t="str">
        <f t="shared" si="237"/>
        <v>January</v>
      </c>
      <c r="I2299" s="87" t="str">
        <f>IF(F2299=0,"",IF(COUNTIF(F2299,"Bao"),[1]Setup!$B$4,IF(COUNTIF(F2299,"Soup Dumpling"),[1]Setup!$B$5,F2299)))</f>
        <v/>
      </c>
    </row>
    <row r="2300" spans="2:9" x14ac:dyDescent="0.3">
      <c r="B2300" s="100">
        <f t="shared" si="236"/>
        <v>0</v>
      </c>
      <c r="C2300" s="84" t="str">
        <f t="shared" si="237"/>
        <v>January</v>
      </c>
      <c r="I2300" s="87" t="str">
        <f>IF(F2300=0,"",IF(COUNTIF(F2300,"Bao"),[1]Setup!$B$4,IF(COUNTIF(F2300,"Soup Dumpling"),[1]Setup!$B$5,F2300)))</f>
        <v/>
      </c>
    </row>
    <row r="2301" spans="2:9" x14ac:dyDescent="0.3">
      <c r="B2301" s="100">
        <f t="shared" si="236"/>
        <v>0</v>
      </c>
      <c r="C2301" s="84" t="str">
        <f t="shared" si="237"/>
        <v>January</v>
      </c>
      <c r="I2301" s="87" t="str">
        <f>IF(F2301=0,"",IF(COUNTIF(F2301,"Bao"),[1]Setup!$B$4,IF(COUNTIF(F2301,"Soup Dumpling"),[1]Setup!$B$5,F2301)))</f>
        <v/>
      </c>
    </row>
    <row r="2302" spans="2:9" x14ac:dyDescent="0.3">
      <c r="B2302" s="100">
        <f t="shared" si="236"/>
        <v>0</v>
      </c>
      <c r="C2302" s="84" t="str">
        <f t="shared" si="237"/>
        <v>January</v>
      </c>
      <c r="I2302" s="87" t="str">
        <f>IF(F2302=0,"",IF(COUNTIF(F2302,"Bao"),[1]Setup!$B$4,IF(COUNTIF(F2302,"Soup Dumpling"),[1]Setup!$B$5,F2302)))</f>
        <v/>
      </c>
    </row>
    <row r="2303" spans="2:9" x14ac:dyDescent="0.3">
      <c r="B2303" s="100">
        <f t="shared" si="236"/>
        <v>0</v>
      </c>
      <c r="C2303" s="84" t="str">
        <f t="shared" si="237"/>
        <v>January</v>
      </c>
      <c r="I2303" s="87" t="str">
        <f>IF(F2303=0,"",IF(COUNTIF(F2303,"Bao"),[1]Setup!$B$4,IF(COUNTIF(F2303,"Soup Dumpling"),[1]Setup!$B$5,F2303)))</f>
        <v/>
      </c>
    </row>
    <row r="2304" spans="2:9" x14ac:dyDescent="0.3">
      <c r="B2304" s="100">
        <f t="shared" si="236"/>
        <v>0</v>
      </c>
      <c r="C2304" s="84" t="str">
        <f t="shared" si="237"/>
        <v>January</v>
      </c>
      <c r="I2304" s="87" t="str">
        <f>IF(F2304=0,"",IF(COUNTIF(F2304,"Bao"),[1]Setup!$B$4,IF(COUNTIF(F2304,"Soup Dumpling"),[1]Setup!$B$5,F2304)))</f>
        <v/>
      </c>
    </row>
    <row r="2305" spans="2:9" x14ac:dyDescent="0.3">
      <c r="B2305" s="100">
        <f t="shared" si="236"/>
        <v>0</v>
      </c>
      <c r="C2305" s="84" t="str">
        <f t="shared" si="237"/>
        <v>January</v>
      </c>
      <c r="I2305" s="87" t="str">
        <f>IF(F2305=0,"",IF(COUNTIF(F2305,"Bao"),[1]Setup!$B$4,IF(COUNTIF(F2305,"Soup Dumpling"),[1]Setup!$B$5,F2305)))</f>
        <v/>
      </c>
    </row>
    <row r="2306" spans="2:9" x14ac:dyDescent="0.3">
      <c r="B2306" s="100">
        <f t="shared" si="236"/>
        <v>0</v>
      </c>
      <c r="C2306" s="84" t="str">
        <f t="shared" si="237"/>
        <v>January</v>
      </c>
      <c r="I2306" s="87" t="str">
        <f>IF(F2306=0,"",IF(COUNTIF(F2306,"Bao"),[1]Setup!$B$4,IF(COUNTIF(F2306,"Soup Dumpling"),[1]Setup!$B$5,F2306)))</f>
        <v/>
      </c>
    </row>
    <row r="2307" spans="2:9" x14ac:dyDescent="0.3">
      <c r="B2307" s="100">
        <f t="shared" si="236"/>
        <v>0</v>
      </c>
      <c r="C2307" s="84" t="str">
        <f t="shared" si="237"/>
        <v>January</v>
      </c>
      <c r="I2307" s="87" t="str">
        <f>IF(F2307=0,"",IF(COUNTIF(F2307,"Bao"),[1]Setup!$B$4,IF(COUNTIF(F2307,"Soup Dumpling"),[1]Setup!$B$5,F2307)))</f>
        <v/>
      </c>
    </row>
    <row r="2308" spans="2:9" x14ac:dyDescent="0.3">
      <c r="B2308" s="100">
        <f t="shared" si="236"/>
        <v>0</v>
      </c>
      <c r="C2308" s="84" t="str">
        <f t="shared" si="237"/>
        <v>January</v>
      </c>
      <c r="I2308" s="87" t="str">
        <f>IF(F2308=0,"",IF(COUNTIF(F2308,"Bao"),[1]Setup!$B$4,IF(COUNTIF(F2308,"Soup Dumpling"),[1]Setup!$B$5,F2308)))</f>
        <v/>
      </c>
    </row>
    <row r="2309" spans="2:9" x14ac:dyDescent="0.3">
      <c r="B2309" s="100">
        <f t="shared" ref="B2309:B2372" si="238">+WEEKNUM(A2309)</f>
        <v>0</v>
      </c>
      <c r="C2309" s="84" t="str">
        <f t="shared" ref="C2309:C2372" si="239">+TEXT(A2309,"mmmm")</f>
        <v>January</v>
      </c>
      <c r="I2309" s="87" t="str">
        <f>IF(F2309=0,"",IF(COUNTIF(F2309,"Bao"),[1]Setup!$B$4,IF(COUNTIF(F2309,"Soup Dumpling"),[1]Setup!$B$5,F2309)))</f>
        <v/>
      </c>
    </row>
    <row r="2310" spans="2:9" x14ac:dyDescent="0.3">
      <c r="B2310" s="100">
        <f t="shared" si="238"/>
        <v>0</v>
      </c>
      <c r="C2310" s="84" t="str">
        <f t="shared" si="239"/>
        <v>January</v>
      </c>
      <c r="I2310" s="87" t="str">
        <f>IF(F2310=0,"",IF(COUNTIF(F2310,"Bao"),[1]Setup!$B$4,IF(COUNTIF(F2310,"Soup Dumpling"),[1]Setup!$B$5,F2310)))</f>
        <v/>
      </c>
    </row>
    <row r="2311" spans="2:9" x14ac:dyDescent="0.3">
      <c r="B2311" s="100">
        <f t="shared" si="238"/>
        <v>0</v>
      </c>
      <c r="C2311" s="84" t="str">
        <f t="shared" si="239"/>
        <v>January</v>
      </c>
      <c r="I2311" s="87" t="str">
        <f>IF(F2311=0,"",IF(COUNTIF(F2311,"Bao"),[1]Setup!$B$4,IF(COUNTIF(F2311,"Soup Dumpling"),[1]Setup!$B$5,F2311)))</f>
        <v/>
      </c>
    </row>
    <row r="2312" spans="2:9" x14ac:dyDescent="0.3">
      <c r="B2312" s="100">
        <f t="shared" si="238"/>
        <v>0</v>
      </c>
      <c r="C2312" s="84" t="str">
        <f t="shared" si="239"/>
        <v>January</v>
      </c>
      <c r="I2312" s="87" t="str">
        <f>IF(F2312=0,"",IF(COUNTIF(F2312,"Bao"),[1]Setup!$B$4,IF(COUNTIF(F2312,"Soup Dumpling"),[1]Setup!$B$5,F2312)))</f>
        <v/>
      </c>
    </row>
    <row r="2313" spans="2:9" x14ac:dyDescent="0.3">
      <c r="B2313" s="100">
        <f t="shared" si="238"/>
        <v>0</v>
      </c>
      <c r="C2313" s="84" t="str">
        <f t="shared" si="239"/>
        <v>January</v>
      </c>
      <c r="I2313" s="87" t="str">
        <f>IF(F2313=0,"",IF(COUNTIF(F2313,"Bao"),[1]Setup!$B$4,IF(COUNTIF(F2313,"Soup Dumpling"),[1]Setup!$B$5,F2313)))</f>
        <v/>
      </c>
    </row>
    <row r="2314" spans="2:9" x14ac:dyDescent="0.3">
      <c r="B2314" s="100">
        <f t="shared" si="238"/>
        <v>0</v>
      </c>
      <c r="C2314" s="84" t="str">
        <f t="shared" si="239"/>
        <v>January</v>
      </c>
      <c r="I2314" s="87" t="str">
        <f>IF(F2314=0,"",IF(COUNTIF(F2314,"Bao"),[1]Setup!$B$4,IF(COUNTIF(F2314,"Soup Dumpling"),[1]Setup!$B$5,F2314)))</f>
        <v/>
      </c>
    </row>
    <row r="2315" spans="2:9" x14ac:dyDescent="0.3">
      <c r="B2315" s="100">
        <f t="shared" si="238"/>
        <v>0</v>
      </c>
      <c r="C2315" s="84" t="str">
        <f t="shared" si="239"/>
        <v>January</v>
      </c>
      <c r="I2315" s="87" t="str">
        <f>IF(F2315=0,"",IF(COUNTIF(F2315,"Bao"),[1]Setup!$B$4,IF(COUNTIF(F2315,"Soup Dumpling"),[1]Setup!$B$5,F2315)))</f>
        <v/>
      </c>
    </row>
    <row r="2316" spans="2:9" x14ac:dyDescent="0.3">
      <c r="B2316" s="100">
        <f t="shared" si="238"/>
        <v>0</v>
      </c>
      <c r="C2316" s="84" t="str">
        <f t="shared" si="239"/>
        <v>January</v>
      </c>
      <c r="I2316" s="87" t="str">
        <f>IF(F2316=0,"",IF(COUNTIF(F2316,"Bao"),[1]Setup!$B$4,IF(COUNTIF(F2316,"Soup Dumpling"),[1]Setup!$B$5,F2316)))</f>
        <v/>
      </c>
    </row>
    <row r="2317" spans="2:9" x14ac:dyDescent="0.3">
      <c r="B2317" s="100">
        <f t="shared" si="238"/>
        <v>0</v>
      </c>
      <c r="C2317" s="84" t="str">
        <f t="shared" si="239"/>
        <v>January</v>
      </c>
      <c r="I2317" s="87" t="str">
        <f>IF(F2317=0,"",IF(COUNTIF(F2317,"Bao"),[1]Setup!$B$4,IF(COUNTIF(F2317,"Soup Dumpling"),[1]Setup!$B$5,F2317)))</f>
        <v/>
      </c>
    </row>
    <row r="2318" spans="2:9" x14ac:dyDescent="0.3">
      <c r="B2318" s="100">
        <f t="shared" si="238"/>
        <v>0</v>
      </c>
      <c r="C2318" s="84" t="str">
        <f t="shared" si="239"/>
        <v>January</v>
      </c>
      <c r="I2318" s="87" t="str">
        <f>IF(F2318=0,"",IF(COUNTIF(F2318,"Bao"),[1]Setup!$B$4,IF(COUNTIF(F2318,"Soup Dumpling"),[1]Setup!$B$5,F2318)))</f>
        <v/>
      </c>
    </row>
    <row r="2319" spans="2:9" x14ac:dyDescent="0.3">
      <c r="B2319" s="100">
        <f t="shared" si="238"/>
        <v>0</v>
      </c>
      <c r="C2319" s="84" t="str">
        <f t="shared" si="239"/>
        <v>January</v>
      </c>
      <c r="I2319" s="87" t="str">
        <f>IF(F2319=0,"",IF(COUNTIF(F2319,"Bao"),[1]Setup!$B$4,IF(COUNTIF(F2319,"Soup Dumpling"),[1]Setup!$B$5,F2319)))</f>
        <v/>
      </c>
    </row>
    <row r="2320" spans="2:9" x14ac:dyDescent="0.3">
      <c r="B2320" s="100">
        <f t="shared" si="238"/>
        <v>0</v>
      </c>
      <c r="C2320" s="84" t="str">
        <f t="shared" si="239"/>
        <v>January</v>
      </c>
      <c r="I2320" s="87" t="str">
        <f>IF(F2320=0,"",IF(COUNTIF(F2320,"Bao"),[1]Setup!$B$4,IF(COUNTIF(F2320,"Soup Dumpling"),[1]Setup!$B$5,F2320)))</f>
        <v/>
      </c>
    </row>
    <row r="2321" spans="2:9" x14ac:dyDescent="0.3">
      <c r="B2321" s="100">
        <f t="shared" si="238"/>
        <v>0</v>
      </c>
      <c r="C2321" s="84" t="str">
        <f t="shared" si="239"/>
        <v>January</v>
      </c>
      <c r="I2321" s="87" t="str">
        <f>IF(F2321=0,"",IF(COUNTIF(F2321,"Bao"),[1]Setup!$B$4,IF(COUNTIF(F2321,"Soup Dumpling"),[1]Setup!$B$5,F2321)))</f>
        <v/>
      </c>
    </row>
    <row r="2322" spans="2:9" x14ac:dyDescent="0.3">
      <c r="B2322" s="100">
        <f t="shared" si="238"/>
        <v>0</v>
      </c>
      <c r="C2322" s="84" t="str">
        <f t="shared" si="239"/>
        <v>January</v>
      </c>
      <c r="I2322" s="87" t="str">
        <f>IF(F2322=0,"",IF(COUNTIF(F2322,"Bao"),[1]Setup!$B$4,IF(COUNTIF(F2322,"Soup Dumpling"),[1]Setup!$B$5,F2322)))</f>
        <v/>
      </c>
    </row>
    <row r="2323" spans="2:9" x14ac:dyDescent="0.3">
      <c r="B2323" s="100">
        <f t="shared" si="238"/>
        <v>0</v>
      </c>
      <c r="C2323" s="84" t="str">
        <f t="shared" si="239"/>
        <v>January</v>
      </c>
      <c r="I2323" s="87" t="str">
        <f>IF(F2323=0,"",IF(COUNTIF(F2323,"Bao"),[1]Setup!$B$4,IF(COUNTIF(F2323,"Soup Dumpling"),[1]Setup!$B$5,F2323)))</f>
        <v/>
      </c>
    </row>
    <row r="2324" spans="2:9" x14ac:dyDescent="0.3">
      <c r="B2324" s="100">
        <f t="shared" si="238"/>
        <v>0</v>
      </c>
      <c r="C2324" s="84" t="str">
        <f t="shared" si="239"/>
        <v>January</v>
      </c>
      <c r="I2324" s="87" t="str">
        <f>IF(F2324=0,"",IF(COUNTIF(F2324,"Bao"),[1]Setup!$B$4,IF(COUNTIF(F2324,"Soup Dumpling"),[1]Setup!$B$5,F2324)))</f>
        <v/>
      </c>
    </row>
    <row r="2325" spans="2:9" x14ac:dyDescent="0.3">
      <c r="B2325" s="100">
        <f t="shared" si="238"/>
        <v>0</v>
      </c>
      <c r="C2325" s="84" t="str">
        <f t="shared" si="239"/>
        <v>January</v>
      </c>
      <c r="I2325" s="87" t="str">
        <f>IF(F2325=0,"",IF(COUNTIF(F2325,"Bao"),[1]Setup!$B$4,IF(COUNTIF(F2325,"Soup Dumpling"),[1]Setup!$B$5,F2325)))</f>
        <v/>
      </c>
    </row>
    <row r="2326" spans="2:9" x14ac:dyDescent="0.3">
      <c r="B2326" s="100">
        <f t="shared" si="238"/>
        <v>0</v>
      </c>
      <c r="C2326" s="84" t="str">
        <f t="shared" si="239"/>
        <v>January</v>
      </c>
      <c r="I2326" s="87" t="str">
        <f>IF(F2326=0,"",IF(COUNTIF(F2326,"Bao"),[1]Setup!$B$4,IF(COUNTIF(F2326,"Soup Dumpling"),[1]Setup!$B$5,F2326)))</f>
        <v/>
      </c>
    </row>
    <row r="2327" spans="2:9" x14ac:dyDescent="0.3">
      <c r="B2327" s="100">
        <f t="shared" si="238"/>
        <v>0</v>
      </c>
      <c r="C2327" s="84" t="str">
        <f t="shared" si="239"/>
        <v>January</v>
      </c>
      <c r="I2327" s="87" t="str">
        <f>IF(F2327=0,"",IF(COUNTIF(F2327,"Bao"),[1]Setup!$B$4,IF(COUNTIF(F2327,"Soup Dumpling"),[1]Setup!$B$5,F2327)))</f>
        <v/>
      </c>
    </row>
    <row r="2328" spans="2:9" x14ac:dyDescent="0.3">
      <c r="B2328" s="100">
        <f t="shared" si="238"/>
        <v>0</v>
      </c>
      <c r="C2328" s="84" t="str">
        <f t="shared" si="239"/>
        <v>January</v>
      </c>
      <c r="I2328" s="87" t="str">
        <f>IF(F2328=0,"",IF(COUNTIF(F2328,"Bao"),[1]Setup!$B$4,IF(COUNTIF(F2328,"Soup Dumpling"),[1]Setup!$B$5,F2328)))</f>
        <v/>
      </c>
    </row>
    <row r="2329" spans="2:9" x14ac:dyDescent="0.3">
      <c r="B2329" s="100">
        <f t="shared" si="238"/>
        <v>0</v>
      </c>
      <c r="C2329" s="84" t="str">
        <f t="shared" si="239"/>
        <v>January</v>
      </c>
      <c r="I2329" s="87" t="str">
        <f>IF(F2329=0,"",IF(COUNTIF(F2329,"Bao"),[1]Setup!$B$4,IF(COUNTIF(F2329,"Soup Dumpling"),[1]Setup!$B$5,F2329)))</f>
        <v/>
      </c>
    </row>
    <row r="2330" spans="2:9" x14ac:dyDescent="0.3">
      <c r="B2330" s="100">
        <f t="shared" si="238"/>
        <v>0</v>
      </c>
      <c r="C2330" s="84" t="str">
        <f t="shared" si="239"/>
        <v>January</v>
      </c>
      <c r="I2330" s="87" t="str">
        <f>IF(F2330=0,"",IF(COUNTIF(F2330,"Bao"),[1]Setup!$B$4,IF(COUNTIF(F2330,"Soup Dumpling"),[1]Setup!$B$5,F2330)))</f>
        <v/>
      </c>
    </row>
    <row r="2331" spans="2:9" x14ac:dyDescent="0.3">
      <c r="B2331" s="100">
        <f t="shared" si="238"/>
        <v>0</v>
      </c>
      <c r="C2331" s="84" t="str">
        <f t="shared" si="239"/>
        <v>January</v>
      </c>
      <c r="I2331" s="87" t="str">
        <f>IF(F2331=0,"",IF(COUNTIF(F2331,"Bao"),[1]Setup!$B$4,IF(COUNTIF(F2331,"Soup Dumpling"),[1]Setup!$B$5,F2331)))</f>
        <v/>
      </c>
    </row>
    <row r="2332" spans="2:9" x14ac:dyDescent="0.3">
      <c r="B2332" s="100">
        <f t="shared" si="238"/>
        <v>0</v>
      </c>
      <c r="C2332" s="84" t="str">
        <f t="shared" si="239"/>
        <v>January</v>
      </c>
      <c r="I2332" s="87" t="str">
        <f>IF(F2332=0,"",IF(COUNTIF(F2332,"Bao"),[1]Setup!$B$4,IF(COUNTIF(F2332,"Soup Dumpling"),[1]Setup!$B$5,F2332)))</f>
        <v/>
      </c>
    </row>
    <row r="2333" spans="2:9" x14ac:dyDescent="0.3">
      <c r="B2333" s="100">
        <f t="shared" si="238"/>
        <v>0</v>
      </c>
      <c r="C2333" s="84" t="str">
        <f t="shared" si="239"/>
        <v>January</v>
      </c>
      <c r="I2333" s="87" t="str">
        <f>IF(F2333=0,"",IF(COUNTIF(F2333,"Bao"),[1]Setup!$B$4,IF(COUNTIF(F2333,"Soup Dumpling"),[1]Setup!$B$5,F2333)))</f>
        <v/>
      </c>
    </row>
    <row r="2334" spans="2:9" x14ac:dyDescent="0.3">
      <c r="B2334" s="100">
        <f t="shared" si="238"/>
        <v>0</v>
      </c>
      <c r="C2334" s="84" t="str">
        <f t="shared" si="239"/>
        <v>January</v>
      </c>
      <c r="I2334" s="87" t="str">
        <f>IF(F2334=0,"",IF(COUNTIF(F2334,"Bao"),[1]Setup!$B$4,IF(COUNTIF(F2334,"Soup Dumpling"),[1]Setup!$B$5,F2334)))</f>
        <v/>
      </c>
    </row>
    <row r="2335" spans="2:9" x14ac:dyDescent="0.3">
      <c r="B2335" s="100">
        <f t="shared" si="238"/>
        <v>0</v>
      </c>
      <c r="C2335" s="84" t="str">
        <f t="shared" si="239"/>
        <v>January</v>
      </c>
      <c r="I2335" s="87" t="str">
        <f>IF(F2335=0,"",IF(COUNTIF(F2335,"Bao"),[1]Setup!$B$4,IF(COUNTIF(F2335,"Soup Dumpling"),[1]Setup!$B$5,F2335)))</f>
        <v/>
      </c>
    </row>
    <row r="2336" spans="2:9" x14ac:dyDescent="0.3">
      <c r="B2336" s="100">
        <f t="shared" si="238"/>
        <v>0</v>
      </c>
      <c r="C2336" s="84" t="str">
        <f t="shared" si="239"/>
        <v>January</v>
      </c>
      <c r="I2336" s="87" t="str">
        <f>IF(F2336=0,"",IF(COUNTIF(F2336,"Bao"),[1]Setup!$B$4,IF(COUNTIF(F2336,"Soup Dumpling"),[1]Setup!$B$5,F2336)))</f>
        <v/>
      </c>
    </row>
    <row r="2337" spans="2:9" x14ac:dyDescent="0.3">
      <c r="B2337" s="100">
        <f t="shared" si="238"/>
        <v>0</v>
      </c>
      <c r="C2337" s="84" t="str">
        <f t="shared" si="239"/>
        <v>January</v>
      </c>
      <c r="I2337" s="87" t="str">
        <f>IF(F2337=0,"",IF(COUNTIF(F2337,"Bao"),[1]Setup!$B$4,IF(COUNTIF(F2337,"Soup Dumpling"),[1]Setup!$B$5,F2337)))</f>
        <v/>
      </c>
    </row>
    <row r="2338" spans="2:9" x14ac:dyDescent="0.3">
      <c r="B2338" s="100">
        <f t="shared" si="238"/>
        <v>0</v>
      </c>
      <c r="C2338" s="84" t="str">
        <f t="shared" si="239"/>
        <v>January</v>
      </c>
      <c r="I2338" s="87" t="str">
        <f>IF(F2338=0,"",IF(COUNTIF(F2338,"Bao"),[1]Setup!$B$4,IF(COUNTIF(F2338,"Soup Dumpling"),[1]Setup!$B$5,F2338)))</f>
        <v/>
      </c>
    </row>
    <row r="2339" spans="2:9" x14ac:dyDescent="0.3">
      <c r="B2339" s="100">
        <f t="shared" si="238"/>
        <v>0</v>
      </c>
      <c r="C2339" s="84" t="str">
        <f t="shared" si="239"/>
        <v>January</v>
      </c>
      <c r="I2339" s="87" t="str">
        <f>IF(F2339=0,"",IF(COUNTIF(F2339,"Bao"),[1]Setup!$B$4,IF(COUNTIF(F2339,"Soup Dumpling"),[1]Setup!$B$5,F2339)))</f>
        <v/>
      </c>
    </row>
    <row r="2340" spans="2:9" x14ac:dyDescent="0.3">
      <c r="B2340" s="100">
        <f t="shared" si="238"/>
        <v>0</v>
      </c>
      <c r="C2340" s="84" t="str">
        <f t="shared" si="239"/>
        <v>January</v>
      </c>
      <c r="I2340" s="87" t="str">
        <f>IF(F2340=0,"",IF(COUNTIF(F2340,"Bao"),[1]Setup!$B$4,IF(COUNTIF(F2340,"Soup Dumpling"),[1]Setup!$B$5,F2340)))</f>
        <v/>
      </c>
    </row>
    <row r="2341" spans="2:9" x14ac:dyDescent="0.3">
      <c r="B2341" s="100">
        <f t="shared" si="238"/>
        <v>0</v>
      </c>
      <c r="C2341" s="84" t="str">
        <f t="shared" si="239"/>
        <v>January</v>
      </c>
      <c r="I2341" s="87" t="str">
        <f>IF(F2341=0,"",IF(COUNTIF(F2341,"Bao"),[1]Setup!$B$4,IF(COUNTIF(F2341,"Soup Dumpling"),[1]Setup!$B$5,F2341)))</f>
        <v/>
      </c>
    </row>
    <row r="2342" spans="2:9" x14ac:dyDescent="0.3">
      <c r="B2342" s="100">
        <f t="shared" si="238"/>
        <v>0</v>
      </c>
      <c r="C2342" s="84" t="str">
        <f t="shared" si="239"/>
        <v>January</v>
      </c>
      <c r="I2342" s="87" t="str">
        <f>IF(F2342=0,"",IF(COUNTIF(F2342,"Bao"),[1]Setup!$B$4,IF(COUNTIF(F2342,"Soup Dumpling"),[1]Setup!$B$5,F2342)))</f>
        <v/>
      </c>
    </row>
    <row r="2343" spans="2:9" x14ac:dyDescent="0.3">
      <c r="B2343" s="100">
        <f t="shared" si="238"/>
        <v>0</v>
      </c>
      <c r="C2343" s="84" t="str">
        <f t="shared" si="239"/>
        <v>January</v>
      </c>
      <c r="I2343" s="87" t="str">
        <f>IF(F2343=0,"",IF(COUNTIF(F2343,"Bao"),[1]Setup!$B$4,IF(COUNTIF(F2343,"Soup Dumpling"),[1]Setup!$B$5,F2343)))</f>
        <v/>
      </c>
    </row>
    <row r="2344" spans="2:9" x14ac:dyDescent="0.3">
      <c r="B2344" s="100">
        <f t="shared" si="238"/>
        <v>0</v>
      </c>
      <c r="C2344" s="84" t="str">
        <f t="shared" si="239"/>
        <v>January</v>
      </c>
      <c r="I2344" s="87" t="str">
        <f>IF(F2344=0,"",IF(COUNTIF(F2344,"Bao"),[1]Setup!$B$4,IF(COUNTIF(F2344,"Soup Dumpling"),[1]Setup!$B$5,F2344)))</f>
        <v/>
      </c>
    </row>
    <row r="2345" spans="2:9" x14ac:dyDescent="0.3">
      <c r="B2345" s="100">
        <f t="shared" si="238"/>
        <v>0</v>
      </c>
      <c r="C2345" s="84" t="str">
        <f t="shared" si="239"/>
        <v>January</v>
      </c>
      <c r="I2345" s="87" t="str">
        <f>IF(F2345=0,"",IF(COUNTIF(F2345,"Bao"),[1]Setup!$B$4,IF(COUNTIF(F2345,"Soup Dumpling"),[1]Setup!$B$5,F2345)))</f>
        <v/>
      </c>
    </row>
    <row r="2346" spans="2:9" x14ac:dyDescent="0.3">
      <c r="B2346" s="100">
        <f t="shared" si="238"/>
        <v>0</v>
      </c>
      <c r="C2346" s="84" t="str">
        <f t="shared" si="239"/>
        <v>January</v>
      </c>
      <c r="I2346" s="87" t="str">
        <f>IF(F2346=0,"",IF(COUNTIF(F2346,"Bao"),[1]Setup!$B$4,IF(COUNTIF(F2346,"Soup Dumpling"),[1]Setup!$B$5,F2346)))</f>
        <v/>
      </c>
    </row>
    <row r="2347" spans="2:9" x14ac:dyDescent="0.3">
      <c r="B2347" s="100">
        <f t="shared" si="238"/>
        <v>0</v>
      </c>
      <c r="C2347" s="84" t="str">
        <f t="shared" si="239"/>
        <v>January</v>
      </c>
      <c r="I2347" s="87" t="str">
        <f>IF(F2347=0,"",IF(COUNTIF(F2347,"Bao"),[1]Setup!$B$4,IF(COUNTIF(F2347,"Soup Dumpling"),[1]Setup!$B$5,F2347)))</f>
        <v/>
      </c>
    </row>
    <row r="2348" spans="2:9" x14ac:dyDescent="0.3">
      <c r="B2348" s="100">
        <f t="shared" si="238"/>
        <v>0</v>
      </c>
      <c r="C2348" s="84" t="str">
        <f t="shared" si="239"/>
        <v>January</v>
      </c>
      <c r="I2348" s="87" t="str">
        <f>IF(F2348=0,"",IF(COUNTIF(F2348,"Bao"),[1]Setup!$B$4,IF(COUNTIF(F2348,"Soup Dumpling"),[1]Setup!$B$5,F2348)))</f>
        <v/>
      </c>
    </row>
    <row r="2349" spans="2:9" x14ac:dyDescent="0.3">
      <c r="B2349" s="100">
        <f t="shared" si="238"/>
        <v>0</v>
      </c>
      <c r="C2349" s="84" t="str">
        <f t="shared" si="239"/>
        <v>January</v>
      </c>
      <c r="I2349" s="87" t="str">
        <f>IF(F2349=0,"",IF(COUNTIF(F2349,"Bao"),[1]Setup!$B$4,IF(COUNTIF(F2349,"Soup Dumpling"),[1]Setup!$B$5,F2349)))</f>
        <v/>
      </c>
    </row>
    <row r="2350" spans="2:9" x14ac:dyDescent="0.3">
      <c r="B2350" s="100">
        <f t="shared" si="238"/>
        <v>0</v>
      </c>
      <c r="C2350" s="84" t="str">
        <f t="shared" si="239"/>
        <v>January</v>
      </c>
      <c r="I2350" s="87" t="str">
        <f>IF(F2350=0,"",IF(COUNTIF(F2350,"Bao"),[1]Setup!$B$4,IF(COUNTIF(F2350,"Soup Dumpling"),[1]Setup!$B$5,F2350)))</f>
        <v/>
      </c>
    </row>
    <row r="2351" spans="2:9" x14ac:dyDescent="0.3">
      <c r="B2351" s="100">
        <f t="shared" si="238"/>
        <v>0</v>
      </c>
      <c r="C2351" s="84" t="str">
        <f t="shared" si="239"/>
        <v>January</v>
      </c>
      <c r="I2351" s="87" t="str">
        <f>IF(F2351=0,"",IF(COUNTIF(F2351,"Bao"),[1]Setup!$B$4,IF(COUNTIF(F2351,"Soup Dumpling"),[1]Setup!$B$5,F2351)))</f>
        <v/>
      </c>
    </row>
    <row r="2352" spans="2:9" x14ac:dyDescent="0.3">
      <c r="B2352" s="100">
        <f t="shared" si="238"/>
        <v>0</v>
      </c>
      <c r="C2352" s="84" t="str">
        <f t="shared" si="239"/>
        <v>January</v>
      </c>
      <c r="I2352" s="87" t="str">
        <f>IF(F2352=0,"",IF(COUNTIF(F2352,"Bao"),[1]Setup!$B$4,IF(COUNTIF(F2352,"Soup Dumpling"),[1]Setup!$B$5,F2352)))</f>
        <v/>
      </c>
    </row>
    <row r="2353" spans="2:9" x14ac:dyDescent="0.3">
      <c r="B2353" s="100">
        <f t="shared" si="238"/>
        <v>0</v>
      </c>
      <c r="C2353" s="84" t="str">
        <f t="shared" si="239"/>
        <v>January</v>
      </c>
      <c r="I2353" s="87" t="str">
        <f>IF(F2353=0,"",IF(COUNTIF(F2353,"Bao"),[1]Setup!$B$4,IF(COUNTIF(F2353,"Soup Dumpling"),[1]Setup!$B$5,F2353)))</f>
        <v/>
      </c>
    </row>
    <row r="2354" spans="2:9" x14ac:dyDescent="0.3">
      <c r="B2354" s="100">
        <f t="shared" si="238"/>
        <v>0</v>
      </c>
      <c r="C2354" s="84" t="str">
        <f t="shared" si="239"/>
        <v>January</v>
      </c>
      <c r="I2354" s="87" t="str">
        <f>IF(F2354=0,"",IF(COUNTIF(F2354,"Bao"),[1]Setup!$B$4,IF(COUNTIF(F2354,"Soup Dumpling"),[1]Setup!$B$5,F2354)))</f>
        <v/>
      </c>
    </row>
    <row r="2355" spans="2:9" x14ac:dyDescent="0.3">
      <c r="B2355" s="100">
        <f t="shared" si="238"/>
        <v>0</v>
      </c>
      <c r="C2355" s="84" t="str">
        <f t="shared" si="239"/>
        <v>January</v>
      </c>
      <c r="I2355" s="87" t="str">
        <f>IF(F2355=0,"",IF(COUNTIF(F2355,"Bao"),[1]Setup!$B$4,IF(COUNTIF(F2355,"Soup Dumpling"),[1]Setup!$B$5,F2355)))</f>
        <v/>
      </c>
    </row>
    <row r="2356" spans="2:9" x14ac:dyDescent="0.3">
      <c r="B2356" s="100">
        <f t="shared" si="238"/>
        <v>0</v>
      </c>
      <c r="C2356" s="84" t="str">
        <f t="shared" si="239"/>
        <v>January</v>
      </c>
      <c r="I2356" s="87" t="str">
        <f>IF(F2356=0,"",IF(COUNTIF(F2356,"Bao"),[1]Setup!$B$4,IF(COUNTIF(F2356,"Soup Dumpling"),[1]Setup!$B$5,F2356)))</f>
        <v/>
      </c>
    </row>
    <row r="2357" spans="2:9" x14ac:dyDescent="0.3">
      <c r="B2357" s="100">
        <f t="shared" si="238"/>
        <v>0</v>
      </c>
      <c r="C2357" s="84" t="str">
        <f t="shared" si="239"/>
        <v>January</v>
      </c>
      <c r="I2357" s="87" t="str">
        <f>IF(F2357=0,"",IF(COUNTIF(F2357,"Bao"),[1]Setup!$B$4,IF(COUNTIF(F2357,"Soup Dumpling"),[1]Setup!$B$5,F2357)))</f>
        <v/>
      </c>
    </row>
    <row r="2358" spans="2:9" x14ac:dyDescent="0.3">
      <c r="B2358" s="100">
        <f t="shared" si="238"/>
        <v>0</v>
      </c>
      <c r="C2358" s="84" t="str">
        <f t="shared" si="239"/>
        <v>January</v>
      </c>
      <c r="I2358" s="87" t="str">
        <f>IF(F2358=0,"",IF(COUNTIF(F2358,"Bao"),[1]Setup!$B$4,IF(COUNTIF(F2358,"Soup Dumpling"),[1]Setup!$B$5,F2358)))</f>
        <v/>
      </c>
    </row>
    <row r="2359" spans="2:9" x14ac:dyDescent="0.3">
      <c r="B2359" s="100">
        <f t="shared" si="238"/>
        <v>0</v>
      </c>
      <c r="C2359" s="84" t="str">
        <f t="shared" si="239"/>
        <v>January</v>
      </c>
      <c r="I2359" s="87" t="str">
        <f>IF(F2359=0,"",IF(COUNTIF(F2359,"Bao"),[1]Setup!$B$4,IF(COUNTIF(F2359,"Soup Dumpling"),[1]Setup!$B$5,F2359)))</f>
        <v/>
      </c>
    </row>
    <row r="2360" spans="2:9" x14ac:dyDescent="0.3">
      <c r="B2360" s="100">
        <f t="shared" si="238"/>
        <v>0</v>
      </c>
      <c r="C2360" s="84" t="str">
        <f t="shared" si="239"/>
        <v>January</v>
      </c>
      <c r="I2360" s="87" t="str">
        <f>IF(F2360=0,"",IF(COUNTIF(F2360,"Bao"),[1]Setup!$B$4,IF(COUNTIF(F2360,"Soup Dumpling"),[1]Setup!$B$5,F2360)))</f>
        <v/>
      </c>
    </row>
    <row r="2361" spans="2:9" x14ac:dyDescent="0.3">
      <c r="B2361" s="100">
        <f t="shared" si="238"/>
        <v>0</v>
      </c>
      <c r="C2361" s="84" t="str">
        <f t="shared" si="239"/>
        <v>January</v>
      </c>
      <c r="I2361" s="87" t="str">
        <f>IF(F2361=0,"",IF(COUNTIF(F2361,"Bao"),[1]Setup!$B$4,IF(COUNTIF(F2361,"Soup Dumpling"),[1]Setup!$B$5,F2361)))</f>
        <v/>
      </c>
    </row>
    <row r="2362" spans="2:9" x14ac:dyDescent="0.3">
      <c r="B2362" s="100">
        <f t="shared" si="238"/>
        <v>0</v>
      </c>
      <c r="C2362" s="84" t="str">
        <f t="shared" si="239"/>
        <v>January</v>
      </c>
      <c r="I2362" s="87" t="str">
        <f>IF(F2362=0,"",IF(COUNTIF(F2362,"Bao"),[1]Setup!$B$4,IF(COUNTIF(F2362,"Soup Dumpling"),[1]Setup!$B$5,F2362)))</f>
        <v/>
      </c>
    </row>
    <row r="2363" spans="2:9" x14ac:dyDescent="0.3">
      <c r="B2363" s="100">
        <f t="shared" si="238"/>
        <v>0</v>
      </c>
      <c r="C2363" s="84" t="str">
        <f t="shared" si="239"/>
        <v>January</v>
      </c>
      <c r="I2363" s="87" t="str">
        <f>IF(F2363=0,"",IF(COUNTIF(F2363,"Bao"),[1]Setup!$B$4,IF(COUNTIF(F2363,"Soup Dumpling"),[1]Setup!$B$5,F2363)))</f>
        <v/>
      </c>
    </row>
    <row r="2364" spans="2:9" x14ac:dyDescent="0.3">
      <c r="B2364" s="100">
        <f t="shared" si="238"/>
        <v>0</v>
      </c>
      <c r="C2364" s="84" t="str">
        <f t="shared" si="239"/>
        <v>January</v>
      </c>
      <c r="I2364" s="87" t="str">
        <f>IF(F2364=0,"",IF(COUNTIF(F2364,"Bao"),[1]Setup!$B$4,IF(COUNTIF(F2364,"Soup Dumpling"),[1]Setup!$B$5,F2364)))</f>
        <v/>
      </c>
    </row>
    <row r="2365" spans="2:9" x14ac:dyDescent="0.3">
      <c r="B2365" s="100">
        <f t="shared" si="238"/>
        <v>0</v>
      </c>
      <c r="C2365" s="84" t="str">
        <f t="shared" si="239"/>
        <v>January</v>
      </c>
      <c r="I2365" s="87" t="str">
        <f>IF(F2365=0,"",IF(COUNTIF(F2365,"Bao"),[1]Setup!$B$4,IF(COUNTIF(F2365,"Soup Dumpling"),[1]Setup!$B$5,F2365)))</f>
        <v/>
      </c>
    </row>
    <row r="2366" spans="2:9" x14ac:dyDescent="0.3">
      <c r="B2366" s="100">
        <f t="shared" si="238"/>
        <v>0</v>
      </c>
      <c r="C2366" s="84" t="str">
        <f t="shared" si="239"/>
        <v>January</v>
      </c>
      <c r="I2366" s="87" t="str">
        <f>IF(F2366=0,"",IF(COUNTIF(F2366,"Bao"),[1]Setup!$B$4,IF(COUNTIF(F2366,"Soup Dumpling"),[1]Setup!$B$5,F2366)))</f>
        <v/>
      </c>
    </row>
    <row r="2367" spans="2:9" x14ac:dyDescent="0.3">
      <c r="B2367" s="100">
        <f t="shared" si="238"/>
        <v>0</v>
      </c>
      <c r="C2367" s="84" t="str">
        <f t="shared" si="239"/>
        <v>January</v>
      </c>
      <c r="I2367" s="87" t="str">
        <f>IF(F2367=0,"",IF(COUNTIF(F2367,"Bao"),[1]Setup!$B$4,IF(COUNTIF(F2367,"Soup Dumpling"),[1]Setup!$B$5,F2367)))</f>
        <v/>
      </c>
    </row>
    <row r="2368" spans="2:9" x14ac:dyDescent="0.3">
      <c r="B2368" s="100">
        <f t="shared" si="238"/>
        <v>0</v>
      </c>
      <c r="C2368" s="84" t="str">
        <f t="shared" si="239"/>
        <v>January</v>
      </c>
      <c r="I2368" s="87" t="str">
        <f>IF(F2368=0,"",IF(COUNTIF(F2368,"Bao"),[1]Setup!$B$4,IF(COUNTIF(F2368,"Soup Dumpling"),[1]Setup!$B$5,F2368)))</f>
        <v/>
      </c>
    </row>
    <row r="2369" spans="2:9" x14ac:dyDescent="0.3">
      <c r="B2369" s="100">
        <f t="shared" si="238"/>
        <v>0</v>
      </c>
      <c r="C2369" s="84" t="str">
        <f t="shared" si="239"/>
        <v>January</v>
      </c>
      <c r="I2369" s="87" t="str">
        <f>IF(F2369=0,"",IF(COUNTIF(F2369,"Bao"),[1]Setup!$B$4,IF(COUNTIF(F2369,"Soup Dumpling"),[1]Setup!$B$5,F2369)))</f>
        <v/>
      </c>
    </row>
    <row r="2370" spans="2:9" x14ac:dyDescent="0.3">
      <c r="B2370" s="100">
        <f t="shared" si="238"/>
        <v>0</v>
      </c>
      <c r="C2370" s="84" t="str">
        <f t="shared" si="239"/>
        <v>January</v>
      </c>
      <c r="I2370" s="87" t="str">
        <f>IF(F2370=0,"",IF(COUNTIF(F2370,"Bao"),[1]Setup!$B$4,IF(COUNTIF(F2370,"Soup Dumpling"),[1]Setup!$B$5,F2370)))</f>
        <v/>
      </c>
    </row>
    <row r="2371" spans="2:9" x14ac:dyDescent="0.3">
      <c r="B2371" s="100">
        <f t="shared" si="238"/>
        <v>0</v>
      </c>
      <c r="C2371" s="84" t="str">
        <f t="shared" si="239"/>
        <v>January</v>
      </c>
      <c r="I2371" s="87" t="str">
        <f>IF(F2371=0,"",IF(COUNTIF(F2371,"Bao"),[1]Setup!$B$4,IF(COUNTIF(F2371,"Soup Dumpling"),[1]Setup!$B$5,F2371)))</f>
        <v/>
      </c>
    </row>
    <row r="2372" spans="2:9" x14ac:dyDescent="0.3">
      <c r="B2372" s="100">
        <f t="shared" si="238"/>
        <v>0</v>
      </c>
      <c r="C2372" s="84" t="str">
        <f t="shared" si="239"/>
        <v>January</v>
      </c>
      <c r="I2372" s="87" t="str">
        <f>IF(F2372=0,"",IF(COUNTIF(F2372,"Bao"),[1]Setup!$B$4,IF(COUNTIF(F2372,"Soup Dumpling"),[1]Setup!$B$5,F2372)))</f>
        <v/>
      </c>
    </row>
    <row r="2373" spans="2:9" x14ac:dyDescent="0.3">
      <c r="B2373" s="100">
        <f t="shared" ref="B2373:B2436" si="240">+WEEKNUM(A2373)</f>
        <v>0</v>
      </c>
      <c r="C2373" s="84" t="str">
        <f t="shared" ref="C2373:C2436" si="241">+TEXT(A2373,"mmmm")</f>
        <v>January</v>
      </c>
      <c r="I2373" s="87" t="str">
        <f>IF(F2373=0,"",IF(COUNTIF(F2373,"Bao"),[1]Setup!$B$4,IF(COUNTIF(F2373,"Soup Dumpling"),[1]Setup!$B$5,F2373)))</f>
        <v/>
      </c>
    </row>
    <row r="2374" spans="2:9" x14ac:dyDescent="0.3">
      <c r="B2374" s="100">
        <f t="shared" si="240"/>
        <v>0</v>
      </c>
      <c r="C2374" s="84" t="str">
        <f t="shared" si="241"/>
        <v>January</v>
      </c>
      <c r="I2374" s="87" t="str">
        <f>IF(F2374=0,"",IF(COUNTIF(F2374,"Bao"),[1]Setup!$B$4,IF(COUNTIF(F2374,"Soup Dumpling"),[1]Setup!$B$5,F2374)))</f>
        <v/>
      </c>
    </row>
    <row r="2375" spans="2:9" x14ac:dyDescent="0.3">
      <c r="B2375" s="100">
        <f t="shared" si="240"/>
        <v>0</v>
      </c>
      <c r="C2375" s="84" t="str">
        <f t="shared" si="241"/>
        <v>January</v>
      </c>
      <c r="I2375" s="87" t="str">
        <f>IF(F2375=0,"",IF(COUNTIF(F2375,"Bao"),[1]Setup!$B$4,IF(COUNTIF(F2375,"Soup Dumpling"),[1]Setup!$B$5,F2375)))</f>
        <v/>
      </c>
    </row>
    <row r="2376" spans="2:9" x14ac:dyDescent="0.3">
      <c r="B2376" s="100">
        <f t="shared" si="240"/>
        <v>0</v>
      </c>
      <c r="C2376" s="84" t="str">
        <f t="shared" si="241"/>
        <v>January</v>
      </c>
      <c r="I2376" s="87" t="str">
        <f>IF(F2376=0,"",IF(COUNTIF(F2376,"Bao"),[1]Setup!$B$4,IF(COUNTIF(F2376,"Soup Dumpling"),[1]Setup!$B$5,F2376)))</f>
        <v/>
      </c>
    </row>
    <row r="2377" spans="2:9" x14ac:dyDescent="0.3">
      <c r="B2377" s="100">
        <f t="shared" si="240"/>
        <v>0</v>
      </c>
      <c r="C2377" s="84" t="str">
        <f t="shared" si="241"/>
        <v>January</v>
      </c>
      <c r="I2377" s="87" t="str">
        <f>IF(F2377=0,"",IF(COUNTIF(F2377,"Bao"),[1]Setup!$B$4,IF(COUNTIF(F2377,"Soup Dumpling"),[1]Setup!$B$5,F2377)))</f>
        <v/>
      </c>
    </row>
    <row r="2378" spans="2:9" x14ac:dyDescent="0.3">
      <c r="B2378" s="100">
        <f t="shared" si="240"/>
        <v>0</v>
      </c>
      <c r="C2378" s="84" t="str">
        <f t="shared" si="241"/>
        <v>January</v>
      </c>
      <c r="I2378" s="87" t="str">
        <f>IF(F2378=0,"",IF(COUNTIF(F2378,"Bao"),[1]Setup!$B$4,IF(COUNTIF(F2378,"Soup Dumpling"),[1]Setup!$B$5,F2378)))</f>
        <v/>
      </c>
    </row>
    <row r="2379" spans="2:9" x14ac:dyDescent="0.3">
      <c r="B2379" s="100">
        <f t="shared" si="240"/>
        <v>0</v>
      </c>
      <c r="C2379" s="84" t="str">
        <f t="shared" si="241"/>
        <v>January</v>
      </c>
      <c r="I2379" s="87" t="str">
        <f>IF(F2379=0,"",IF(COUNTIF(F2379,"Bao"),[1]Setup!$B$4,IF(COUNTIF(F2379,"Soup Dumpling"),[1]Setup!$B$5,F2379)))</f>
        <v/>
      </c>
    </row>
    <row r="2380" spans="2:9" x14ac:dyDescent="0.3">
      <c r="B2380" s="100">
        <f t="shared" si="240"/>
        <v>0</v>
      </c>
      <c r="C2380" s="84" t="str">
        <f t="shared" si="241"/>
        <v>January</v>
      </c>
      <c r="I2380" s="87" t="str">
        <f>IF(F2380=0,"",IF(COUNTIF(F2380,"Bao"),[1]Setup!$B$4,IF(COUNTIF(F2380,"Soup Dumpling"),[1]Setup!$B$5,F2380)))</f>
        <v/>
      </c>
    </row>
    <row r="2381" spans="2:9" x14ac:dyDescent="0.3">
      <c r="B2381" s="100">
        <f t="shared" si="240"/>
        <v>0</v>
      </c>
      <c r="C2381" s="84" t="str">
        <f t="shared" si="241"/>
        <v>January</v>
      </c>
      <c r="I2381" s="87" t="str">
        <f>IF(F2381=0,"",IF(COUNTIF(F2381,"Bao"),[1]Setup!$B$4,IF(COUNTIF(F2381,"Soup Dumpling"),[1]Setup!$B$5,F2381)))</f>
        <v/>
      </c>
    </row>
    <row r="2382" spans="2:9" x14ac:dyDescent="0.3">
      <c r="B2382" s="100">
        <f t="shared" si="240"/>
        <v>0</v>
      </c>
      <c r="C2382" s="84" t="str">
        <f t="shared" si="241"/>
        <v>January</v>
      </c>
      <c r="I2382" s="87" t="str">
        <f>IF(F2382=0,"",IF(COUNTIF(F2382,"Bao"),[1]Setup!$B$4,IF(COUNTIF(F2382,"Soup Dumpling"),[1]Setup!$B$5,F2382)))</f>
        <v/>
      </c>
    </row>
    <row r="2383" spans="2:9" x14ac:dyDescent="0.3">
      <c r="B2383" s="100">
        <f t="shared" si="240"/>
        <v>0</v>
      </c>
      <c r="C2383" s="84" t="str">
        <f t="shared" si="241"/>
        <v>January</v>
      </c>
      <c r="I2383" s="87" t="str">
        <f>IF(F2383=0,"",IF(COUNTIF(F2383,"Bao"),[1]Setup!$B$4,IF(COUNTIF(F2383,"Soup Dumpling"),[1]Setup!$B$5,F2383)))</f>
        <v/>
      </c>
    </row>
    <row r="2384" spans="2:9" x14ac:dyDescent="0.3">
      <c r="B2384" s="100">
        <f t="shared" si="240"/>
        <v>0</v>
      </c>
      <c r="C2384" s="84" t="str">
        <f t="shared" si="241"/>
        <v>January</v>
      </c>
      <c r="I2384" s="87" t="str">
        <f>IF(F2384=0,"",IF(COUNTIF(F2384,"Bao"),[1]Setup!$B$4,IF(COUNTIF(F2384,"Soup Dumpling"),[1]Setup!$B$5,F2384)))</f>
        <v/>
      </c>
    </row>
    <row r="2385" spans="2:9" x14ac:dyDescent="0.3">
      <c r="B2385" s="100">
        <f t="shared" si="240"/>
        <v>0</v>
      </c>
      <c r="C2385" s="84" t="str">
        <f t="shared" si="241"/>
        <v>January</v>
      </c>
      <c r="I2385" s="87" t="str">
        <f>IF(F2385=0,"",IF(COUNTIF(F2385,"Bao"),[1]Setup!$B$4,IF(COUNTIF(F2385,"Soup Dumpling"),[1]Setup!$B$5,F2385)))</f>
        <v/>
      </c>
    </row>
    <row r="2386" spans="2:9" x14ac:dyDescent="0.3">
      <c r="B2386" s="100">
        <f t="shared" si="240"/>
        <v>0</v>
      </c>
      <c r="C2386" s="84" t="str">
        <f t="shared" si="241"/>
        <v>January</v>
      </c>
      <c r="I2386" s="87" t="str">
        <f>IF(F2386=0,"",IF(COUNTIF(F2386,"Bao"),[1]Setup!$B$4,IF(COUNTIF(F2386,"Soup Dumpling"),[1]Setup!$B$5,F2386)))</f>
        <v/>
      </c>
    </row>
    <row r="2387" spans="2:9" x14ac:dyDescent="0.3">
      <c r="B2387" s="100">
        <f t="shared" si="240"/>
        <v>0</v>
      </c>
      <c r="C2387" s="84" t="str">
        <f t="shared" si="241"/>
        <v>January</v>
      </c>
      <c r="I2387" s="87" t="str">
        <f>IF(F2387=0,"",IF(COUNTIF(F2387,"Bao"),[1]Setup!$B$4,IF(COUNTIF(F2387,"Soup Dumpling"),[1]Setup!$B$5,F2387)))</f>
        <v/>
      </c>
    </row>
    <row r="2388" spans="2:9" x14ac:dyDescent="0.3">
      <c r="B2388" s="100">
        <f t="shared" si="240"/>
        <v>0</v>
      </c>
      <c r="C2388" s="84" t="str">
        <f t="shared" si="241"/>
        <v>January</v>
      </c>
      <c r="I2388" s="87" t="str">
        <f>IF(F2388=0,"",IF(COUNTIF(F2388,"Bao"),[1]Setup!$B$4,IF(COUNTIF(F2388,"Soup Dumpling"),[1]Setup!$B$5,F2388)))</f>
        <v/>
      </c>
    </row>
    <row r="2389" spans="2:9" x14ac:dyDescent="0.3">
      <c r="B2389" s="100">
        <f t="shared" si="240"/>
        <v>0</v>
      </c>
      <c r="C2389" s="84" t="str">
        <f t="shared" si="241"/>
        <v>January</v>
      </c>
      <c r="I2389" s="87" t="str">
        <f>IF(F2389=0,"",IF(COUNTIF(F2389,"Bao"),[1]Setup!$B$4,IF(COUNTIF(F2389,"Soup Dumpling"),[1]Setup!$B$5,F2389)))</f>
        <v/>
      </c>
    </row>
    <row r="2390" spans="2:9" x14ac:dyDescent="0.3">
      <c r="B2390" s="100">
        <f t="shared" si="240"/>
        <v>0</v>
      </c>
      <c r="C2390" s="84" t="str">
        <f t="shared" si="241"/>
        <v>January</v>
      </c>
      <c r="I2390" s="87" t="str">
        <f>IF(F2390=0,"",IF(COUNTIF(F2390,"Bao"),[1]Setup!$B$4,IF(COUNTIF(F2390,"Soup Dumpling"),[1]Setup!$B$5,F2390)))</f>
        <v/>
      </c>
    </row>
    <row r="2391" spans="2:9" x14ac:dyDescent="0.3">
      <c r="B2391" s="100">
        <f t="shared" si="240"/>
        <v>0</v>
      </c>
      <c r="C2391" s="84" t="str">
        <f t="shared" si="241"/>
        <v>January</v>
      </c>
      <c r="I2391" s="87" t="str">
        <f>IF(F2391=0,"",IF(COUNTIF(F2391,"Bao"),[1]Setup!$B$4,IF(COUNTIF(F2391,"Soup Dumpling"),[1]Setup!$B$5,F2391)))</f>
        <v/>
      </c>
    </row>
    <row r="2392" spans="2:9" x14ac:dyDescent="0.3">
      <c r="B2392" s="100">
        <f t="shared" si="240"/>
        <v>0</v>
      </c>
      <c r="C2392" s="84" t="str">
        <f t="shared" si="241"/>
        <v>January</v>
      </c>
      <c r="I2392" s="87" t="str">
        <f>IF(F2392=0,"",IF(COUNTIF(F2392,"Bao"),[1]Setup!$B$4,IF(COUNTIF(F2392,"Soup Dumpling"),[1]Setup!$B$5,F2392)))</f>
        <v/>
      </c>
    </row>
    <row r="2393" spans="2:9" x14ac:dyDescent="0.3">
      <c r="B2393" s="100">
        <f t="shared" si="240"/>
        <v>0</v>
      </c>
      <c r="C2393" s="84" t="str">
        <f t="shared" si="241"/>
        <v>January</v>
      </c>
      <c r="I2393" s="87" t="str">
        <f>IF(F2393=0,"",IF(COUNTIF(F2393,"Bao"),[1]Setup!$B$4,IF(COUNTIF(F2393,"Soup Dumpling"),[1]Setup!$B$5,F2393)))</f>
        <v/>
      </c>
    </row>
    <row r="2394" spans="2:9" x14ac:dyDescent="0.3">
      <c r="B2394" s="100">
        <f t="shared" si="240"/>
        <v>0</v>
      </c>
      <c r="C2394" s="84" t="str">
        <f t="shared" si="241"/>
        <v>January</v>
      </c>
      <c r="I2394" s="87" t="str">
        <f>IF(F2394=0,"",IF(COUNTIF(F2394,"Bao"),[1]Setup!$B$4,IF(COUNTIF(F2394,"Soup Dumpling"),[1]Setup!$B$5,F2394)))</f>
        <v/>
      </c>
    </row>
    <row r="2395" spans="2:9" x14ac:dyDescent="0.3">
      <c r="B2395" s="100">
        <f t="shared" si="240"/>
        <v>0</v>
      </c>
      <c r="C2395" s="84" t="str">
        <f t="shared" si="241"/>
        <v>January</v>
      </c>
      <c r="I2395" s="87" t="str">
        <f>IF(F2395=0,"",IF(COUNTIF(F2395,"Bao"),[1]Setup!$B$4,IF(COUNTIF(F2395,"Soup Dumpling"),[1]Setup!$B$5,F2395)))</f>
        <v/>
      </c>
    </row>
    <row r="2396" spans="2:9" x14ac:dyDescent="0.3">
      <c r="B2396" s="100">
        <f t="shared" si="240"/>
        <v>0</v>
      </c>
      <c r="C2396" s="84" t="str">
        <f t="shared" si="241"/>
        <v>January</v>
      </c>
      <c r="I2396" s="87" t="str">
        <f>IF(F2396=0,"",IF(COUNTIF(F2396,"Bao"),[1]Setup!$B$4,IF(COUNTIF(F2396,"Soup Dumpling"),[1]Setup!$B$5,F2396)))</f>
        <v/>
      </c>
    </row>
    <row r="2397" spans="2:9" x14ac:dyDescent="0.3">
      <c r="B2397" s="100">
        <f t="shared" si="240"/>
        <v>0</v>
      </c>
      <c r="C2397" s="84" t="str">
        <f t="shared" si="241"/>
        <v>January</v>
      </c>
      <c r="I2397" s="87" t="str">
        <f>IF(F2397=0,"",IF(COUNTIF(F2397,"Bao"),[1]Setup!$B$4,IF(COUNTIF(F2397,"Soup Dumpling"),[1]Setup!$B$5,F2397)))</f>
        <v/>
      </c>
    </row>
    <row r="2398" spans="2:9" x14ac:dyDescent="0.3">
      <c r="B2398" s="100">
        <f t="shared" si="240"/>
        <v>0</v>
      </c>
      <c r="C2398" s="84" t="str">
        <f t="shared" si="241"/>
        <v>January</v>
      </c>
      <c r="I2398" s="87" t="str">
        <f>IF(F2398=0,"",IF(COUNTIF(F2398,"Bao"),[1]Setup!$B$4,IF(COUNTIF(F2398,"Soup Dumpling"),[1]Setup!$B$5,F2398)))</f>
        <v/>
      </c>
    </row>
    <row r="2399" spans="2:9" x14ac:dyDescent="0.3">
      <c r="B2399" s="100">
        <f t="shared" si="240"/>
        <v>0</v>
      </c>
      <c r="C2399" s="84" t="str">
        <f t="shared" si="241"/>
        <v>January</v>
      </c>
      <c r="I2399" s="87" t="str">
        <f>IF(F2399=0,"",IF(COUNTIF(F2399,"Bao"),[1]Setup!$B$4,IF(COUNTIF(F2399,"Soup Dumpling"),[1]Setup!$B$5,F2399)))</f>
        <v/>
      </c>
    </row>
    <row r="2400" spans="2:9" x14ac:dyDescent="0.3">
      <c r="B2400" s="100">
        <f t="shared" si="240"/>
        <v>0</v>
      </c>
      <c r="C2400" s="84" t="str">
        <f t="shared" si="241"/>
        <v>January</v>
      </c>
      <c r="I2400" s="87" t="str">
        <f>IF(F2400=0,"",IF(COUNTIF(F2400,"Bao"),[1]Setup!$B$4,IF(COUNTIF(F2400,"Soup Dumpling"),[1]Setup!$B$5,F2400)))</f>
        <v/>
      </c>
    </row>
    <row r="2401" spans="2:9" x14ac:dyDescent="0.3">
      <c r="B2401" s="100">
        <f t="shared" si="240"/>
        <v>0</v>
      </c>
      <c r="C2401" s="84" t="str">
        <f t="shared" si="241"/>
        <v>January</v>
      </c>
      <c r="I2401" s="87" t="str">
        <f>IF(F2401=0,"",IF(COUNTIF(F2401,"Bao"),[1]Setup!$B$4,IF(COUNTIF(F2401,"Soup Dumpling"),[1]Setup!$B$5,F2401)))</f>
        <v/>
      </c>
    </row>
    <row r="2402" spans="2:9" x14ac:dyDescent="0.3">
      <c r="B2402" s="100">
        <f t="shared" si="240"/>
        <v>0</v>
      </c>
      <c r="C2402" s="84" t="str">
        <f t="shared" si="241"/>
        <v>January</v>
      </c>
      <c r="I2402" s="87" t="str">
        <f>IF(F2402=0,"",IF(COUNTIF(F2402,"Bao"),[1]Setup!$B$4,IF(COUNTIF(F2402,"Soup Dumpling"),[1]Setup!$B$5,F2402)))</f>
        <v/>
      </c>
    </row>
    <row r="2403" spans="2:9" x14ac:dyDescent="0.3">
      <c r="B2403" s="100">
        <f t="shared" si="240"/>
        <v>0</v>
      </c>
      <c r="C2403" s="84" t="str">
        <f t="shared" si="241"/>
        <v>January</v>
      </c>
      <c r="I2403" s="87" t="str">
        <f>IF(F2403=0,"",IF(COUNTIF(F2403,"Bao"),[1]Setup!$B$4,IF(COUNTIF(F2403,"Soup Dumpling"),[1]Setup!$B$5,F2403)))</f>
        <v/>
      </c>
    </row>
    <row r="2404" spans="2:9" x14ac:dyDescent="0.3">
      <c r="B2404" s="100">
        <f t="shared" si="240"/>
        <v>0</v>
      </c>
      <c r="C2404" s="84" t="str">
        <f t="shared" si="241"/>
        <v>January</v>
      </c>
      <c r="I2404" s="87" t="str">
        <f>IF(F2404=0,"",IF(COUNTIF(F2404,"Bao"),[1]Setup!$B$4,IF(COUNTIF(F2404,"Soup Dumpling"),[1]Setup!$B$5,F2404)))</f>
        <v/>
      </c>
    </row>
    <row r="2405" spans="2:9" x14ac:dyDescent="0.3">
      <c r="B2405" s="100">
        <f t="shared" si="240"/>
        <v>0</v>
      </c>
      <c r="C2405" s="84" t="str">
        <f t="shared" si="241"/>
        <v>January</v>
      </c>
      <c r="I2405" s="87" t="str">
        <f>IF(F2405=0,"",IF(COUNTIF(F2405,"Bao"),[1]Setup!$B$4,IF(COUNTIF(F2405,"Soup Dumpling"),[1]Setup!$B$5,F2405)))</f>
        <v/>
      </c>
    </row>
    <row r="2406" spans="2:9" x14ac:dyDescent="0.3">
      <c r="B2406" s="100">
        <f t="shared" si="240"/>
        <v>0</v>
      </c>
      <c r="C2406" s="84" t="str">
        <f t="shared" si="241"/>
        <v>January</v>
      </c>
      <c r="I2406" s="87" t="str">
        <f>IF(F2406=0,"",IF(COUNTIF(F2406,"Bao"),[1]Setup!$B$4,IF(COUNTIF(F2406,"Soup Dumpling"),[1]Setup!$B$5,F2406)))</f>
        <v/>
      </c>
    </row>
    <row r="2407" spans="2:9" x14ac:dyDescent="0.3">
      <c r="B2407" s="100">
        <f t="shared" si="240"/>
        <v>0</v>
      </c>
      <c r="C2407" s="84" t="str">
        <f t="shared" si="241"/>
        <v>January</v>
      </c>
      <c r="I2407" s="87" t="str">
        <f>IF(F2407=0,"",IF(COUNTIF(F2407,"Bao"),[1]Setup!$B$4,IF(COUNTIF(F2407,"Soup Dumpling"),[1]Setup!$B$5,F2407)))</f>
        <v/>
      </c>
    </row>
    <row r="2408" spans="2:9" x14ac:dyDescent="0.3">
      <c r="B2408" s="100">
        <f t="shared" si="240"/>
        <v>0</v>
      </c>
      <c r="C2408" s="84" t="str">
        <f t="shared" si="241"/>
        <v>January</v>
      </c>
      <c r="I2408" s="87" t="str">
        <f>IF(F2408=0,"",IF(COUNTIF(F2408,"Bao"),[1]Setup!$B$4,IF(COUNTIF(F2408,"Soup Dumpling"),[1]Setup!$B$5,F2408)))</f>
        <v/>
      </c>
    </row>
    <row r="2409" spans="2:9" x14ac:dyDescent="0.3">
      <c r="B2409" s="100">
        <f t="shared" si="240"/>
        <v>0</v>
      </c>
      <c r="C2409" s="84" t="str">
        <f t="shared" si="241"/>
        <v>January</v>
      </c>
      <c r="I2409" s="87" t="str">
        <f>IF(F2409=0,"",IF(COUNTIF(F2409,"Bao"),[1]Setup!$B$4,IF(COUNTIF(F2409,"Soup Dumpling"),[1]Setup!$B$5,F2409)))</f>
        <v/>
      </c>
    </row>
    <row r="2410" spans="2:9" x14ac:dyDescent="0.3">
      <c r="B2410" s="100">
        <f t="shared" si="240"/>
        <v>0</v>
      </c>
      <c r="C2410" s="84" t="str">
        <f t="shared" si="241"/>
        <v>January</v>
      </c>
      <c r="I2410" s="87" t="str">
        <f>IF(F2410=0,"",IF(COUNTIF(F2410,"Bao"),[1]Setup!$B$4,IF(COUNTIF(F2410,"Soup Dumpling"),[1]Setup!$B$5,F2410)))</f>
        <v/>
      </c>
    </row>
    <row r="2411" spans="2:9" x14ac:dyDescent="0.3">
      <c r="B2411" s="100">
        <f t="shared" si="240"/>
        <v>0</v>
      </c>
      <c r="C2411" s="84" t="str">
        <f t="shared" si="241"/>
        <v>January</v>
      </c>
      <c r="I2411" s="87" t="str">
        <f>IF(F2411=0,"",IF(COUNTIF(F2411,"Bao"),[1]Setup!$B$4,IF(COUNTIF(F2411,"Soup Dumpling"),[1]Setup!$B$5,F2411)))</f>
        <v/>
      </c>
    </row>
    <row r="2412" spans="2:9" x14ac:dyDescent="0.3">
      <c r="B2412" s="100">
        <f t="shared" si="240"/>
        <v>0</v>
      </c>
      <c r="C2412" s="84" t="str">
        <f t="shared" si="241"/>
        <v>January</v>
      </c>
      <c r="I2412" s="87" t="str">
        <f>IF(F2412=0,"",IF(COUNTIF(F2412,"Bao"),[1]Setup!$B$4,IF(COUNTIF(F2412,"Soup Dumpling"),[1]Setup!$B$5,F2412)))</f>
        <v/>
      </c>
    </row>
    <row r="2413" spans="2:9" x14ac:dyDescent="0.3">
      <c r="B2413" s="100">
        <f t="shared" si="240"/>
        <v>0</v>
      </c>
      <c r="C2413" s="84" t="str">
        <f t="shared" si="241"/>
        <v>January</v>
      </c>
      <c r="I2413" s="87" t="str">
        <f>IF(F2413=0,"",IF(COUNTIF(F2413,"Bao"),[1]Setup!$B$4,IF(COUNTIF(F2413,"Soup Dumpling"),[1]Setup!$B$5,F2413)))</f>
        <v/>
      </c>
    </row>
    <row r="2414" spans="2:9" x14ac:dyDescent="0.3">
      <c r="B2414" s="100">
        <f t="shared" si="240"/>
        <v>0</v>
      </c>
      <c r="C2414" s="84" t="str">
        <f t="shared" si="241"/>
        <v>January</v>
      </c>
      <c r="I2414" s="87" t="str">
        <f>IF(F2414=0,"",IF(COUNTIF(F2414,"Bao"),[1]Setup!$B$4,IF(COUNTIF(F2414,"Soup Dumpling"),[1]Setup!$B$5,F2414)))</f>
        <v/>
      </c>
    </row>
    <row r="2415" spans="2:9" x14ac:dyDescent="0.3">
      <c r="B2415" s="100">
        <f t="shared" si="240"/>
        <v>0</v>
      </c>
      <c r="C2415" s="84" t="str">
        <f t="shared" si="241"/>
        <v>January</v>
      </c>
      <c r="I2415" s="87" t="str">
        <f>IF(F2415=0,"",IF(COUNTIF(F2415,"Bao"),[1]Setup!$B$4,IF(COUNTIF(F2415,"Soup Dumpling"),[1]Setup!$B$5,F2415)))</f>
        <v/>
      </c>
    </row>
    <row r="2416" spans="2:9" x14ac:dyDescent="0.3">
      <c r="B2416" s="100">
        <f t="shared" si="240"/>
        <v>0</v>
      </c>
      <c r="C2416" s="84" t="str">
        <f t="shared" si="241"/>
        <v>January</v>
      </c>
      <c r="I2416" s="87" t="str">
        <f>IF(F2416=0,"",IF(COUNTIF(F2416,"Bao"),[1]Setup!$B$4,IF(COUNTIF(F2416,"Soup Dumpling"),[1]Setup!$B$5,F2416)))</f>
        <v/>
      </c>
    </row>
    <row r="2417" spans="2:9" x14ac:dyDescent="0.3">
      <c r="B2417" s="100">
        <f t="shared" si="240"/>
        <v>0</v>
      </c>
      <c r="C2417" s="84" t="str">
        <f t="shared" si="241"/>
        <v>January</v>
      </c>
      <c r="I2417" s="87" t="str">
        <f>IF(F2417=0,"",IF(COUNTIF(F2417,"Bao"),[1]Setup!$B$4,IF(COUNTIF(F2417,"Soup Dumpling"),[1]Setup!$B$5,F2417)))</f>
        <v/>
      </c>
    </row>
    <row r="2418" spans="2:9" x14ac:dyDescent="0.3">
      <c r="B2418" s="100">
        <f t="shared" si="240"/>
        <v>0</v>
      </c>
      <c r="C2418" s="84" t="str">
        <f t="shared" si="241"/>
        <v>January</v>
      </c>
      <c r="I2418" s="87" t="str">
        <f>IF(F2418=0,"",IF(COUNTIF(F2418,"Bao"),[1]Setup!$B$4,IF(COUNTIF(F2418,"Soup Dumpling"),[1]Setup!$B$5,F2418)))</f>
        <v/>
      </c>
    </row>
    <row r="2419" spans="2:9" x14ac:dyDescent="0.3">
      <c r="B2419" s="100">
        <f t="shared" si="240"/>
        <v>0</v>
      </c>
      <c r="C2419" s="84" t="str">
        <f t="shared" si="241"/>
        <v>January</v>
      </c>
      <c r="I2419" s="87" t="str">
        <f>IF(F2419=0,"",IF(COUNTIF(F2419,"Bao"),[1]Setup!$B$4,IF(COUNTIF(F2419,"Soup Dumpling"),[1]Setup!$B$5,F2419)))</f>
        <v/>
      </c>
    </row>
    <row r="2420" spans="2:9" x14ac:dyDescent="0.3">
      <c r="B2420" s="100">
        <f t="shared" si="240"/>
        <v>0</v>
      </c>
      <c r="C2420" s="84" t="str">
        <f t="shared" si="241"/>
        <v>January</v>
      </c>
      <c r="I2420" s="87" t="str">
        <f>IF(F2420=0,"",IF(COUNTIF(F2420,"Bao"),[1]Setup!$B$4,IF(COUNTIF(F2420,"Soup Dumpling"),[1]Setup!$B$5,F2420)))</f>
        <v/>
      </c>
    </row>
    <row r="2421" spans="2:9" x14ac:dyDescent="0.3">
      <c r="B2421" s="100">
        <f t="shared" si="240"/>
        <v>0</v>
      </c>
      <c r="C2421" s="84" t="str">
        <f t="shared" si="241"/>
        <v>January</v>
      </c>
      <c r="I2421" s="87" t="str">
        <f>IF(F2421=0,"",IF(COUNTIF(F2421,"Bao"),[1]Setup!$B$4,IF(COUNTIF(F2421,"Soup Dumpling"),[1]Setup!$B$5,F2421)))</f>
        <v/>
      </c>
    </row>
    <row r="2422" spans="2:9" x14ac:dyDescent="0.3">
      <c r="B2422" s="100">
        <f t="shared" si="240"/>
        <v>0</v>
      </c>
      <c r="C2422" s="84" t="str">
        <f t="shared" si="241"/>
        <v>January</v>
      </c>
      <c r="I2422" s="87" t="str">
        <f>IF(F2422=0,"",IF(COUNTIF(F2422,"Bao"),[1]Setup!$B$4,IF(COUNTIF(F2422,"Soup Dumpling"),[1]Setup!$B$5,F2422)))</f>
        <v/>
      </c>
    </row>
    <row r="2423" spans="2:9" x14ac:dyDescent="0.3">
      <c r="B2423" s="100">
        <f t="shared" si="240"/>
        <v>0</v>
      </c>
      <c r="C2423" s="84" t="str">
        <f t="shared" si="241"/>
        <v>January</v>
      </c>
      <c r="I2423" s="87" t="str">
        <f>IF(F2423=0,"",IF(COUNTIF(F2423,"Bao"),[1]Setup!$B$4,IF(COUNTIF(F2423,"Soup Dumpling"),[1]Setup!$B$5,F2423)))</f>
        <v/>
      </c>
    </row>
    <row r="2424" spans="2:9" x14ac:dyDescent="0.3">
      <c r="B2424" s="100">
        <f t="shared" si="240"/>
        <v>0</v>
      </c>
      <c r="C2424" s="84" t="str">
        <f t="shared" si="241"/>
        <v>January</v>
      </c>
      <c r="I2424" s="87" t="str">
        <f>IF(F2424=0,"",IF(COUNTIF(F2424,"Bao"),[1]Setup!$B$4,IF(COUNTIF(F2424,"Soup Dumpling"),[1]Setup!$B$5,F2424)))</f>
        <v/>
      </c>
    </row>
    <row r="2425" spans="2:9" x14ac:dyDescent="0.3">
      <c r="B2425" s="100">
        <f t="shared" si="240"/>
        <v>0</v>
      </c>
      <c r="C2425" s="84" t="str">
        <f t="shared" si="241"/>
        <v>January</v>
      </c>
      <c r="I2425" s="87" t="str">
        <f>IF(F2425=0,"",IF(COUNTIF(F2425,"Bao"),[1]Setup!$B$4,IF(COUNTIF(F2425,"Soup Dumpling"),[1]Setup!$B$5,F2425)))</f>
        <v/>
      </c>
    </row>
    <row r="2426" spans="2:9" x14ac:dyDescent="0.3">
      <c r="B2426" s="100">
        <f t="shared" si="240"/>
        <v>0</v>
      </c>
      <c r="C2426" s="84" t="str">
        <f t="shared" si="241"/>
        <v>January</v>
      </c>
      <c r="I2426" s="87" t="str">
        <f>IF(F2426=0,"",IF(COUNTIF(F2426,"Bao"),[1]Setup!$B$4,IF(COUNTIF(F2426,"Soup Dumpling"),[1]Setup!$B$5,F2426)))</f>
        <v/>
      </c>
    </row>
    <row r="2427" spans="2:9" x14ac:dyDescent="0.3">
      <c r="B2427" s="100">
        <f t="shared" si="240"/>
        <v>0</v>
      </c>
      <c r="C2427" s="84" t="str">
        <f t="shared" si="241"/>
        <v>January</v>
      </c>
      <c r="I2427" s="87" t="str">
        <f>IF(F2427=0,"",IF(COUNTIF(F2427,"Bao"),[1]Setup!$B$4,IF(COUNTIF(F2427,"Soup Dumpling"),[1]Setup!$B$5,F2427)))</f>
        <v/>
      </c>
    </row>
    <row r="2428" spans="2:9" x14ac:dyDescent="0.3">
      <c r="B2428" s="100">
        <f t="shared" si="240"/>
        <v>0</v>
      </c>
      <c r="C2428" s="84" t="str">
        <f t="shared" si="241"/>
        <v>January</v>
      </c>
      <c r="I2428" s="87" t="str">
        <f>IF(F2428=0,"",IF(COUNTIF(F2428,"Bao"),[1]Setup!$B$4,IF(COUNTIF(F2428,"Soup Dumpling"),[1]Setup!$B$5,F2428)))</f>
        <v/>
      </c>
    </row>
    <row r="2429" spans="2:9" x14ac:dyDescent="0.3">
      <c r="B2429" s="100">
        <f t="shared" si="240"/>
        <v>0</v>
      </c>
      <c r="C2429" s="84" t="str">
        <f t="shared" si="241"/>
        <v>January</v>
      </c>
      <c r="I2429" s="87" t="str">
        <f>IF(F2429=0,"",IF(COUNTIF(F2429,"Bao"),[1]Setup!$B$4,IF(COUNTIF(F2429,"Soup Dumpling"),[1]Setup!$B$5,F2429)))</f>
        <v/>
      </c>
    </row>
    <row r="2430" spans="2:9" x14ac:dyDescent="0.3">
      <c r="B2430" s="100">
        <f t="shared" si="240"/>
        <v>0</v>
      </c>
      <c r="C2430" s="84" t="str">
        <f t="shared" si="241"/>
        <v>January</v>
      </c>
      <c r="I2430" s="87" t="str">
        <f>IF(F2430=0,"",IF(COUNTIF(F2430,"Bao"),[1]Setup!$B$4,IF(COUNTIF(F2430,"Soup Dumpling"),[1]Setup!$B$5,F2430)))</f>
        <v/>
      </c>
    </row>
    <row r="2431" spans="2:9" x14ac:dyDescent="0.3">
      <c r="B2431" s="100">
        <f t="shared" si="240"/>
        <v>0</v>
      </c>
      <c r="C2431" s="84" t="str">
        <f t="shared" si="241"/>
        <v>January</v>
      </c>
      <c r="I2431" s="87" t="str">
        <f>IF(F2431=0,"",IF(COUNTIF(F2431,"Bao"),[1]Setup!$B$4,IF(COUNTIF(F2431,"Soup Dumpling"),[1]Setup!$B$5,F2431)))</f>
        <v/>
      </c>
    </row>
    <row r="2432" spans="2:9" x14ac:dyDescent="0.3">
      <c r="B2432" s="100">
        <f t="shared" si="240"/>
        <v>0</v>
      </c>
      <c r="C2432" s="84" t="str">
        <f t="shared" si="241"/>
        <v>January</v>
      </c>
      <c r="I2432" s="87" t="str">
        <f>IF(F2432=0,"",IF(COUNTIF(F2432,"Bao"),[1]Setup!$B$4,IF(COUNTIF(F2432,"Soup Dumpling"),[1]Setup!$B$5,F2432)))</f>
        <v/>
      </c>
    </row>
    <row r="2433" spans="2:9" x14ac:dyDescent="0.3">
      <c r="B2433" s="100">
        <f t="shared" si="240"/>
        <v>0</v>
      </c>
      <c r="C2433" s="84" t="str">
        <f t="shared" si="241"/>
        <v>January</v>
      </c>
      <c r="I2433" s="87" t="str">
        <f>IF(F2433=0,"",IF(COUNTIF(F2433,"Bao"),[1]Setup!$B$4,IF(COUNTIF(F2433,"Soup Dumpling"),[1]Setup!$B$5,F2433)))</f>
        <v/>
      </c>
    </row>
    <row r="2434" spans="2:9" x14ac:dyDescent="0.3">
      <c r="B2434" s="100">
        <f t="shared" si="240"/>
        <v>0</v>
      </c>
      <c r="C2434" s="84" t="str">
        <f t="shared" si="241"/>
        <v>January</v>
      </c>
      <c r="I2434" s="87" t="str">
        <f>IF(F2434=0,"",IF(COUNTIF(F2434,"Bao"),[1]Setup!$B$4,IF(COUNTIF(F2434,"Soup Dumpling"),[1]Setup!$B$5,F2434)))</f>
        <v/>
      </c>
    </row>
    <row r="2435" spans="2:9" x14ac:dyDescent="0.3">
      <c r="B2435" s="100">
        <f t="shared" si="240"/>
        <v>0</v>
      </c>
      <c r="C2435" s="84" t="str">
        <f t="shared" si="241"/>
        <v>January</v>
      </c>
      <c r="I2435" s="87" t="str">
        <f>IF(F2435=0,"",IF(COUNTIF(F2435,"Bao"),[1]Setup!$B$4,IF(COUNTIF(F2435,"Soup Dumpling"),[1]Setup!$B$5,F2435)))</f>
        <v/>
      </c>
    </row>
    <row r="2436" spans="2:9" x14ac:dyDescent="0.3">
      <c r="B2436" s="100">
        <f t="shared" si="240"/>
        <v>0</v>
      </c>
      <c r="C2436" s="84" t="str">
        <f t="shared" si="241"/>
        <v>January</v>
      </c>
      <c r="I2436" s="87" t="str">
        <f>IF(F2436=0,"",IF(COUNTIF(F2436,"Bao"),[1]Setup!$B$4,IF(COUNTIF(F2436,"Soup Dumpling"),[1]Setup!$B$5,F2436)))</f>
        <v/>
      </c>
    </row>
    <row r="2437" spans="2:9" x14ac:dyDescent="0.3">
      <c r="B2437" s="100">
        <f t="shared" ref="B2437:B2500" si="242">+WEEKNUM(A2437)</f>
        <v>0</v>
      </c>
      <c r="C2437" s="84" t="str">
        <f t="shared" ref="C2437:C2500" si="243">+TEXT(A2437,"mmmm")</f>
        <v>January</v>
      </c>
      <c r="I2437" s="87" t="str">
        <f>IF(F2437=0,"",IF(COUNTIF(F2437,"Bao"),[1]Setup!$B$4,IF(COUNTIF(F2437,"Soup Dumpling"),[1]Setup!$B$5,F2437)))</f>
        <v/>
      </c>
    </row>
    <row r="2438" spans="2:9" x14ac:dyDescent="0.3">
      <c r="B2438" s="100">
        <f t="shared" si="242"/>
        <v>0</v>
      </c>
      <c r="C2438" s="84" t="str">
        <f t="shared" si="243"/>
        <v>January</v>
      </c>
      <c r="I2438" s="87" t="str">
        <f>IF(F2438=0,"",IF(COUNTIF(F2438,"Bao"),[1]Setup!$B$4,IF(COUNTIF(F2438,"Soup Dumpling"),[1]Setup!$B$5,F2438)))</f>
        <v/>
      </c>
    </row>
    <row r="2439" spans="2:9" x14ac:dyDescent="0.3">
      <c r="B2439" s="100">
        <f t="shared" si="242"/>
        <v>0</v>
      </c>
      <c r="C2439" s="84" t="str">
        <f t="shared" si="243"/>
        <v>January</v>
      </c>
      <c r="I2439" s="87" t="str">
        <f>IF(F2439=0,"",IF(COUNTIF(F2439,"Bao"),[1]Setup!$B$4,IF(COUNTIF(F2439,"Soup Dumpling"),[1]Setup!$B$5,F2439)))</f>
        <v/>
      </c>
    </row>
    <row r="2440" spans="2:9" x14ac:dyDescent="0.3">
      <c r="B2440" s="100">
        <f t="shared" si="242"/>
        <v>0</v>
      </c>
      <c r="C2440" s="84" t="str">
        <f t="shared" si="243"/>
        <v>January</v>
      </c>
      <c r="I2440" s="87" t="str">
        <f>IF(F2440=0,"",IF(COUNTIF(F2440,"Bao"),[1]Setup!$B$4,IF(COUNTIF(F2440,"Soup Dumpling"),[1]Setup!$B$5,F2440)))</f>
        <v/>
      </c>
    </row>
    <row r="2441" spans="2:9" x14ac:dyDescent="0.3">
      <c r="B2441" s="100">
        <f t="shared" si="242"/>
        <v>0</v>
      </c>
      <c r="C2441" s="84" t="str">
        <f t="shared" si="243"/>
        <v>January</v>
      </c>
      <c r="I2441" s="87" t="str">
        <f>IF(F2441=0,"",IF(COUNTIF(F2441,"Bao"),[1]Setup!$B$4,IF(COUNTIF(F2441,"Soup Dumpling"),[1]Setup!$B$5,F2441)))</f>
        <v/>
      </c>
    </row>
    <row r="2442" spans="2:9" x14ac:dyDescent="0.3">
      <c r="B2442" s="100">
        <f t="shared" si="242"/>
        <v>0</v>
      </c>
      <c r="C2442" s="84" t="str">
        <f t="shared" si="243"/>
        <v>January</v>
      </c>
      <c r="I2442" s="87" t="str">
        <f>IF(F2442=0,"",IF(COUNTIF(F2442,"Bao"),[1]Setup!$B$4,IF(COUNTIF(F2442,"Soup Dumpling"),[1]Setup!$B$5,F2442)))</f>
        <v/>
      </c>
    </row>
    <row r="2443" spans="2:9" x14ac:dyDescent="0.3">
      <c r="B2443" s="100">
        <f t="shared" si="242"/>
        <v>0</v>
      </c>
      <c r="C2443" s="84" t="str">
        <f t="shared" si="243"/>
        <v>January</v>
      </c>
      <c r="I2443" s="87" t="str">
        <f>IF(F2443=0,"",IF(COUNTIF(F2443,"Bao"),[1]Setup!$B$4,IF(COUNTIF(F2443,"Soup Dumpling"),[1]Setup!$B$5,F2443)))</f>
        <v/>
      </c>
    </row>
    <row r="2444" spans="2:9" x14ac:dyDescent="0.3">
      <c r="B2444" s="100">
        <f t="shared" si="242"/>
        <v>0</v>
      </c>
      <c r="C2444" s="84" t="str">
        <f t="shared" si="243"/>
        <v>January</v>
      </c>
      <c r="I2444" s="87" t="str">
        <f>IF(F2444=0,"",IF(COUNTIF(F2444,"Bao"),[1]Setup!$B$4,IF(COUNTIF(F2444,"Soup Dumpling"),[1]Setup!$B$5,F2444)))</f>
        <v/>
      </c>
    </row>
    <row r="2445" spans="2:9" x14ac:dyDescent="0.3">
      <c r="B2445" s="100">
        <f t="shared" si="242"/>
        <v>0</v>
      </c>
      <c r="C2445" s="84" t="str">
        <f t="shared" si="243"/>
        <v>January</v>
      </c>
      <c r="I2445" s="87" t="str">
        <f>IF(F2445=0,"",IF(COUNTIF(F2445,"Bao"),[1]Setup!$B$4,IF(COUNTIF(F2445,"Soup Dumpling"),[1]Setup!$B$5,F2445)))</f>
        <v/>
      </c>
    </row>
    <row r="2446" spans="2:9" x14ac:dyDescent="0.3">
      <c r="B2446" s="100">
        <f t="shared" si="242"/>
        <v>0</v>
      </c>
      <c r="C2446" s="84" t="str">
        <f t="shared" si="243"/>
        <v>January</v>
      </c>
      <c r="I2446" s="87" t="str">
        <f>IF(F2446=0,"",IF(COUNTIF(F2446,"Bao"),[1]Setup!$B$4,IF(COUNTIF(F2446,"Soup Dumpling"),[1]Setup!$B$5,F2446)))</f>
        <v/>
      </c>
    </row>
    <row r="2447" spans="2:9" x14ac:dyDescent="0.3">
      <c r="B2447" s="100">
        <f t="shared" si="242"/>
        <v>0</v>
      </c>
      <c r="C2447" s="84" t="str">
        <f t="shared" si="243"/>
        <v>January</v>
      </c>
      <c r="I2447" s="87" t="str">
        <f>IF(F2447=0,"",IF(COUNTIF(F2447,"Bao"),[1]Setup!$B$4,IF(COUNTIF(F2447,"Soup Dumpling"),[1]Setup!$B$5,F2447)))</f>
        <v/>
      </c>
    </row>
    <row r="2448" spans="2:9" x14ac:dyDescent="0.3">
      <c r="B2448" s="100">
        <f t="shared" si="242"/>
        <v>0</v>
      </c>
      <c r="C2448" s="84" t="str">
        <f t="shared" si="243"/>
        <v>January</v>
      </c>
      <c r="I2448" s="87" t="str">
        <f>IF(F2448=0,"",IF(COUNTIF(F2448,"Bao"),[1]Setup!$B$4,IF(COUNTIF(F2448,"Soup Dumpling"),[1]Setup!$B$5,F2448)))</f>
        <v/>
      </c>
    </row>
    <row r="2449" spans="2:9" x14ac:dyDescent="0.3">
      <c r="B2449" s="100">
        <f t="shared" si="242"/>
        <v>0</v>
      </c>
      <c r="C2449" s="84" t="str">
        <f t="shared" si="243"/>
        <v>January</v>
      </c>
      <c r="I2449" s="87" t="str">
        <f>IF(F2449=0,"",IF(COUNTIF(F2449,"Bao"),[1]Setup!$B$4,IF(COUNTIF(F2449,"Soup Dumpling"),[1]Setup!$B$5,F2449)))</f>
        <v/>
      </c>
    </row>
    <row r="2450" spans="2:9" x14ac:dyDescent="0.3">
      <c r="B2450" s="100">
        <f t="shared" si="242"/>
        <v>0</v>
      </c>
      <c r="C2450" s="84" t="str">
        <f t="shared" si="243"/>
        <v>January</v>
      </c>
      <c r="I2450" s="87" t="str">
        <f>IF(F2450=0,"",IF(COUNTIF(F2450,"Bao"),[1]Setup!$B$4,IF(COUNTIF(F2450,"Soup Dumpling"),[1]Setup!$B$5,F2450)))</f>
        <v/>
      </c>
    </row>
    <row r="2451" spans="2:9" x14ac:dyDescent="0.3">
      <c r="B2451" s="100">
        <f t="shared" si="242"/>
        <v>0</v>
      </c>
      <c r="C2451" s="84" t="str">
        <f t="shared" si="243"/>
        <v>January</v>
      </c>
      <c r="I2451" s="87" t="str">
        <f>IF(F2451=0,"",IF(COUNTIF(F2451,"Bao"),[1]Setup!$B$4,IF(COUNTIF(F2451,"Soup Dumpling"),[1]Setup!$B$5,F2451)))</f>
        <v/>
      </c>
    </row>
    <row r="2452" spans="2:9" x14ac:dyDescent="0.3">
      <c r="B2452" s="100">
        <f t="shared" si="242"/>
        <v>0</v>
      </c>
      <c r="C2452" s="84" t="str">
        <f t="shared" si="243"/>
        <v>January</v>
      </c>
      <c r="I2452" s="87" t="str">
        <f>IF(F2452=0,"",IF(COUNTIF(F2452,"Bao"),[1]Setup!$B$4,IF(COUNTIF(F2452,"Soup Dumpling"),[1]Setup!$B$5,F2452)))</f>
        <v/>
      </c>
    </row>
    <row r="2453" spans="2:9" x14ac:dyDescent="0.3">
      <c r="B2453" s="100">
        <f t="shared" si="242"/>
        <v>0</v>
      </c>
      <c r="C2453" s="84" t="str">
        <f t="shared" si="243"/>
        <v>January</v>
      </c>
      <c r="I2453" s="87" t="str">
        <f>IF(F2453=0,"",IF(COUNTIF(F2453,"Bao"),[1]Setup!$B$4,IF(COUNTIF(F2453,"Soup Dumpling"),[1]Setup!$B$5,F2453)))</f>
        <v/>
      </c>
    </row>
    <row r="2454" spans="2:9" x14ac:dyDescent="0.3">
      <c r="B2454" s="100">
        <f t="shared" si="242"/>
        <v>0</v>
      </c>
      <c r="C2454" s="84" t="str">
        <f t="shared" si="243"/>
        <v>January</v>
      </c>
      <c r="I2454" s="87" t="str">
        <f>IF(F2454=0,"",IF(COUNTIF(F2454,"Bao"),[1]Setup!$B$4,IF(COUNTIF(F2454,"Soup Dumpling"),[1]Setup!$B$5,F2454)))</f>
        <v/>
      </c>
    </row>
    <row r="2455" spans="2:9" x14ac:dyDescent="0.3">
      <c r="B2455" s="100">
        <f t="shared" si="242"/>
        <v>0</v>
      </c>
      <c r="C2455" s="84" t="str">
        <f t="shared" si="243"/>
        <v>January</v>
      </c>
      <c r="I2455" s="87" t="str">
        <f>IF(F2455=0,"",IF(COUNTIF(F2455,"Bao"),[1]Setup!$B$4,IF(COUNTIF(F2455,"Soup Dumpling"),[1]Setup!$B$5,F2455)))</f>
        <v/>
      </c>
    </row>
    <row r="2456" spans="2:9" x14ac:dyDescent="0.3">
      <c r="B2456" s="100">
        <f t="shared" si="242"/>
        <v>0</v>
      </c>
      <c r="C2456" s="84" t="str">
        <f t="shared" si="243"/>
        <v>January</v>
      </c>
      <c r="I2456" s="87" t="str">
        <f>IF(F2456=0,"",IF(COUNTIF(F2456,"Bao"),[1]Setup!$B$4,IF(COUNTIF(F2456,"Soup Dumpling"),[1]Setup!$B$5,F2456)))</f>
        <v/>
      </c>
    </row>
    <row r="2457" spans="2:9" x14ac:dyDescent="0.3">
      <c r="B2457" s="100">
        <f t="shared" si="242"/>
        <v>0</v>
      </c>
      <c r="C2457" s="84" t="str">
        <f t="shared" si="243"/>
        <v>January</v>
      </c>
      <c r="I2457" s="87" t="str">
        <f>IF(F2457=0,"",IF(COUNTIF(F2457,"Bao"),[1]Setup!$B$4,IF(COUNTIF(F2457,"Soup Dumpling"),[1]Setup!$B$5,F2457)))</f>
        <v/>
      </c>
    </row>
    <row r="2458" spans="2:9" x14ac:dyDescent="0.3">
      <c r="B2458" s="100">
        <f t="shared" si="242"/>
        <v>0</v>
      </c>
      <c r="C2458" s="84" t="str">
        <f t="shared" si="243"/>
        <v>January</v>
      </c>
      <c r="I2458" s="87" t="str">
        <f>IF(F2458=0,"",IF(COUNTIF(F2458,"Bao"),[1]Setup!$B$4,IF(COUNTIF(F2458,"Soup Dumpling"),[1]Setup!$B$5,F2458)))</f>
        <v/>
      </c>
    </row>
    <row r="2459" spans="2:9" x14ac:dyDescent="0.3">
      <c r="B2459" s="100">
        <f t="shared" si="242"/>
        <v>0</v>
      </c>
      <c r="C2459" s="84" t="str">
        <f t="shared" si="243"/>
        <v>January</v>
      </c>
      <c r="I2459" s="87" t="str">
        <f>IF(F2459=0,"",IF(COUNTIF(F2459,"Bao"),[1]Setup!$B$4,IF(COUNTIF(F2459,"Soup Dumpling"),[1]Setup!$B$5,F2459)))</f>
        <v/>
      </c>
    </row>
    <row r="2460" spans="2:9" x14ac:dyDescent="0.3">
      <c r="B2460" s="100">
        <f t="shared" si="242"/>
        <v>0</v>
      </c>
      <c r="C2460" s="84" t="str">
        <f t="shared" si="243"/>
        <v>January</v>
      </c>
      <c r="I2460" s="87" t="str">
        <f>IF(F2460=0,"",IF(COUNTIF(F2460,"Bao"),[1]Setup!$B$4,IF(COUNTIF(F2460,"Soup Dumpling"),[1]Setup!$B$5,F2460)))</f>
        <v/>
      </c>
    </row>
    <row r="2461" spans="2:9" x14ac:dyDescent="0.3">
      <c r="B2461" s="100">
        <f t="shared" si="242"/>
        <v>0</v>
      </c>
      <c r="C2461" s="84" t="str">
        <f t="shared" si="243"/>
        <v>January</v>
      </c>
      <c r="I2461" s="87" t="str">
        <f>IF(F2461=0,"",IF(COUNTIF(F2461,"Bao"),[1]Setup!$B$4,IF(COUNTIF(F2461,"Soup Dumpling"),[1]Setup!$B$5,F2461)))</f>
        <v/>
      </c>
    </row>
    <row r="2462" spans="2:9" x14ac:dyDescent="0.3">
      <c r="B2462" s="100">
        <f t="shared" si="242"/>
        <v>0</v>
      </c>
      <c r="C2462" s="84" t="str">
        <f t="shared" si="243"/>
        <v>January</v>
      </c>
      <c r="I2462" s="87" t="str">
        <f>IF(F2462=0,"",IF(COUNTIF(F2462,"Bao"),[1]Setup!$B$4,IF(COUNTIF(F2462,"Soup Dumpling"),[1]Setup!$B$5,F2462)))</f>
        <v/>
      </c>
    </row>
    <row r="2463" spans="2:9" x14ac:dyDescent="0.3">
      <c r="B2463" s="100">
        <f t="shared" si="242"/>
        <v>0</v>
      </c>
      <c r="C2463" s="84" t="str">
        <f t="shared" si="243"/>
        <v>January</v>
      </c>
      <c r="I2463" s="87" t="str">
        <f>IF(F2463=0,"",IF(COUNTIF(F2463,"Bao"),[1]Setup!$B$4,IF(COUNTIF(F2463,"Soup Dumpling"),[1]Setup!$B$5,F2463)))</f>
        <v/>
      </c>
    </row>
    <row r="2464" spans="2:9" x14ac:dyDescent="0.3">
      <c r="B2464" s="100">
        <f t="shared" si="242"/>
        <v>0</v>
      </c>
      <c r="C2464" s="84" t="str">
        <f t="shared" si="243"/>
        <v>January</v>
      </c>
      <c r="I2464" s="87" t="str">
        <f>IF(F2464=0,"",IF(COUNTIF(F2464,"Bao"),[1]Setup!$B$4,IF(COUNTIF(F2464,"Soup Dumpling"),[1]Setup!$B$5,F2464)))</f>
        <v/>
      </c>
    </row>
    <row r="2465" spans="2:9" x14ac:dyDescent="0.3">
      <c r="B2465" s="100">
        <f t="shared" si="242"/>
        <v>0</v>
      </c>
      <c r="C2465" s="84" t="str">
        <f t="shared" si="243"/>
        <v>January</v>
      </c>
      <c r="I2465" s="87" t="str">
        <f>IF(F2465=0,"",IF(COUNTIF(F2465,"Bao"),[1]Setup!$B$4,IF(COUNTIF(F2465,"Soup Dumpling"),[1]Setup!$B$5,F2465)))</f>
        <v/>
      </c>
    </row>
    <row r="2466" spans="2:9" x14ac:dyDescent="0.3">
      <c r="B2466" s="100">
        <f t="shared" si="242"/>
        <v>0</v>
      </c>
      <c r="C2466" s="84" t="str">
        <f t="shared" si="243"/>
        <v>January</v>
      </c>
      <c r="I2466" s="87" t="str">
        <f>IF(F2466=0,"",IF(COUNTIF(F2466,"Bao"),[1]Setup!$B$4,IF(COUNTIF(F2466,"Soup Dumpling"),[1]Setup!$B$5,F2466)))</f>
        <v/>
      </c>
    </row>
    <row r="2467" spans="2:9" x14ac:dyDescent="0.3">
      <c r="B2467" s="100">
        <f t="shared" si="242"/>
        <v>0</v>
      </c>
      <c r="C2467" s="84" t="str">
        <f t="shared" si="243"/>
        <v>January</v>
      </c>
      <c r="I2467" s="87" t="str">
        <f>IF(F2467=0,"",IF(COUNTIF(F2467,"Bao"),[1]Setup!$B$4,IF(COUNTIF(F2467,"Soup Dumpling"),[1]Setup!$B$5,F2467)))</f>
        <v/>
      </c>
    </row>
    <row r="2468" spans="2:9" x14ac:dyDescent="0.3">
      <c r="B2468" s="100">
        <f t="shared" si="242"/>
        <v>0</v>
      </c>
      <c r="C2468" s="84" t="str">
        <f t="shared" si="243"/>
        <v>January</v>
      </c>
      <c r="I2468" s="87" t="str">
        <f>IF(F2468=0,"",IF(COUNTIF(F2468,"Bao"),[1]Setup!$B$4,IF(COUNTIF(F2468,"Soup Dumpling"),[1]Setup!$B$5,F2468)))</f>
        <v/>
      </c>
    </row>
    <row r="2469" spans="2:9" x14ac:dyDescent="0.3">
      <c r="B2469" s="100">
        <f t="shared" si="242"/>
        <v>0</v>
      </c>
      <c r="C2469" s="84" t="str">
        <f t="shared" si="243"/>
        <v>January</v>
      </c>
      <c r="I2469" s="87" t="str">
        <f>IF(F2469=0,"",IF(COUNTIF(F2469,"Bao"),[1]Setup!$B$4,IF(COUNTIF(F2469,"Soup Dumpling"),[1]Setup!$B$5,F2469)))</f>
        <v/>
      </c>
    </row>
    <row r="2470" spans="2:9" x14ac:dyDescent="0.3">
      <c r="B2470" s="100">
        <f t="shared" si="242"/>
        <v>0</v>
      </c>
      <c r="C2470" s="84" t="str">
        <f t="shared" si="243"/>
        <v>January</v>
      </c>
      <c r="I2470" s="87" t="str">
        <f>IF(F2470=0,"",IF(COUNTIF(F2470,"Bao"),[1]Setup!$B$4,IF(COUNTIF(F2470,"Soup Dumpling"),[1]Setup!$B$5,F2470)))</f>
        <v/>
      </c>
    </row>
    <row r="2471" spans="2:9" x14ac:dyDescent="0.3">
      <c r="B2471" s="100">
        <f t="shared" si="242"/>
        <v>0</v>
      </c>
      <c r="C2471" s="84" t="str">
        <f t="shared" si="243"/>
        <v>January</v>
      </c>
      <c r="I2471" s="87" t="str">
        <f>IF(F2471=0,"",IF(COUNTIF(F2471,"Bao"),[1]Setup!$B$4,IF(COUNTIF(F2471,"Soup Dumpling"),[1]Setup!$B$5,F2471)))</f>
        <v/>
      </c>
    </row>
    <row r="2472" spans="2:9" x14ac:dyDescent="0.3">
      <c r="B2472" s="100">
        <f t="shared" si="242"/>
        <v>0</v>
      </c>
      <c r="C2472" s="84" t="str">
        <f t="shared" si="243"/>
        <v>January</v>
      </c>
      <c r="I2472" s="87" t="str">
        <f>IF(F2472=0,"",IF(COUNTIF(F2472,"Bao"),[1]Setup!$B$4,IF(COUNTIF(F2472,"Soup Dumpling"),[1]Setup!$B$5,F2472)))</f>
        <v/>
      </c>
    </row>
    <row r="2473" spans="2:9" x14ac:dyDescent="0.3">
      <c r="B2473" s="100">
        <f t="shared" si="242"/>
        <v>0</v>
      </c>
      <c r="C2473" s="84" t="str">
        <f t="shared" si="243"/>
        <v>January</v>
      </c>
      <c r="I2473" s="87" t="str">
        <f>IF(F2473=0,"",IF(COUNTIF(F2473,"Bao"),[1]Setup!$B$4,IF(COUNTIF(F2473,"Soup Dumpling"),[1]Setup!$B$5,F2473)))</f>
        <v/>
      </c>
    </row>
    <row r="2474" spans="2:9" x14ac:dyDescent="0.3">
      <c r="B2474" s="100">
        <f t="shared" si="242"/>
        <v>0</v>
      </c>
      <c r="C2474" s="84" t="str">
        <f t="shared" si="243"/>
        <v>January</v>
      </c>
      <c r="I2474" s="87" t="str">
        <f>IF(F2474=0,"",IF(COUNTIF(F2474,"Bao"),[1]Setup!$B$4,IF(COUNTIF(F2474,"Soup Dumpling"),[1]Setup!$B$5,F2474)))</f>
        <v/>
      </c>
    </row>
    <row r="2475" spans="2:9" x14ac:dyDescent="0.3">
      <c r="B2475" s="100">
        <f t="shared" si="242"/>
        <v>0</v>
      </c>
      <c r="C2475" s="84" t="str">
        <f t="shared" si="243"/>
        <v>January</v>
      </c>
      <c r="I2475" s="87" t="str">
        <f>IF(F2475=0,"",IF(COUNTIF(F2475,"Bao"),[1]Setup!$B$4,IF(COUNTIF(F2475,"Soup Dumpling"),[1]Setup!$B$5,F2475)))</f>
        <v/>
      </c>
    </row>
    <row r="2476" spans="2:9" x14ac:dyDescent="0.3">
      <c r="B2476" s="100">
        <f t="shared" si="242"/>
        <v>0</v>
      </c>
      <c r="C2476" s="84" t="str">
        <f t="shared" si="243"/>
        <v>January</v>
      </c>
      <c r="I2476" s="87" t="str">
        <f>IF(F2476=0,"",IF(COUNTIF(F2476,"Bao"),[1]Setup!$B$4,IF(COUNTIF(F2476,"Soup Dumpling"),[1]Setup!$B$5,F2476)))</f>
        <v/>
      </c>
    </row>
    <row r="2477" spans="2:9" x14ac:dyDescent="0.3">
      <c r="B2477" s="100">
        <f t="shared" si="242"/>
        <v>0</v>
      </c>
      <c r="C2477" s="84" t="str">
        <f t="shared" si="243"/>
        <v>January</v>
      </c>
      <c r="I2477" s="87" t="str">
        <f>IF(F2477=0,"",IF(COUNTIF(F2477,"Bao"),[1]Setup!$B$4,IF(COUNTIF(F2477,"Soup Dumpling"),[1]Setup!$B$5,F2477)))</f>
        <v/>
      </c>
    </row>
    <row r="2478" spans="2:9" x14ac:dyDescent="0.3">
      <c r="B2478" s="100">
        <f t="shared" si="242"/>
        <v>0</v>
      </c>
      <c r="C2478" s="84" t="str">
        <f t="shared" si="243"/>
        <v>January</v>
      </c>
      <c r="I2478" s="87" t="str">
        <f>IF(F2478=0,"",IF(COUNTIF(F2478,"Bao"),[1]Setup!$B$4,IF(COUNTIF(F2478,"Soup Dumpling"),[1]Setup!$B$5,F2478)))</f>
        <v/>
      </c>
    </row>
    <row r="2479" spans="2:9" x14ac:dyDescent="0.3">
      <c r="B2479" s="100">
        <f t="shared" si="242"/>
        <v>0</v>
      </c>
      <c r="C2479" s="84" t="str">
        <f t="shared" si="243"/>
        <v>January</v>
      </c>
      <c r="I2479" s="87" t="str">
        <f>IF(F2479=0,"",IF(COUNTIF(F2479,"Bao"),[1]Setup!$B$4,IF(COUNTIF(F2479,"Soup Dumpling"),[1]Setup!$B$5,F2479)))</f>
        <v/>
      </c>
    </row>
    <row r="2480" spans="2:9" x14ac:dyDescent="0.3">
      <c r="B2480" s="100">
        <f t="shared" si="242"/>
        <v>0</v>
      </c>
      <c r="C2480" s="84" t="str">
        <f t="shared" si="243"/>
        <v>January</v>
      </c>
      <c r="I2480" s="87" t="str">
        <f>IF(F2480=0,"",IF(COUNTIF(F2480,"Bao"),[1]Setup!$B$4,IF(COUNTIF(F2480,"Soup Dumpling"),[1]Setup!$B$5,F2480)))</f>
        <v/>
      </c>
    </row>
    <row r="2481" spans="2:9" x14ac:dyDescent="0.3">
      <c r="B2481" s="100">
        <f t="shared" si="242"/>
        <v>0</v>
      </c>
      <c r="C2481" s="84" t="str">
        <f t="shared" si="243"/>
        <v>January</v>
      </c>
      <c r="I2481" s="87" t="str">
        <f>IF(F2481=0,"",IF(COUNTIF(F2481,"Bao"),[1]Setup!$B$4,IF(COUNTIF(F2481,"Soup Dumpling"),[1]Setup!$B$5,F2481)))</f>
        <v/>
      </c>
    </row>
    <row r="2482" spans="2:9" x14ac:dyDescent="0.3">
      <c r="B2482" s="100">
        <f t="shared" si="242"/>
        <v>0</v>
      </c>
      <c r="C2482" s="84" t="str">
        <f t="shared" si="243"/>
        <v>January</v>
      </c>
      <c r="I2482" s="87" t="str">
        <f>IF(F2482=0,"",IF(COUNTIF(F2482,"Bao"),[1]Setup!$B$4,IF(COUNTIF(F2482,"Soup Dumpling"),[1]Setup!$B$5,F2482)))</f>
        <v/>
      </c>
    </row>
    <row r="2483" spans="2:9" x14ac:dyDescent="0.3">
      <c r="B2483" s="100">
        <f t="shared" si="242"/>
        <v>0</v>
      </c>
      <c r="C2483" s="84" t="str">
        <f t="shared" si="243"/>
        <v>January</v>
      </c>
      <c r="I2483" s="87" t="str">
        <f>IF(F2483=0,"",IF(COUNTIF(F2483,"Bao"),[1]Setup!$B$4,IF(COUNTIF(F2483,"Soup Dumpling"),[1]Setup!$B$5,F2483)))</f>
        <v/>
      </c>
    </row>
    <row r="2484" spans="2:9" x14ac:dyDescent="0.3">
      <c r="B2484" s="100">
        <f t="shared" si="242"/>
        <v>0</v>
      </c>
      <c r="C2484" s="84" t="str">
        <f t="shared" si="243"/>
        <v>January</v>
      </c>
      <c r="I2484" s="87" t="str">
        <f>IF(F2484=0,"",IF(COUNTIF(F2484,"Bao"),[1]Setup!$B$4,IF(COUNTIF(F2484,"Soup Dumpling"),[1]Setup!$B$5,F2484)))</f>
        <v/>
      </c>
    </row>
    <row r="2485" spans="2:9" x14ac:dyDescent="0.3">
      <c r="B2485" s="100">
        <f t="shared" si="242"/>
        <v>0</v>
      </c>
      <c r="C2485" s="84" t="str">
        <f t="shared" si="243"/>
        <v>January</v>
      </c>
      <c r="I2485" s="87" t="str">
        <f>IF(F2485=0,"",IF(COUNTIF(F2485,"Bao"),[1]Setup!$B$4,IF(COUNTIF(F2485,"Soup Dumpling"),[1]Setup!$B$5,F2485)))</f>
        <v/>
      </c>
    </row>
    <row r="2486" spans="2:9" x14ac:dyDescent="0.3">
      <c r="B2486" s="100">
        <f t="shared" si="242"/>
        <v>0</v>
      </c>
      <c r="C2486" s="84" t="str">
        <f t="shared" si="243"/>
        <v>January</v>
      </c>
      <c r="I2486" s="87" t="str">
        <f>IF(F2486=0,"",IF(COUNTIF(F2486,"Bao"),[1]Setup!$B$4,IF(COUNTIF(F2486,"Soup Dumpling"),[1]Setup!$B$5,F2486)))</f>
        <v/>
      </c>
    </row>
    <row r="2487" spans="2:9" x14ac:dyDescent="0.3">
      <c r="B2487" s="100">
        <f t="shared" si="242"/>
        <v>0</v>
      </c>
      <c r="C2487" s="84" t="str">
        <f t="shared" si="243"/>
        <v>January</v>
      </c>
      <c r="I2487" s="87" t="str">
        <f>IF(F2487=0,"",IF(COUNTIF(F2487,"Bao"),[1]Setup!$B$4,IF(COUNTIF(F2487,"Soup Dumpling"),[1]Setup!$B$5,F2487)))</f>
        <v/>
      </c>
    </row>
    <row r="2488" spans="2:9" x14ac:dyDescent="0.3">
      <c r="B2488" s="100">
        <f t="shared" si="242"/>
        <v>0</v>
      </c>
      <c r="C2488" s="84" t="str">
        <f t="shared" si="243"/>
        <v>January</v>
      </c>
      <c r="I2488" s="87" t="str">
        <f>IF(F2488=0,"",IF(COUNTIF(F2488,"Bao"),[1]Setup!$B$4,IF(COUNTIF(F2488,"Soup Dumpling"),[1]Setup!$B$5,F2488)))</f>
        <v/>
      </c>
    </row>
    <row r="2489" spans="2:9" x14ac:dyDescent="0.3">
      <c r="B2489" s="100">
        <f t="shared" si="242"/>
        <v>0</v>
      </c>
      <c r="C2489" s="84" t="str">
        <f t="shared" si="243"/>
        <v>January</v>
      </c>
      <c r="I2489" s="87" t="str">
        <f>IF(F2489=0,"",IF(COUNTIF(F2489,"Bao"),[1]Setup!$B$4,IF(COUNTIF(F2489,"Soup Dumpling"),[1]Setup!$B$5,F2489)))</f>
        <v/>
      </c>
    </row>
    <row r="2490" spans="2:9" x14ac:dyDescent="0.3">
      <c r="B2490" s="100">
        <f t="shared" si="242"/>
        <v>0</v>
      </c>
      <c r="C2490" s="84" t="str">
        <f t="shared" si="243"/>
        <v>January</v>
      </c>
      <c r="I2490" s="87" t="str">
        <f>IF(F2490=0,"",IF(COUNTIF(F2490,"Bao"),[1]Setup!$B$4,IF(COUNTIF(F2490,"Soup Dumpling"),[1]Setup!$B$5,F2490)))</f>
        <v/>
      </c>
    </row>
    <row r="2491" spans="2:9" x14ac:dyDescent="0.3">
      <c r="B2491" s="100">
        <f t="shared" si="242"/>
        <v>0</v>
      </c>
      <c r="C2491" s="84" t="str">
        <f t="shared" si="243"/>
        <v>January</v>
      </c>
      <c r="I2491" s="87" t="str">
        <f>IF(F2491=0,"",IF(COUNTIF(F2491,"Bao"),[1]Setup!$B$4,IF(COUNTIF(F2491,"Soup Dumpling"),[1]Setup!$B$5,F2491)))</f>
        <v/>
      </c>
    </row>
    <row r="2492" spans="2:9" x14ac:dyDescent="0.3">
      <c r="B2492" s="100">
        <f t="shared" si="242"/>
        <v>0</v>
      </c>
      <c r="C2492" s="84" t="str">
        <f t="shared" si="243"/>
        <v>January</v>
      </c>
      <c r="I2492" s="87" t="str">
        <f>IF(F2492=0,"",IF(COUNTIF(F2492,"Bao"),[1]Setup!$B$4,IF(COUNTIF(F2492,"Soup Dumpling"),[1]Setup!$B$5,F2492)))</f>
        <v/>
      </c>
    </row>
    <row r="2493" spans="2:9" x14ac:dyDescent="0.3">
      <c r="B2493" s="100">
        <f t="shared" si="242"/>
        <v>0</v>
      </c>
      <c r="C2493" s="84" t="str">
        <f t="shared" si="243"/>
        <v>January</v>
      </c>
      <c r="I2493" s="87" t="str">
        <f>IF(F2493=0,"",IF(COUNTIF(F2493,"Bao"),[1]Setup!$B$4,IF(COUNTIF(F2493,"Soup Dumpling"),[1]Setup!$B$5,F2493)))</f>
        <v/>
      </c>
    </row>
    <row r="2494" spans="2:9" x14ac:dyDescent="0.3">
      <c r="B2494" s="100">
        <f t="shared" si="242"/>
        <v>0</v>
      </c>
      <c r="C2494" s="84" t="str">
        <f t="shared" si="243"/>
        <v>January</v>
      </c>
      <c r="I2494" s="87" t="str">
        <f>IF(F2494=0,"",IF(COUNTIF(F2494,"Bao"),[1]Setup!$B$4,IF(COUNTIF(F2494,"Soup Dumpling"),[1]Setup!$B$5,F2494)))</f>
        <v/>
      </c>
    </row>
    <row r="2495" spans="2:9" x14ac:dyDescent="0.3">
      <c r="B2495" s="100">
        <f t="shared" si="242"/>
        <v>0</v>
      </c>
      <c r="C2495" s="84" t="str">
        <f t="shared" si="243"/>
        <v>January</v>
      </c>
      <c r="I2495" s="87" t="str">
        <f>IF(F2495=0,"",IF(COUNTIF(F2495,"Bao"),[1]Setup!$B$4,IF(COUNTIF(F2495,"Soup Dumpling"),[1]Setup!$B$5,F2495)))</f>
        <v/>
      </c>
    </row>
    <row r="2496" spans="2:9" x14ac:dyDescent="0.3">
      <c r="B2496" s="100">
        <f t="shared" si="242"/>
        <v>0</v>
      </c>
      <c r="C2496" s="84" t="str">
        <f t="shared" si="243"/>
        <v>January</v>
      </c>
      <c r="I2496" s="87" t="str">
        <f>IF(F2496=0,"",IF(COUNTIF(F2496,"Bao"),[1]Setup!$B$4,IF(COUNTIF(F2496,"Soup Dumpling"),[1]Setup!$B$5,F2496)))</f>
        <v/>
      </c>
    </row>
    <row r="2497" spans="2:9" x14ac:dyDescent="0.3">
      <c r="B2497" s="100">
        <f t="shared" si="242"/>
        <v>0</v>
      </c>
      <c r="C2497" s="84" t="str">
        <f t="shared" si="243"/>
        <v>January</v>
      </c>
      <c r="I2497" s="87" t="str">
        <f>IF(F2497=0,"",IF(COUNTIF(F2497,"Bao"),[1]Setup!$B$4,IF(COUNTIF(F2497,"Soup Dumpling"),[1]Setup!$B$5,F2497)))</f>
        <v/>
      </c>
    </row>
    <row r="2498" spans="2:9" x14ac:dyDescent="0.3">
      <c r="B2498" s="100">
        <f t="shared" si="242"/>
        <v>0</v>
      </c>
      <c r="C2498" s="84" t="str">
        <f t="shared" si="243"/>
        <v>January</v>
      </c>
      <c r="I2498" s="87" t="str">
        <f>IF(F2498=0,"",IF(COUNTIF(F2498,"Bao"),[1]Setup!$B$4,IF(COUNTIF(F2498,"Soup Dumpling"),[1]Setup!$B$5,F2498)))</f>
        <v/>
      </c>
    </row>
    <row r="2499" spans="2:9" x14ac:dyDescent="0.3">
      <c r="B2499" s="100">
        <f t="shared" si="242"/>
        <v>0</v>
      </c>
      <c r="C2499" s="84" t="str">
        <f t="shared" si="243"/>
        <v>January</v>
      </c>
      <c r="I2499" s="87" t="str">
        <f>IF(F2499=0,"",IF(COUNTIF(F2499,"Bao"),[1]Setup!$B$4,IF(COUNTIF(F2499,"Soup Dumpling"),[1]Setup!$B$5,F2499)))</f>
        <v/>
      </c>
    </row>
    <row r="2500" spans="2:9" x14ac:dyDescent="0.3">
      <c r="B2500" s="100">
        <f t="shared" si="242"/>
        <v>0</v>
      </c>
      <c r="C2500" s="84" t="str">
        <f t="shared" si="243"/>
        <v>January</v>
      </c>
      <c r="I2500" s="87" t="str">
        <f>IF(F2500=0,"",IF(COUNTIF(F2500,"Bao"),[1]Setup!$B$4,IF(COUNTIF(F2500,"Soup Dumpling"),[1]Setup!$B$5,F2500)))</f>
        <v/>
      </c>
    </row>
    <row r="2501" spans="2:9" x14ac:dyDescent="0.3">
      <c r="B2501" s="100">
        <f t="shared" ref="B2501:B2564" si="244">+WEEKNUM(A2501)</f>
        <v>0</v>
      </c>
      <c r="C2501" s="84" t="str">
        <f t="shared" ref="C2501:C2564" si="245">+TEXT(A2501,"mmmm")</f>
        <v>January</v>
      </c>
      <c r="I2501" s="87" t="str">
        <f>IF(F2501=0,"",IF(COUNTIF(F2501,"Bao"),[1]Setup!$B$4,IF(COUNTIF(F2501,"Soup Dumpling"),[1]Setup!$B$5,F2501)))</f>
        <v/>
      </c>
    </row>
    <row r="2502" spans="2:9" x14ac:dyDescent="0.3">
      <c r="B2502" s="100">
        <f t="shared" si="244"/>
        <v>0</v>
      </c>
      <c r="C2502" s="84" t="str">
        <f t="shared" si="245"/>
        <v>January</v>
      </c>
      <c r="I2502" s="87" t="str">
        <f>IF(F2502=0,"",IF(COUNTIF(F2502,"Bao"),[1]Setup!$B$4,IF(COUNTIF(F2502,"Soup Dumpling"),[1]Setup!$B$5,F2502)))</f>
        <v/>
      </c>
    </row>
    <row r="2503" spans="2:9" x14ac:dyDescent="0.3">
      <c r="B2503" s="100">
        <f t="shared" si="244"/>
        <v>0</v>
      </c>
      <c r="C2503" s="84" t="str">
        <f t="shared" si="245"/>
        <v>January</v>
      </c>
      <c r="I2503" s="87" t="str">
        <f>IF(F2503=0,"",IF(COUNTIF(F2503,"Bao"),[1]Setup!$B$4,IF(COUNTIF(F2503,"Soup Dumpling"),[1]Setup!$B$5,F2503)))</f>
        <v/>
      </c>
    </row>
    <row r="2504" spans="2:9" x14ac:dyDescent="0.3">
      <c r="B2504" s="100">
        <f t="shared" si="244"/>
        <v>0</v>
      </c>
      <c r="C2504" s="84" t="str">
        <f t="shared" si="245"/>
        <v>January</v>
      </c>
      <c r="I2504" s="87" t="str">
        <f>IF(F2504=0,"",IF(COUNTIF(F2504,"Bao"),[1]Setup!$B$4,IF(COUNTIF(F2504,"Soup Dumpling"),[1]Setup!$B$5,F2504)))</f>
        <v/>
      </c>
    </row>
    <row r="2505" spans="2:9" x14ac:dyDescent="0.3">
      <c r="B2505" s="100">
        <f t="shared" si="244"/>
        <v>0</v>
      </c>
      <c r="C2505" s="84" t="str">
        <f t="shared" si="245"/>
        <v>January</v>
      </c>
      <c r="I2505" s="87" t="str">
        <f>IF(F2505=0,"",IF(COUNTIF(F2505,"Bao"),[1]Setup!$B$4,IF(COUNTIF(F2505,"Soup Dumpling"),[1]Setup!$B$5,F2505)))</f>
        <v/>
      </c>
    </row>
    <row r="2506" spans="2:9" x14ac:dyDescent="0.3">
      <c r="B2506" s="100">
        <f t="shared" si="244"/>
        <v>0</v>
      </c>
      <c r="C2506" s="84" t="str">
        <f t="shared" si="245"/>
        <v>January</v>
      </c>
      <c r="I2506" s="87" t="str">
        <f>IF(F2506=0,"",IF(COUNTIF(F2506,"Bao"),[1]Setup!$B$4,IF(COUNTIF(F2506,"Soup Dumpling"),[1]Setup!$B$5,F2506)))</f>
        <v/>
      </c>
    </row>
    <row r="2507" spans="2:9" x14ac:dyDescent="0.3">
      <c r="B2507" s="100">
        <f t="shared" si="244"/>
        <v>0</v>
      </c>
      <c r="C2507" s="84" t="str">
        <f t="shared" si="245"/>
        <v>January</v>
      </c>
      <c r="I2507" s="87" t="str">
        <f>IF(F2507=0,"",IF(COUNTIF(F2507,"Bao"),[1]Setup!$B$4,IF(COUNTIF(F2507,"Soup Dumpling"),[1]Setup!$B$5,F2507)))</f>
        <v/>
      </c>
    </row>
    <row r="2508" spans="2:9" x14ac:dyDescent="0.3">
      <c r="B2508" s="100">
        <f t="shared" si="244"/>
        <v>0</v>
      </c>
      <c r="C2508" s="84" t="str">
        <f t="shared" si="245"/>
        <v>January</v>
      </c>
      <c r="I2508" s="87" t="str">
        <f>IF(F2508=0,"",IF(COUNTIF(F2508,"Bao"),[1]Setup!$B$4,IF(COUNTIF(F2508,"Soup Dumpling"),[1]Setup!$B$5,F2508)))</f>
        <v/>
      </c>
    </row>
    <row r="2509" spans="2:9" x14ac:dyDescent="0.3">
      <c r="B2509" s="100">
        <f t="shared" si="244"/>
        <v>0</v>
      </c>
      <c r="C2509" s="84" t="str">
        <f t="shared" si="245"/>
        <v>January</v>
      </c>
      <c r="I2509" s="87" t="str">
        <f>IF(F2509=0,"",IF(COUNTIF(F2509,"Bao"),[1]Setup!$B$4,IF(COUNTIF(F2509,"Soup Dumpling"),[1]Setup!$B$5,F2509)))</f>
        <v/>
      </c>
    </row>
    <row r="2510" spans="2:9" x14ac:dyDescent="0.3">
      <c r="B2510" s="100">
        <f t="shared" si="244"/>
        <v>0</v>
      </c>
      <c r="C2510" s="84" t="str">
        <f t="shared" si="245"/>
        <v>January</v>
      </c>
      <c r="I2510" s="87" t="str">
        <f>IF(F2510=0,"",IF(COUNTIF(F2510,"Bao"),[1]Setup!$B$4,IF(COUNTIF(F2510,"Soup Dumpling"),[1]Setup!$B$5,F2510)))</f>
        <v/>
      </c>
    </row>
    <row r="2511" spans="2:9" x14ac:dyDescent="0.3">
      <c r="B2511" s="100">
        <f t="shared" si="244"/>
        <v>0</v>
      </c>
      <c r="C2511" s="84" t="str">
        <f t="shared" si="245"/>
        <v>January</v>
      </c>
      <c r="I2511" s="87" t="str">
        <f>IF(F2511=0,"",IF(COUNTIF(F2511,"Bao"),[1]Setup!$B$4,IF(COUNTIF(F2511,"Soup Dumpling"),[1]Setup!$B$5,F2511)))</f>
        <v/>
      </c>
    </row>
    <row r="2512" spans="2:9" x14ac:dyDescent="0.3">
      <c r="B2512" s="100">
        <f t="shared" si="244"/>
        <v>0</v>
      </c>
      <c r="C2512" s="84" t="str">
        <f t="shared" si="245"/>
        <v>January</v>
      </c>
      <c r="I2512" s="87" t="str">
        <f>IF(F2512=0,"",IF(COUNTIF(F2512,"Bao"),[1]Setup!$B$4,IF(COUNTIF(F2512,"Soup Dumpling"),[1]Setup!$B$5,F2512)))</f>
        <v/>
      </c>
    </row>
    <row r="2513" spans="2:9" x14ac:dyDescent="0.3">
      <c r="B2513" s="100">
        <f t="shared" si="244"/>
        <v>0</v>
      </c>
      <c r="C2513" s="84" t="str">
        <f t="shared" si="245"/>
        <v>January</v>
      </c>
      <c r="I2513" s="87" t="str">
        <f>IF(F2513=0,"",IF(COUNTIF(F2513,"Bao"),[1]Setup!$B$4,IF(COUNTIF(F2513,"Soup Dumpling"),[1]Setup!$B$5,F2513)))</f>
        <v/>
      </c>
    </row>
    <row r="2514" spans="2:9" x14ac:dyDescent="0.3">
      <c r="B2514" s="100">
        <f t="shared" si="244"/>
        <v>0</v>
      </c>
      <c r="C2514" s="84" t="str">
        <f t="shared" si="245"/>
        <v>January</v>
      </c>
      <c r="I2514" s="87" t="str">
        <f>IF(F2514=0,"",IF(COUNTIF(F2514,"Bao"),[1]Setup!$B$4,IF(COUNTIF(F2514,"Soup Dumpling"),[1]Setup!$B$5,F2514)))</f>
        <v/>
      </c>
    </row>
    <row r="2515" spans="2:9" x14ac:dyDescent="0.3">
      <c r="B2515" s="100">
        <f t="shared" si="244"/>
        <v>0</v>
      </c>
      <c r="C2515" s="84" t="str">
        <f t="shared" si="245"/>
        <v>January</v>
      </c>
      <c r="I2515" s="87" t="str">
        <f>IF(F2515=0,"",IF(COUNTIF(F2515,"Bao"),[1]Setup!$B$4,IF(COUNTIF(F2515,"Soup Dumpling"),[1]Setup!$B$5,F2515)))</f>
        <v/>
      </c>
    </row>
    <row r="2516" spans="2:9" x14ac:dyDescent="0.3">
      <c r="B2516" s="100">
        <f t="shared" si="244"/>
        <v>0</v>
      </c>
      <c r="C2516" s="84" t="str">
        <f t="shared" si="245"/>
        <v>January</v>
      </c>
      <c r="I2516" s="87" t="str">
        <f>IF(F2516=0,"",IF(COUNTIF(F2516,"Bao"),[1]Setup!$B$4,IF(COUNTIF(F2516,"Soup Dumpling"),[1]Setup!$B$5,F2516)))</f>
        <v/>
      </c>
    </row>
    <row r="2517" spans="2:9" x14ac:dyDescent="0.3">
      <c r="B2517" s="100">
        <f t="shared" si="244"/>
        <v>0</v>
      </c>
      <c r="C2517" s="84" t="str">
        <f t="shared" si="245"/>
        <v>January</v>
      </c>
      <c r="I2517" s="87" t="str">
        <f>IF(F2517=0,"",IF(COUNTIF(F2517,"Bao"),[1]Setup!$B$4,IF(COUNTIF(F2517,"Soup Dumpling"),[1]Setup!$B$5,F2517)))</f>
        <v/>
      </c>
    </row>
    <row r="2518" spans="2:9" x14ac:dyDescent="0.3">
      <c r="B2518" s="100">
        <f t="shared" si="244"/>
        <v>0</v>
      </c>
      <c r="C2518" s="84" t="str">
        <f t="shared" si="245"/>
        <v>January</v>
      </c>
      <c r="I2518" s="87" t="str">
        <f>IF(F2518=0,"",IF(COUNTIF(F2518,"Bao"),[1]Setup!$B$4,IF(COUNTIF(F2518,"Soup Dumpling"),[1]Setup!$B$5,F2518)))</f>
        <v/>
      </c>
    </row>
    <row r="2519" spans="2:9" x14ac:dyDescent="0.3">
      <c r="B2519" s="100">
        <f t="shared" si="244"/>
        <v>0</v>
      </c>
      <c r="C2519" s="84" t="str">
        <f t="shared" si="245"/>
        <v>January</v>
      </c>
      <c r="I2519" s="87" t="str">
        <f>IF(F2519=0,"",IF(COUNTIF(F2519,"Bao"),[1]Setup!$B$4,IF(COUNTIF(F2519,"Soup Dumpling"),[1]Setup!$B$5,F2519)))</f>
        <v/>
      </c>
    </row>
    <row r="2520" spans="2:9" x14ac:dyDescent="0.3">
      <c r="B2520" s="100">
        <f t="shared" si="244"/>
        <v>0</v>
      </c>
      <c r="C2520" s="84" t="str">
        <f t="shared" si="245"/>
        <v>January</v>
      </c>
      <c r="I2520" s="87" t="str">
        <f>IF(F2520=0,"",IF(COUNTIF(F2520,"Bao"),[1]Setup!$B$4,IF(COUNTIF(F2520,"Soup Dumpling"),[1]Setup!$B$5,F2520)))</f>
        <v/>
      </c>
    </row>
    <row r="2521" spans="2:9" x14ac:dyDescent="0.3">
      <c r="B2521" s="100">
        <f t="shared" si="244"/>
        <v>0</v>
      </c>
      <c r="C2521" s="84" t="str">
        <f t="shared" si="245"/>
        <v>January</v>
      </c>
      <c r="I2521" s="87" t="str">
        <f>IF(F2521=0,"",IF(COUNTIF(F2521,"Bao"),[1]Setup!$B$4,IF(COUNTIF(F2521,"Soup Dumpling"),[1]Setup!$B$5,F2521)))</f>
        <v/>
      </c>
    </row>
    <row r="2522" spans="2:9" x14ac:dyDescent="0.3">
      <c r="B2522" s="100">
        <f t="shared" si="244"/>
        <v>0</v>
      </c>
      <c r="C2522" s="84" t="str">
        <f t="shared" si="245"/>
        <v>January</v>
      </c>
      <c r="I2522" s="87" t="str">
        <f>IF(F2522=0,"",IF(COUNTIF(F2522,"Bao"),[1]Setup!$B$4,IF(COUNTIF(F2522,"Soup Dumpling"),[1]Setup!$B$5,F2522)))</f>
        <v/>
      </c>
    </row>
    <row r="2523" spans="2:9" x14ac:dyDescent="0.3">
      <c r="B2523" s="100">
        <f t="shared" si="244"/>
        <v>0</v>
      </c>
      <c r="C2523" s="84" t="str">
        <f t="shared" si="245"/>
        <v>January</v>
      </c>
      <c r="I2523" s="87" t="str">
        <f>IF(F2523=0,"",IF(COUNTIF(F2523,"Bao"),[1]Setup!$B$4,IF(COUNTIF(F2523,"Soup Dumpling"),[1]Setup!$B$5,F2523)))</f>
        <v/>
      </c>
    </row>
    <row r="2524" spans="2:9" x14ac:dyDescent="0.3">
      <c r="B2524" s="100">
        <f t="shared" si="244"/>
        <v>0</v>
      </c>
      <c r="C2524" s="84" t="str">
        <f t="shared" si="245"/>
        <v>January</v>
      </c>
      <c r="I2524" s="87" t="str">
        <f>IF(F2524=0,"",IF(COUNTIF(F2524,"Bao"),[1]Setup!$B$4,IF(COUNTIF(F2524,"Soup Dumpling"),[1]Setup!$B$5,F2524)))</f>
        <v/>
      </c>
    </row>
    <row r="2525" spans="2:9" x14ac:dyDescent="0.3">
      <c r="B2525" s="100">
        <f t="shared" si="244"/>
        <v>0</v>
      </c>
      <c r="C2525" s="84" t="str">
        <f t="shared" si="245"/>
        <v>January</v>
      </c>
      <c r="I2525" s="87" t="str">
        <f>IF(F2525=0,"",IF(COUNTIF(F2525,"Bao"),[1]Setup!$B$4,IF(COUNTIF(F2525,"Soup Dumpling"),[1]Setup!$B$5,F2525)))</f>
        <v/>
      </c>
    </row>
    <row r="2526" spans="2:9" x14ac:dyDescent="0.3">
      <c r="B2526" s="100">
        <f t="shared" si="244"/>
        <v>0</v>
      </c>
      <c r="C2526" s="84" t="str">
        <f t="shared" si="245"/>
        <v>January</v>
      </c>
      <c r="I2526" s="87" t="str">
        <f>IF(F2526=0,"",IF(COUNTIF(F2526,"Bao"),[1]Setup!$B$4,IF(COUNTIF(F2526,"Soup Dumpling"),[1]Setup!$B$5,F2526)))</f>
        <v/>
      </c>
    </row>
    <row r="2527" spans="2:9" x14ac:dyDescent="0.3">
      <c r="B2527" s="100">
        <f t="shared" si="244"/>
        <v>0</v>
      </c>
      <c r="C2527" s="84" t="str">
        <f t="shared" si="245"/>
        <v>January</v>
      </c>
      <c r="I2527" s="87" t="str">
        <f>IF(F2527=0,"",IF(COUNTIF(F2527,"Bao"),[1]Setup!$B$4,IF(COUNTIF(F2527,"Soup Dumpling"),[1]Setup!$B$5,F2527)))</f>
        <v/>
      </c>
    </row>
    <row r="2528" spans="2:9" x14ac:dyDescent="0.3">
      <c r="B2528" s="100">
        <f t="shared" si="244"/>
        <v>0</v>
      </c>
      <c r="C2528" s="84" t="str">
        <f t="shared" si="245"/>
        <v>January</v>
      </c>
      <c r="I2528" s="87" t="str">
        <f>IF(F2528=0,"",IF(COUNTIF(F2528,"Bao"),[1]Setup!$B$4,IF(COUNTIF(F2528,"Soup Dumpling"),[1]Setup!$B$5,F2528)))</f>
        <v/>
      </c>
    </row>
    <row r="2529" spans="2:9" x14ac:dyDescent="0.3">
      <c r="B2529" s="100">
        <f t="shared" si="244"/>
        <v>0</v>
      </c>
      <c r="C2529" s="84" t="str">
        <f t="shared" si="245"/>
        <v>January</v>
      </c>
      <c r="I2529" s="87" t="str">
        <f>IF(F2529=0,"",IF(COUNTIF(F2529,"Bao"),[1]Setup!$B$4,IF(COUNTIF(F2529,"Soup Dumpling"),[1]Setup!$B$5,F2529)))</f>
        <v/>
      </c>
    </row>
    <row r="2530" spans="2:9" x14ac:dyDescent="0.3">
      <c r="B2530" s="100">
        <f t="shared" si="244"/>
        <v>0</v>
      </c>
      <c r="C2530" s="84" t="str">
        <f t="shared" si="245"/>
        <v>January</v>
      </c>
      <c r="I2530" s="87" t="str">
        <f>IF(F2530=0,"",IF(COUNTIF(F2530,"Bao"),[1]Setup!$B$4,IF(COUNTIF(F2530,"Soup Dumpling"),[1]Setup!$B$5,F2530)))</f>
        <v/>
      </c>
    </row>
    <row r="2531" spans="2:9" x14ac:dyDescent="0.3">
      <c r="B2531" s="100">
        <f t="shared" si="244"/>
        <v>0</v>
      </c>
      <c r="C2531" s="84" t="str">
        <f t="shared" si="245"/>
        <v>January</v>
      </c>
      <c r="I2531" s="87" t="str">
        <f>IF(F2531=0,"",IF(COUNTIF(F2531,"Bao"),[1]Setup!$B$4,IF(COUNTIF(F2531,"Soup Dumpling"),[1]Setup!$B$5,F2531)))</f>
        <v/>
      </c>
    </row>
    <row r="2532" spans="2:9" x14ac:dyDescent="0.3">
      <c r="B2532" s="100">
        <f t="shared" si="244"/>
        <v>0</v>
      </c>
      <c r="C2532" s="84" t="str">
        <f t="shared" si="245"/>
        <v>January</v>
      </c>
      <c r="I2532" s="87" t="str">
        <f>IF(F2532=0,"",IF(COUNTIF(F2532,"Bao"),[1]Setup!$B$4,IF(COUNTIF(F2532,"Soup Dumpling"),[1]Setup!$B$5,F2532)))</f>
        <v/>
      </c>
    </row>
    <row r="2533" spans="2:9" x14ac:dyDescent="0.3">
      <c r="B2533" s="100">
        <f t="shared" si="244"/>
        <v>0</v>
      </c>
      <c r="C2533" s="84" t="str">
        <f t="shared" si="245"/>
        <v>January</v>
      </c>
      <c r="I2533" s="87" t="str">
        <f>IF(F2533=0,"",IF(COUNTIF(F2533,"Bao"),[1]Setup!$B$4,IF(COUNTIF(F2533,"Soup Dumpling"),[1]Setup!$B$5,F2533)))</f>
        <v/>
      </c>
    </row>
    <row r="2534" spans="2:9" x14ac:dyDescent="0.3">
      <c r="B2534" s="100">
        <f t="shared" si="244"/>
        <v>0</v>
      </c>
      <c r="C2534" s="84" t="str">
        <f t="shared" si="245"/>
        <v>January</v>
      </c>
      <c r="I2534" s="87" t="str">
        <f>IF(F2534=0,"",IF(COUNTIF(F2534,"Bao"),[1]Setup!$B$4,IF(COUNTIF(F2534,"Soup Dumpling"),[1]Setup!$B$5,F2534)))</f>
        <v/>
      </c>
    </row>
    <row r="2535" spans="2:9" x14ac:dyDescent="0.3">
      <c r="B2535" s="100">
        <f t="shared" si="244"/>
        <v>0</v>
      </c>
      <c r="C2535" s="84" t="str">
        <f t="shared" si="245"/>
        <v>January</v>
      </c>
      <c r="I2535" s="87" t="str">
        <f>IF(F2535=0,"",IF(COUNTIF(F2535,"Bao"),[1]Setup!$B$4,IF(COUNTIF(F2535,"Soup Dumpling"),[1]Setup!$B$5,F2535)))</f>
        <v/>
      </c>
    </row>
    <row r="2536" spans="2:9" x14ac:dyDescent="0.3">
      <c r="B2536" s="100">
        <f t="shared" si="244"/>
        <v>0</v>
      </c>
      <c r="C2536" s="84" t="str">
        <f t="shared" si="245"/>
        <v>January</v>
      </c>
      <c r="I2536" s="87" t="str">
        <f>IF(F2536=0,"",IF(COUNTIF(F2536,"Bao"),[1]Setup!$B$4,IF(COUNTIF(F2536,"Soup Dumpling"),[1]Setup!$B$5,F2536)))</f>
        <v/>
      </c>
    </row>
    <row r="2537" spans="2:9" x14ac:dyDescent="0.3">
      <c r="B2537" s="100">
        <f t="shared" si="244"/>
        <v>0</v>
      </c>
      <c r="C2537" s="84" t="str">
        <f t="shared" si="245"/>
        <v>January</v>
      </c>
      <c r="I2537" s="87" t="str">
        <f>IF(F2537=0,"",IF(COUNTIF(F2537,"Bao"),[1]Setup!$B$4,IF(COUNTIF(F2537,"Soup Dumpling"),[1]Setup!$B$5,F2537)))</f>
        <v/>
      </c>
    </row>
    <row r="2538" spans="2:9" x14ac:dyDescent="0.3">
      <c r="B2538" s="100">
        <f t="shared" si="244"/>
        <v>0</v>
      </c>
      <c r="C2538" s="84" t="str">
        <f t="shared" si="245"/>
        <v>January</v>
      </c>
      <c r="I2538" s="87" t="str">
        <f>IF(F2538=0,"",IF(COUNTIF(F2538,"Bao"),[1]Setup!$B$4,IF(COUNTIF(F2538,"Soup Dumpling"),[1]Setup!$B$5,F2538)))</f>
        <v/>
      </c>
    </row>
    <row r="2539" spans="2:9" x14ac:dyDescent="0.3">
      <c r="B2539" s="100">
        <f t="shared" si="244"/>
        <v>0</v>
      </c>
      <c r="C2539" s="84" t="str">
        <f t="shared" si="245"/>
        <v>January</v>
      </c>
      <c r="I2539" s="87" t="str">
        <f>IF(F2539=0,"",IF(COUNTIF(F2539,"Bao"),[1]Setup!$B$4,IF(COUNTIF(F2539,"Soup Dumpling"),[1]Setup!$B$5,F2539)))</f>
        <v/>
      </c>
    </row>
    <row r="2540" spans="2:9" x14ac:dyDescent="0.3">
      <c r="B2540" s="100">
        <f t="shared" si="244"/>
        <v>0</v>
      </c>
      <c r="C2540" s="84" t="str">
        <f t="shared" si="245"/>
        <v>January</v>
      </c>
      <c r="I2540" s="87" t="str">
        <f>IF(F2540=0,"",IF(COUNTIF(F2540,"Bao"),[1]Setup!$B$4,IF(COUNTIF(F2540,"Soup Dumpling"),[1]Setup!$B$5,F2540)))</f>
        <v/>
      </c>
    </row>
    <row r="2541" spans="2:9" x14ac:dyDescent="0.3">
      <c r="B2541" s="100">
        <f t="shared" si="244"/>
        <v>0</v>
      </c>
      <c r="C2541" s="84" t="str">
        <f t="shared" si="245"/>
        <v>January</v>
      </c>
      <c r="I2541" s="87" t="str">
        <f>IF(F2541=0,"",IF(COUNTIF(F2541,"Bao"),[1]Setup!$B$4,IF(COUNTIF(F2541,"Soup Dumpling"),[1]Setup!$B$5,F2541)))</f>
        <v/>
      </c>
    </row>
    <row r="2542" spans="2:9" x14ac:dyDescent="0.3">
      <c r="B2542" s="100">
        <f t="shared" si="244"/>
        <v>0</v>
      </c>
      <c r="C2542" s="84" t="str">
        <f t="shared" si="245"/>
        <v>January</v>
      </c>
      <c r="I2542" s="87" t="str">
        <f>IF(F2542=0,"",IF(COUNTIF(F2542,"Bao"),[1]Setup!$B$4,IF(COUNTIF(F2542,"Soup Dumpling"),[1]Setup!$B$5,F2542)))</f>
        <v/>
      </c>
    </row>
    <row r="2543" spans="2:9" x14ac:dyDescent="0.3">
      <c r="B2543" s="100">
        <f t="shared" si="244"/>
        <v>0</v>
      </c>
      <c r="C2543" s="84" t="str">
        <f t="shared" si="245"/>
        <v>January</v>
      </c>
      <c r="I2543" s="87" t="str">
        <f>IF(F2543=0,"",IF(COUNTIF(F2543,"Bao"),[1]Setup!$B$4,IF(COUNTIF(F2543,"Soup Dumpling"),[1]Setup!$B$5,F2543)))</f>
        <v/>
      </c>
    </row>
    <row r="2544" spans="2:9" x14ac:dyDescent="0.3">
      <c r="B2544" s="100">
        <f t="shared" si="244"/>
        <v>0</v>
      </c>
      <c r="C2544" s="84" t="str">
        <f t="shared" si="245"/>
        <v>January</v>
      </c>
      <c r="I2544" s="87" t="str">
        <f>IF(F2544=0,"",IF(COUNTIF(F2544,"Bao"),[1]Setup!$B$4,IF(COUNTIF(F2544,"Soup Dumpling"),[1]Setup!$B$5,F2544)))</f>
        <v/>
      </c>
    </row>
    <row r="2545" spans="2:9" x14ac:dyDescent="0.3">
      <c r="B2545" s="100">
        <f t="shared" si="244"/>
        <v>0</v>
      </c>
      <c r="C2545" s="84" t="str">
        <f t="shared" si="245"/>
        <v>January</v>
      </c>
      <c r="I2545" s="87" t="str">
        <f>IF(F2545=0,"",IF(COUNTIF(F2545,"Bao"),[1]Setup!$B$4,IF(COUNTIF(F2545,"Soup Dumpling"),[1]Setup!$B$5,F2545)))</f>
        <v/>
      </c>
    </row>
    <row r="2546" spans="2:9" x14ac:dyDescent="0.3">
      <c r="B2546" s="100">
        <f t="shared" si="244"/>
        <v>0</v>
      </c>
      <c r="C2546" s="84" t="str">
        <f t="shared" si="245"/>
        <v>January</v>
      </c>
      <c r="I2546" s="87" t="str">
        <f>IF(F2546=0,"",IF(COUNTIF(F2546,"Bao"),[1]Setup!$B$4,IF(COUNTIF(F2546,"Soup Dumpling"),[1]Setup!$B$5,F2546)))</f>
        <v/>
      </c>
    </row>
    <row r="2547" spans="2:9" x14ac:dyDescent="0.3">
      <c r="B2547" s="100">
        <f t="shared" si="244"/>
        <v>0</v>
      </c>
      <c r="C2547" s="84" t="str">
        <f t="shared" si="245"/>
        <v>January</v>
      </c>
      <c r="I2547" s="87" t="str">
        <f>IF(F2547=0,"",IF(COUNTIF(F2547,"Bao"),[1]Setup!$B$4,IF(COUNTIF(F2547,"Soup Dumpling"),[1]Setup!$B$5,F2547)))</f>
        <v/>
      </c>
    </row>
    <row r="2548" spans="2:9" x14ac:dyDescent="0.3">
      <c r="B2548" s="100">
        <f t="shared" si="244"/>
        <v>0</v>
      </c>
      <c r="C2548" s="84" t="str">
        <f t="shared" si="245"/>
        <v>January</v>
      </c>
      <c r="I2548" s="87" t="str">
        <f>IF(F2548=0,"",IF(COUNTIF(F2548,"Bao"),[1]Setup!$B$4,IF(COUNTIF(F2548,"Soup Dumpling"),[1]Setup!$B$5,F2548)))</f>
        <v/>
      </c>
    </row>
    <row r="2549" spans="2:9" x14ac:dyDescent="0.3">
      <c r="B2549" s="100">
        <f t="shared" si="244"/>
        <v>0</v>
      </c>
      <c r="C2549" s="84" t="str">
        <f t="shared" si="245"/>
        <v>January</v>
      </c>
      <c r="I2549" s="87" t="str">
        <f>IF(F2549=0,"",IF(COUNTIF(F2549,"Bao"),[1]Setup!$B$4,IF(COUNTIF(F2549,"Soup Dumpling"),[1]Setup!$B$5,F2549)))</f>
        <v/>
      </c>
    </row>
    <row r="2550" spans="2:9" x14ac:dyDescent="0.3">
      <c r="B2550" s="100">
        <f t="shared" si="244"/>
        <v>0</v>
      </c>
      <c r="C2550" s="84" t="str">
        <f t="shared" si="245"/>
        <v>January</v>
      </c>
      <c r="I2550" s="87" t="str">
        <f>IF(F2550=0,"",IF(COUNTIF(F2550,"Bao"),[1]Setup!$B$4,IF(COUNTIF(F2550,"Soup Dumpling"),[1]Setup!$B$5,F2550)))</f>
        <v/>
      </c>
    </row>
    <row r="2551" spans="2:9" x14ac:dyDescent="0.3">
      <c r="B2551" s="100">
        <f t="shared" si="244"/>
        <v>0</v>
      </c>
      <c r="C2551" s="84" t="str">
        <f t="shared" si="245"/>
        <v>January</v>
      </c>
      <c r="I2551" s="87" t="str">
        <f>IF(F2551=0,"",IF(COUNTIF(F2551,"Bao"),[1]Setup!$B$4,IF(COUNTIF(F2551,"Soup Dumpling"),[1]Setup!$B$5,F2551)))</f>
        <v/>
      </c>
    </row>
    <row r="2552" spans="2:9" x14ac:dyDescent="0.3">
      <c r="B2552" s="100">
        <f t="shared" si="244"/>
        <v>0</v>
      </c>
      <c r="C2552" s="84" t="str">
        <f t="shared" si="245"/>
        <v>January</v>
      </c>
      <c r="I2552" s="87" t="str">
        <f>IF(F2552=0,"",IF(COUNTIF(F2552,"Bao"),[1]Setup!$B$4,IF(COUNTIF(F2552,"Soup Dumpling"),[1]Setup!$B$5,F2552)))</f>
        <v/>
      </c>
    </row>
    <row r="2553" spans="2:9" x14ac:dyDescent="0.3">
      <c r="B2553" s="100">
        <f t="shared" si="244"/>
        <v>0</v>
      </c>
      <c r="C2553" s="84" t="str">
        <f t="shared" si="245"/>
        <v>January</v>
      </c>
      <c r="I2553" s="87" t="str">
        <f>IF(F2553=0,"",IF(COUNTIF(F2553,"Bao"),[1]Setup!$B$4,IF(COUNTIF(F2553,"Soup Dumpling"),[1]Setup!$B$5,F2553)))</f>
        <v/>
      </c>
    </row>
    <row r="2554" spans="2:9" x14ac:dyDescent="0.3">
      <c r="B2554" s="100">
        <f t="shared" si="244"/>
        <v>0</v>
      </c>
      <c r="C2554" s="84" t="str">
        <f t="shared" si="245"/>
        <v>January</v>
      </c>
      <c r="I2554" s="87" t="str">
        <f>IF(F2554=0,"",IF(COUNTIF(F2554,"Bao"),[1]Setup!$B$4,IF(COUNTIF(F2554,"Soup Dumpling"),[1]Setup!$B$5,F2554)))</f>
        <v/>
      </c>
    </row>
    <row r="2555" spans="2:9" x14ac:dyDescent="0.3">
      <c r="B2555" s="100">
        <f t="shared" si="244"/>
        <v>0</v>
      </c>
      <c r="C2555" s="84" t="str">
        <f t="shared" si="245"/>
        <v>January</v>
      </c>
      <c r="I2555" s="87" t="str">
        <f>IF(F2555=0,"",IF(COUNTIF(F2555,"Bao"),[1]Setup!$B$4,IF(COUNTIF(F2555,"Soup Dumpling"),[1]Setup!$B$5,F2555)))</f>
        <v/>
      </c>
    </row>
    <row r="2556" spans="2:9" x14ac:dyDescent="0.3">
      <c r="B2556" s="100">
        <f t="shared" si="244"/>
        <v>0</v>
      </c>
      <c r="C2556" s="84" t="str">
        <f t="shared" si="245"/>
        <v>January</v>
      </c>
      <c r="I2556" s="87" t="str">
        <f>IF(F2556=0,"",IF(COUNTIF(F2556,"Bao"),[1]Setup!$B$4,IF(COUNTIF(F2556,"Soup Dumpling"),[1]Setup!$B$5,F2556)))</f>
        <v/>
      </c>
    </row>
    <row r="2557" spans="2:9" x14ac:dyDescent="0.3">
      <c r="B2557" s="100">
        <f t="shared" si="244"/>
        <v>0</v>
      </c>
      <c r="C2557" s="84" t="str">
        <f t="shared" si="245"/>
        <v>January</v>
      </c>
      <c r="I2557" s="87" t="str">
        <f>IF(F2557=0,"",IF(COUNTIF(F2557,"Bao"),[1]Setup!$B$4,IF(COUNTIF(F2557,"Soup Dumpling"),[1]Setup!$B$5,F2557)))</f>
        <v/>
      </c>
    </row>
    <row r="2558" spans="2:9" x14ac:dyDescent="0.3">
      <c r="B2558" s="100">
        <f t="shared" si="244"/>
        <v>0</v>
      </c>
      <c r="C2558" s="84" t="str">
        <f t="shared" si="245"/>
        <v>January</v>
      </c>
      <c r="I2558" s="87" t="str">
        <f>IF(F2558=0,"",IF(COUNTIF(F2558,"Bao"),[1]Setup!$B$4,IF(COUNTIF(F2558,"Soup Dumpling"),[1]Setup!$B$5,F2558)))</f>
        <v/>
      </c>
    </row>
    <row r="2559" spans="2:9" x14ac:dyDescent="0.3">
      <c r="B2559" s="100">
        <f t="shared" si="244"/>
        <v>0</v>
      </c>
      <c r="C2559" s="84" t="str">
        <f t="shared" si="245"/>
        <v>January</v>
      </c>
      <c r="I2559" s="87" t="str">
        <f>IF(F2559=0,"",IF(COUNTIF(F2559,"Bao"),[1]Setup!$B$4,IF(COUNTIF(F2559,"Soup Dumpling"),[1]Setup!$B$5,F2559)))</f>
        <v/>
      </c>
    </row>
    <row r="2560" spans="2:9" x14ac:dyDescent="0.3">
      <c r="B2560" s="100">
        <f t="shared" si="244"/>
        <v>0</v>
      </c>
      <c r="C2560" s="84" t="str">
        <f t="shared" si="245"/>
        <v>January</v>
      </c>
      <c r="I2560" s="87" t="str">
        <f>IF(F2560=0,"",IF(COUNTIF(F2560,"Bao"),[1]Setup!$B$4,IF(COUNTIF(F2560,"Soup Dumpling"),[1]Setup!$B$5,F2560)))</f>
        <v/>
      </c>
    </row>
    <row r="2561" spans="2:9" x14ac:dyDescent="0.3">
      <c r="B2561" s="100">
        <f t="shared" si="244"/>
        <v>0</v>
      </c>
      <c r="C2561" s="84" t="str">
        <f t="shared" si="245"/>
        <v>January</v>
      </c>
      <c r="I2561" s="87" t="str">
        <f>IF(F2561=0,"",IF(COUNTIF(F2561,"Bao"),[1]Setup!$B$4,IF(COUNTIF(F2561,"Soup Dumpling"),[1]Setup!$B$5,F2561)))</f>
        <v/>
      </c>
    </row>
    <row r="2562" spans="2:9" x14ac:dyDescent="0.3">
      <c r="B2562" s="100">
        <f t="shared" si="244"/>
        <v>0</v>
      </c>
      <c r="C2562" s="84" t="str">
        <f t="shared" si="245"/>
        <v>January</v>
      </c>
      <c r="I2562" s="87" t="str">
        <f>IF(F2562=0,"",IF(COUNTIF(F2562,"Bao"),[1]Setup!$B$4,IF(COUNTIF(F2562,"Soup Dumpling"),[1]Setup!$B$5,F2562)))</f>
        <v/>
      </c>
    </row>
    <row r="2563" spans="2:9" x14ac:dyDescent="0.3">
      <c r="B2563" s="100">
        <f t="shared" si="244"/>
        <v>0</v>
      </c>
      <c r="C2563" s="84" t="str">
        <f t="shared" si="245"/>
        <v>January</v>
      </c>
      <c r="I2563" s="87" t="str">
        <f>IF(F2563=0,"",IF(COUNTIF(F2563,"Bao"),[1]Setup!$B$4,IF(COUNTIF(F2563,"Soup Dumpling"),[1]Setup!$B$5,F2563)))</f>
        <v/>
      </c>
    </row>
    <row r="2564" spans="2:9" x14ac:dyDescent="0.3">
      <c r="B2564" s="100">
        <f t="shared" si="244"/>
        <v>0</v>
      </c>
      <c r="C2564" s="84" t="str">
        <f t="shared" si="245"/>
        <v>January</v>
      </c>
      <c r="I2564" s="87" t="str">
        <f>IF(F2564=0,"",IF(COUNTIF(F2564,"Bao"),[1]Setup!$B$4,IF(COUNTIF(F2564,"Soup Dumpling"),[1]Setup!$B$5,F2564)))</f>
        <v/>
      </c>
    </row>
    <row r="2565" spans="2:9" x14ac:dyDescent="0.3">
      <c r="B2565" s="100">
        <f t="shared" ref="B2565:B2628" si="246">+WEEKNUM(A2565)</f>
        <v>0</v>
      </c>
      <c r="C2565" s="84" t="str">
        <f t="shared" ref="C2565:C2628" si="247">+TEXT(A2565,"mmmm")</f>
        <v>January</v>
      </c>
      <c r="I2565" s="87" t="str">
        <f>IF(F2565=0,"",IF(COUNTIF(F2565,"Bao"),[1]Setup!$B$4,IF(COUNTIF(F2565,"Soup Dumpling"),[1]Setup!$B$5,F2565)))</f>
        <v/>
      </c>
    </row>
    <row r="2566" spans="2:9" x14ac:dyDescent="0.3">
      <c r="B2566" s="100">
        <f t="shared" si="246"/>
        <v>0</v>
      </c>
      <c r="C2566" s="84" t="str">
        <f t="shared" si="247"/>
        <v>January</v>
      </c>
      <c r="I2566" s="87" t="str">
        <f>IF(F2566=0,"",IF(COUNTIF(F2566,"Bao"),[1]Setup!$B$4,IF(COUNTIF(F2566,"Soup Dumpling"),[1]Setup!$B$5,F2566)))</f>
        <v/>
      </c>
    </row>
    <row r="2567" spans="2:9" x14ac:dyDescent="0.3">
      <c r="B2567" s="100">
        <f t="shared" si="246"/>
        <v>0</v>
      </c>
      <c r="C2567" s="84" t="str">
        <f t="shared" si="247"/>
        <v>January</v>
      </c>
      <c r="I2567" s="87" t="str">
        <f>IF(F2567=0,"",IF(COUNTIF(F2567,"Bao"),[1]Setup!$B$4,IF(COUNTIF(F2567,"Soup Dumpling"),[1]Setup!$B$5,F2567)))</f>
        <v/>
      </c>
    </row>
    <row r="2568" spans="2:9" x14ac:dyDescent="0.3">
      <c r="B2568" s="100">
        <f t="shared" si="246"/>
        <v>0</v>
      </c>
      <c r="C2568" s="84" t="str">
        <f t="shared" si="247"/>
        <v>January</v>
      </c>
      <c r="I2568" s="87" t="str">
        <f>IF(F2568=0,"",IF(COUNTIF(F2568,"Bao"),[1]Setup!$B$4,IF(COUNTIF(F2568,"Soup Dumpling"),[1]Setup!$B$5,F2568)))</f>
        <v/>
      </c>
    </row>
    <row r="2569" spans="2:9" x14ac:dyDescent="0.3">
      <c r="B2569" s="100">
        <f t="shared" si="246"/>
        <v>0</v>
      </c>
      <c r="C2569" s="84" t="str">
        <f t="shared" si="247"/>
        <v>January</v>
      </c>
      <c r="I2569" s="87" t="str">
        <f>IF(F2569=0,"",IF(COUNTIF(F2569,"Bao"),[1]Setup!$B$4,IF(COUNTIF(F2569,"Soup Dumpling"),[1]Setup!$B$5,F2569)))</f>
        <v/>
      </c>
    </row>
    <row r="2570" spans="2:9" x14ac:dyDescent="0.3">
      <c r="B2570" s="100">
        <f t="shared" si="246"/>
        <v>0</v>
      </c>
      <c r="C2570" s="84" t="str">
        <f t="shared" si="247"/>
        <v>January</v>
      </c>
      <c r="I2570" s="87" t="str">
        <f>IF(F2570=0,"",IF(COUNTIF(F2570,"Bao"),[1]Setup!$B$4,IF(COUNTIF(F2570,"Soup Dumpling"),[1]Setup!$B$5,F2570)))</f>
        <v/>
      </c>
    </row>
    <row r="2571" spans="2:9" x14ac:dyDescent="0.3">
      <c r="B2571" s="100">
        <f t="shared" si="246"/>
        <v>0</v>
      </c>
      <c r="C2571" s="84" t="str">
        <f t="shared" si="247"/>
        <v>January</v>
      </c>
      <c r="I2571" s="87" t="str">
        <f>IF(F2571=0,"",IF(COUNTIF(F2571,"Bao"),[1]Setup!$B$4,IF(COUNTIF(F2571,"Soup Dumpling"),[1]Setup!$B$5,F2571)))</f>
        <v/>
      </c>
    </row>
    <row r="2572" spans="2:9" x14ac:dyDescent="0.3">
      <c r="B2572" s="100">
        <f t="shared" si="246"/>
        <v>0</v>
      </c>
      <c r="C2572" s="84" t="str">
        <f t="shared" si="247"/>
        <v>January</v>
      </c>
      <c r="I2572" s="87" t="str">
        <f>IF(F2572=0,"",IF(COUNTIF(F2572,"Bao"),[1]Setup!$B$4,IF(COUNTIF(F2572,"Soup Dumpling"),[1]Setup!$B$5,F2572)))</f>
        <v/>
      </c>
    </row>
    <row r="2573" spans="2:9" x14ac:dyDescent="0.3">
      <c r="B2573" s="100">
        <f t="shared" si="246"/>
        <v>0</v>
      </c>
      <c r="C2573" s="84" t="str">
        <f t="shared" si="247"/>
        <v>January</v>
      </c>
      <c r="I2573" s="87" t="str">
        <f>IF(F2573=0,"",IF(COUNTIF(F2573,"Bao"),[1]Setup!$B$4,IF(COUNTIF(F2573,"Soup Dumpling"),[1]Setup!$B$5,F2573)))</f>
        <v/>
      </c>
    </row>
    <row r="2574" spans="2:9" x14ac:dyDescent="0.3">
      <c r="B2574" s="100">
        <f t="shared" si="246"/>
        <v>0</v>
      </c>
      <c r="C2574" s="84" t="str">
        <f t="shared" si="247"/>
        <v>January</v>
      </c>
      <c r="I2574" s="87" t="str">
        <f>IF(F2574=0,"",IF(COUNTIF(F2574,"Bao"),[1]Setup!$B$4,IF(COUNTIF(F2574,"Soup Dumpling"),[1]Setup!$B$5,F2574)))</f>
        <v/>
      </c>
    </row>
    <row r="2575" spans="2:9" x14ac:dyDescent="0.3">
      <c r="B2575" s="100">
        <f t="shared" si="246"/>
        <v>0</v>
      </c>
      <c r="C2575" s="84" t="str">
        <f t="shared" si="247"/>
        <v>January</v>
      </c>
      <c r="I2575" s="87" t="str">
        <f>IF(F2575=0,"",IF(COUNTIF(F2575,"Bao"),[1]Setup!$B$4,IF(COUNTIF(F2575,"Soup Dumpling"),[1]Setup!$B$5,F2575)))</f>
        <v/>
      </c>
    </row>
    <row r="2576" spans="2:9" x14ac:dyDescent="0.3">
      <c r="B2576" s="100">
        <f t="shared" si="246"/>
        <v>0</v>
      </c>
      <c r="C2576" s="84" t="str">
        <f t="shared" si="247"/>
        <v>January</v>
      </c>
      <c r="I2576" s="87" t="str">
        <f>IF(F2576=0,"",IF(COUNTIF(F2576,"Bao"),[1]Setup!$B$4,IF(COUNTIF(F2576,"Soup Dumpling"),[1]Setup!$B$5,F2576)))</f>
        <v/>
      </c>
    </row>
    <row r="2577" spans="2:9" x14ac:dyDescent="0.3">
      <c r="B2577" s="100">
        <f t="shared" si="246"/>
        <v>0</v>
      </c>
      <c r="C2577" s="84" t="str">
        <f t="shared" si="247"/>
        <v>January</v>
      </c>
      <c r="I2577" s="87" t="str">
        <f>IF(F2577=0,"",IF(COUNTIF(F2577,"Bao"),[1]Setup!$B$4,IF(COUNTIF(F2577,"Soup Dumpling"),[1]Setup!$B$5,F2577)))</f>
        <v/>
      </c>
    </row>
    <row r="2578" spans="2:9" x14ac:dyDescent="0.3">
      <c r="B2578" s="100">
        <f t="shared" si="246"/>
        <v>0</v>
      </c>
      <c r="C2578" s="84" t="str">
        <f t="shared" si="247"/>
        <v>January</v>
      </c>
      <c r="I2578" s="87" t="str">
        <f>IF(F2578=0,"",IF(COUNTIF(F2578,"Bao"),[1]Setup!$B$4,IF(COUNTIF(F2578,"Soup Dumpling"),[1]Setup!$B$5,F2578)))</f>
        <v/>
      </c>
    </row>
    <row r="2579" spans="2:9" x14ac:dyDescent="0.3">
      <c r="B2579" s="100">
        <f t="shared" si="246"/>
        <v>0</v>
      </c>
      <c r="C2579" s="84" t="str">
        <f t="shared" si="247"/>
        <v>January</v>
      </c>
      <c r="I2579" s="87" t="str">
        <f>IF(F2579=0,"",IF(COUNTIF(F2579,"Bao"),[1]Setup!$B$4,IF(COUNTIF(F2579,"Soup Dumpling"),[1]Setup!$B$5,F2579)))</f>
        <v/>
      </c>
    </row>
    <row r="2580" spans="2:9" x14ac:dyDescent="0.3">
      <c r="B2580" s="100">
        <f t="shared" si="246"/>
        <v>0</v>
      </c>
      <c r="C2580" s="84" t="str">
        <f t="shared" si="247"/>
        <v>January</v>
      </c>
      <c r="I2580" s="87" t="str">
        <f>IF(F2580=0,"",IF(COUNTIF(F2580,"Bao"),[1]Setup!$B$4,IF(COUNTIF(F2580,"Soup Dumpling"),[1]Setup!$B$5,F2580)))</f>
        <v/>
      </c>
    </row>
    <row r="2581" spans="2:9" x14ac:dyDescent="0.3">
      <c r="B2581" s="100">
        <f t="shared" si="246"/>
        <v>0</v>
      </c>
      <c r="C2581" s="84" t="str">
        <f t="shared" si="247"/>
        <v>January</v>
      </c>
      <c r="I2581" s="87" t="str">
        <f>IF(F2581=0,"",IF(COUNTIF(F2581,"Bao"),[1]Setup!$B$4,IF(COUNTIF(F2581,"Soup Dumpling"),[1]Setup!$B$5,F2581)))</f>
        <v/>
      </c>
    </row>
    <row r="2582" spans="2:9" x14ac:dyDescent="0.3">
      <c r="B2582" s="100">
        <f t="shared" si="246"/>
        <v>0</v>
      </c>
      <c r="C2582" s="84" t="str">
        <f t="shared" si="247"/>
        <v>January</v>
      </c>
      <c r="I2582" s="87" t="str">
        <f>IF(F2582=0,"",IF(COUNTIF(F2582,"Bao"),[1]Setup!$B$4,IF(COUNTIF(F2582,"Soup Dumpling"),[1]Setup!$B$5,F2582)))</f>
        <v/>
      </c>
    </row>
    <row r="2583" spans="2:9" x14ac:dyDescent="0.3">
      <c r="B2583" s="100">
        <f t="shared" si="246"/>
        <v>0</v>
      </c>
      <c r="C2583" s="84" t="str">
        <f t="shared" si="247"/>
        <v>January</v>
      </c>
      <c r="I2583" s="87" t="str">
        <f>IF(F2583=0,"",IF(COUNTIF(F2583,"Bao"),[1]Setup!$B$4,IF(COUNTIF(F2583,"Soup Dumpling"),[1]Setup!$B$5,F2583)))</f>
        <v/>
      </c>
    </row>
    <row r="2584" spans="2:9" x14ac:dyDescent="0.3">
      <c r="B2584" s="100">
        <f t="shared" si="246"/>
        <v>0</v>
      </c>
      <c r="C2584" s="84" t="str">
        <f t="shared" si="247"/>
        <v>January</v>
      </c>
      <c r="I2584" s="87" t="str">
        <f>IF(F2584=0,"",IF(COUNTIF(F2584,"Bao"),[1]Setup!$B$4,IF(COUNTIF(F2584,"Soup Dumpling"),[1]Setup!$B$5,F2584)))</f>
        <v/>
      </c>
    </row>
    <row r="2585" spans="2:9" x14ac:dyDescent="0.3">
      <c r="B2585" s="100">
        <f t="shared" si="246"/>
        <v>0</v>
      </c>
      <c r="C2585" s="84" t="str">
        <f t="shared" si="247"/>
        <v>January</v>
      </c>
      <c r="I2585" s="87" t="str">
        <f>IF(F2585=0,"",IF(COUNTIF(F2585,"Bao"),[1]Setup!$B$4,IF(COUNTIF(F2585,"Soup Dumpling"),[1]Setup!$B$5,F2585)))</f>
        <v/>
      </c>
    </row>
    <row r="2586" spans="2:9" x14ac:dyDescent="0.3">
      <c r="B2586" s="100">
        <f t="shared" si="246"/>
        <v>0</v>
      </c>
      <c r="C2586" s="84" t="str">
        <f t="shared" si="247"/>
        <v>January</v>
      </c>
      <c r="I2586" s="87" t="str">
        <f>IF(F2586=0,"",IF(COUNTIF(F2586,"Bao"),[1]Setup!$B$4,IF(COUNTIF(F2586,"Soup Dumpling"),[1]Setup!$B$5,F2586)))</f>
        <v/>
      </c>
    </row>
    <row r="2587" spans="2:9" x14ac:dyDescent="0.3">
      <c r="B2587" s="100">
        <f t="shared" si="246"/>
        <v>0</v>
      </c>
      <c r="C2587" s="84" t="str">
        <f t="shared" si="247"/>
        <v>January</v>
      </c>
      <c r="I2587" s="87" t="str">
        <f>IF(F2587=0,"",IF(COUNTIF(F2587,"Bao"),[1]Setup!$B$4,IF(COUNTIF(F2587,"Soup Dumpling"),[1]Setup!$B$5,F2587)))</f>
        <v/>
      </c>
    </row>
    <row r="2588" spans="2:9" x14ac:dyDescent="0.3">
      <c r="B2588" s="100">
        <f t="shared" si="246"/>
        <v>0</v>
      </c>
      <c r="C2588" s="84" t="str">
        <f t="shared" si="247"/>
        <v>January</v>
      </c>
      <c r="I2588" s="87" t="str">
        <f>IF(F2588=0,"",IF(COUNTIF(F2588,"Bao"),[1]Setup!$B$4,IF(COUNTIF(F2588,"Soup Dumpling"),[1]Setup!$B$5,F2588)))</f>
        <v/>
      </c>
    </row>
    <row r="2589" spans="2:9" x14ac:dyDescent="0.3">
      <c r="B2589" s="100">
        <f t="shared" si="246"/>
        <v>0</v>
      </c>
      <c r="C2589" s="84" t="str">
        <f t="shared" si="247"/>
        <v>January</v>
      </c>
      <c r="I2589" s="87" t="str">
        <f>IF(F2589=0,"",IF(COUNTIF(F2589,"Bao"),[1]Setup!$B$4,IF(COUNTIF(F2589,"Soup Dumpling"),[1]Setup!$B$5,F2589)))</f>
        <v/>
      </c>
    </row>
    <row r="2590" spans="2:9" x14ac:dyDescent="0.3">
      <c r="B2590" s="100">
        <f t="shared" si="246"/>
        <v>0</v>
      </c>
      <c r="C2590" s="84" t="str">
        <f t="shared" si="247"/>
        <v>January</v>
      </c>
      <c r="I2590" s="87" t="str">
        <f>IF(F2590=0,"",IF(COUNTIF(F2590,"Bao"),[1]Setup!$B$4,IF(COUNTIF(F2590,"Soup Dumpling"),[1]Setup!$B$5,F2590)))</f>
        <v/>
      </c>
    </row>
    <row r="2591" spans="2:9" x14ac:dyDescent="0.3">
      <c r="B2591" s="100">
        <f t="shared" si="246"/>
        <v>0</v>
      </c>
      <c r="C2591" s="84" t="str">
        <f t="shared" si="247"/>
        <v>January</v>
      </c>
      <c r="I2591" s="87" t="str">
        <f>IF(F2591=0,"",IF(COUNTIF(F2591,"Bao"),[1]Setup!$B$4,IF(COUNTIF(F2591,"Soup Dumpling"),[1]Setup!$B$5,F2591)))</f>
        <v/>
      </c>
    </row>
    <row r="2592" spans="2:9" x14ac:dyDescent="0.3">
      <c r="B2592" s="100">
        <f t="shared" si="246"/>
        <v>0</v>
      </c>
      <c r="C2592" s="84" t="str">
        <f t="shared" si="247"/>
        <v>January</v>
      </c>
      <c r="I2592" s="87" t="str">
        <f>IF(F2592=0,"",IF(COUNTIF(F2592,"Bao"),[1]Setup!$B$4,IF(COUNTIF(F2592,"Soup Dumpling"),[1]Setup!$B$5,F2592)))</f>
        <v/>
      </c>
    </row>
    <row r="2593" spans="2:9" x14ac:dyDescent="0.3">
      <c r="B2593" s="100">
        <f t="shared" si="246"/>
        <v>0</v>
      </c>
      <c r="C2593" s="84" t="str">
        <f t="shared" si="247"/>
        <v>January</v>
      </c>
      <c r="I2593" s="87" t="str">
        <f>IF(F2593=0,"",IF(COUNTIF(F2593,"Bao"),[1]Setup!$B$4,IF(COUNTIF(F2593,"Soup Dumpling"),[1]Setup!$B$5,F2593)))</f>
        <v/>
      </c>
    </row>
    <row r="2594" spans="2:9" x14ac:dyDescent="0.3">
      <c r="B2594" s="100">
        <f t="shared" si="246"/>
        <v>0</v>
      </c>
      <c r="C2594" s="84" t="str">
        <f t="shared" si="247"/>
        <v>January</v>
      </c>
      <c r="I2594" s="87" t="str">
        <f>IF(F2594=0,"",IF(COUNTIF(F2594,"Bao"),[1]Setup!$B$4,IF(COUNTIF(F2594,"Soup Dumpling"),[1]Setup!$B$5,F2594)))</f>
        <v/>
      </c>
    </row>
    <row r="2595" spans="2:9" x14ac:dyDescent="0.3">
      <c r="B2595" s="100">
        <f t="shared" si="246"/>
        <v>0</v>
      </c>
      <c r="C2595" s="84" t="str">
        <f t="shared" si="247"/>
        <v>January</v>
      </c>
      <c r="I2595" s="87" t="str">
        <f>IF(F2595=0,"",IF(COUNTIF(F2595,"Bao"),[1]Setup!$B$4,IF(COUNTIF(F2595,"Soup Dumpling"),[1]Setup!$B$5,F2595)))</f>
        <v/>
      </c>
    </row>
    <row r="2596" spans="2:9" x14ac:dyDescent="0.3">
      <c r="B2596" s="100">
        <f t="shared" si="246"/>
        <v>0</v>
      </c>
      <c r="C2596" s="84" t="str">
        <f t="shared" si="247"/>
        <v>January</v>
      </c>
      <c r="I2596" s="87" t="str">
        <f>IF(F2596=0,"",IF(COUNTIF(F2596,"Bao"),[1]Setup!$B$4,IF(COUNTIF(F2596,"Soup Dumpling"),[1]Setup!$B$5,F2596)))</f>
        <v/>
      </c>
    </row>
    <row r="2597" spans="2:9" x14ac:dyDescent="0.3">
      <c r="B2597" s="100">
        <f t="shared" si="246"/>
        <v>0</v>
      </c>
      <c r="C2597" s="84" t="str">
        <f t="shared" si="247"/>
        <v>January</v>
      </c>
      <c r="I2597" s="87" t="str">
        <f>IF(F2597=0,"",IF(COUNTIF(F2597,"Bao"),[1]Setup!$B$4,IF(COUNTIF(F2597,"Soup Dumpling"),[1]Setup!$B$5,F2597)))</f>
        <v/>
      </c>
    </row>
    <row r="2598" spans="2:9" x14ac:dyDescent="0.3">
      <c r="B2598" s="100">
        <f t="shared" si="246"/>
        <v>0</v>
      </c>
      <c r="C2598" s="84" t="str">
        <f t="shared" si="247"/>
        <v>January</v>
      </c>
      <c r="I2598" s="87" t="str">
        <f>IF(F2598=0,"",IF(COUNTIF(F2598,"Bao"),[1]Setup!$B$4,IF(COUNTIF(F2598,"Soup Dumpling"),[1]Setup!$B$5,F2598)))</f>
        <v/>
      </c>
    </row>
    <row r="2599" spans="2:9" x14ac:dyDescent="0.3">
      <c r="B2599" s="100">
        <f t="shared" si="246"/>
        <v>0</v>
      </c>
      <c r="C2599" s="84" t="str">
        <f t="shared" si="247"/>
        <v>January</v>
      </c>
      <c r="I2599" s="87" t="str">
        <f>IF(F2599=0,"",IF(COUNTIF(F2599,"Bao"),[1]Setup!$B$4,IF(COUNTIF(F2599,"Soup Dumpling"),[1]Setup!$B$5,F2599)))</f>
        <v/>
      </c>
    </row>
    <row r="2600" spans="2:9" x14ac:dyDescent="0.3">
      <c r="B2600" s="100">
        <f t="shared" si="246"/>
        <v>0</v>
      </c>
      <c r="C2600" s="84" t="str">
        <f t="shared" si="247"/>
        <v>January</v>
      </c>
      <c r="I2600" s="87" t="str">
        <f>IF(F2600=0,"",IF(COUNTIF(F2600,"Bao"),[1]Setup!$B$4,IF(COUNTIF(F2600,"Soup Dumpling"),[1]Setup!$B$5,F2600)))</f>
        <v/>
      </c>
    </row>
    <row r="2601" spans="2:9" x14ac:dyDescent="0.3">
      <c r="B2601" s="100">
        <f t="shared" si="246"/>
        <v>0</v>
      </c>
      <c r="C2601" s="84" t="str">
        <f t="shared" si="247"/>
        <v>January</v>
      </c>
      <c r="I2601" s="87" t="str">
        <f>IF(F2601=0,"",IF(COUNTIF(F2601,"Bao"),[1]Setup!$B$4,IF(COUNTIF(F2601,"Soup Dumpling"),[1]Setup!$B$5,F2601)))</f>
        <v/>
      </c>
    </row>
    <row r="2602" spans="2:9" x14ac:dyDescent="0.3">
      <c r="B2602" s="100">
        <f t="shared" si="246"/>
        <v>0</v>
      </c>
      <c r="C2602" s="84" t="str">
        <f t="shared" si="247"/>
        <v>January</v>
      </c>
      <c r="I2602" s="87" t="str">
        <f>IF(F2602=0,"",IF(COUNTIF(F2602,"Bao"),[1]Setup!$B$4,IF(COUNTIF(F2602,"Soup Dumpling"),[1]Setup!$B$5,F2602)))</f>
        <v/>
      </c>
    </row>
    <row r="2603" spans="2:9" x14ac:dyDescent="0.3">
      <c r="B2603" s="100">
        <f t="shared" si="246"/>
        <v>0</v>
      </c>
      <c r="C2603" s="84" t="str">
        <f t="shared" si="247"/>
        <v>January</v>
      </c>
      <c r="I2603" s="87" t="str">
        <f>IF(F2603=0,"",IF(COUNTIF(F2603,"Bao"),[1]Setup!$B$4,IF(COUNTIF(F2603,"Soup Dumpling"),[1]Setup!$B$5,F2603)))</f>
        <v/>
      </c>
    </row>
    <row r="2604" spans="2:9" x14ac:dyDescent="0.3">
      <c r="B2604" s="100">
        <f t="shared" si="246"/>
        <v>0</v>
      </c>
      <c r="C2604" s="84" t="str">
        <f t="shared" si="247"/>
        <v>January</v>
      </c>
      <c r="I2604" s="87" t="str">
        <f>IF(F2604=0,"",IF(COUNTIF(F2604,"Bao"),[1]Setup!$B$4,IF(COUNTIF(F2604,"Soup Dumpling"),[1]Setup!$B$5,F2604)))</f>
        <v/>
      </c>
    </row>
    <row r="2605" spans="2:9" x14ac:dyDescent="0.3">
      <c r="B2605" s="100">
        <f t="shared" si="246"/>
        <v>0</v>
      </c>
      <c r="C2605" s="84" t="str">
        <f t="shared" si="247"/>
        <v>January</v>
      </c>
      <c r="I2605" s="87" t="str">
        <f>IF(F2605=0,"",IF(COUNTIF(F2605,"Bao"),[1]Setup!$B$4,IF(COUNTIF(F2605,"Soup Dumpling"),[1]Setup!$B$5,F2605)))</f>
        <v/>
      </c>
    </row>
    <row r="2606" spans="2:9" x14ac:dyDescent="0.3">
      <c r="B2606" s="100">
        <f t="shared" si="246"/>
        <v>0</v>
      </c>
      <c r="C2606" s="84" t="str">
        <f t="shared" si="247"/>
        <v>January</v>
      </c>
      <c r="I2606" s="87" t="str">
        <f>IF(F2606=0,"",IF(COUNTIF(F2606,"Bao"),[1]Setup!$B$4,IF(COUNTIF(F2606,"Soup Dumpling"),[1]Setup!$B$5,F2606)))</f>
        <v/>
      </c>
    </row>
    <row r="2607" spans="2:9" x14ac:dyDescent="0.3">
      <c r="B2607" s="100">
        <f t="shared" si="246"/>
        <v>0</v>
      </c>
      <c r="C2607" s="84" t="str">
        <f t="shared" si="247"/>
        <v>January</v>
      </c>
      <c r="I2607" s="87" t="str">
        <f>IF(F2607=0,"",IF(COUNTIF(F2607,"Bao"),[1]Setup!$B$4,IF(COUNTIF(F2607,"Soup Dumpling"),[1]Setup!$B$5,F2607)))</f>
        <v/>
      </c>
    </row>
    <row r="2608" spans="2:9" x14ac:dyDescent="0.3">
      <c r="B2608" s="100">
        <f t="shared" si="246"/>
        <v>0</v>
      </c>
      <c r="C2608" s="84" t="str">
        <f t="shared" si="247"/>
        <v>January</v>
      </c>
      <c r="I2608" s="87" t="str">
        <f>IF(F2608=0,"",IF(COUNTIF(F2608,"Bao"),[1]Setup!$B$4,IF(COUNTIF(F2608,"Soup Dumpling"),[1]Setup!$B$5,F2608)))</f>
        <v/>
      </c>
    </row>
    <row r="2609" spans="2:9" x14ac:dyDescent="0.3">
      <c r="B2609" s="100">
        <f t="shared" si="246"/>
        <v>0</v>
      </c>
      <c r="C2609" s="84" t="str">
        <f t="shared" si="247"/>
        <v>January</v>
      </c>
      <c r="I2609" s="87" t="str">
        <f>IF(F2609=0,"",IF(COUNTIF(F2609,"Bao"),[1]Setup!$B$4,IF(COUNTIF(F2609,"Soup Dumpling"),[1]Setup!$B$5,F2609)))</f>
        <v/>
      </c>
    </row>
    <row r="2610" spans="2:9" x14ac:dyDescent="0.3">
      <c r="B2610" s="100">
        <f t="shared" si="246"/>
        <v>0</v>
      </c>
      <c r="C2610" s="84" t="str">
        <f t="shared" si="247"/>
        <v>January</v>
      </c>
      <c r="I2610" s="87" t="str">
        <f>IF(F2610=0,"",IF(COUNTIF(F2610,"Bao"),[1]Setup!$B$4,IF(COUNTIF(F2610,"Soup Dumpling"),[1]Setup!$B$5,F2610)))</f>
        <v/>
      </c>
    </row>
    <row r="2611" spans="2:9" x14ac:dyDescent="0.3">
      <c r="B2611" s="100">
        <f t="shared" si="246"/>
        <v>0</v>
      </c>
      <c r="C2611" s="84" t="str">
        <f t="shared" si="247"/>
        <v>January</v>
      </c>
      <c r="I2611" s="87" t="str">
        <f>IF(F2611=0,"",IF(COUNTIF(F2611,"Bao"),[1]Setup!$B$4,IF(COUNTIF(F2611,"Soup Dumpling"),[1]Setup!$B$5,F2611)))</f>
        <v/>
      </c>
    </row>
    <row r="2612" spans="2:9" x14ac:dyDescent="0.3">
      <c r="B2612" s="100">
        <f t="shared" si="246"/>
        <v>0</v>
      </c>
      <c r="C2612" s="84" t="str">
        <f t="shared" si="247"/>
        <v>January</v>
      </c>
      <c r="I2612" s="87" t="str">
        <f>IF(F2612=0,"",IF(COUNTIF(F2612,"Bao"),[1]Setup!$B$4,IF(COUNTIF(F2612,"Soup Dumpling"),[1]Setup!$B$5,F2612)))</f>
        <v/>
      </c>
    </row>
    <row r="2613" spans="2:9" x14ac:dyDescent="0.3">
      <c r="B2613" s="100">
        <f t="shared" si="246"/>
        <v>0</v>
      </c>
      <c r="C2613" s="84" t="str">
        <f t="shared" si="247"/>
        <v>January</v>
      </c>
      <c r="I2613" s="87" t="str">
        <f>IF(F2613=0,"",IF(COUNTIF(F2613,"Bao"),[1]Setup!$B$4,IF(COUNTIF(F2613,"Soup Dumpling"),[1]Setup!$B$5,F2613)))</f>
        <v/>
      </c>
    </row>
    <row r="2614" spans="2:9" x14ac:dyDescent="0.3">
      <c r="B2614" s="100">
        <f t="shared" si="246"/>
        <v>0</v>
      </c>
      <c r="C2614" s="84" t="str">
        <f t="shared" si="247"/>
        <v>January</v>
      </c>
      <c r="I2614" s="87" t="str">
        <f>IF(F2614=0,"",IF(COUNTIF(F2614,"Bao"),[1]Setup!$B$4,IF(COUNTIF(F2614,"Soup Dumpling"),[1]Setup!$B$5,F2614)))</f>
        <v/>
      </c>
    </row>
    <row r="2615" spans="2:9" x14ac:dyDescent="0.3">
      <c r="B2615" s="100">
        <f t="shared" si="246"/>
        <v>0</v>
      </c>
      <c r="C2615" s="84" t="str">
        <f t="shared" si="247"/>
        <v>January</v>
      </c>
      <c r="I2615" s="87" t="str">
        <f>IF(F2615=0,"",IF(COUNTIF(F2615,"Bao"),[1]Setup!$B$4,IF(COUNTIF(F2615,"Soup Dumpling"),[1]Setup!$B$5,F2615)))</f>
        <v/>
      </c>
    </row>
    <row r="2616" spans="2:9" x14ac:dyDescent="0.3">
      <c r="B2616" s="100">
        <f t="shared" si="246"/>
        <v>0</v>
      </c>
      <c r="C2616" s="84" t="str">
        <f t="shared" si="247"/>
        <v>January</v>
      </c>
      <c r="I2616" s="87" t="str">
        <f>IF(F2616=0,"",IF(COUNTIF(F2616,"Bao"),[1]Setup!$B$4,IF(COUNTIF(F2616,"Soup Dumpling"),[1]Setup!$B$5,F2616)))</f>
        <v/>
      </c>
    </row>
    <row r="2617" spans="2:9" x14ac:dyDescent="0.3">
      <c r="B2617" s="100">
        <f t="shared" si="246"/>
        <v>0</v>
      </c>
      <c r="C2617" s="84" t="str">
        <f t="shared" si="247"/>
        <v>January</v>
      </c>
      <c r="I2617" s="87" t="str">
        <f>IF(F2617=0,"",IF(COUNTIF(F2617,"Bao"),[1]Setup!$B$4,IF(COUNTIF(F2617,"Soup Dumpling"),[1]Setup!$B$5,F2617)))</f>
        <v/>
      </c>
    </row>
    <row r="2618" spans="2:9" x14ac:dyDescent="0.3">
      <c r="B2618" s="100">
        <f t="shared" si="246"/>
        <v>0</v>
      </c>
      <c r="C2618" s="84" t="str">
        <f t="shared" si="247"/>
        <v>January</v>
      </c>
      <c r="I2618" s="87" t="str">
        <f>IF(F2618=0,"",IF(COUNTIF(F2618,"Bao"),[1]Setup!$B$4,IF(COUNTIF(F2618,"Soup Dumpling"),[1]Setup!$B$5,F2618)))</f>
        <v/>
      </c>
    </row>
    <row r="2619" spans="2:9" x14ac:dyDescent="0.3">
      <c r="B2619" s="100">
        <f t="shared" si="246"/>
        <v>0</v>
      </c>
      <c r="C2619" s="84" t="str">
        <f t="shared" si="247"/>
        <v>January</v>
      </c>
      <c r="I2619" s="87" t="str">
        <f>IF(F2619=0,"",IF(COUNTIF(F2619,"Bao"),[1]Setup!$B$4,IF(COUNTIF(F2619,"Soup Dumpling"),[1]Setup!$B$5,F2619)))</f>
        <v/>
      </c>
    </row>
    <row r="2620" spans="2:9" x14ac:dyDescent="0.3">
      <c r="B2620" s="100">
        <f t="shared" si="246"/>
        <v>0</v>
      </c>
      <c r="C2620" s="84" t="str">
        <f t="shared" si="247"/>
        <v>January</v>
      </c>
      <c r="I2620" s="87" t="str">
        <f>IF(F2620=0,"",IF(COUNTIF(F2620,"Bao"),[1]Setup!$B$4,IF(COUNTIF(F2620,"Soup Dumpling"),[1]Setup!$B$5,F2620)))</f>
        <v/>
      </c>
    </row>
    <row r="2621" spans="2:9" x14ac:dyDescent="0.3">
      <c r="B2621" s="100">
        <f t="shared" si="246"/>
        <v>0</v>
      </c>
      <c r="C2621" s="84" t="str">
        <f t="shared" si="247"/>
        <v>January</v>
      </c>
      <c r="I2621" s="87" t="str">
        <f>IF(F2621=0,"",IF(COUNTIF(F2621,"Bao"),[1]Setup!$B$4,IF(COUNTIF(F2621,"Soup Dumpling"),[1]Setup!$B$5,F2621)))</f>
        <v/>
      </c>
    </row>
    <row r="2622" spans="2:9" x14ac:dyDescent="0.3">
      <c r="B2622" s="100">
        <f t="shared" si="246"/>
        <v>0</v>
      </c>
      <c r="C2622" s="84" t="str">
        <f t="shared" si="247"/>
        <v>January</v>
      </c>
      <c r="I2622" s="87" t="str">
        <f>IF(F2622=0,"",IF(COUNTIF(F2622,"Bao"),[1]Setup!$B$4,IF(COUNTIF(F2622,"Soup Dumpling"),[1]Setup!$B$5,F2622)))</f>
        <v/>
      </c>
    </row>
    <row r="2623" spans="2:9" x14ac:dyDescent="0.3">
      <c r="B2623" s="100">
        <f t="shared" si="246"/>
        <v>0</v>
      </c>
      <c r="C2623" s="84" t="str">
        <f t="shared" si="247"/>
        <v>January</v>
      </c>
      <c r="I2623" s="87" t="str">
        <f>IF(F2623=0,"",IF(COUNTIF(F2623,"Bao"),[1]Setup!$B$4,IF(COUNTIF(F2623,"Soup Dumpling"),[1]Setup!$B$5,F2623)))</f>
        <v/>
      </c>
    </row>
    <row r="2624" spans="2:9" x14ac:dyDescent="0.3">
      <c r="B2624" s="100">
        <f t="shared" si="246"/>
        <v>0</v>
      </c>
      <c r="C2624" s="84" t="str">
        <f t="shared" si="247"/>
        <v>January</v>
      </c>
      <c r="I2624" s="87" t="str">
        <f>IF(F2624=0,"",IF(COUNTIF(F2624,"Bao"),[1]Setup!$B$4,IF(COUNTIF(F2624,"Soup Dumpling"),[1]Setup!$B$5,F2624)))</f>
        <v/>
      </c>
    </row>
    <row r="2625" spans="2:9" x14ac:dyDescent="0.3">
      <c r="B2625" s="100">
        <f t="shared" si="246"/>
        <v>0</v>
      </c>
      <c r="C2625" s="84" t="str">
        <f t="shared" si="247"/>
        <v>January</v>
      </c>
      <c r="I2625" s="87" t="str">
        <f>IF(F2625=0,"",IF(COUNTIF(F2625,"Bao"),[1]Setup!$B$4,IF(COUNTIF(F2625,"Soup Dumpling"),[1]Setup!$B$5,F2625)))</f>
        <v/>
      </c>
    </row>
    <row r="2626" spans="2:9" x14ac:dyDescent="0.3">
      <c r="B2626" s="100">
        <f t="shared" si="246"/>
        <v>0</v>
      </c>
      <c r="C2626" s="84" t="str">
        <f t="shared" si="247"/>
        <v>January</v>
      </c>
      <c r="I2626" s="87" t="str">
        <f>IF(F2626=0,"",IF(COUNTIF(F2626,"Bao"),[1]Setup!$B$4,IF(COUNTIF(F2626,"Soup Dumpling"),[1]Setup!$B$5,F2626)))</f>
        <v/>
      </c>
    </row>
    <row r="2627" spans="2:9" x14ac:dyDescent="0.3">
      <c r="B2627" s="100">
        <f t="shared" si="246"/>
        <v>0</v>
      </c>
      <c r="C2627" s="84" t="str">
        <f t="shared" si="247"/>
        <v>January</v>
      </c>
      <c r="I2627" s="87" t="str">
        <f>IF(F2627=0,"",IF(COUNTIF(F2627,"Bao"),[1]Setup!$B$4,IF(COUNTIF(F2627,"Soup Dumpling"),[1]Setup!$B$5,F2627)))</f>
        <v/>
      </c>
    </row>
    <row r="2628" spans="2:9" x14ac:dyDescent="0.3">
      <c r="B2628" s="100">
        <f t="shared" si="246"/>
        <v>0</v>
      </c>
      <c r="C2628" s="84" t="str">
        <f t="shared" si="247"/>
        <v>January</v>
      </c>
      <c r="I2628" s="87" t="str">
        <f>IF(F2628=0,"",IF(COUNTIF(F2628,"Bao"),[1]Setup!$B$4,IF(COUNTIF(F2628,"Soup Dumpling"),[1]Setup!$B$5,F2628)))</f>
        <v/>
      </c>
    </row>
    <row r="2629" spans="2:9" x14ac:dyDescent="0.3">
      <c r="B2629" s="100">
        <f t="shared" ref="B2629:B2675" si="248">+WEEKNUM(A2629)</f>
        <v>0</v>
      </c>
      <c r="C2629" s="84" t="str">
        <f t="shared" ref="C2629:C2675" si="249">+TEXT(A2629,"mmmm")</f>
        <v>January</v>
      </c>
      <c r="I2629" s="87" t="str">
        <f>IF(F2629=0,"",IF(COUNTIF(F2629,"Bao"),[1]Setup!$B$4,IF(COUNTIF(F2629,"Soup Dumpling"),[1]Setup!$B$5,F2629)))</f>
        <v/>
      </c>
    </row>
    <row r="2630" spans="2:9" x14ac:dyDescent="0.3">
      <c r="B2630" s="100">
        <f t="shared" si="248"/>
        <v>0</v>
      </c>
      <c r="C2630" s="84" t="str">
        <f t="shared" si="249"/>
        <v>January</v>
      </c>
      <c r="I2630" s="87" t="str">
        <f>IF(F2630=0,"",IF(COUNTIF(F2630,"Bao"),[1]Setup!$B$4,IF(COUNTIF(F2630,"Soup Dumpling"),[1]Setup!$B$5,F2630)))</f>
        <v/>
      </c>
    </row>
    <row r="2631" spans="2:9" x14ac:dyDescent="0.3">
      <c r="B2631" s="100">
        <f t="shared" si="248"/>
        <v>0</v>
      </c>
      <c r="C2631" s="84" t="str">
        <f t="shared" si="249"/>
        <v>January</v>
      </c>
      <c r="I2631" s="87" t="str">
        <f>IF(F2631=0,"",IF(COUNTIF(F2631,"Bao"),[1]Setup!$B$4,IF(COUNTIF(F2631,"Soup Dumpling"),[1]Setup!$B$5,F2631)))</f>
        <v/>
      </c>
    </row>
    <row r="2632" spans="2:9" x14ac:dyDescent="0.3">
      <c r="B2632" s="100">
        <f t="shared" si="248"/>
        <v>0</v>
      </c>
      <c r="C2632" s="84" t="str">
        <f t="shared" si="249"/>
        <v>January</v>
      </c>
      <c r="I2632" s="87" t="str">
        <f>IF(F2632=0,"",IF(COUNTIF(F2632,"Bao"),[1]Setup!$B$4,IF(COUNTIF(F2632,"Soup Dumpling"),[1]Setup!$B$5,F2632)))</f>
        <v/>
      </c>
    </row>
    <row r="2633" spans="2:9" x14ac:dyDescent="0.3">
      <c r="B2633" s="100">
        <f t="shared" si="248"/>
        <v>0</v>
      </c>
      <c r="C2633" s="84" t="str">
        <f t="shared" si="249"/>
        <v>January</v>
      </c>
      <c r="I2633" s="87" t="str">
        <f>IF(F2633=0,"",IF(COUNTIF(F2633,"Bao"),[1]Setup!$B$4,IF(COUNTIF(F2633,"Soup Dumpling"),[1]Setup!$B$5,F2633)))</f>
        <v/>
      </c>
    </row>
    <row r="2634" spans="2:9" x14ac:dyDescent="0.3">
      <c r="B2634" s="100">
        <f t="shared" si="248"/>
        <v>0</v>
      </c>
      <c r="C2634" s="84" t="str">
        <f t="shared" si="249"/>
        <v>January</v>
      </c>
      <c r="I2634" s="87" t="str">
        <f>IF(F2634=0,"",IF(COUNTIF(F2634,"Bao"),[1]Setup!$B$4,IF(COUNTIF(F2634,"Soup Dumpling"),[1]Setup!$B$5,F2634)))</f>
        <v/>
      </c>
    </row>
    <row r="2635" spans="2:9" x14ac:dyDescent="0.3">
      <c r="B2635" s="100">
        <f t="shared" si="248"/>
        <v>0</v>
      </c>
      <c r="C2635" s="84" t="str">
        <f t="shared" si="249"/>
        <v>January</v>
      </c>
      <c r="I2635" s="87" t="str">
        <f>IF(F2635=0,"",IF(COUNTIF(F2635,"Bao"),[1]Setup!$B$4,IF(COUNTIF(F2635,"Soup Dumpling"),[1]Setup!$B$5,F2635)))</f>
        <v/>
      </c>
    </row>
    <row r="2636" spans="2:9" x14ac:dyDescent="0.3">
      <c r="B2636" s="100">
        <f t="shared" si="248"/>
        <v>0</v>
      </c>
      <c r="C2636" s="84" t="str">
        <f t="shared" si="249"/>
        <v>January</v>
      </c>
      <c r="I2636" s="87" t="str">
        <f>IF(F2636=0,"",IF(COUNTIF(F2636,"Bao"),[1]Setup!$B$4,IF(COUNTIF(F2636,"Soup Dumpling"),[1]Setup!$B$5,F2636)))</f>
        <v/>
      </c>
    </row>
    <row r="2637" spans="2:9" x14ac:dyDescent="0.3">
      <c r="B2637" s="100">
        <f t="shared" si="248"/>
        <v>0</v>
      </c>
      <c r="C2637" s="84" t="str">
        <f t="shared" si="249"/>
        <v>January</v>
      </c>
      <c r="I2637" s="87" t="str">
        <f>IF(F2637=0,"",IF(COUNTIF(F2637,"Bao"),[1]Setup!$B$4,IF(COUNTIF(F2637,"Soup Dumpling"),[1]Setup!$B$5,F2637)))</f>
        <v/>
      </c>
    </row>
    <row r="2638" spans="2:9" x14ac:dyDescent="0.3">
      <c r="B2638" s="100">
        <f t="shared" si="248"/>
        <v>0</v>
      </c>
      <c r="C2638" s="84" t="str">
        <f t="shared" si="249"/>
        <v>January</v>
      </c>
      <c r="I2638" s="87" t="str">
        <f>IF(F2638=0,"",IF(COUNTIF(F2638,"Bao"),[1]Setup!$B$4,IF(COUNTIF(F2638,"Soup Dumpling"),[1]Setup!$B$5,F2638)))</f>
        <v/>
      </c>
    </row>
    <row r="2639" spans="2:9" x14ac:dyDescent="0.3">
      <c r="B2639" s="100">
        <f t="shared" si="248"/>
        <v>0</v>
      </c>
      <c r="C2639" s="84" t="str">
        <f t="shared" si="249"/>
        <v>January</v>
      </c>
      <c r="I2639" s="87" t="str">
        <f>IF(F2639=0,"",IF(COUNTIF(F2639,"Bao"),[1]Setup!$B$4,IF(COUNTIF(F2639,"Soup Dumpling"),[1]Setup!$B$5,F2639)))</f>
        <v/>
      </c>
    </row>
    <row r="2640" spans="2:9" x14ac:dyDescent="0.3">
      <c r="B2640" s="100">
        <f t="shared" si="248"/>
        <v>0</v>
      </c>
      <c r="C2640" s="84" t="str">
        <f t="shared" si="249"/>
        <v>January</v>
      </c>
      <c r="I2640" s="87" t="str">
        <f>IF(F2640=0,"",IF(COUNTIF(F2640,"Bao"),[1]Setup!$B$4,IF(COUNTIF(F2640,"Soup Dumpling"),[1]Setup!$B$5,F2640)))</f>
        <v/>
      </c>
    </row>
    <row r="2641" spans="2:9" x14ac:dyDescent="0.3">
      <c r="B2641" s="100">
        <f t="shared" si="248"/>
        <v>0</v>
      </c>
      <c r="C2641" s="84" t="str">
        <f t="shared" si="249"/>
        <v>January</v>
      </c>
      <c r="I2641" s="87" t="str">
        <f>IF(F2641=0,"",IF(COUNTIF(F2641,"Bao"),[1]Setup!$B$4,IF(COUNTIF(F2641,"Soup Dumpling"),[1]Setup!$B$5,F2641)))</f>
        <v/>
      </c>
    </row>
    <row r="2642" spans="2:9" x14ac:dyDescent="0.3">
      <c r="B2642" s="100">
        <f t="shared" si="248"/>
        <v>0</v>
      </c>
      <c r="C2642" s="84" t="str">
        <f t="shared" si="249"/>
        <v>January</v>
      </c>
      <c r="I2642" s="87" t="str">
        <f>IF(F2642=0,"",IF(COUNTIF(F2642,"Bao"),[1]Setup!$B$4,IF(COUNTIF(F2642,"Soup Dumpling"),[1]Setup!$B$5,F2642)))</f>
        <v/>
      </c>
    </row>
    <row r="2643" spans="2:9" x14ac:dyDescent="0.3">
      <c r="B2643" s="100">
        <f t="shared" si="248"/>
        <v>0</v>
      </c>
      <c r="C2643" s="84" t="str">
        <f t="shared" si="249"/>
        <v>January</v>
      </c>
      <c r="I2643" s="87" t="str">
        <f>IF(F2643=0,"",IF(COUNTIF(F2643,"Bao"),[1]Setup!$B$4,IF(COUNTIF(F2643,"Soup Dumpling"),[1]Setup!$B$5,F2643)))</f>
        <v/>
      </c>
    </row>
    <row r="2644" spans="2:9" x14ac:dyDescent="0.3">
      <c r="B2644" s="100">
        <f t="shared" si="248"/>
        <v>0</v>
      </c>
      <c r="C2644" s="84" t="str">
        <f t="shared" si="249"/>
        <v>January</v>
      </c>
      <c r="I2644" s="87" t="str">
        <f>IF(F2644=0,"",IF(COUNTIF(F2644,"Bao"),[1]Setup!$B$4,IF(COUNTIF(F2644,"Soup Dumpling"),[1]Setup!$B$5,F2644)))</f>
        <v/>
      </c>
    </row>
    <row r="2645" spans="2:9" x14ac:dyDescent="0.3">
      <c r="B2645" s="100">
        <f t="shared" si="248"/>
        <v>0</v>
      </c>
      <c r="C2645" s="84" t="str">
        <f t="shared" si="249"/>
        <v>January</v>
      </c>
      <c r="I2645" s="87" t="str">
        <f>IF(F2645=0,"",IF(COUNTIF(F2645,"Bao"),[1]Setup!$B$4,IF(COUNTIF(F2645,"Soup Dumpling"),[1]Setup!$B$5,F2645)))</f>
        <v/>
      </c>
    </row>
    <row r="2646" spans="2:9" x14ac:dyDescent="0.3">
      <c r="B2646" s="100">
        <f t="shared" si="248"/>
        <v>0</v>
      </c>
      <c r="C2646" s="84" t="str">
        <f t="shared" si="249"/>
        <v>January</v>
      </c>
      <c r="I2646" s="87" t="str">
        <f>IF(F2646=0,"",IF(COUNTIF(F2646,"Bao"),[1]Setup!$B$4,IF(COUNTIF(F2646,"Soup Dumpling"),[1]Setup!$B$5,F2646)))</f>
        <v/>
      </c>
    </row>
    <row r="2647" spans="2:9" x14ac:dyDescent="0.3">
      <c r="B2647" s="100">
        <f t="shared" si="248"/>
        <v>0</v>
      </c>
      <c r="C2647" s="84" t="str">
        <f t="shared" si="249"/>
        <v>January</v>
      </c>
      <c r="I2647" s="87" t="str">
        <f>IF(F2647=0,"",IF(COUNTIF(F2647,"Bao"),[1]Setup!$B$4,IF(COUNTIF(F2647,"Soup Dumpling"),[1]Setup!$B$5,F2647)))</f>
        <v/>
      </c>
    </row>
    <row r="2648" spans="2:9" x14ac:dyDescent="0.3">
      <c r="B2648" s="100">
        <f t="shared" si="248"/>
        <v>0</v>
      </c>
      <c r="C2648" s="84" t="str">
        <f t="shared" si="249"/>
        <v>January</v>
      </c>
      <c r="I2648" s="87" t="str">
        <f>IF(F2648=0,"",IF(COUNTIF(F2648,"Bao"),[1]Setup!$B$4,IF(COUNTIF(F2648,"Soup Dumpling"),[1]Setup!$B$5,F2648)))</f>
        <v/>
      </c>
    </row>
    <row r="2649" spans="2:9" x14ac:dyDescent="0.3">
      <c r="B2649" s="100">
        <f t="shared" si="248"/>
        <v>0</v>
      </c>
      <c r="C2649" s="84" t="str">
        <f t="shared" si="249"/>
        <v>January</v>
      </c>
      <c r="I2649" s="87" t="str">
        <f>IF(F2649=0,"",IF(COUNTIF(F2649,"Bao"),[1]Setup!$B$4,IF(COUNTIF(F2649,"Soup Dumpling"),[1]Setup!$B$5,F2649)))</f>
        <v/>
      </c>
    </row>
    <row r="2650" spans="2:9" x14ac:dyDescent="0.3">
      <c r="B2650" s="100">
        <f t="shared" si="248"/>
        <v>0</v>
      </c>
      <c r="C2650" s="84" t="str">
        <f t="shared" si="249"/>
        <v>January</v>
      </c>
      <c r="I2650" s="87" t="str">
        <f>IF(F2650=0,"",IF(COUNTIF(F2650,"Bao"),[1]Setup!$B$4,IF(COUNTIF(F2650,"Soup Dumpling"),[1]Setup!$B$5,F2650)))</f>
        <v/>
      </c>
    </row>
    <row r="2651" spans="2:9" x14ac:dyDescent="0.3">
      <c r="B2651" s="100">
        <f t="shared" si="248"/>
        <v>0</v>
      </c>
      <c r="C2651" s="84" t="str">
        <f t="shared" si="249"/>
        <v>January</v>
      </c>
      <c r="I2651" s="87" t="str">
        <f>IF(F2651=0,"",IF(COUNTIF(F2651,"Bao"),[1]Setup!$B$4,IF(COUNTIF(F2651,"Soup Dumpling"),[1]Setup!$B$5,F2651)))</f>
        <v/>
      </c>
    </row>
    <row r="2652" spans="2:9" x14ac:dyDescent="0.3">
      <c r="B2652" s="100">
        <f t="shared" si="248"/>
        <v>0</v>
      </c>
      <c r="C2652" s="84" t="str">
        <f t="shared" si="249"/>
        <v>January</v>
      </c>
      <c r="I2652" s="87" t="str">
        <f>IF(F2652=0,"",IF(COUNTIF(F2652,"Bao"),[1]Setup!$B$4,IF(COUNTIF(F2652,"Soup Dumpling"),[1]Setup!$B$5,F2652)))</f>
        <v/>
      </c>
    </row>
    <row r="2653" spans="2:9" x14ac:dyDescent="0.3">
      <c r="B2653" s="100">
        <f t="shared" si="248"/>
        <v>0</v>
      </c>
      <c r="C2653" s="84" t="str">
        <f t="shared" si="249"/>
        <v>January</v>
      </c>
      <c r="I2653" s="87" t="str">
        <f>IF(F2653=0,"",IF(COUNTIF(F2653,"Bao"),[1]Setup!$B$4,IF(COUNTIF(F2653,"Soup Dumpling"),[1]Setup!$B$5,F2653)))</f>
        <v/>
      </c>
    </row>
    <row r="2654" spans="2:9" x14ac:dyDescent="0.3">
      <c r="B2654" s="100">
        <f t="shared" si="248"/>
        <v>0</v>
      </c>
      <c r="C2654" s="84" t="str">
        <f t="shared" si="249"/>
        <v>January</v>
      </c>
      <c r="I2654" s="87" t="str">
        <f>IF(F2654=0,"",IF(COUNTIF(F2654,"Bao"),[1]Setup!$B$4,IF(COUNTIF(F2654,"Soup Dumpling"),[1]Setup!$B$5,F2654)))</f>
        <v/>
      </c>
    </row>
    <row r="2655" spans="2:9" x14ac:dyDescent="0.3">
      <c r="B2655" s="100">
        <f t="shared" si="248"/>
        <v>0</v>
      </c>
      <c r="C2655" s="84" t="str">
        <f t="shared" si="249"/>
        <v>January</v>
      </c>
      <c r="I2655" s="87" t="str">
        <f>IF(F2655=0,"",IF(COUNTIF(F2655,"Bao"),[1]Setup!$B$4,IF(COUNTIF(F2655,"Soup Dumpling"),[1]Setup!$B$5,F2655)))</f>
        <v/>
      </c>
    </row>
    <row r="2656" spans="2:9" x14ac:dyDescent="0.3">
      <c r="B2656" s="100">
        <f t="shared" si="248"/>
        <v>0</v>
      </c>
      <c r="C2656" s="84" t="str">
        <f t="shared" si="249"/>
        <v>January</v>
      </c>
      <c r="I2656" s="87" t="str">
        <f>IF(F2656=0,"",IF(COUNTIF(F2656,"Bao"),[1]Setup!$B$4,IF(COUNTIF(F2656,"Soup Dumpling"),[1]Setup!$B$5,F2656)))</f>
        <v/>
      </c>
    </row>
    <row r="2657" spans="2:9" x14ac:dyDescent="0.3">
      <c r="B2657" s="100">
        <f t="shared" si="248"/>
        <v>0</v>
      </c>
      <c r="C2657" s="84" t="str">
        <f t="shared" si="249"/>
        <v>January</v>
      </c>
      <c r="I2657" s="87" t="str">
        <f>IF(F2657=0,"",IF(COUNTIF(F2657,"Bao"),[1]Setup!$B$4,IF(COUNTIF(F2657,"Soup Dumpling"),[1]Setup!$B$5,F2657)))</f>
        <v/>
      </c>
    </row>
    <row r="2658" spans="2:9" x14ac:dyDescent="0.3">
      <c r="B2658" s="100">
        <f t="shared" si="248"/>
        <v>0</v>
      </c>
      <c r="C2658" s="84" t="str">
        <f t="shared" si="249"/>
        <v>January</v>
      </c>
      <c r="I2658" s="87" t="str">
        <f>IF(F2658=0,"",IF(COUNTIF(F2658,"Bao"),[1]Setup!$B$4,IF(COUNTIF(F2658,"Soup Dumpling"),[1]Setup!$B$5,F2658)))</f>
        <v/>
      </c>
    </row>
    <row r="2659" spans="2:9" x14ac:dyDescent="0.3">
      <c r="B2659" s="100">
        <f t="shared" si="248"/>
        <v>0</v>
      </c>
      <c r="C2659" s="84" t="str">
        <f t="shared" si="249"/>
        <v>January</v>
      </c>
      <c r="I2659" s="87" t="str">
        <f>IF(F2659=0,"",IF(COUNTIF(F2659,"Bao"),[1]Setup!$B$4,IF(COUNTIF(F2659,"Soup Dumpling"),[1]Setup!$B$5,F2659)))</f>
        <v/>
      </c>
    </row>
    <row r="2660" spans="2:9" x14ac:dyDescent="0.3">
      <c r="B2660" s="100">
        <f t="shared" si="248"/>
        <v>0</v>
      </c>
      <c r="C2660" s="84" t="str">
        <f t="shared" si="249"/>
        <v>January</v>
      </c>
      <c r="I2660" s="87" t="str">
        <f>IF(F2660=0,"",IF(COUNTIF(F2660,"Bao"),[1]Setup!$B$4,IF(COUNTIF(F2660,"Soup Dumpling"),[1]Setup!$B$5,F2660)))</f>
        <v/>
      </c>
    </row>
    <row r="2661" spans="2:9" x14ac:dyDescent="0.3">
      <c r="B2661" s="100">
        <f t="shared" si="248"/>
        <v>0</v>
      </c>
      <c r="C2661" s="84" t="str">
        <f t="shared" si="249"/>
        <v>January</v>
      </c>
      <c r="I2661" s="87" t="str">
        <f>IF(F2661=0,"",IF(COUNTIF(F2661,"Bao"),[1]Setup!$B$4,IF(COUNTIF(F2661,"Soup Dumpling"),[1]Setup!$B$5,F2661)))</f>
        <v/>
      </c>
    </row>
    <row r="2662" spans="2:9" x14ac:dyDescent="0.3">
      <c r="B2662" s="100">
        <f t="shared" si="248"/>
        <v>0</v>
      </c>
      <c r="C2662" s="84" t="str">
        <f t="shared" si="249"/>
        <v>January</v>
      </c>
      <c r="I2662" s="87" t="str">
        <f>IF(F2662=0,"",IF(COUNTIF(F2662,"Bao"),[1]Setup!$B$4,IF(COUNTIF(F2662,"Soup Dumpling"),[1]Setup!$B$5,F2662)))</f>
        <v/>
      </c>
    </row>
    <row r="2663" spans="2:9" x14ac:dyDescent="0.3">
      <c r="B2663" s="100">
        <f t="shared" si="248"/>
        <v>0</v>
      </c>
      <c r="C2663" s="84" t="str">
        <f t="shared" si="249"/>
        <v>January</v>
      </c>
      <c r="I2663" s="87" t="str">
        <f>IF(F2663=0,"",IF(COUNTIF(F2663,"Bao"),[1]Setup!$B$4,IF(COUNTIF(F2663,"Soup Dumpling"),[1]Setup!$B$5,F2663)))</f>
        <v/>
      </c>
    </row>
    <row r="2664" spans="2:9" x14ac:dyDescent="0.3">
      <c r="B2664" s="100">
        <f t="shared" si="248"/>
        <v>0</v>
      </c>
      <c r="C2664" s="84" t="str">
        <f t="shared" si="249"/>
        <v>January</v>
      </c>
      <c r="I2664" s="87" t="str">
        <f>IF(F2664=0,"",IF(COUNTIF(F2664,"Bao"),[1]Setup!$B$4,IF(COUNTIF(F2664,"Soup Dumpling"),[1]Setup!$B$5,F2664)))</f>
        <v/>
      </c>
    </row>
    <row r="2665" spans="2:9" x14ac:dyDescent="0.3">
      <c r="B2665" s="100">
        <f t="shared" si="248"/>
        <v>0</v>
      </c>
      <c r="C2665" s="84" t="str">
        <f t="shared" si="249"/>
        <v>January</v>
      </c>
      <c r="I2665" s="87" t="str">
        <f>IF(F2665=0,"",IF(COUNTIF(F2665,"Bao"),[1]Setup!$B$4,IF(COUNTIF(F2665,"Soup Dumpling"),[1]Setup!$B$5,F2665)))</f>
        <v/>
      </c>
    </row>
    <row r="2666" spans="2:9" x14ac:dyDescent="0.3">
      <c r="B2666" s="100">
        <f t="shared" si="248"/>
        <v>0</v>
      </c>
      <c r="C2666" s="84" t="str">
        <f t="shared" si="249"/>
        <v>January</v>
      </c>
      <c r="I2666" s="87" t="str">
        <f>IF(F2666=0,"",IF(COUNTIF(F2666,"Bao"),[1]Setup!$B$4,IF(COUNTIF(F2666,"Soup Dumpling"),[1]Setup!$B$5,F2666)))</f>
        <v/>
      </c>
    </row>
    <row r="2667" spans="2:9" x14ac:dyDescent="0.3">
      <c r="B2667" s="100">
        <f t="shared" si="248"/>
        <v>0</v>
      </c>
      <c r="C2667" s="84" t="str">
        <f t="shared" si="249"/>
        <v>January</v>
      </c>
      <c r="I2667" s="87" t="str">
        <f>IF(F2667=0,"",IF(COUNTIF(F2667,"Bao"),[1]Setup!$B$4,IF(COUNTIF(F2667,"Soup Dumpling"),[1]Setup!$B$5,F2667)))</f>
        <v/>
      </c>
    </row>
    <row r="2668" spans="2:9" x14ac:dyDescent="0.3">
      <c r="B2668" s="100">
        <f t="shared" si="248"/>
        <v>0</v>
      </c>
      <c r="C2668" s="84" t="str">
        <f t="shared" si="249"/>
        <v>January</v>
      </c>
      <c r="I2668" s="87" t="str">
        <f>IF(F2668=0,"",IF(COUNTIF(F2668,"Bao"),[1]Setup!$B$4,IF(COUNTIF(F2668,"Soup Dumpling"),[1]Setup!$B$5,F2668)))</f>
        <v/>
      </c>
    </row>
    <row r="2669" spans="2:9" x14ac:dyDescent="0.3">
      <c r="B2669" s="100">
        <f t="shared" si="248"/>
        <v>0</v>
      </c>
      <c r="C2669" s="84" t="str">
        <f t="shared" si="249"/>
        <v>January</v>
      </c>
      <c r="I2669" s="87" t="str">
        <f>IF(F2669=0,"",IF(COUNTIF(F2669,"Bao"),[1]Setup!$B$4,IF(COUNTIF(F2669,"Soup Dumpling"),[1]Setup!$B$5,F2669)))</f>
        <v/>
      </c>
    </row>
    <row r="2670" spans="2:9" x14ac:dyDescent="0.3">
      <c r="B2670" s="100">
        <f t="shared" si="248"/>
        <v>0</v>
      </c>
      <c r="C2670" s="84" t="str">
        <f t="shared" si="249"/>
        <v>January</v>
      </c>
      <c r="I2670" s="87" t="str">
        <f>IF(F2670=0,"",IF(COUNTIF(F2670,"Bao"),[1]Setup!$B$4,IF(COUNTIF(F2670,"Soup Dumpling"),[1]Setup!$B$5,F2670)))</f>
        <v/>
      </c>
    </row>
    <row r="2671" spans="2:9" x14ac:dyDescent="0.3">
      <c r="B2671" s="100">
        <f t="shared" si="248"/>
        <v>0</v>
      </c>
      <c r="C2671" s="84" t="str">
        <f t="shared" si="249"/>
        <v>January</v>
      </c>
      <c r="I2671" s="87" t="str">
        <f>IF(F2671=0,"",IF(COUNTIF(F2671,"Bao"),[1]Setup!$B$4,IF(COUNTIF(F2671,"Soup Dumpling"),[1]Setup!$B$5,F2671)))</f>
        <v/>
      </c>
    </row>
    <row r="2672" spans="2:9" x14ac:dyDescent="0.3">
      <c r="B2672" s="100">
        <f t="shared" si="248"/>
        <v>0</v>
      </c>
      <c r="C2672" s="84" t="str">
        <f t="shared" si="249"/>
        <v>January</v>
      </c>
      <c r="I2672" s="87" t="str">
        <f>IF(F2672=0,"",IF(COUNTIF(F2672,"Bao"),[1]Setup!$B$4,IF(COUNTIF(F2672,"Soup Dumpling"),[1]Setup!$B$5,F2672)))</f>
        <v/>
      </c>
    </row>
    <row r="2673" spans="2:9" x14ac:dyDescent="0.3">
      <c r="B2673" s="100">
        <f t="shared" si="248"/>
        <v>0</v>
      </c>
      <c r="C2673" s="84" t="str">
        <f t="shared" si="249"/>
        <v>January</v>
      </c>
      <c r="I2673" s="87" t="str">
        <f>IF(F2673=0,"",IF(COUNTIF(F2673,"Bao"),[1]Setup!$B$4,IF(COUNTIF(F2673,"Soup Dumpling"),[1]Setup!$B$5,F2673)))</f>
        <v/>
      </c>
    </row>
    <row r="2674" spans="2:9" x14ac:dyDescent="0.3">
      <c r="B2674" s="100">
        <f t="shared" si="248"/>
        <v>0</v>
      </c>
      <c r="C2674" s="84" t="str">
        <f t="shared" si="249"/>
        <v>January</v>
      </c>
      <c r="I2674" s="87" t="str">
        <f>IF(F2674=0,"",IF(COUNTIF(F2674,"Bao"),[1]Setup!$B$4,IF(COUNTIF(F2674,"Soup Dumpling"),[1]Setup!$B$5,F2674)))</f>
        <v/>
      </c>
    </row>
    <row r="2675" spans="2:9" x14ac:dyDescent="0.3">
      <c r="B2675" s="100">
        <f t="shared" si="248"/>
        <v>0</v>
      </c>
      <c r="C2675" s="84" t="str">
        <f t="shared" si="249"/>
        <v>January</v>
      </c>
      <c r="I2675" s="87" t="str">
        <f>IF(F2675=0,"",IF(COUNTIF(F2675,"Bao"),[1]Setup!$B$4,IF(COUNTIF(F2675,"Soup Dumpling"),[1]Setup!$B$5,F2675)))</f>
        <v/>
      </c>
    </row>
  </sheetData>
  <autoFilter ref="A3:Y2675" xr:uid="{AB7984EC-8046-497D-9F0B-FC74A4546D8C}"/>
  <mergeCells count="1">
    <mergeCell ref="A1:X1"/>
  </mergeCells>
  <conditionalFormatting sqref="W4:W174 W378:W1244">
    <cfRule type="expression" dxfId="3" priority="5">
      <formula>$W4="Review"</formula>
    </cfRule>
    <cfRule type="expression" dxfId="2" priority="6">
      <formula>$W4="OK"</formula>
    </cfRule>
  </conditionalFormatting>
  <conditionalFormatting sqref="W175:W377">
    <cfRule type="expression" dxfId="1" priority="1">
      <formula>$U175="Review"</formula>
    </cfRule>
    <cfRule type="expression" dxfId="0" priority="2">
      <formula>$U175="OK"</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5ACA11-7CEA-4D05-A767-AD4DCF81A03D}">
  <dimension ref="A1:M11"/>
  <sheetViews>
    <sheetView workbookViewId="0">
      <selection activeCell="C1" sqref="C1:F1"/>
    </sheetView>
  </sheetViews>
  <sheetFormatPr defaultColWidth="8.6640625" defaultRowHeight="14.4" x14ac:dyDescent="0.3"/>
  <cols>
    <col min="1" max="1" width="29" style="11" bestFit="1" customWidth="1"/>
    <col min="2" max="2" width="13.88671875" style="11" bestFit="1" customWidth="1"/>
    <col min="3" max="4" width="10.5546875" style="11" bestFit="1" customWidth="1"/>
    <col min="5" max="5" width="11" style="11" bestFit="1" customWidth="1"/>
    <col min="6" max="6" width="10.109375" style="11" bestFit="1" customWidth="1"/>
    <col min="7" max="7" width="9.88671875" style="11" bestFit="1" customWidth="1"/>
    <col min="8" max="10" width="10.5546875" style="11" bestFit="1" customWidth="1"/>
    <col min="11" max="11" width="9.44140625" style="11" bestFit="1" customWidth="1"/>
    <col min="12" max="12" width="8.6640625" style="11"/>
    <col min="13" max="13" width="11" style="109" bestFit="1" customWidth="1"/>
    <col min="14" max="16384" width="8.6640625" style="11"/>
  </cols>
  <sheetData>
    <row r="1" spans="1:13" x14ac:dyDescent="0.3">
      <c r="C1" s="11">
        <f>WEEKNUM(C2)</f>
        <v>26</v>
      </c>
      <c r="D1" s="11">
        <f>WEEKNUM(D2)</f>
        <v>27</v>
      </c>
      <c r="E1" s="11">
        <f>WEEKNUM(E2)</f>
        <v>28</v>
      </c>
      <c r="F1" s="11">
        <f>WEEKNUM(F2)</f>
        <v>29</v>
      </c>
    </row>
    <row r="2" spans="1:13" x14ac:dyDescent="0.3">
      <c r="A2" s="133" t="s">
        <v>412</v>
      </c>
      <c r="B2" s="133" t="s">
        <v>202</v>
      </c>
      <c r="C2" s="131">
        <v>46194</v>
      </c>
      <c r="D2" s="131">
        <v>46201</v>
      </c>
      <c r="E2" s="131">
        <v>46208</v>
      </c>
      <c r="F2" s="131">
        <v>46215</v>
      </c>
      <c r="H2" s="11" t="s">
        <v>413</v>
      </c>
      <c r="I2" s="11" t="s">
        <v>414</v>
      </c>
    </row>
    <row r="3" spans="1:13" x14ac:dyDescent="0.3">
      <c r="A3" s="134" t="s">
        <v>415</v>
      </c>
      <c r="B3" s="134" t="s">
        <v>416</v>
      </c>
      <c r="C3" s="132">
        <v>0</v>
      </c>
      <c r="D3" s="132">
        <v>6000</v>
      </c>
      <c r="E3" s="132">
        <v>6000</v>
      </c>
      <c r="F3" s="132">
        <v>2250</v>
      </c>
      <c r="G3" s="110"/>
      <c r="H3" s="110" t="s">
        <v>417</v>
      </c>
      <c r="I3" s="110">
        <f>+C3*60</f>
        <v>0</v>
      </c>
      <c r="J3" s="110"/>
      <c r="K3" s="110"/>
      <c r="M3" s="108"/>
    </row>
    <row r="4" spans="1:13" x14ac:dyDescent="0.3">
      <c r="A4" s="134" t="s">
        <v>418</v>
      </c>
      <c r="B4" s="134" t="s">
        <v>416</v>
      </c>
      <c r="C4" s="132">
        <v>6000</v>
      </c>
      <c r="D4" s="132">
        <v>0</v>
      </c>
      <c r="E4" s="132">
        <v>0</v>
      </c>
      <c r="F4" s="132">
        <v>0</v>
      </c>
      <c r="G4" s="110"/>
      <c r="H4" s="110" t="s">
        <v>417</v>
      </c>
      <c r="I4" s="110">
        <f>+C4*60</f>
        <v>360000</v>
      </c>
      <c r="J4" s="110"/>
      <c r="K4" s="110"/>
      <c r="M4" s="108"/>
    </row>
    <row r="5" spans="1:13" x14ac:dyDescent="0.3">
      <c r="A5" s="134" t="s">
        <v>419</v>
      </c>
      <c r="B5" s="134" t="s">
        <v>416</v>
      </c>
      <c r="C5" s="132">
        <v>0</v>
      </c>
      <c r="D5" s="132">
        <v>0</v>
      </c>
      <c r="E5" s="132">
        <v>0</v>
      </c>
      <c r="F5" s="132">
        <v>0</v>
      </c>
      <c r="G5" s="110"/>
      <c r="H5" s="110" t="s">
        <v>417</v>
      </c>
      <c r="I5" s="110">
        <f>+C5*60</f>
        <v>0</v>
      </c>
      <c r="J5" s="110"/>
      <c r="K5" s="110"/>
      <c r="M5" s="108"/>
    </row>
    <row r="6" spans="1:13" x14ac:dyDescent="0.3">
      <c r="A6" s="134" t="s">
        <v>420</v>
      </c>
      <c r="B6" s="134" t="s">
        <v>52</v>
      </c>
      <c r="C6" s="132">
        <v>1000</v>
      </c>
      <c r="D6" s="132">
        <v>1000</v>
      </c>
      <c r="E6" s="132">
        <v>1000</v>
      </c>
      <c r="F6" s="132">
        <v>1000</v>
      </c>
      <c r="G6" s="110"/>
      <c r="H6" s="110" t="s">
        <v>52</v>
      </c>
      <c r="I6" s="110"/>
      <c r="J6" s="110"/>
      <c r="K6" s="110"/>
      <c r="M6" s="108"/>
    </row>
    <row r="7" spans="1:13" x14ac:dyDescent="0.3">
      <c r="A7" s="134" t="s">
        <v>421</v>
      </c>
      <c r="B7" s="134" t="s">
        <v>416</v>
      </c>
      <c r="C7" s="132">
        <v>0</v>
      </c>
      <c r="D7" s="132">
        <v>0</v>
      </c>
      <c r="E7" s="132">
        <v>0</v>
      </c>
      <c r="F7" s="132">
        <v>900</v>
      </c>
      <c r="G7" s="110"/>
      <c r="H7" s="110" t="s">
        <v>417</v>
      </c>
      <c r="I7" s="110">
        <f>+C7*60</f>
        <v>0</v>
      </c>
      <c r="J7" s="110"/>
      <c r="K7" s="110"/>
      <c r="M7" s="108"/>
    </row>
    <row r="8" spans="1:13" x14ac:dyDescent="0.3">
      <c r="A8" s="107"/>
      <c r="B8" s="110"/>
      <c r="C8" s="110"/>
      <c r="D8" s="110"/>
      <c r="E8" s="110"/>
      <c r="F8" s="110"/>
      <c r="G8" s="110"/>
      <c r="H8" s="110"/>
      <c r="I8" s="110"/>
      <c r="J8" s="110"/>
      <c r="K8" s="110"/>
      <c r="M8" s="108"/>
    </row>
    <row r="9" spans="1:13" x14ac:dyDescent="0.3">
      <c r="A9" s="107"/>
      <c r="B9" s="110"/>
      <c r="C9" s="110"/>
      <c r="D9" s="110"/>
      <c r="E9" s="110"/>
      <c r="F9" s="110"/>
      <c r="G9" s="110"/>
      <c r="H9" s="110"/>
      <c r="I9" s="110"/>
      <c r="J9" s="110"/>
      <c r="K9" s="110"/>
      <c r="M9" s="108"/>
    </row>
    <row r="10" spans="1:13" x14ac:dyDescent="0.3">
      <c r="A10" s="107"/>
      <c r="B10" s="110"/>
      <c r="C10" s="110"/>
      <c r="D10" s="110"/>
      <c r="E10" s="110"/>
      <c r="F10" s="110"/>
      <c r="G10" s="110"/>
      <c r="H10" s="110"/>
      <c r="I10" s="110"/>
      <c r="J10" s="110"/>
      <c r="K10" s="110"/>
      <c r="M10" s="108"/>
    </row>
    <row r="11" spans="1:13" x14ac:dyDescent="0.3">
      <c r="A11" s="10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Monthly Summary</vt:lpstr>
      <vt:lpstr>Weekly Summary</vt:lpstr>
      <vt:lpstr>Daily Summary</vt:lpstr>
      <vt:lpstr>Raw Data - Production</vt:lpstr>
      <vt:lpstr>Raw Data - Packing</vt:lpstr>
      <vt:lpstr>OEE - In Process</vt:lpstr>
      <vt:lpstr>Weights</vt:lpstr>
      <vt:lpstr>Don't Change</vt:lpstr>
      <vt:lpstr>Ramp Up Plan</vt:lpstr>
      <vt:lpstr>Prod Schedule ML</vt:lpstr>
      <vt:lpstr>SC Production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Michael Coan</dc:creator>
  <cp:keywords/>
  <dc:description/>
  <cp:lastModifiedBy>Mark Vardaro</cp:lastModifiedBy>
  <cp:revision/>
  <dcterms:created xsi:type="dcterms:W3CDTF">2026-05-14T16:39:04Z</dcterms:created>
  <dcterms:modified xsi:type="dcterms:W3CDTF">2026-07-30T17:02:39Z</dcterms:modified>
  <cp:category/>
  <cp:contentStatus/>
</cp:coreProperties>
</file>